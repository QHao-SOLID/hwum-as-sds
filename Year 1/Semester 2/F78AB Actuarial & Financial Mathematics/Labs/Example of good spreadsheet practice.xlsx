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k43\Documents\Y1S2 F78AB Actuarial and Financial Mathematics 2025-26\Excel Labs\"/>
    </mc:Choice>
  </mc:AlternateContent>
  <xr:revisionPtr revIDLastSave="0" documentId="13_ncr:1_{C03A5BA1-1B3E-4EA7-AE49-7108670CFCBC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Worksheet A" sheetId="3" r:id="rId1"/>
  </sheets>
  <definedNames>
    <definedName name="dps">'Worksheet A'!$B$8</definedName>
    <definedName name="g">'Worksheet A'!$B$6</definedName>
    <definedName name="int">'Worksheet A'!$B$5</definedName>
    <definedName name="payment_ini">'Worksheet A'!$B$7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E18" i="3"/>
  <c r="C21" i="3"/>
  <c r="D21" i="3" l="1"/>
  <c r="E21" i="3" s="1"/>
  <c r="A22" i="3"/>
  <c r="C22" i="3" l="1"/>
  <c r="B22" i="3"/>
  <c r="A23" i="3"/>
  <c r="D22" i="3" l="1"/>
  <c r="E22" i="3" s="1"/>
  <c r="B23" i="3"/>
  <c r="D23" i="3" s="1"/>
  <c r="E23" i="3" s="1"/>
  <c r="C23" i="3"/>
  <c r="A24" i="3"/>
  <c r="B24" i="3" l="1"/>
  <c r="C24" i="3"/>
  <c r="A25" i="3"/>
  <c r="D24" i="3" l="1"/>
  <c r="E24" i="3" s="1"/>
  <c r="C25" i="3"/>
  <c r="B25" i="3"/>
  <c r="D25" i="3" s="1"/>
  <c r="E25" i="3" s="1"/>
  <c r="A26" i="3"/>
  <c r="C26" i="3" l="1"/>
  <c r="B26" i="3"/>
  <c r="A27" i="3"/>
  <c r="D26" i="3" l="1"/>
  <c r="E26" i="3" s="1"/>
  <c r="C27" i="3"/>
  <c r="B27" i="3"/>
  <c r="A28" i="3"/>
  <c r="D27" i="3" l="1"/>
  <c r="E27" i="3" s="1"/>
  <c r="B28" i="3"/>
  <c r="C28" i="3"/>
  <c r="A29" i="3"/>
  <c r="D28" i="3" l="1"/>
  <c r="E28" i="3" s="1"/>
  <c r="C29" i="3"/>
  <c r="B29" i="3"/>
  <c r="A30" i="3"/>
  <c r="D29" i="3" l="1"/>
  <c r="E29" i="3" s="1"/>
  <c r="C30" i="3"/>
  <c r="B30" i="3"/>
  <c r="D30" i="3" l="1"/>
  <c r="E30" i="3"/>
  <c r="E12" i="3" s="1"/>
  <c r="D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Catherine Donnelly</author>
  </authors>
  <commentList>
    <comment ref="B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Catherine Donnelly:</t>
        </r>
        <r>
          <rPr>
            <sz val="9"/>
            <color indexed="81"/>
            <rFont val="Tahoma"/>
            <family val="2"/>
          </rPr>
          <t xml:space="preserve">
Look at the cell above the column A.  It shows the Excel name of the highlighted cell's contents.</t>
        </r>
      </text>
    </comment>
  </commentList>
</comments>
</file>

<file path=xl/sharedStrings.xml><?xml version="1.0" encoding="utf-8"?>
<sst xmlns="http://schemas.openxmlformats.org/spreadsheetml/2006/main" count="42" uniqueCount="37">
  <si>
    <t>payment</t>
  </si>
  <si>
    <t>at</t>
  </si>
  <si>
    <t>Payment</t>
  </si>
  <si>
    <t>Discount</t>
  </si>
  <si>
    <t>factor</t>
  </si>
  <si>
    <t>Discounted</t>
  </si>
  <si>
    <t>Total</t>
  </si>
  <si>
    <t>Time</t>
  </si>
  <si>
    <t>time</t>
  </si>
  <si>
    <t>rounded</t>
  </si>
  <si>
    <t>to</t>
  </si>
  <si>
    <t>decimal</t>
  </si>
  <si>
    <t>places</t>
  </si>
  <si>
    <t>Name</t>
  </si>
  <si>
    <t>Value</t>
  </si>
  <si>
    <t>Description</t>
  </si>
  <si>
    <t>for</t>
  </si>
  <si>
    <t>in</t>
  </si>
  <si>
    <t>years</t>
  </si>
  <si>
    <t>int</t>
  </si>
  <si>
    <t>Annual effective rate of interest</t>
  </si>
  <si>
    <t>g</t>
  </si>
  <si>
    <t>Annual growth rate of payments</t>
  </si>
  <si>
    <t>payment_ini</t>
  </si>
  <si>
    <t>Initial payment amount</t>
  </si>
  <si>
    <t>dps</t>
  </si>
  <si>
    <t>Number of decimal places for rounding</t>
  </si>
  <si>
    <t>Worksheet to calculate the present value at time 0 of an increasing payment stream.</t>
  </si>
  <si>
    <t>Use Excel 'names' to avoid hard-coding numbers into the main calculations</t>
  </si>
  <si>
    <t>It is easier to spot an error if the number formatting, e.g. number of displayed decimal places, in a column is the same.</t>
  </si>
  <si>
    <t>Note that a displayed number of decimal places does not mean that the number is rounded to those number of decimal places.</t>
  </si>
  <si>
    <t>The key thing to do in Excel: break down your calculations.</t>
  </si>
  <si>
    <t>Do not 'simplify' your calculations to a single formula in one cell; it is too difficult to check.</t>
  </si>
  <si>
    <t>Use one row for each time.</t>
  </si>
  <si>
    <t>To keep track of the names, it is best to explicitly show them on the worksheet.  It takes a bit more time to set up, but usually means saving time later on as you're not searching the location of the name.</t>
  </si>
  <si>
    <t>You can put the totals at the top or the bottom of the calculations.  Totals can also act as 'checksums' if the spreadsheet is modified.</t>
  </si>
  <si>
    <r>
      <t xml:space="preserve">You can use colour (here, </t>
    </r>
    <r>
      <rPr>
        <sz val="11"/>
        <color rgb="FF0070C0"/>
        <rFont val="Calibri"/>
        <family val="2"/>
        <scheme val="minor"/>
      </rPr>
      <t>BLUE</t>
    </r>
    <r>
      <rPr>
        <sz val="11"/>
        <color theme="1"/>
        <rFont val="Calibri"/>
        <family val="2"/>
        <scheme val="minor"/>
      </rPr>
      <t>) to indicate values that can be changed by the user.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</si>
</sst>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,##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4" fontId="1" fillId="0" borderId="0" xfId="0" applyNumberFormat="1" applyFont="1"/>
    <xf numFmtId="0" fontId="2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G16" sqref="G16"/>
    </sheetView>
  </sheetViews>
  <sheetFormatPr defaultRowHeight="14.5" x14ac:dyDescent="0.35"/>
  <cols>
    <col min="1" max="1" width="12.1796875" bestFit="1" customWidth="1"/>
    <col min="2" max="2" width="8.81640625" bestFit="1" customWidth="1"/>
    <col min="4" max="4" width="12" bestFit="1" customWidth="1"/>
    <col min="5" max="5" width="12.1796875" bestFit="1" customWidth="1"/>
  </cols>
  <sheetData>
    <row r="1" spans="1:7" x14ac:dyDescent="0.35">
      <c r="A1" s="8" t="s">
        <v>27</v>
      </c>
    </row>
    <row r="4" spans="1:7" x14ac:dyDescent="0.35">
      <c r="A4" s="1" t="s">
        <v>13</v>
      </c>
      <c r="B4" s="2" t="s">
        <v>14</v>
      </c>
      <c r="C4" s="1" t="s">
        <v>15</v>
      </c>
      <c r="G4" t="s">
        <v>28</v>
      </c>
    </row>
    <row r="5" spans="1:7" x14ac:dyDescent="0.35">
      <c r="A5" t="s">
        <v>19</v>
      </c>
      <c r="B5" s="9">
        <v>0.04</v>
      </c>
      <c r="C5" t="s">
        <v>20</v>
      </c>
      <c r="G5" t="s">
        <v>34</v>
      </c>
    </row>
    <row r="6" spans="1:7" x14ac:dyDescent="0.35">
      <c r="A6" t="s">
        <v>21</v>
      </c>
      <c r="B6" s="9">
        <v>0</v>
      </c>
      <c r="C6" t="s">
        <v>22</v>
      </c>
    </row>
    <row r="7" spans="1:7" x14ac:dyDescent="0.35">
      <c r="A7" t="s">
        <v>23</v>
      </c>
      <c r="B7" s="9">
        <v>100</v>
      </c>
      <c r="C7" t="s">
        <v>24</v>
      </c>
    </row>
    <row r="8" spans="1:7" x14ac:dyDescent="0.35">
      <c r="A8" t="s">
        <v>25</v>
      </c>
      <c r="B8" s="9">
        <v>2</v>
      </c>
      <c r="C8" t="s">
        <v>26</v>
      </c>
      <c r="G8" t="s">
        <v>36</v>
      </c>
    </row>
    <row r="12" spans="1:7" x14ac:dyDescent="0.35">
      <c r="A12" s="1" t="s">
        <v>6</v>
      </c>
      <c r="B12" s="1"/>
      <c r="C12" s="1"/>
      <c r="D12" s="6">
        <f>SUM(D21:D30)</f>
        <v>811.08957793550269</v>
      </c>
      <c r="E12" s="7">
        <f>SUM(E21:E30)</f>
        <v>811.08999999999992</v>
      </c>
      <c r="G12" t="s">
        <v>35</v>
      </c>
    </row>
    <row r="14" spans="1:7" x14ac:dyDescent="0.35">
      <c r="E14" s="2" t="s">
        <v>5</v>
      </c>
    </row>
    <row r="15" spans="1:7" x14ac:dyDescent="0.35">
      <c r="C15" s="2" t="s">
        <v>3</v>
      </c>
      <c r="E15" s="2" t="s">
        <v>0</v>
      </c>
    </row>
    <row r="16" spans="1:7" s="3" customFormat="1" x14ac:dyDescent="0.35">
      <c r="A16" s="2"/>
      <c r="B16" s="2"/>
      <c r="C16" s="2" t="s">
        <v>4</v>
      </c>
      <c r="E16" s="2" t="s">
        <v>9</v>
      </c>
    </row>
    <row r="17" spans="1:7" s="3" customFormat="1" x14ac:dyDescent="0.35">
      <c r="A17" s="2"/>
      <c r="B17" s="2"/>
      <c r="C17" s="2" t="s">
        <v>16</v>
      </c>
      <c r="E17" s="2" t="s">
        <v>10</v>
      </c>
    </row>
    <row r="18" spans="1:7" s="3" customFormat="1" x14ac:dyDescent="0.35">
      <c r="A18" s="2" t="s">
        <v>7</v>
      </c>
      <c r="B18" s="2" t="s">
        <v>2</v>
      </c>
      <c r="C18" s="2" t="s">
        <v>0</v>
      </c>
      <c r="D18" s="2"/>
      <c r="E18" s="2">
        <f>dps</f>
        <v>2</v>
      </c>
    </row>
    <row r="19" spans="1:7" s="3" customFormat="1" x14ac:dyDescent="0.35">
      <c r="A19" s="2" t="s">
        <v>17</v>
      </c>
      <c r="B19" s="2" t="s">
        <v>1</v>
      </c>
      <c r="C19" s="2" t="s">
        <v>1</v>
      </c>
      <c r="D19" s="2" t="s">
        <v>5</v>
      </c>
      <c r="E19" s="2" t="s">
        <v>11</v>
      </c>
    </row>
    <row r="20" spans="1:7" s="3" customFormat="1" x14ac:dyDescent="0.35">
      <c r="A20" s="2" t="s">
        <v>18</v>
      </c>
      <c r="B20" s="2" t="s">
        <v>8</v>
      </c>
      <c r="C20" s="2" t="s">
        <v>8</v>
      </c>
      <c r="D20" s="2" t="s">
        <v>0</v>
      </c>
      <c r="E20" s="2" t="s">
        <v>12</v>
      </c>
    </row>
    <row r="21" spans="1:7" x14ac:dyDescent="0.35">
      <c r="A21" s="3">
        <v>1</v>
      </c>
      <c r="B21" s="6">
        <f>payment_ini</f>
        <v>100</v>
      </c>
      <c r="C21" s="4">
        <f t="shared" ref="C21:C30" si="0">POWER(1+int,-A21)</f>
        <v>0.96153846153846145</v>
      </c>
      <c r="D21" s="6">
        <f>B21*C21</f>
        <v>96.153846153846146</v>
      </c>
      <c r="E21" s="6">
        <f t="shared" ref="E21:E30" si="1">ROUND(D21,dps)</f>
        <v>96.15</v>
      </c>
      <c r="G21" t="s">
        <v>31</v>
      </c>
    </row>
    <row r="22" spans="1:7" x14ac:dyDescent="0.35">
      <c r="A22" s="3">
        <f>A21+1</f>
        <v>2</v>
      </c>
      <c r="B22" s="6">
        <f t="shared" ref="B22:B30" si="2">payment_ini*POWER(1+g,A22)</f>
        <v>100</v>
      </c>
      <c r="C22" s="4">
        <f t="shared" si="0"/>
        <v>0.92455621301775137</v>
      </c>
      <c r="D22" s="6">
        <f t="shared" ref="D22:D30" si="3">B22*C22</f>
        <v>92.455621301775139</v>
      </c>
      <c r="E22" s="6">
        <f t="shared" si="1"/>
        <v>92.46</v>
      </c>
      <c r="G22" t="s">
        <v>32</v>
      </c>
    </row>
    <row r="23" spans="1:7" x14ac:dyDescent="0.35">
      <c r="A23" s="3">
        <f t="shared" ref="A23:A30" si="4">A22+1</f>
        <v>3</v>
      </c>
      <c r="B23" s="6">
        <f t="shared" si="2"/>
        <v>100</v>
      </c>
      <c r="C23" s="4">
        <f t="shared" si="0"/>
        <v>0.88899635867091487</v>
      </c>
      <c r="D23" s="6">
        <f t="shared" si="3"/>
        <v>88.89963586709149</v>
      </c>
      <c r="E23" s="6">
        <f t="shared" si="1"/>
        <v>88.9</v>
      </c>
    </row>
    <row r="24" spans="1:7" x14ac:dyDescent="0.35">
      <c r="A24" s="3">
        <f t="shared" si="4"/>
        <v>4</v>
      </c>
      <c r="B24" s="6">
        <f t="shared" si="2"/>
        <v>100</v>
      </c>
      <c r="C24" s="4">
        <f t="shared" si="0"/>
        <v>0.85480419102972571</v>
      </c>
      <c r="D24" s="6">
        <f t="shared" si="3"/>
        <v>85.480419102972576</v>
      </c>
      <c r="E24" s="6">
        <f t="shared" si="1"/>
        <v>85.48</v>
      </c>
      <c r="G24" t="s">
        <v>33</v>
      </c>
    </row>
    <row r="25" spans="1:7" x14ac:dyDescent="0.35">
      <c r="A25" s="3">
        <f t="shared" si="4"/>
        <v>5</v>
      </c>
      <c r="B25" s="6">
        <f t="shared" si="2"/>
        <v>100</v>
      </c>
      <c r="C25" s="4">
        <f t="shared" si="0"/>
        <v>0.82192710675935154</v>
      </c>
      <c r="D25" s="6">
        <f t="shared" si="3"/>
        <v>82.19271067593516</v>
      </c>
      <c r="E25" s="6">
        <f t="shared" si="1"/>
        <v>82.19</v>
      </c>
    </row>
    <row r="26" spans="1:7" x14ac:dyDescent="0.35">
      <c r="A26" s="3">
        <f t="shared" si="4"/>
        <v>6</v>
      </c>
      <c r="B26" s="6">
        <f t="shared" si="2"/>
        <v>100</v>
      </c>
      <c r="C26" s="4">
        <f t="shared" si="0"/>
        <v>0.79031452573014571</v>
      </c>
      <c r="D26" s="6">
        <f t="shared" si="3"/>
        <v>79.031452573014576</v>
      </c>
      <c r="E26" s="6">
        <f t="shared" si="1"/>
        <v>79.03</v>
      </c>
      <c r="G26" t="s">
        <v>29</v>
      </c>
    </row>
    <row r="27" spans="1:7" x14ac:dyDescent="0.35">
      <c r="A27" s="3">
        <f t="shared" si="4"/>
        <v>7</v>
      </c>
      <c r="B27" s="6">
        <f t="shared" si="2"/>
        <v>100</v>
      </c>
      <c r="C27" s="4">
        <f t="shared" si="0"/>
        <v>0.75991781320206331</v>
      </c>
      <c r="D27" s="6">
        <f t="shared" si="3"/>
        <v>75.991781320206329</v>
      </c>
      <c r="E27" s="6">
        <f t="shared" si="1"/>
        <v>75.989999999999995</v>
      </c>
    </row>
    <row r="28" spans="1:7" x14ac:dyDescent="0.35">
      <c r="A28" s="3">
        <f t="shared" si="4"/>
        <v>8</v>
      </c>
      <c r="B28" s="6">
        <f t="shared" si="2"/>
        <v>100</v>
      </c>
      <c r="C28" s="4">
        <f t="shared" si="0"/>
        <v>0.73069020500198378</v>
      </c>
      <c r="D28" s="6">
        <f t="shared" si="3"/>
        <v>73.069020500198377</v>
      </c>
      <c r="E28" s="6">
        <f t="shared" si="1"/>
        <v>73.069999999999993</v>
      </c>
    </row>
    <row r="29" spans="1:7" x14ac:dyDescent="0.35">
      <c r="A29" s="3">
        <f t="shared" si="4"/>
        <v>9</v>
      </c>
      <c r="B29" s="6">
        <f t="shared" si="2"/>
        <v>100</v>
      </c>
      <c r="C29" s="4">
        <f t="shared" si="0"/>
        <v>0.70258673557883045</v>
      </c>
      <c r="D29" s="6">
        <f t="shared" si="3"/>
        <v>70.258673557883043</v>
      </c>
      <c r="E29" s="6">
        <f t="shared" si="1"/>
        <v>70.260000000000005</v>
      </c>
      <c r="G29" t="s">
        <v>30</v>
      </c>
    </row>
    <row r="30" spans="1:7" x14ac:dyDescent="0.35">
      <c r="A30" s="3">
        <f t="shared" si="4"/>
        <v>10</v>
      </c>
      <c r="B30" s="6">
        <f t="shared" si="2"/>
        <v>100</v>
      </c>
      <c r="C30" s="4">
        <f t="shared" si="0"/>
        <v>0.67556416882579851</v>
      </c>
      <c r="D30" s="6">
        <f t="shared" si="3"/>
        <v>67.556416882579853</v>
      </c>
      <c r="E30" s="6">
        <f t="shared" si="1"/>
        <v>67.56</v>
      </c>
    </row>
    <row r="31" spans="1:7" x14ac:dyDescent="0.35">
      <c r="D31" s="5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Worksheet A</vt:lpstr>
      <vt:lpstr>dps</vt:lpstr>
      <vt:lpstr>g</vt:lpstr>
      <vt:lpstr>int</vt:lpstr>
      <vt:lpstr>payment_ini</vt:lpstr>
    </vt:vector>
  </TitlesOfParts>
  <Company>Heriot-Watt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cd134;Karamjeet Singh</dc:creator>
  <cp:lastModifiedBy>K.Ranthir Singh, Karamjeet Singh</cp:lastModifiedBy>
  <dcterms:created xsi:type="dcterms:W3CDTF">2012-01-09T11:05:29Z</dcterms:created>
  <dcterms:modified xsi:type="dcterms:W3CDTF">2026-02-03T10:11:07Z</dcterms:modified>
</cp:coreProperties>
</file>