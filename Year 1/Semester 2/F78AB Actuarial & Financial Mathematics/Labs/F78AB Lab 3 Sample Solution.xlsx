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k43\Documents\Y1S2 F78AB Actuarial and Financial Mathematics 2025-26\Excel Labs\F78AB Excel Lab 3 (Wk_8 - Loan Schedules)\"/>
    </mc:Choice>
  </mc:AlternateContent>
  <xr:revisionPtr revIDLastSave="0" documentId="13_ncr:1_{C18998DC-94BD-4607-87F4-979CBD07AEC3}" xr6:coauthVersionLast="47" xr6:coauthVersionMax="47" xr10:uidLastSave="{00000000-0000-0000-0000-000000000000}"/>
  <bookViews>
    <workbookView xWindow="28680" yWindow="-120" windowWidth="29040" windowHeight="17520" tabRatio="692" activeTab="4" xr2:uid="{00000000-000D-0000-FFFF-FFFF00000000}"/>
  </bookViews>
  <sheets>
    <sheet name="Q1" sheetId="4" r:id="rId1"/>
    <sheet name="Q2" sheetId="16" r:id="rId2"/>
    <sheet name="Q3" sheetId="17" r:id="rId3"/>
    <sheet name="Q4" sheetId="14" r:id="rId4"/>
    <sheet name="Q5" sheetId="15" r:id="rId5"/>
  </sheets>
  <definedNames>
    <definedName name="cap_rem_A" localSheetId="1">'Q2'!$B$14</definedName>
    <definedName name="cap_rem_A" localSheetId="2">'Q3'!$B$15</definedName>
    <definedName name="cap_rem_B" localSheetId="1">'Q2'!$J$16</definedName>
    <definedName name="Int_Q4_1" localSheetId="3">'Q4'!$B$10</definedName>
    <definedName name="Int_Q4_2" localSheetId="3">'Q4'!$B$11</definedName>
    <definedName name="Int_Q5_1" localSheetId="4">'Q5'!$B$10</definedName>
    <definedName name="Int_Q5_2" localSheetId="4">'Q5'!$B$12</definedName>
    <definedName name="Int_Q5_2_mth" localSheetId="4">'Q5'!$B$11</definedName>
    <definedName name="Interest_A" localSheetId="0">'Q1'!$B$9</definedName>
    <definedName name="interest_A_change" localSheetId="1">'Q2'!$B$11</definedName>
    <definedName name="interest_A_change" localSheetId="2">'Q3'!$B$11</definedName>
    <definedName name="interest_A_new" localSheetId="1">'Q2'!$B$10</definedName>
    <definedName name="interest_A_new" localSheetId="2">'Q3'!$B$10</definedName>
    <definedName name="interest_A_old" localSheetId="1">'Q2'!$B$9</definedName>
    <definedName name="interest_A_old" localSheetId="2">'Q3'!$B$9</definedName>
    <definedName name="interest_B_change" localSheetId="1">'Q2'!$J$13</definedName>
    <definedName name="interest_BM" localSheetId="0">'Q1'!$I$10</definedName>
    <definedName name="interest_BM_new" localSheetId="1">'Q2'!$J$12</definedName>
    <definedName name="interest_BM_old" localSheetId="1">'Q2'!$J$10</definedName>
    <definedName name="interest_BY" localSheetId="0">'Q1'!$I$9</definedName>
    <definedName name="interest_BY_new" localSheetId="1">'Q2'!$J$11</definedName>
    <definedName name="interest_BY_old" localSheetId="1">'Q2'!$J$9</definedName>
    <definedName name="loan_A" localSheetId="0">'Q1'!$B$8</definedName>
    <definedName name="loan_A" localSheetId="1">'Q2'!$B$8</definedName>
    <definedName name="loan_A" localSheetId="2">'Q3'!$B$8</definedName>
    <definedName name="loan_B" localSheetId="0">'Q1'!$I$8</definedName>
    <definedName name="loan_B" localSheetId="1">'Q2'!$J$8</definedName>
    <definedName name="Loan_Q4" localSheetId="3">'Q4'!$B$9</definedName>
    <definedName name="Loan_Q5" localSheetId="4">'Q5'!$B$9</definedName>
    <definedName name="Period_Q5" localSheetId="4">'Q5'!$B$15</definedName>
    <definedName name="Repay_Q4" localSheetId="3">'Q4'!$B$14</definedName>
    <definedName name="Repay_Q5" localSheetId="4">'Q5'!$B$16</definedName>
    <definedName name="repayment_A" localSheetId="0">'Q1'!$B$11</definedName>
    <definedName name="repayment_A_new" localSheetId="1">'Q2'!$B$15</definedName>
    <definedName name="repayment_A_new" localSheetId="2">'Q3'!$B$16</definedName>
    <definedName name="repayment_A_old" localSheetId="1">'Q2'!$B$13</definedName>
    <definedName name="repayment_A_old" localSheetId="2">'Q3'!$B$13</definedName>
    <definedName name="repayment_B" localSheetId="0">'Q1'!$I$12</definedName>
    <definedName name="repayment_B_new" localSheetId="1">'Q2'!$J$17</definedName>
    <definedName name="repayment_B_old" localSheetId="1">'Q2'!$J$15</definedName>
    <definedName name="Switch_Q4" localSheetId="3">'Q4'!$B$12</definedName>
    <definedName name="Switch_Q5" localSheetId="4">'Q5'!$B$13</definedName>
    <definedName name="Switch_Q5_repay" localSheetId="4">'Q5'!$B$14</definedName>
    <definedName name="term_A" localSheetId="0">'Q1'!$B$10</definedName>
    <definedName name="term_A" localSheetId="1">'Q2'!$B$12</definedName>
    <definedName name="term_A" localSheetId="2">'Q3'!$B$12</definedName>
    <definedName name="term_A_ext" localSheetId="2">'Q3'!$B$14</definedName>
    <definedName name="term_B" localSheetId="0">'Q1'!$I$11</definedName>
    <definedName name="term_B" localSheetId="1">'Q2'!$J$14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5" i="17" l="1"/>
  <c r="B54" i="17"/>
  <c r="B53" i="17"/>
  <c r="B52" i="17"/>
  <c r="B51" i="17"/>
  <c r="B50" i="17"/>
  <c r="B49" i="17"/>
  <c r="B48" i="17"/>
  <c r="B47" i="17"/>
  <c r="B46" i="17"/>
  <c r="B45" i="17"/>
  <c r="B44" i="17"/>
  <c r="B43" i="17"/>
  <c r="B42" i="17"/>
  <c r="B41" i="17"/>
  <c r="B40" i="17"/>
  <c r="B39" i="17"/>
  <c r="B38" i="17"/>
  <c r="B37" i="17"/>
  <c r="B36" i="17"/>
  <c r="B35" i="17"/>
  <c r="B34" i="17"/>
  <c r="B33" i="17"/>
  <c r="B32" i="17"/>
  <c r="B31" i="17"/>
  <c r="C30" i="17"/>
  <c r="B30" i="17"/>
  <c r="B29" i="17"/>
  <c r="C28" i="17"/>
  <c r="B28" i="17"/>
  <c r="F27" i="17"/>
  <c r="B13" i="17"/>
  <c r="C29" i="17" s="1"/>
  <c r="B52" i="16"/>
  <c r="B51" i="16"/>
  <c r="B50" i="16"/>
  <c r="B49" i="16"/>
  <c r="B48" i="16"/>
  <c r="B47" i="16"/>
  <c r="J46" i="16"/>
  <c r="B46" i="16"/>
  <c r="B45" i="16"/>
  <c r="B44" i="16"/>
  <c r="B43" i="16"/>
  <c r="B42" i="16"/>
  <c r="B41" i="16"/>
  <c r="J40" i="16"/>
  <c r="B40" i="16"/>
  <c r="B39" i="16"/>
  <c r="B38" i="16"/>
  <c r="B37" i="16"/>
  <c r="B36" i="16"/>
  <c r="B35" i="16"/>
  <c r="J34" i="16"/>
  <c r="B34" i="16"/>
  <c r="B33" i="16"/>
  <c r="B32" i="16"/>
  <c r="B31" i="16"/>
  <c r="B30" i="16"/>
  <c r="B29" i="16"/>
  <c r="J28" i="16"/>
  <c r="B28" i="16"/>
  <c r="N27" i="16"/>
  <c r="F27" i="16"/>
  <c r="B13" i="16"/>
  <c r="C28" i="16" s="1"/>
  <c r="J12" i="16" a="1"/>
  <c r="J12" i="16" s="1"/>
  <c r="J52" i="16" s="1"/>
  <c r="J10" i="16"/>
  <c r="J37" i="16" s="1"/>
  <c r="C36" i="15"/>
  <c r="C35" i="15"/>
  <c r="C34" i="15"/>
  <c r="C33" i="15"/>
  <c r="C32" i="15"/>
  <c r="C31" i="15"/>
  <c r="B31" i="15"/>
  <c r="C30" i="15"/>
  <c r="B30" i="15"/>
  <c r="C29" i="15"/>
  <c r="B29" i="15"/>
  <c r="C28" i="15"/>
  <c r="B28" i="15"/>
  <c r="C27" i="15"/>
  <c r="B27" i="15"/>
  <c r="C26" i="15"/>
  <c r="B26" i="15"/>
  <c r="C25" i="15"/>
  <c r="B25" i="15"/>
  <c r="C24" i="15"/>
  <c r="B24" i="15"/>
  <c r="C23" i="15"/>
  <c r="B23" i="15"/>
  <c r="C22" i="15"/>
  <c r="B22" i="15"/>
  <c r="F21" i="15"/>
  <c r="D22" i="15" s="1"/>
  <c r="E22" i="15" s="1"/>
  <c r="F22" i="15" s="1"/>
  <c r="B12" i="15"/>
  <c r="B32" i="15" s="1"/>
  <c r="L28" i="16" l="1"/>
  <c r="D28" i="17"/>
  <c r="J69" i="16"/>
  <c r="J83" i="16"/>
  <c r="J71" i="16"/>
  <c r="J59" i="16"/>
  <c r="J77" i="16"/>
  <c r="J74" i="16"/>
  <c r="J62" i="16"/>
  <c r="J78" i="16"/>
  <c r="J66" i="16"/>
  <c r="J54" i="16"/>
  <c r="J58" i="16"/>
  <c r="J81" i="16"/>
  <c r="J85" i="16"/>
  <c r="J73" i="16"/>
  <c r="J61" i="16"/>
  <c r="J65" i="16"/>
  <c r="J53" i="16"/>
  <c r="J80" i="16"/>
  <c r="J68" i="16"/>
  <c r="J56" i="16"/>
  <c r="J75" i="16"/>
  <c r="J63" i="16"/>
  <c r="J82" i="16"/>
  <c r="J70" i="16"/>
  <c r="J87" i="16"/>
  <c r="J84" i="16"/>
  <c r="J72" i="16"/>
  <c r="J60" i="16"/>
  <c r="J79" i="16"/>
  <c r="J67" i="16"/>
  <c r="J55" i="16"/>
  <c r="J86" i="16"/>
  <c r="J76" i="16"/>
  <c r="J57" i="16"/>
  <c r="J64" i="16"/>
  <c r="J32" i="16"/>
  <c r="J38" i="16"/>
  <c r="J44" i="16"/>
  <c r="J50" i="16"/>
  <c r="J51" i="16"/>
  <c r="C29" i="16"/>
  <c r="J43" i="16"/>
  <c r="J49" i="16"/>
  <c r="J15" i="16"/>
  <c r="J30" i="16"/>
  <c r="J36" i="16"/>
  <c r="J42" i="16"/>
  <c r="J48" i="16"/>
  <c r="D28" i="16"/>
  <c r="E28" i="16" s="1"/>
  <c r="J39" i="16"/>
  <c r="J29" i="16"/>
  <c r="J35" i="16"/>
  <c r="J41" i="16"/>
  <c r="J47" i="16"/>
  <c r="J33" i="16"/>
  <c r="J45" i="16"/>
  <c r="J31" i="16"/>
  <c r="D23" i="15"/>
  <c r="E23" i="15" s="1"/>
  <c r="F23" i="15" s="1"/>
  <c r="B35" i="15"/>
  <c r="B36" i="15"/>
  <c r="B34" i="15"/>
  <c r="B33" i="15"/>
  <c r="E28" i="17" l="1"/>
  <c r="K47" i="16"/>
  <c r="K41" i="16"/>
  <c r="K35" i="16"/>
  <c r="K29" i="16"/>
  <c r="K50" i="16"/>
  <c r="K44" i="16"/>
  <c r="K32" i="16"/>
  <c r="K37" i="16"/>
  <c r="K48" i="16"/>
  <c r="K42" i="16"/>
  <c r="K36" i="16"/>
  <c r="K30" i="16"/>
  <c r="K38" i="16"/>
  <c r="K49" i="16"/>
  <c r="K43" i="16"/>
  <c r="K31" i="16"/>
  <c r="K51" i="16"/>
  <c r="K45" i="16"/>
  <c r="K39" i="16"/>
  <c r="K33" i="16"/>
  <c r="K46" i="16"/>
  <c r="K40" i="16"/>
  <c r="K34" i="16"/>
  <c r="K28" i="16"/>
  <c r="F28" i="16"/>
  <c r="D24" i="15"/>
  <c r="E24" i="15" s="1"/>
  <c r="F24" i="15" s="1"/>
  <c r="F28" i="17" l="1"/>
  <c r="D29" i="16"/>
  <c r="M28" i="16"/>
  <c r="D25" i="15"/>
  <c r="E25" i="15" s="1"/>
  <c r="F25" i="15" s="1"/>
  <c r="D29" i="17" l="1"/>
  <c r="E29" i="16"/>
  <c r="N28" i="16"/>
  <c r="D26" i="15"/>
  <c r="E26" i="15" s="1"/>
  <c r="F26" i="15" s="1"/>
  <c r="E29" i="17" l="1"/>
  <c r="L29" i="16"/>
  <c r="F29" i="16"/>
  <c r="D27" i="15"/>
  <c r="E27" i="15" s="1"/>
  <c r="F27" i="15" s="1"/>
  <c r="F29" i="17" l="1"/>
  <c r="D30" i="16"/>
  <c r="B14" i="16"/>
  <c r="B15" i="16" s="1"/>
  <c r="M29" i="16"/>
  <c r="D28" i="15"/>
  <c r="E28" i="15" s="1"/>
  <c r="F28" i="15" s="1"/>
  <c r="D30" i="17" l="1"/>
  <c r="N29" i="16"/>
  <c r="C41" i="16"/>
  <c r="C49" i="16"/>
  <c r="C43" i="16"/>
  <c r="C37" i="16"/>
  <c r="C51" i="16"/>
  <c r="C45" i="16"/>
  <c r="C39" i="16"/>
  <c r="C33" i="16"/>
  <c r="C46" i="16"/>
  <c r="C40" i="16"/>
  <c r="C34" i="16"/>
  <c r="C47" i="16"/>
  <c r="C35" i="16"/>
  <c r="C31" i="16"/>
  <c r="C48" i="16"/>
  <c r="C42" i="16"/>
  <c r="C36" i="16"/>
  <c r="C30" i="16"/>
  <c r="C32" i="16"/>
  <c r="C44" i="16"/>
  <c r="C38" i="16"/>
  <c r="C50" i="16"/>
  <c r="D29" i="15"/>
  <c r="E29" i="15" s="1"/>
  <c r="F29" i="15" s="1"/>
  <c r="E30" i="17" l="1"/>
  <c r="L30" i="16"/>
  <c r="E30" i="16"/>
  <c r="D30" i="15"/>
  <c r="E30" i="15" s="1"/>
  <c r="F30" i="15" s="1"/>
  <c r="F30" i="17" l="1"/>
  <c r="M30" i="16"/>
  <c r="F30" i="16"/>
  <c r="D31" i="15"/>
  <c r="E31" i="15" s="1"/>
  <c r="F31" i="15" s="1"/>
  <c r="B15" i="17" l="1"/>
  <c r="B16" i="17" s="1"/>
  <c r="D31" i="17"/>
  <c r="D31" i="16"/>
  <c r="E31" i="16" s="1"/>
  <c r="N30" i="16"/>
  <c r="D32" i="15"/>
  <c r="E32" i="15" s="1"/>
  <c r="F32" i="15" s="1"/>
  <c r="C46" i="17" l="1"/>
  <c r="C34" i="17"/>
  <c r="C53" i="17"/>
  <c r="C41" i="17"/>
  <c r="C37" i="17"/>
  <c r="C32" i="17"/>
  <c r="C39" i="17"/>
  <c r="C48" i="17"/>
  <c r="C36" i="17"/>
  <c r="C50" i="17"/>
  <c r="C42" i="17"/>
  <c r="C51" i="17"/>
  <c r="C43" i="17"/>
  <c r="C31" i="17"/>
  <c r="C38" i="17"/>
  <c r="C45" i="17"/>
  <c r="C33" i="17"/>
  <c r="C52" i="17"/>
  <c r="C40" i="17"/>
  <c r="C35" i="17"/>
  <c r="C54" i="17"/>
  <c r="C47" i="17"/>
  <c r="C49" i="17"/>
  <c r="C44" i="17"/>
  <c r="L31" i="16"/>
  <c r="F31" i="16"/>
  <c r="D33" i="15"/>
  <c r="E33" i="15" s="1"/>
  <c r="F33" i="15" s="1"/>
  <c r="E31" i="17" l="1"/>
  <c r="D32" i="16"/>
  <c r="E32" i="16" s="1"/>
  <c r="F32" i="16" s="1"/>
  <c r="M31" i="16"/>
  <c r="D34" i="15"/>
  <c r="E34" i="15" s="1"/>
  <c r="F34" i="15"/>
  <c r="F31" i="17" l="1"/>
  <c r="D33" i="16"/>
  <c r="E33" i="16" s="1"/>
  <c r="F33" i="16" s="1"/>
  <c r="N31" i="16"/>
  <c r="D35" i="15"/>
  <c r="E35" i="15" s="1"/>
  <c r="F35" i="15"/>
  <c r="D32" i="17" l="1"/>
  <c r="E32" i="17" s="1"/>
  <c r="L32" i="16"/>
  <c r="M32" i="16" s="1"/>
  <c r="D34" i="16"/>
  <c r="E34" i="16" s="1"/>
  <c r="F34" i="16" s="1"/>
  <c r="D36" i="15"/>
  <c r="E36" i="15" s="1"/>
  <c r="F36" i="15" s="1"/>
  <c r="F18" i="15" s="1"/>
  <c r="F32" i="17" l="1"/>
  <c r="D35" i="16"/>
  <c r="E35" i="16" s="1"/>
  <c r="F35" i="16" s="1"/>
  <c r="N32" i="16"/>
  <c r="C49" i="14"/>
  <c r="B49" i="14"/>
  <c r="C48" i="14"/>
  <c r="B48" i="14"/>
  <c r="C47" i="14"/>
  <c r="B47" i="14"/>
  <c r="C46" i="14"/>
  <c r="B46" i="14"/>
  <c r="C45" i="14"/>
  <c r="B45" i="14"/>
  <c r="C44" i="14"/>
  <c r="B44" i="14"/>
  <c r="C43" i="14"/>
  <c r="B43" i="14"/>
  <c r="C42" i="14"/>
  <c r="B42" i="14"/>
  <c r="C41" i="14"/>
  <c r="B41" i="14"/>
  <c r="C40" i="14"/>
  <c r="B40" i="14"/>
  <c r="C39" i="14"/>
  <c r="B39" i="14"/>
  <c r="C38" i="14"/>
  <c r="B38" i="14"/>
  <c r="C37" i="14"/>
  <c r="B37" i="14"/>
  <c r="C36" i="14"/>
  <c r="B36" i="14"/>
  <c r="C35" i="14"/>
  <c r="B35" i="14"/>
  <c r="C34" i="14"/>
  <c r="B34" i="14"/>
  <c r="C33" i="14"/>
  <c r="B33" i="14"/>
  <c r="C32" i="14"/>
  <c r="B32" i="14"/>
  <c r="C31" i="14"/>
  <c r="B31" i="14"/>
  <c r="C30" i="14"/>
  <c r="B30" i="14"/>
  <c r="C29" i="14"/>
  <c r="B29" i="14"/>
  <c r="C28" i="14"/>
  <c r="B28" i="14"/>
  <c r="C27" i="14"/>
  <c r="B27" i="14"/>
  <c r="C26" i="14"/>
  <c r="B26" i="14"/>
  <c r="C25" i="14"/>
  <c r="B25" i="14"/>
  <c r="C24" i="14"/>
  <c r="B24" i="14"/>
  <c r="C23" i="14"/>
  <c r="B23" i="14"/>
  <c r="C22" i="14"/>
  <c r="B22" i="14"/>
  <c r="C21" i="14"/>
  <c r="B21" i="14"/>
  <c r="C20" i="14"/>
  <c r="B20" i="14"/>
  <c r="F19" i="14"/>
  <c r="D20" i="14" s="1"/>
  <c r="D33" i="17" l="1"/>
  <c r="E33" i="17" s="1"/>
  <c r="F33" i="17" s="1"/>
  <c r="E20" i="14"/>
  <c r="F20" i="14" s="1"/>
  <c r="D21" i="14" s="1"/>
  <c r="E21" i="14" s="1"/>
  <c r="F21" i="14" s="1"/>
  <c r="D36" i="16"/>
  <c r="E36" i="16" s="1"/>
  <c r="F36" i="16" s="1"/>
  <c r="L33" i="16"/>
  <c r="M33" i="16" s="1"/>
  <c r="N33" i="16" s="1"/>
  <c r="D34" i="17" l="1"/>
  <c r="E34" i="17" s="1"/>
  <c r="F34" i="17" s="1"/>
  <c r="L34" i="16"/>
  <c r="M34" i="16" s="1"/>
  <c r="N34" i="16" s="1"/>
  <c r="D37" i="16"/>
  <c r="E37" i="16" s="1"/>
  <c r="F37" i="16" s="1"/>
  <c r="D22" i="14"/>
  <c r="E22" i="14" s="1"/>
  <c r="F22" i="14" s="1"/>
  <c r="D35" i="17" l="1"/>
  <c r="E35" i="17" s="1"/>
  <c r="F35" i="17" s="1"/>
  <c r="L35" i="16"/>
  <c r="M35" i="16" s="1"/>
  <c r="N35" i="16" s="1"/>
  <c r="D38" i="16"/>
  <c r="E38" i="16" s="1"/>
  <c r="F38" i="16" s="1"/>
  <c r="D23" i="14"/>
  <c r="E23" i="14" s="1"/>
  <c r="F23" i="14" s="1"/>
  <c r="D36" i="17" l="1"/>
  <c r="E36" i="17" s="1"/>
  <c r="F36" i="17"/>
  <c r="L36" i="16"/>
  <c r="M36" i="16" s="1"/>
  <c r="N36" i="16"/>
  <c r="D39" i="16"/>
  <c r="E39" i="16" s="1"/>
  <c r="F39" i="16" s="1"/>
  <c r="D24" i="14"/>
  <c r="E24" i="14" s="1"/>
  <c r="F24" i="14" s="1"/>
  <c r="D37" i="17" l="1"/>
  <c r="E37" i="17" s="1"/>
  <c r="F37" i="17" s="1"/>
  <c r="D40" i="16"/>
  <c r="E40" i="16" s="1"/>
  <c r="F40" i="16" s="1"/>
  <c r="L37" i="16"/>
  <c r="M37" i="16" s="1"/>
  <c r="N37" i="16" s="1"/>
  <c r="D25" i="14"/>
  <c r="E25" i="14" s="1"/>
  <c r="F25" i="14" s="1"/>
  <c r="D38" i="17" l="1"/>
  <c r="E38" i="17" s="1"/>
  <c r="F38" i="17" s="1"/>
  <c r="L38" i="16"/>
  <c r="M38" i="16" s="1"/>
  <c r="N38" i="16" s="1"/>
  <c r="D41" i="16"/>
  <c r="E41" i="16" s="1"/>
  <c r="F41" i="16" s="1"/>
  <c r="D26" i="14"/>
  <c r="E26" i="14" s="1"/>
  <c r="F26" i="14" s="1"/>
  <c r="F39" i="17" l="1"/>
  <c r="D39" i="17"/>
  <c r="E39" i="17" s="1"/>
  <c r="D42" i="16"/>
  <c r="E42" i="16" s="1"/>
  <c r="F42" i="16"/>
  <c r="L39" i="16"/>
  <c r="M39" i="16" s="1"/>
  <c r="N39" i="16" s="1"/>
  <c r="D27" i="14"/>
  <c r="E27" i="14" s="1"/>
  <c r="F27" i="14"/>
  <c r="D40" i="17" l="1"/>
  <c r="E40" i="17" s="1"/>
  <c r="F40" i="17" s="1"/>
  <c r="L40" i="16"/>
  <c r="M40" i="16" s="1"/>
  <c r="N40" i="16"/>
  <c r="D43" i="16"/>
  <c r="E43" i="16" s="1"/>
  <c r="F43" i="16" s="1"/>
  <c r="D28" i="14"/>
  <c r="E28" i="14" s="1"/>
  <c r="F28" i="14" s="1"/>
  <c r="D41" i="17" l="1"/>
  <c r="E41" i="17" s="1"/>
  <c r="F41" i="17" s="1"/>
  <c r="D44" i="16"/>
  <c r="E44" i="16" s="1"/>
  <c r="F44" i="16" s="1"/>
  <c r="L41" i="16"/>
  <c r="M41" i="16" s="1"/>
  <c r="N41" i="16" s="1"/>
  <c r="D29" i="14"/>
  <c r="E29" i="14" s="1"/>
  <c r="F29" i="14" s="1"/>
  <c r="F42" i="17" l="1"/>
  <c r="D42" i="17"/>
  <c r="E42" i="17" s="1"/>
  <c r="L42" i="16"/>
  <c r="M42" i="16" s="1"/>
  <c r="N42" i="16" s="1"/>
  <c r="D45" i="16"/>
  <c r="E45" i="16" s="1"/>
  <c r="F45" i="16" s="1"/>
  <c r="D30" i="14"/>
  <c r="E30" i="14" s="1"/>
  <c r="F30" i="14" s="1"/>
  <c r="F43" i="17" l="1"/>
  <c r="D43" i="17"/>
  <c r="E43" i="17" s="1"/>
  <c r="D46" i="16"/>
  <c r="E46" i="16" s="1"/>
  <c r="F46" i="16" s="1"/>
  <c r="L43" i="16"/>
  <c r="M43" i="16" s="1"/>
  <c r="N43" i="16" s="1"/>
  <c r="D31" i="14"/>
  <c r="E31" i="14" s="1"/>
  <c r="F31" i="14" s="1"/>
  <c r="F44" i="17" l="1"/>
  <c r="D44" i="17"/>
  <c r="E44" i="17" s="1"/>
  <c r="L44" i="16"/>
  <c r="M44" i="16" s="1"/>
  <c r="N44" i="16" s="1"/>
  <c r="D47" i="16"/>
  <c r="E47" i="16" s="1"/>
  <c r="F47" i="16" s="1"/>
  <c r="D32" i="14"/>
  <c r="E32" i="14" s="1"/>
  <c r="F32" i="14" s="1"/>
  <c r="D45" i="17" l="1"/>
  <c r="E45" i="17" s="1"/>
  <c r="F45" i="17" s="1"/>
  <c r="D48" i="16"/>
  <c r="E48" i="16" s="1"/>
  <c r="F48" i="16" s="1"/>
  <c r="L45" i="16"/>
  <c r="M45" i="16" s="1"/>
  <c r="N45" i="16" s="1"/>
  <c r="D33" i="14"/>
  <c r="E33" i="14" s="1"/>
  <c r="F33" i="14" s="1"/>
  <c r="F46" i="17" l="1"/>
  <c r="D46" i="17"/>
  <c r="E46" i="17" s="1"/>
  <c r="L46" i="16"/>
  <c r="M46" i="16" s="1"/>
  <c r="N46" i="16"/>
  <c r="D49" i="16"/>
  <c r="E49" i="16" s="1"/>
  <c r="F49" i="16" s="1"/>
  <c r="D34" i="14"/>
  <c r="E34" i="14" s="1"/>
  <c r="F34" i="14" s="1"/>
  <c r="D47" i="17" l="1"/>
  <c r="E47" i="17" s="1"/>
  <c r="F47" i="17" s="1"/>
  <c r="D50" i="16"/>
  <c r="E50" i="16" s="1"/>
  <c r="F50" i="16" s="1"/>
  <c r="L47" i="16"/>
  <c r="M47" i="16" s="1"/>
  <c r="N47" i="16" s="1"/>
  <c r="D35" i="14"/>
  <c r="E35" i="14" s="1"/>
  <c r="F35" i="14" s="1"/>
  <c r="D48" i="17" l="1"/>
  <c r="E48" i="17" s="1"/>
  <c r="F48" i="17"/>
  <c r="L48" i="16"/>
  <c r="M48" i="16" s="1"/>
  <c r="N48" i="16" s="1"/>
  <c r="D51" i="16"/>
  <c r="E51" i="16" s="1"/>
  <c r="F51" i="16" s="1"/>
  <c r="D36" i="14"/>
  <c r="E36" i="14" s="1"/>
  <c r="F36" i="14" s="1"/>
  <c r="D49" i="17" l="1"/>
  <c r="E49" i="17" s="1"/>
  <c r="F49" i="17" s="1"/>
  <c r="D52" i="16"/>
  <c r="D22" i="16" s="1"/>
  <c r="C52" i="16"/>
  <c r="L49" i="16"/>
  <c r="M49" i="16" s="1"/>
  <c r="N49" i="16" s="1"/>
  <c r="D37" i="14"/>
  <c r="E37" i="14" s="1"/>
  <c r="F37" i="14" s="1"/>
  <c r="D50" i="17" l="1"/>
  <c r="E50" i="17" s="1"/>
  <c r="F50" i="17" s="1"/>
  <c r="L50" i="16"/>
  <c r="M50" i="16" s="1"/>
  <c r="N50" i="16" s="1"/>
  <c r="E52" i="16"/>
  <c r="C22" i="16"/>
  <c r="D38" i="14"/>
  <c r="E38" i="14" s="1"/>
  <c r="F38" i="14" s="1"/>
  <c r="D51" i="17" l="1"/>
  <c r="E51" i="17" s="1"/>
  <c r="F51" i="17" s="1"/>
  <c r="L51" i="16"/>
  <c r="M51" i="16" s="1"/>
  <c r="N51" i="16" s="1"/>
  <c r="E22" i="16"/>
  <c r="F52" i="16"/>
  <c r="D39" i="14"/>
  <c r="E39" i="14" s="1"/>
  <c r="F39" i="14"/>
  <c r="F52" i="17" l="1"/>
  <c r="D52" i="17"/>
  <c r="E52" i="17" s="1"/>
  <c r="L52" i="16"/>
  <c r="J16" i="16"/>
  <c r="J17" i="16" s="1"/>
  <c r="D40" i="14"/>
  <c r="E40" i="14" s="1"/>
  <c r="F40" i="14"/>
  <c r="D53" i="17" l="1"/>
  <c r="E53" i="17" s="1"/>
  <c r="F53" i="17"/>
  <c r="K78" i="16"/>
  <c r="K66" i="16"/>
  <c r="K54" i="16"/>
  <c r="K60" i="16"/>
  <c r="K69" i="16"/>
  <c r="K57" i="16"/>
  <c r="K85" i="16"/>
  <c r="K73" i="16"/>
  <c r="K61" i="16"/>
  <c r="K77" i="16"/>
  <c r="K76" i="16"/>
  <c r="K80" i="16"/>
  <c r="K68" i="16"/>
  <c r="K56" i="16"/>
  <c r="K84" i="16"/>
  <c r="K72" i="16"/>
  <c r="K75" i="16"/>
  <c r="K63" i="16"/>
  <c r="K82" i="16"/>
  <c r="K70" i="16"/>
  <c r="K58" i="16"/>
  <c r="K65" i="16"/>
  <c r="K53" i="16"/>
  <c r="K81" i="16"/>
  <c r="K79" i="16"/>
  <c r="K67" i="16"/>
  <c r="K55" i="16"/>
  <c r="K74" i="16"/>
  <c r="K62" i="16"/>
  <c r="K86" i="16"/>
  <c r="K64" i="16"/>
  <c r="K83" i="16"/>
  <c r="K59" i="16"/>
  <c r="K71" i="16"/>
  <c r="K52" i="16"/>
  <c r="D41" i="14"/>
  <c r="E41" i="14" s="1"/>
  <c r="F41" i="14" s="1"/>
  <c r="D54" i="17" l="1"/>
  <c r="E54" i="17" s="1"/>
  <c r="F54" i="17" s="1"/>
  <c r="M52" i="16"/>
  <c r="N52" i="16" s="1"/>
  <c r="D42" i="14"/>
  <c r="E42" i="14" s="1"/>
  <c r="F42" i="14" s="1"/>
  <c r="D55" i="17" l="1"/>
  <c r="D22" i="17" s="1"/>
  <c r="L53" i="16"/>
  <c r="M53" i="16" s="1"/>
  <c r="N53" i="16" s="1"/>
  <c r="D43" i="14"/>
  <c r="E43" i="14" s="1"/>
  <c r="F43" i="14"/>
  <c r="C55" i="17" l="1"/>
  <c r="L54" i="16"/>
  <c r="M54" i="16" s="1"/>
  <c r="N54" i="16" s="1"/>
  <c r="D44" i="14"/>
  <c r="E44" i="14" s="1"/>
  <c r="F44" i="14" s="1"/>
  <c r="E55" i="17" l="1"/>
  <c r="C22" i="17"/>
  <c r="L55" i="16"/>
  <c r="M55" i="16" s="1"/>
  <c r="N55" i="16" s="1"/>
  <c r="D45" i="14"/>
  <c r="E45" i="14" s="1"/>
  <c r="F45" i="14" s="1"/>
  <c r="E22" i="17" l="1"/>
  <c r="F55" i="17"/>
  <c r="L56" i="16"/>
  <c r="M56" i="16" s="1"/>
  <c r="N56" i="16" s="1"/>
  <c r="D46" i="14"/>
  <c r="E46" i="14" s="1"/>
  <c r="F46" i="14" s="1"/>
  <c r="L57" i="16" l="1"/>
  <c r="M57" i="16" s="1"/>
  <c r="N57" i="16" s="1"/>
  <c r="D47" i="14"/>
  <c r="E47" i="14" s="1"/>
  <c r="F47" i="14" s="1"/>
  <c r="L58" i="16" l="1"/>
  <c r="M58" i="16" s="1"/>
  <c r="N58" i="16" s="1"/>
  <c r="D48" i="14"/>
  <c r="E48" i="14" s="1"/>
  <c r="F48" i="14" s="1"/>
  <c r="L59" i="16" l="1"/>
  <c r="M59" i="16" s="1"/>
  <c r="N59" i="16" s="1"/>
  <c r="D49" i="14"/>
  <c r="E49" i="14" s="1"/>
  <c r="F49" i="14" s="1"/>
  <c r="F16" i="14" s="1"/>
  <c r="L60" i="16" l="1"/>
  <c r="M60" i="16" s="1"/>
  <c r="N60" i="16" s="1"/>
  <c r="L61" i="16" l="1"/>
  <c r="M61" i="16" s="1"/>
  <c r="N61" i="16"/>
  <c r="L62" i="16" l="1"/>
  <c r="M62" i="16" s="1"/>
  <c r="N62" i="16" s="1"/>
  <c r="L63" i="16" l="1"/>
  <c r="M63" i="16" s="1"/>
  <c r="N63" i="16" s="1"/>
  <c r="L64" i="16" l="1"/>
  <c r="M64" i="16" s="1"/>
  <c r="N64" i="16" s="1"/>
  <c r="L65" i="16" l="1"/>
  <c r="M65" i="16" s="1"/>
  <c r="N65" i="16" s="1"/>
  <c r="L66" i="16" l="1"/>
  <c r="M66" i="16" s="1"/>
  <c r="N66" i="16" s="1"/>
  <c r="L67" i="16" l="1"/>
  <c r="M67" i="16" s="1"/>
  <c r="N67" i="16" s="1"/>
  <c r="L68" i="16" l="1"/>
  <c r="M68" i="16" s="1"/>
  <c r="N68" i="16" s="1"/>
  <c r="L69" i="16" l="1"/>
  <c r="M69" i="16" s="1"/>
  <c r="N69" i="16" s="1"/>
  <c r="L70" i="16" l="1"/>
  <c r="M70" i="16" s="1"/>
  <c r="N70" i="16" s="1"/>
  <c r="L71" i="16" l="1"/>
  <c r="M71" i="16" s="1"/>
  <c r="N71" i="16" s="1"/>
  <c r="L72" i="16" l="1"/>
  <c r="M72" i="16" s="1"/>
  <c r="N72" i="16" s="1"/>
  <c r="L73" i="16" l="1"/>
  <c r="M73" i="16" s="1"/>
  <c r="N73" i="16" s="1"/>
  <c r="L74" i="16" l="1"/>
  <c r="M74" i="16" s="1"/>
  <c r="N74" i="16" s="1"/>
  <c r="L75" i="16" l="1"/>
  <c r="M75" i="16" s="1"/>
  <c r="N75" i="16" s="1"/>
  <c r="L76" i="16" l="1"/>
  <c r="M76" i="16" s="1"/>
  <c r="N76" i="16"/>
  <c r="L77" i="16" l="1"/>
  <c r="M77" i="16" s="1"/>
  <c r="N77" i="16" s="1"/>
  <c r="L78" i="16" l="1"/>
  <c r="M78" i="16" s="1"/>
  <c r="N78" i="16" s="1"/>
  <c r="L79" i="16" l="1"/>
  <c r="M79" i="16" s="1"/>
  <c r="N79" i="16" s="1"/>
  <c r="L80" i="16" l="1"/>
  <c r="M80" i="16" s="1"/>
  <c r="N80" i="16" s="1"/>
  <c r="L81" i="16" l="1"/>
  <c r="M81" i="16" s="1"/>
  <c r="N81" i="16" s="1"/>
  <c r="L82" i="16" l="1"/>
  <c r="M82" i="16" s="1"/>
  <c r="N82" i="16" s="1"/>
  <c r="L83" i="16" l="1"/>
  <c r="M83" i="16" s="1"/>
  <c r="N83" i="16"/>
  <c r="L84" i="16" l="1"/>
  <c r="M84" i="16" s="1"/>
  <c r="N84" i="16" s="1"/>
  <c r="L85" i="16" l="1"/>
  <c r="M85" i="16" s="1"/>
  <c r="N85" i="16" s="1"/>
  <c r="L86" i="16" l="1"/>
  <c r="M86" i="16" s="1"/>
  <c r="N86" i="16" s="1"/>
  <c r="L87" i="16" l="1"/>
  <c r="L22" i="16" s="1"/>
  <c r="K87" i="16"/>
  <c r="M87" i="16" l="1"/>
  <c r="K22" i="16"/>
  <c r="M22" i="16" l="1"/>
  <c r="N87" i="16"/>
  <c r="I10" i="4" l="1"/>
  <c r="I12" i="4" s="1"/>
  <c r="L18" i="4"/>
  <c r="E18" i="4"/>
  <c r="C19" i="4" s="1"/>
  <c r="B11" i="4"/>
  <c r="B21" i="4" s="1"/>
  <c r="I22" i="4" l="1"/>
  <c r="I21" i="4"/>
  <c r="I37" i="4"/>
  <c r="I61" i="4"/>
  <c r="I24" i="4"/>
  <c r="I32" i="4"/>
  <c r="I40" i="4"/>
  <c r="I48" i="4"/>
  <c r="I64" i="4"/>
  <c r="I72" i="4"/>
  <c r="I41" i="4"/>
  <c r="I57" i="4"/>
  <c r="I73" i="4"/>
  <c r="I56" i="4"/>
  <c r="I20" i="4"/>
  <c r="I28" i="4"/>
  <c r="I36" i="4"/>
  <c r="I44" i="4"/>
  <c r="I52" i="4"/>
  <c r="I60" i="4"/>
  <c r="I68" i="4"/>
  <c r="I76" i="4"/>
  <c r="I29" i="4"/>
  <c r="I45" i="4"/>
  <c r="I53" i="4"/>
  <c r="I69" i="4"/>
  <c r="I77" i="4"/>
  <c r="I25" i="4"/>
  <c r="I33" i="4"/>
  <c r="I49" i="4"/>
  <c r="I65" i="4"/>
  <c r="J19" i="4"/>
  <c r="I75" i="4"/>
  <c r="I71" i="4"/>
  <c r="I67" i="4"/>
  <c r="I63" i="4"/>
  <c r="I59" i="4"/>
  <c r="I55" i="4"/>
  <c r="I51" i="4"/>
  <c r="I47" i="4"/>
  <c r="I43" i="4"/>
  <c r="I39" i="4"/>
  <c r="I35" i="4"/>
  <c r="I31" i="4"/>
  <c r="I27" i="4"/>
  <c r="I23" i="4"/>
  <c r="I19" i="4"/>
  <c r="I74" i="4"/>
  <c r="I70" i="4"/>
  <c r="I66" i="4"/>
  <c r="I62" i="4"/>
  <c r="I58" i="4"/>
  <c r="I54" i="4"/>
  <c r="I50" i="4"/>
  <c r="I46" i="4"/>
  <c r="I42" i="4"/>
  <c r="I38" i="4"/>
  <c r="I34" i="4"/>
  <c r="I30" i="4"/>
  <c r="I26" i="4"/>
  <c r="B19" i="4"/>
  <c r="B40" i="4"/>
  <c r="B36" i="4"/>
  <c r="B32" i="4"/>
  <c r="B28" i="4"/>
  <c r="B24" i="4"/>
  <c r="B20" i="4"/>
  <c r="B39" i="4"/>
  <c r="B35" i="4"/>
  <c r="B31" i="4"/>
  <c r="B27" i="4"/>
  <c r="B23" i="4"/>
  <c r="B42" i="4"/>
  <c r="B38" i="4"/>
  <c r="B34" i="4"/>
  <c r="B30" i="4"/>
  <c r="B26" i="4"/>
  <c r="B22" i="4"/>
  <c r="B41" i="4"/>
  <c r="B37" i="4"/>
  <c r="B33" i="4"/>
  <c r="B29" i="4"/>
  <c r="B25" i="4"/>
  <c r="D19" i="4" l="1"/>
  <c r="K19" i="4"/>
  <c r="L19" i="4" l="1"/>
  <c r="J20" i="4" s="1"/>
  <c r="E19" i="4"/>
  <c r="C20" i="4" s="1"/>
  <c r="D20" i="4" s="1"/>
  <c r="E20" i="4" s="1"/>
  <c r="C21" i="4" s="1"/>
  <c r="D21" i="4" s="1"/>
  <c r="E21" i="4" s="1"/>
  <c r="C22" i="4" s="1"/>
  <c r="D22" i="4" s="1"/>
  <c r="E22" i="4" s="1"/>
  <c r="C23" i="4" s="1"/>
  <c r="D23" i="4" s="1"/>
  <c r="E23" i="4" s="1"/>
  <c r="C24" i="4" s="1"/>
  <c r="D24" i="4" s="1"/>
  <c r="E24" i="4" s="1"/>
  <c r="K20" i="4" l="1"/>
  <c r="C25" i="4"/>
  <c r="D25" i="4" s="1"/>
  <c r="E25" i="4" s="1"/>
  <c r="L20" i="4" l="1"/>
  <c r="J21" i="4" s="1"/>
  <c r="C26" i="4"/>
  <c r="D26" i="4" s="1"/>
  <c r="E26" i="4" s="1"/>
  <c r="K21" i="4" l="1"/>
  <c r="C27" i="4"/>
  <c r="L21" i="4" l="1"/>
  <c r="J22" i="4" s="1"/>
  <c r="D27" i="4"/>
  <c r="K22" i="4" l="1"/>
  <c r="E27" i="4"/>
  <c r="C28" i="4" s="1"/>
  <c r="D28" i="4" s="1"/>
  <c r="E28" i="4" s="1"/>
  <c r="C29" i="4" s="1"/>
  <c r="L22" i="4" l="1"/>
  <c r="J23" i="4" s="1"/>
  <c r="K23" i="4" s="1"/>
  <c r="L23" i="4" s="1"/>
  <c r="D29" i="4"/>
  <c r="E29" i="4" s="1"/>
  <c r="C30" i="4" s="1"/>
  <c r="D30" i="4" s="1"/>
  <c r="E30" i="4" s="1"/>
  <c r="J24" i="4" l="1"/>
  <c r="K24" i="4" s="1"/>
  <c r="L24" i="4" s="1"/>
  <c r="C31" i="4"/>
  <c r="D31" i="4" s="1"/>
  <c r="E31" i="4" s="1"/>
  <c r="J25" i="4" l="1"/>
  <c r="K25" i="4" s="1"/>
  <c r="L25" i="4" s="1"/>
  <c r="C32" i="4"/>
  <c r="D32" i="4" s="1"/>
  <c r="E32" i="4" s="1"/>
  <c r="J26" i="4" l="1"/>
  <c r="K26" i="4" s="1"/>
  <c r="L26" i="4" s="1"/>
  <c r="J27" i="4" s="1"/>
  <c r="C33" i="4"/>
  <c r="D33" i="4" s="1"/>
  <c r="E33" i="4" s="1"/>
  <c r="K27" i="4" l="1"/>
  <c r="C34" i="4"/>
  <c r="D34" i="4" s="1"/>
  <c r="E34" i="4" s="1"/>
  <c r="L27" i="4" l="1"/>
  <c r="C35" i="4"/>
  <c r="D35" i="4" s="1"/>
  <c r="E35" i="4" s="1"/>
  <c r="J28" i="4" l="1"/>
  <c r="C36" i="4"/>
  <c r="D36" i="4" s="1"/>
  <c r="E36" i="4" s="1"/>
  <c r="K28" i="4" l="1"/>
  <c r="L28" i="4" s="1"/>
  <c r="C37" i="4"/>
  <c r="D37" i="4" s="1"/>
  <c r="E37" i="4" s="1"/>
  <c r="J29" i="4" l="1"/>
  <c r="K29" i="4" s="1"/>
  <c r="L29" i="4" s="1"/>
  <c r="C38" i="4"/>
  <c r="D38" i="4" s="1"/>
  <c r="E38" i="4" s="1"/>
  <c r="J30" i="4" l="1"/>
  <c r="K30" i="4" s="1"/>
  <c r="L30" i="4" s="1"/>
  <c r="C39" i="4"/>
  <c r="D39" i="4" s="1"/>
  <c r="E39" i="4" s="1"/>
  <c r="J31" i="4" l="1"/>
  <c r="K31" i="4" s="1"/>
  <c r="L31" i="4" s="1"/>
  <c r="C40" i="4"/>
  <c r="D40" i="4" s="1"/>
  <c r="E40" i="4" s="1"/>
  <c r="J32" i="4" l="1"/>
  <c r="K32" i="4" s="1"/>
  <c r="L32" i="4" s="1"/>
  <c r="C41" i="4"/>
  <c r="D41" i="4" s="1"/>
  <c r="E41" i="4" s="1"/>
  <c r="J33" i="4" l="1"/>
  <c r="K33" i="4" s="1"/>
  <c r="L33" i="4" s="1"/>
  <c r="C42" i="4"/>
  <c r="D42" i="4" s="1"/>
  <c r="E42" i="4" s="1"/>
  <c r="J34" i="4" l="1"/>
  <c r="K34" i="4" s="1"/>
  <c r="L34" i="4" s="1"/>
  <c r="C43" i="4"/>
  <c r="C14" i="4" s="1"/>
  <c r="B43" i="4" l="1"/>
  <c r="B14" i="4" s="1"/>
  <c r="J35" i="4"/>
  <c r="K35" i="4" s="1"/>
  <c r="L35" i="4" s="1"/>
  <c r="D43" i="4" l="1"/>
  <c r="D14" i="4" s="1"/>
  <c r="J36" i="4"/>
  <c r="K36" i="4" s="1"/>
  <c r="L36" i="4" s="1"/>
  <c r="E43" i="4" l="1"/>
  <c r="J37" i="4"/>
  <c r="K37" i="4" s="1"/>
  <c r="L37" i="4" s="1"/>
  <c r="J38" i="4" l="1"/>
  <c r="K38" i="4" s="1"/>
  <c r="L38" i="4" s="1"/>
  <c r="J39" i="4" l="1"/>
  <c r="K39" i="4" s="1"/>
  <c r="L39" i="4" s="1"/>
  <c r="J40" i="4" l="1"/>
  <c r="K40" i="4" s="1"/>
  <c r="L40" i="4" s="1"/>
  <c r="J41" i="4" l="1"/>
  <c r="K41" i="4" s="1"/>
  <c r="L41" i="4" s="1"/>
  <c r="J42" i="4" l="1"/>
  <c r="K42" i="4" s="1"/>
  <c r="L42" i="4" s="1"/>
  <c r="J43" i="4" l="1"/>
  <c r="K43" i="4" s="1"/>
  <c r="L43" i="4" s="1"/>
  <c r="J44" i="4" l="1"/>
  <c r="K44" i="4" s="1"/>
  <c r="L44" i="4" s="1"/>
  <c r="J45" i="4" l="1"/>
  <c r="K45" i="4" s="1"/>
  <c r="L45" i="4" s="1"/>
  <c r="J46" i="4" l="1"/>
  <c r="K46" i="4" s="1"/>
  <c r="L46" i="4" s="1"/>
  <c r="J47" i="4" l="1"/>
  <c r="K47" i="4" s="1"/>
  <c r="L47" i="4" s="1"/>
  <c r="J48" i="4" l="1"/>
  <c r="K48" i="4" s="1"/>
  <c r="L48" i="4" s="1"/>
  <c r="J49" i="4" l="1"/>
  <c r="K49" i="4" s="1"/>
  <c r="L49" i="4" s="1"/>
  <c r="J50" i="4" l="1"/>
  <c r="K50" i="4" s="1"/>
  <c r="L50" i="4" s="1"/>
  <c r="J51" i="4" l="1"/>
  <c r="K51" i="4" s="1"/>
  <c r="L51" i="4" s="1"/>
  <c r="J52" i="4" l="1"/>
  <c r="K52" i="4" s="1"/>
  <c r="L52" i="4" s="1"/>
  <c r="J53" i="4" l="1"/>
  <c r="K53" i="4" s="1"/>
  <c r="L53" i="4" s="1"/>
  <c r="J54" i="4" l="1"/>
  <c r="K54" i="4" s="1"/>
  <c r="L54" i="4" s="1"/>
  <c r="J55" i="4" l="1"/>
  <c r="K55" i="4" s="1"/>
  <c r="L55" i="4" s="1"/>
  <c r="J56" i="4" l="1"/>
  <c r="K56" i="4" s="1"/>
  <c r="L56" i="4" s="1"/>
  <c r="J57" i="4" l="1"/>
  <c r="K57" i="4" s="1"/>
  <c r="L57" i="4" s="1"/>
  <c r="J58" i="4" l="1"/>
  <c r="K58" i="4" s="1"/>
  <c r="L58" i="4" s="1"/>
  <c r="J59" i="4" l="1"/>
  <c r="K59" i="4" s="1"/>
  <c r="L59" i="4" s="1"/>
  <c r="J60" i="4" l="1"/>
  <c r="K60" i="4" s="1"/>
  <c r="L60" i="4" s="1"/>
  <c r="J61" i="4" l="1"/>
  <c r="K61" i="4" s="1"/>
  <c r="L61" i="4" s="1"/>
  <c r="J62" i="4" l="1"/>
  <c r="K62" i="4" s="1"/>
  <c r="L62" i="4" s="1"/>
  <c r="J63" i="4" l="1"/>
  <c r="K63" i="4" s="1"/>
  <c r="L63" i="4" s="1"/>
  <c r="J64" i="4" l="1"/>
  <c r="K64" i="4" s="1"/>
  <c r="L64" i="4" s="1"/>
  <c r="J65" i="4" l="1"/>
  <c r="K65" i="4" s="1"/>
  <c r="L65" i="4" s="1"/>
  <c r="J66" i="4" l="1"/>
  <c r="K66" i="4" s="1"/>
  <c r="L66" i="4" s="1"/>
  <c r="J67" i="4" l="1"/>
  <c r="K67" i="4" s="1"/>
  <c r="L67" i="4" s="1"/>
  <c r="J68" i="4" l="1"/>
  <c r="K68" i="4" s="1"/>
  <c r="L68" i="4" s="1"/>
  <c r="J69" i="4" l="1"/>
  <c r="K69" i="4" s="1"/>
  <c r="L69" i="4" s="1"/>
  <c r="J70" i="4" l="1"/>
  <c r="K70" i="4" s="1"/>
  <c r="L70" i="4" s="1"/>
  <c r="J71" i="4" l="1"/>
  <c r="K71" i="4" s="1"/>
  <c r="L71" i="4" s="1"/>
  <c r="J72" i="4" l="1"/>
  <c r="K72" i="4" s="1"/>
  <c r="L72" i="4" s="1"/>
  <c r="J73" i="4" l="1"/>
  <c r="K73" i="4" s="1"/>
  <c r="L73" i="4" s="1"/>
  <c r="J74" i="4" l="1"/>
  <c r="K74" i="4" s="1"/>
  <c r="L74" i="4" s="1"/>
  <c r="J75" i="4" l="1"/>
  <c r="K75" i="4" s="1"/>
  <c r="L75" i="4" s="1"/>
  <c r="J76" i="4" l="1"/>
  <c r="K76" i="4" s="1"/>
  <c r="L76" i="4" s="1"/>
  <c r="J77" i="4" l="1"/>
  <c r="K77" i="4" l="1"/>
  <c r="L77" i="4" l="1"/>
  <c r="J78" i="4" l="1"/>
  <c r="J14" i="4" s="1"/>
  <c r="I78" i="4" l="1"/>
  <c r="K78" i="4" l="1"/>
  <c r="I14" i="4"/>
  <c r="L78" i="4" l="1"/>
  <c r="K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3" authorId="0" shapeId="0" xr:uid="{7CCFE42E-F43E-446D-A2C3-39F2D62D5A18}">
      <text>
        <r>
          <rPr>
            <b/>
            <sz val="9"/>
            <color indexed="81"/>
            <rFont val="Tahoma"/>
            <family val="2"/>
          </rPr>
          <t>Karamjeet Singh:</t>
        </r>
        <r>
          <rPr>
            <sz val="9"/>
            <color indexed="81"/>
            <rFont val="Tahoma"/>
            <family val="2"/>
          </rPr>
          <t xml:space="preserve">
Last repayment adjusted so that the loan is paid off exactly.</t>
        </r>
      </text>
    </comment>
    <comment ref="I78" authorId="0" shapeId="0" xr:uid="{A45FB555-515A-4FA2-9CDA-D260658F7CA8}">
      <text>
        <r>
          <rPr>
            <b/>
            <sz val="9"/>
            <color indexed="81"/>
            <rFont val="Tahoma"/>
            <family val="2"/>
          </rPr>
          <t>Karamjeet Singh:</t>
        </r>
        <r>
          <rPr>
            <sz val="9"/>
            <color indexed="81"/>
            <rFont val="Tahoma"/>
            <family val="2"/>
          </rPr>
          <t xml:space="preserve">
Last repayment adjusted so that the loan is paid off exactly.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Karamjeet Singh</author>
  </authors>
  <commentList>
    <comment ref="C52" authorId="0" shapeId="0" xr:uid="{3BCBE752-0952-438D-93E2-497CA465A950}">
      <text>
        <r>
          <rPr>
            <b/>
            <sz val="9"/>
            <color indexed="81"/>
            <rFont val="Tahoma"/>
            <family val="2"/>
          </rPr>
          <t>Karamjeet Singh:</t>
        </r>
        <r>
          <rPr>
            <sz val="9"/>
            <color indexed="81"/>
            <rFont val="Tahoma"/>
            <family val="2"/>
          </rPr>
          <t xml:space="preserve">
Last repayment adjusted so that the loan is paid off exactly.</t>
        </r>
      </text>
    </comment>
    <comment ref="K87" authorId="0" shapeId="0" xr:uid="{DBFB7177-A392-4D42-9FB9-8A07C9F75B87}">
      <text>
        <r>
          <rPr>
            <b/>
            <sz val="9"/>
            <color indexed="81"/>
            <rFont val="Tahoma"/>
            <family val="2"/>
          </rPr>
          <t>Karamjeet Singh:</t>
        </r>
        <r>
          <rPr>
            <sz val="9"/>
            <color indexed="81"/>
            <rFont val="Tahoma"/>
            <family val="2"/>
          </rPr>
          <t xml:space="preserve">
Last repayment adjusted so that the loan is paid off exactly.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Karamjeet Singh</author>
  </authors>
  <commentList>
    <comment ref="C55" authorId="0" shapeId="0" xr:uid="{FC16EA94-A62F-439E-9B53-145E7FAF9A06}">
      <text>
        <r>
          <rPr>
            <b/>
            <sz val="9"/>
            <color indexed="81"/>
            <rFont val="Tahoma"/>
            <family val="2"/>
          </rPr>
          <t>Karamjeet Singh:</t>
        </r>
        <r>
          <rPr>
            <sz val="9"/>
            <color indexed="81"/>
            <rFont val="Tahoma"/>
            <family val="2"/>
          </rPr>
          <t xml:space="preserve">
Last repayment adjusted so that the loan is paid off exactly.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Karamjeet Singh</author>
  </authors>
  <commentList>
    <comment ref="B14" authorId="0" shapeId="0" xr:uid="{71889F72-C055-4943-9EAD-FF61CFE3AEFB}">
      <text>
        <r>
          <rPr>
            <b/>
            <sz val="9"/>
            <color indexed="81"/>
            <rFont val="Tahoma"/>
            <family val="2"/>
          </rPr>
          <t>Karamjeet Singh:</t>
        </r>
        <r>
          <rPr>
            <sz val="9"/>
            <color indexed="81"/>
            <rFont val="Tahoma"/>
            <family val="2"/>
          </rPr>
          <t xml:space="preserve">
Found using Goal Seek by making cell E16 = 0 (Cell highlighted in Yellow).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Karamjeet Singh</author>
  </authors>
  <commentList>
    <comment ref="B16" authorId="0" shapeId="0" xr:uid="{AF5449E5-F752-405A-8113-279414198019}">
      <text>
        <r>
          <rPr>
            <b/>
            <sz val="9"/>
            <color indexed="81"/>
            <rFont val="Tahoma"/>
            <family val="2"/>
          </rPr>
          <t>Karamjeet Singh:</t>
        </r>
        <r>
          <rPr>
            <sz val="9"/>
            <color indexed="81"/>
            <rFont val="Tahoma"/>
            <family val="2"/>
          </rPr>
          <t xml:space="preserve">
Found using Goal Seek by making cell E16 = 0 (Cell highlighted in Yellow).</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<sst xmlns="http://schemas.openxmlformats.org/spreadsheetml/2006/main" count="232" uniqueCount="97">
  <si>
    <t>These highlighted cells contain the information given.</t>
  </si>
  <si>
    <t>The other cells will automatically be updated.</t>
  </si>
  <si>
    <t>Name</t>
  </si>
  <si>
    <t>Value</t>
  </si>
  <si>
    <t>Description</t>
  </si>
  <si>
    <t>Loan Amount</t>
  </si>
  <si>
    <t>Effective rate of interest per year</t>
  </si>
  <si>
    <t>Effective rate of interest per month</t>
  </si>
  <si>
    <t>Loan term in years</t>
  </si>
  <si>
    <t>Loan term in months</t>
  </si>
  <si>
    <t>Level monthly repayments (2 d.p.)</t>
  </si>
  <si>
    <t>Repayment 
(£)</t>
  </si>
  <si>
    <t>Interest Content 
(£)</t>
  </si>
  <si>
    <t>Capital Content 
(£)</t>
  </si>
  <si>
    <t>Capital Outstanding 
(£)</t>
  </si>
  <si>
    <t>TOTAL</t>
  </si>
  <si>
    <t>Time 
(Years)</t>
  </si>
  <si>
    <t>Level yearly repayments (2 d.p.)</t>
  </si>
  <si>
    <t>Time 
(Months)</t>
  </si>
  <si>
    <r>
      <t xml:space="preserve">Cells highlighted in </t>
    </r>
    <r>
      <rPr>
        <b/>
        <sz val="12"/>
        <color rgb="FF00B0F0"/>
        <rFont val="Arial"/>
        <family val="2"/>
      </rPr>
      <t>BLUE</t>
    </r>
    <r>
      <rPr>
        <sz val="12"/>
        <color theme="1"/>
        <rFont val="Arial"/>
        <family val="2"/>
      </rPr>
      <t xml:space="preserve"> can be changed.</t>
    </r>
  </si>
  <si>
    <t>loan_A</t>
  </si>
  <si>
    <t>interest_A</t>
  </si>
  <si>
    <t>term_A</t>
  </si>
  <si>
    <t>repayment_A</t>
  </si>
  <si>
    <t>loan_B</t>
  </si>
  <si>
    <t>interest_BY</t>
  </si>
  <si>
    <t>interest_BM</t>
  </si>
  <si>
    <t>term_B</t>
  </si>
  <si>
    <t>repayment_B</t>
  </si>
  <si>
    <t>(1)</t>
  </si>
  <si>
    <t>(2)</t>
  </si>
  <si>
    <t>(3)</t>
  </si>
  <si>
    <t>(4)</t>
  </si>
  <si>
    <t>(5)</t>
  </si>
  <si>
    <t>(6)</t>
  </si>
  <si>
    <t>(7)</t>
  </si>
  <si>
    <t>(8)</t>
  </si>
  <si>
    <t>(9)</t>
  </si>
  <si>
    <t>(10)</t>
  </si>
  <si>
    <t>interest_A_old</t>
  </si>
  <si>
    <t>interest_A_new</t>
  </si>
  <si>
    <t>interest_A_change</t>
  </si>
  <si>
    <t>Time, in years, when interest changes from old to new</t>
  </si>
  <si>
    <t>repayment_A_old</t>
  </si>
  <si>
    <t>repayment_A_new</t>
  </si>
  <si>
    <t>interest_BY_old</t>
  </si>
  <si>
    <t>interest_BY_new</t>
  </si>
  <si>
    <t>interest_BM_new</t>
  </si>
  <si>
    <t>repayment_B_old</t>
  </si>
  <si>
    <t>repayment_B_new</t>
  </si>
  <si>
    <t>interest_B_change</t>
  </si>
  <si>
    <t>Time, in months, when interest changes from old to new</t>
  </si>
  <si>
    <t>interest_BM_old</t>
  </si>
  <si>
    <t>Cell highlighted where new repayment value applies</t>
  </si>
  <si>
    <t>Effective rate of interest p.a. applied</t>
  </si>
  <si>
    <t>(11)</t>
  </si>
  <si>
    <t>(12)</t>
  </si>
  <si>
    <t>Question 1: Loan Schedule for Loan A</t>
  </si>
  <si>
    <t>Question 1: Loan Schedule for Loan B</t>
  </si>
  <si>
    <t>term_A_ext</t>
  </si>
  <si>
    <t>Number of years loan is extended, and time at which loan term is extended.</t>
  </si>
  <si>
    <t>Question 2: Loan Schedule for Loan A</t>
  </si>
  <si>
    <t>Question 2: Loan Schedule for Loan B</t>
  </si>
  <si>
    <t>Question 3: Loan Schedule for Loan A</t>
  </si>
  <si>
    <t>Question 4 (Example 7.6.1)</t>
  </si>
  <si>
    <t>You borrow £100,000 over 30 years, to be repaid by level annual repayments.
The rate of interest will be 6% p.a. effective for the first 15 years and 7% p.a..
effective thereafter. Find the repayment amount.</t>
  </si>
  <si>
    <t>Loan_Q4</t>
  </si>
  <si>
    <t>Amount borrowed.</t>
  </si>
  <si>
    <t>Int_Q4_1</t>
  </si>
  <si>
    <t>Effective rate of interest p.a. for the first period.</t>
  </si>
  <si>
    <t>Int_Q4_2</t>
  </si>
  <si>
    <t>Effective rate of interest p.a. for the second period.</t>
  </si>
  <si>
    <t>Switch_Q4</t>
  </si>
  <si>
    <t>Year from when the second interest rate is applied .</t>
  </si>
  <si>
    <t>Period_Q4</t>
  </si>
  <si>
    <t>Period of the loan.</t>
  </si>
  <si>
    <t>Repay_Q4</t>
  </si>
  <si>
    <t>Level annual repayment.</t>
  </si>
  <si>
    <t xml:space="preserve">  Capital Outstanding after 30 years.</t>
  </si>
  <si>
    <t>Question 5 (Tutorial 5 Question 7.1)</t>
  </si>
  <si>
    <t>Anna borrows £20 000 from Bob for a term of 15 years. The interest rate will be 10% per annum effective for the first 10 years, and 1% per month effective thereafter. The loan is to be repaid by annual repayments which will be level for the first 10 years, then increasing to twice the original level for the last 5 years.
Calculate the level of the repayment for the first 10 years.</t>
  </si>
  <si>
    <t>Loan_Q5</t>
  </si>
  <si>
    <t>Int_Q5_1</t>
  </si>
  <si>
    <t>Int_Q5_2_mth</t>
  </si>
  <si>
    <t>Effective rate of interest per month for the second period.</t>
  </si>
  <si>
    <t>Int_Q5_2</t>
  </si>
  <si>
    <t>Switch_Q5_int</t>
  </si>
  <si>
    <t>Switch_Q5_repay</t>
  </si>
  <si>
    <t>Year from when the repayment amount doubles.</t>
  </si>
  <si>
    <t>Period_Q5</t>
  </si>
  <si>
    <t>Repay_Q5</t>
  </si>
  <si>
    <t xml:space="preserve">  Capital Outstanding at the end of the loan period.</t>
  </si>
  <si>
    <t>cap_rem_A</t>
  </si>
  <si>
    <t>cap_rem_B</t>
  </si>
  <si>
    <t>Cell for capital outstanding before new repayment amount is highlighted</t>
  </si>
  <si>
    <r>
      <t>Capital outstanding after "</t>
    </r>
    <r>
      <rPr>
        <sz val="12"/>
        <color rgb="FF00B050"/>
        <rFont val="Arial"/>
        <family val="2"/>
      </rPr>
      <t>interest_A_change</t>
    </r>
    <r>
      <rPr>
        <sz val="12"/>
        <color theme="1"/>
        <rFont val="Arial"/>
        <family val="2"/>
      </rPr>
      <t>" years</t>
    </r>
  </si>
  <si>
    <r>
      <t>Capital outstanding after "</t>
    </r>
    <r>
      <rPr>
        <sz val="12"/>
        <color rgb="FF00B050"/>
        <rFont val="Arial"/>
        <family val="2"/>
      </rPr>
      <t>interest_B_change</t>
    </r>
    <r>
      <rPr>
        <sz val="12"/>
        <color theme="1"/>
        <rFont val="Arial"/>
        <family val="2"/>
      </rPr>
      <t>"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</si>
</sst>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43" formatCode="_-* #,##0.00_-;\-* #,##0.00_-;_-* &quot;-&quot;??_-;_-@_-"/>
    <numFmt numFmtId="164" formatCode="&quot;£&quot;#,##0.00"/>
    <numFmt numFmtId="165" formatCode="0.000000"/>
    <numFmt numFmtId="166" formatCode="#,##0.00_ ;\-#,##0.00\ "/>
  </numFmts>
  <fonts count="13" x14ac:knownFonts="1">
    <font>
      <sz val="11"/>
      <color theme="1"/>
      <name val="Calibri"/>
      <family val="2"/>
      <scheme val="minor"/>
    </font>
    <font>
      <sz val="12"/>
      <color theme="1"/>
      <name val="Arial"/>
      <family val="2"/>
    </font>
    <font>
      <sz val="12"/>
      <color theme="1"/>
      <name val="Arial"/>
      <family val="2"/>
    </font>
    <font>
      <sz val="12"/>
      <color theme="1"/>
      <name val="Arial"/>
      <family val="2"/>
    </font>
    <font>
      <b/>
      <u/>
      <sz val="12"/>
      <color theme="1"/>
      <name val="Arial"/>
      <family val="2"/>
    </font>
    <font>
      <sz val="12"/>
      <color theme="1"/>
      <name val="Arial"/>
      <family val="2"/>
    </font>
    <font>
      <b/>
      <sz val="12"/>
      <color theme="1"/>
      <name val="Arial"/>
      <family val="2"/>
    </font>
    <font>
      <b/>
      <sz val="12"/>
      <color rgb="FF00B0F0"/>
      <name val="Arial"/>
      <family val="2"/>
    </font>
    <font>
      <sz val="9"/>
      <color indexed="81"/>
      <name val="Tahoma"/>
      <family val="2"/>
    </font>
    <font>
      <b/>
      <sz val="9"/>
      <color indexed="81"/>
      <name val="Tahoma"/>
      <family val="2"/>
    </font>
    <font>
      <b/>
      <sz val="12"/>
      <color rgb="FFFF0000"/>
      <name val="Arial"/>
      <family val="2"/>
    </font>
    <font>
      <sz val="12"/>
      <name val="Arial"/>
      <family val="2"/>
    </font>
    <font>
      <sz val="12"/>
      <color rgb="FF00B050"/>
      <name val="Arial"/>
      <family val="2"/>
    </font>
  </fonts>
  <fills count="9">
    <fill>
      <patternFill patternType="none"/>
    </fill>
    <fill>
      <patternFill patternType="gray125"/>
    </fill>
    <fill>
      <patternFill patternType="solid">
        <fgColor theme="5" tint="0.59999389629810485"/>
        <bgColor indexed="64"/>
      </patternFill>
    </fill>
    <fill>
      <patternFill patternType="solid">
        <fgColor rgb="FF99CCFF"/>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99FFCC"/>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50">
    <xf numFmtId="0" fontId="0" fillId="0" borderId="0" xfId="0"/>
    <xf numFmtId="0" fontId="4" fillId="0" borderId="0" xfId="0" applyFont="1"/>
    <xf numFmtId="0" fontId="5" fillId="0" borderId="0" xfId="0" applyFont="1"/>
    <xf numFmtId="8" fontId="5" fillId="0" borderId="0" xfId="0" applyNumberFormat="1" applyFont="1"/>
    <xf numFmtId="0" fontId="5" fillId="0" borderId="0" xfId="0" applyFont="1" applyAlignment="1">
      <alignment horizontal="center"/>
    </xf>
    <xf numFmtId="164" fontId="5" fillId="0" borderId="0" xfId="0" applyNumberFormat="1" applyFont="1"/>
    <xf numFmtId="0" fontId="6" fillId="0" borderId="0" xfId="0" applyFont="1"/>
    <xf numFmtId="8" fontId="6" fillId="0" borderId="0" xfId="0" applyNumberFormat="1" applyFont="1"/>
    <xf numFmtId="0" fontId="6" fillId="0" borderId="0" xfId="0" applyFont="1" applyAlignment="1">
      <alignment horizontal="center"/>
    </xf>
    <xf numFmtId="164" fontId="5" fillId="3" borderId="0" xfId="0" applyNumberFormat="1" applyFont="1" applyFill="1"/>
    <xf numFmtId="0" fontId="5" fillId="3" borderId="0" xfId="0" applyFont="1" applyFill="1"/>
    <xf numFmtId="0" fontId="6" fillId="0" borderId="0" xfId="0" quotePrefix="1" applyFont="1" applyAlignment="1">
      <alignment horizontal="center" vertical="center" wrapText="1"/>
    </xf>
    <xf numFmtId="0" fontId="6" fillId="0" borderId="0" xfId="0" quotePrefix="1" applyFont="1" applyAlignment="1">
      <alignment horizontal="center"/>
    </xf>
    <xf numFmtId="8" fontId="6" fillId="5" borderId="0" xfId="0" applyNumberFormat="1" applyFont="1" applyFill="1"/>
    <xf numFmtId="0" fontId="6" fillId="5" borderId="0" xfId="0" applyFont="1" applyFill="1" applyAlignment="1">
      <alignment horizontal="center"/>
    </xf>
    <xf numFmtId="0" fontId="3" fillId="0" borderId="0" xfId="0" applyFont="1"/>
    <xf numFmtId="0" fontId="6" fillId="0" borderId="0" xfId="0" applyFont="1" applyAlignment="1">
      <alignment horizontal="center" vertical="center" wrapText="1"/>
    </xf>
    <xf numFmtId="2" fontId="5" fillId="3" borderId="0" xfId="0" applyNumberFormat="1" applyFont="1" applyFill="1"/>
    <xf numFmtId="165" fontId="5" fillId="0" borderId="0" xfId="0" applyNumberFormat="1" applyFont="1"/>
    <xf numFmtId="0" fontId="2" fillId="0" borderId="0" xfId="0" applyFont="1"/>
    <xf numFmtId="164" fontId="2" fillId="7" borderId="0" xfId="0" applyNumberFormat="1" applyFont="1" applyFill="1"/>
    <xf numFmtId="0" fontId="2" fillId="7" borderId="0" xfId="1" applyNumberFormat="1" applyFont="1" applyFill="1"/>
    <xf numFmtId="0" fontId="2" fillId="7" borderId="0" xfId="0" applyFont="1" applyFill="1"/>
    <xf numFmtId="4" fontId="6" fillId="0" borderId="0" xfId="0" applyNumberFormat="1" applyFont="1"/>
    <xf numFmtId="8" fontId="2" fillId="0" borderId="0" xfId="0" applyNumberFormat="1" applyFont="1"/>
    <xf numFmtId="0" fontId="10" fillId="5" borderId="0" xfId="0" applyFont="1" applyFill="1"/>
    <xf numFmtId="8" fontId="6" fillId="0" borderId="0" xfId="0" applyNumberFormat="1" applyFont="1" applyAlignment="1">
      <alignment horizontal="left"/>
    </xf>
    <xf numFmtId="166" fontId="2" fillId="0" borderId="0" xfId="2" applyNumberFormat="1" applyFont="1"/>
    <xf numFmtId="0" fontId="2" fillId="0" borderId="0" xfId="0" applyFont="1" applyAlignment="1">
      <alignment horizontal="center"/>
    </xf>
    <xf numFmtId="4" fontId="2" fillId="0" borderId="0" xfId="0" applyNumberFormat="1" applyFont="1"/>
    <xf numFmtId="164" fontId="2" fillId="0" borderId="0" xfId="0" applyNumberFormat="1" applyFont="1"/>
    <xf numFmtId="165" fontId="2" fillId="0" borderId="0" xfId="0" applyNumberFormat="1" applyFont="1"/>
    <xf numFmtId="165" fontId="2" fillId="0" borderId="0" xfId="0" applyNumberFormat="1" applyFont="1" applyAlignment="1">
      <alignment horizontal="center"/>
    </xf>
    <xf numFmtId="0" fontId="6" fillId="0" borderId="0" xfId="0" applyFont="1" applyAlignment="1">
      <alignment horizontal="center" vertical="center" wrapText="1"/>
    </xf>
    <xf numFmtId="0" fontId="2" fillId="6" borderId="0" xfId="0" applyFont="1" applyFill="1" applyAlignment="1">
      <alignment horizontal="left" vertical="top" wrapText="1"/>
    </xf>
    <xf numFmtId="0" fontId="1" fillId="0" borderId="0" xfId="0" applyFont="1"/>
    <xf numFmtId="164" fontId="1" fillId="3" borderId="0" xfId="0" applyNumberFormat="1" applyFont="1" applyFill="1"/>
    <xf numFmtId="2" fontId="1" fillId="3" borderId="0" xfId="0" applyNumberFormat="1" applyFont="1" applyFill="1"/>
    <xf numFmtId="165" fontId="1" fillId="0" borderId="0" xfId="0" applyNumberFormat="1" applyFont="1"/>
    <xf numFmtId="0" fontId="1" fillId="3" borderId="0" xfId="0" applyFont="1" applyFill="1"/>
    <xf numFmtId="8" fontId="1" fillId="0" borderId="0" xfId="0" applyNumberFormat="1" applyFont="1"/>
    <xf numFmtId="8" fontId="1" fillId="8" borderId="0" xfId="0" applyNumberFormat="1" applyFont="1" applyFill="1"/>
    <xf numFmtId="0" fontId="1" fillId="4" borderId="0" xfId="0" applyFont="1" applyFill="1"/>
    <xf numFmtId="0" fontId="1" fillId="8" borderId="0" xfId="0" applyFont="1" applyFill="1"/>
    <xf numFmtId="0" fontId="1" fillId="2" borderId="0" xfId="0" applyFont="1" applyFill="1"/>
    <xf numFmtId="164" fontId="1" fillId="0" borderId="0" xfId="0" applyNumberFormat="1" applyFont="1"/>
    <xf numFmtId="0" fontId="1" fillId="0" borderId="0" xfId="0" applyFont="1" applyAlignment="1">
      <alignment horizontal="center"/>
    </xf>
    <xf numFmtId="165" fontId="1" fillId="0" borderId="0" xfId="0" applyNumberFormat="1" applyFont="1" applyAlignment="1">
      <alignment horizontal="center"/>
    </xf>
    <xf numFmtId="164" fontId="11" fillId="0" borderId="0" xfId="0" applyNumberFormat="1" applyFont="1"/>
    <xf numFmtId="164" fontId="1" fillId="8" borderId="0" xfId="0" applyNumberFormat="1" applyFont="1" applyFill="1"/>
  </cellXfs>
  <cellStyles count="3">
    <cellStyle name="Comma 2" xfId="2" xr:uid="{5C50AE3F-CECE-4FAB-8E2C-65A04416991B}"/>
    <cellStyle name="Normal" xfId="0" builtinId="0"/>
    <cellStyle name="Percent 2" xfId="1" xr:uid="{62DC1A30-D272-49C7-848C-1DD700E2946C}"/>
  </cellStyles>
  <dxfs count="6">
    <dxf>
      <font>
        <b val="0"/>
        <i val="0"/>
      </font>
      <fill>
        <patternFill>
          <bgColor rgb="FF99FFCC"/>
        </patternFill>
      </fill>
    </dxf>
    <dxf>
      <fill>
        <patternFill>
          <bgColor theme="7" tint="0.59996337778862885"/>
        </patternFill>
      </fill>
    </dxf>
    <dxf>
      <font>
        <b val="0"/>
        <i val="0"/>
      </font>
      <fill>
        <patternFill>
          <bgColor rgb="FF99FFCC"/>
        </patternFill>
      </fill>
    </dxf>
    <dxf>
      <font>
        <b val="0"/>
        <i val="0"/>
        <color auto="1"/>
      </font>
      <fill>
        <patternFill>
          <bgColor rgb="FF99FFCC"/>
        </patternFill>
      </fill>
    </dxf>
    <dxf>
      <fill>
        <patternFill>
          <bgColor theme="5" tint="0.59996337778862885"/>
        </patternFill>
      </fill>
    </dxf>
    <dxf>
      <fill>
        <patternFill>
          <bgColor theme="7" tint="0.59996337778862885"/>
        </patternFill>
      </fill>
    </dxf>
  </dxfs>
  <tableStyles count="0" defaultTableStyle="TableStyleMedium2" defaultPivotStyle="PivotStyleLight16"/>
  <colors>
    <mruColors>
      <color rgb="FF99CCFF"/>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
  <sheetViews>
    <sheetView zoomScale="120" zoomScaleNormal="120" workbookViewId="0">
      <selection activeCell="B43" sqref="B43"/>
    </sheetView>
  </sheetViews>
  <sheetFormatPr defaultColWidth="9.109375" defaultRowHeight="15" x14ac:dyDescent="0.25"/>
  <cols>
    <col min="1" max="1" width="16.6640625" style="2" customWidth="1"/>
    <col min="2" max="2" width="14.6640625" style="2" bestFit="1" customWidth="1"/>
    <col min="3" max="3" width="15.6640625" style="2" customWidth="1"/>
    <col min="4" max="4" width="15.33203125" style="2" customWidth="1"/>
    <col min="5" max="5" width="15.6640625" style="2" customWidth="1"/>
    <col min="6" max="6" width="8.5546875" style="2" customWidth="1"/>
    <col min="7" max="7" width="9.109375" style="2"/>
    <col min="8" max="8" width="16.6640625" style="2" customWidth="1"/>
    <col min="9" max="9" width="14.88671875" style="2" bestFit="1" customWidth="1"/>
    <col min="10" max="10" width="15.6640625" style="2" customWidth="1"/>
    <col min="11" max="11" width="13.6640625" style="2" customWidth="1"/>
    <col min="12" max="13" width="15.6640625" style="2" customWidth="1"/>
    <col min="14" max="16384" width="9.109375" style="2"/>
  </cols>
  <sheetData>
    <row r="1" spans="1:12" ht="15.6" x14ac:dyDescent="0.3">
      <c r="A1" s="1" t="s">
        <v>57</v>
      </c>
      <c r="H1" s="1" t="s">
        <v>58</v>
      </c>
    </row>
    <row r="2" spans="1:12" ht="15.6" x14ac:dyDescent="0.3">
      <c r="A2" s="2" t="s">
        <v>19</v>
      </c>
      <c r="H2" s="2" t="s">
        <v>19</v>
      </c>
    </row>
    <row r="3" spans="1:12" x14ac:dyDescent="0.25">
      <c r="A3" s="2" t="s">
        <v>0</v>
      </c>
      <c r="H3" s="2" t="s">
        <v>0</v>
      </c>
    </row>
    <row r="4" spans="1:12" x14ac:dyDescent="0.25">
      <c r="A4" s="2" t="s">
        <v>1</v>
      </c>
      <c r="H4" s="2" t="s">
        <v>1</v>
      </c>
    </row>
    <row r="7" spans="1:12" ht="15.6" x14ac:dyDescent="0.3">
      <c r="A7" s="1" t="s">
        <v>2</v>
      </c>
      <c r="B7" s="1" t="s">
        <v>3</v>
      </c>
      <c r="C7" s="1" t="s">
        <v>4</v>
      </c>
      <c r="H7" s="1" t="s">
        <v>2</v>
      </c>
      <c r="I7" s="1" t="s">
        <v>3</v>
      </c>
      <c r="J7" s="1" t="s">
        <v>4</v>
      </c>
    </row>
    <row r="8" spans="1:12" x14ac:dyDescent="0.25">
      <c r="A8" s="2" t="s">
        <v>20</v>
      </c>
      <c r="B8" s="9">
        <v>120000</v>
      </c>
      <c r="C8" s="2" t="s">
        <v>5</v>
      </c>
      <c r="H8" s="2" t="s">
        <v>24</v>
      </c>
      <c r="I8" s="9">
        <v>20000</v>
      </c>
      <c r="J8" s="2" t="s">
        <v>5</v>
      </c>
    </row>
    <row r="9" spans="1:12" x14ac:dyDescent="0.25">
      <c r="A9" s="2" t="s">
        <v>21</v>
      </c>
      <c r="B9" s="17">
        <v>0.04</v>
      </c>
      <c r="C9" s="2" t="s">
        <v>6</v>
      </c>
      <c r="H9" s="2" t="s">
        <v>25</v>
      </c>
      <c r="I9" s="17">
        <v>0.04</v>
      </c>
      <c r="J9" s="2" t="s">
        <v>6</v>
      </c>
    </row>
    <row r="10" spans="1:12" x14ac:dyDescent="0.25">
      <c r="A10" s="2" t="s">
        <v>22</v>
      </c>
      <c r="B10" s="10">
        <v>25</v>
      </c>
      <c r="C10" s="2" t="s">
        <v>8</v>
      </c>
      <c r="H10" s="15" t="s">
        <v>26</v>
      </c>
      <c r="I10" s="18">
        <f>(1+interest_BY)^(1/12)-1</f>
        <v>3.2737397821989145E-3</v>
      </c>
      <c r="J10" s="2" t="s">
        <v>7</v>
      </c>
    </row>
    <row r="11" spans="1:12" x14ac:dyDescent="0.25">
      <c r="A11" s="15" t="s">
        <v>23</v>
      </c>
      <c r="B11" s="3">
        <f>ROUND(PMT(Interest_A,term_A,-loan_A,0,0), 2)</f>
        <v>7681.44</v>
      </c>
      <c r="C11" s="2" t="s">
        <v>17</v>
      </c>
      <c r="H11" s="15" t="s">
        <v>27</v>
      </c>
      <c r="I11" s="10">
        <v>60</v>
      </c>
      <c r="J11" s="2" t="s">
        <v>9</v>
      </c>
    </row>
    <row r="12" spans="1:12" x14ac:dyDescent="0.25">
      <c r="B12" s="3"/>
      <c r="H12" s="15" t="s">
        <v>28</v>
      </c>
      <c r="I12" s="3">
        <f>ROUND(PMT(interest_BM,term_B,-loan_B,0,0),2)</f>
        <v>367.69</v>
      </c>
      <c r="J12" s="2" t="s">
        <v>10</v>
      </c>
    </row>
    <row r="14" spans="1:12" ht="15.6" x14ac:dyDescent="0.3">
      <c r="A14" s="14" t="s">
        <v>15</v>
      </c>
      <c r="B14" s="13">
        <f>SUM(B19:B100)</f>
        <v>192035.79000000004</v>
      </c>
      <c r="C14" s="13">
        <f t="shared" ref="C14:D14" si="0">SUM(C19:C100)</f>
        <v>72035.789999999994</v>
      </c>
      <c r="D14" s="13">
        <f t="shared" si="0"/>
        <v>119999.99999999999</v>
      </c>
      <c r="H14" s="14" t="s">
        <v>15</v>
      </c>
      <c r="I14" s="13">
        <f>SUM(I19:I100)</f>
        <v>22061.069999999985</v>
      </c>
      <c r="J14" s="13">
        <f t="shared" ref="J14:K14" si="1">SUM(J19:J100)</f>
        <v>2061.0700000000002</v>
      </c>
      <c r="K14" s="13">
        <f t="shared" si="1"/>
        <v>19999.999999999989</v>
      </c>
    </row>
    <row r="15" spans="1:12" ht="30" customHeight="1" x14ac:dyDescent="0.25">
      <c r="A15" s="33" t="s">
        <v>16</v>
      </c>
      <c r="B15" s="33" t="s">
        <v>11</v>
      </c>
      <c r="C15" s="33" t="s">
        <v>12</v>
      </c>
      <c r="D15" s="33" t="s">
        <v>13</v>
      </c>
      <c r="E15" s="33" t="s">
        <v>14</v>
      </c>
      <c r="H15" s="33" t="s">
        <v>18</v>
      </c>
      <c r="I15" s="33" t="s">
        <v>11</v>
      </c>
      <c r="J15" s="33" t="s">
        <v>12</v>
      </c>
      <c r="K15" s="33" t="s">
        <v>13</v>
      </c>
      <c r="L15" s="33" t="s">
        <v>14</v>
      </c>
    </row>
    <row r="16" spans="1:12" ht="30" customHeight="1" x14ac:dyDescent="0.25">
      <c r="A16" s="33"/>
      <c r="B16" s="33"/>
      <c r="C16" s="33"/>
      <c r="D16" s="33"/>
      <c r="E16" s="33"/>
      <c r="H16" s="33"/>
      <c r="I16" s="33"/>
      <c r="J16" s="33"/>
      <c r="K16" s="33"/>
      <c r="L16" s="33"/>
    </row>
    <row r="17" spans="1:12" ht="15.6" x14ac:dyDescent="0.3">
      <c r="A17" s="11" t="s">
        <v>29</v>
      </c>
      <c r="B17" s="11" t="s">
        <v>30</v>
      </c>
      <c r="C17" s="11" t="s">
        <v>31</v>
      </c>
      <c r="D17" s="11" t="s">
        <v>32</v>
      </c>
      <c r="E17" s="11" t="s">
        <v>33</v>
      </c>
      <c r="H17" s="12" t="s">
        <v>34</v>
      </c>
      <c r="I17" s="12" t="s">
        <v>35</v>
      </c>
      <c r="J17" s="12" t="s">
        <v>36</v>
      </c>
      <c r="K17" s="12" t="s">
        <v>37</v>
      </c>
      <c r="L17" s="12" t="s">
        <v>38</v>
      </c>
    </row>
    <row r="18" spans="1:12" ht="15.6" x14ac:dyDescent="0.3">
      <c r="A18" s="8">
        <v>0</v>
      </c>
      <c r="E18" s="5">
        <f>loan_A</f>
        <v>120000</v>
      </c>
      <c r="H18" s="4">
        <v>0</v>
      </c>
      <c r="L18" s="5">
        <f>loan_B</f>
        <v>20000</v>
      </c>
    </row>
    <row r="19" spans="1:12" ht="15.6" x14ac:dyDescent="0.3">
      <c r="A19" s="8">
        <v>1</v>
      </c>
      <c r="B19" s="3">
        <f t="shared" ref="B19:B42" si="2">repayment_A</f>
        <v>7681.44</v>
      </c>
      <c r="C19" s="5">
        <f t="shared" ref="C19:C43" si="3">ROUND(Interest_A*E18,2)</f>
        <v>4800</v>
      </c>
      <c r="D19" s="3">
        <f>B19-C19</f>
        <v>2881.4399999999996</v>
      </c>
      <c r="E19" s="5">
        <f>E18-D19</f>
        <v>117118.56</v>
      </c>
      <c r="H19" s="4">
        <v>1</v>
      </c>
      <c r="I19" s="5">
        <f t="shared" ref="I19:I50" si="4">repayment_B</f>
        <v>367.69</v>
      </c>
      <c r="J19" s="5">
        <f t="shared" ref="J19:J50" si="5">ROUND(interest_BM*L18,2)</f>
        <v>65.47</v>
      </c>
      <c r="K19" s="5">
        <f>I19-J19</f>
        <v>302.22000000000003</v>
      </c>
      <c r="L19" s="5">
        <f>L18-K19</f>
        <v>19697.78</v>
      </c>
    </row>
    <row r="20" spans="1:12" ht="15.6" x14ac:dyDescent="0.3">
      <c r="A20" s="8">
        <v>2</v>
      </c>
      <c r="B20" s="3">
        <f t="shared" si="2"/>
        <v>7681.44</v>
      </c>
      <c r="C20" s="5">
        <f t="shared" si="3"/>
        <v>4684.74</v>
      </c>
      <c r="D20" s="3">
        <f t="shared" ref="D20:D43" si="6">B20-C20</f>
        <v>2996.7</v>
      </c>
      <c r="E20" s="5">
        <f t="shared" ref="E20:E43" si="7">E19-D20</f>
        <v>114121.86</v>
      </c>
      <c r="H20" s="4">
        <v>2</v>
      </c>
      <c r="I20" s="5">
        <f t="shared" si="4"/>
        <v>367.69</v>
      </c>
      <c r="J20" s="5">
        <f t="shared" si="5"/>
        <v>64.489999999999995</v>
      </c>
      <c r="K20" s="5">
        <f t="shared" ref="K20:K78" si="8">I20-J20</f>
        <v>303.2</v>
      </c>
      <c r="L20" s="5">
        <f t="shared" ref="L20:L78" si="9">L19-K20</f>
        <v>19394.579999999998</v>
      </c>
    </row>
    <row r="21" spans="1:12" ht="15.6" x14ac:dyDescent="0.3">
      <c r="A21" s="8">
        <v>3</v>
      </c>
      <c r="B21" s="3">
        <f t="shared" si="2"/>
        <v>7681.44</v>
      </c>
      <c r="C21" s="5">
        <f t="shared" si="3"/>
        <v>4564.87</v>
      </c>
      <c r="D21" s="3">
        <f t="shared" si="6"/>
        <v>3116.5699999999997</v>
      </c>
      <c r="E21" s="5">
        <f t="shared" si="7"/>
        <v>111005.29000000001</v>
      </c>
      <c r="H21" s="4">
        <v>3</v>
      </c>
      <c r="I21" s="5">
        <f t="shared" si="4"/>
        <v>367.69</v>
      </c>
      <c r="J21" s="5">
        <f t="shared" si="5"/>
        <v>63.49</v>
      </c>
      <c r="K21" s="5">
        <f t="shared" si="8"/>
        <v>304.2</v>
      </c>
      <c r="L21" s="5">
        <f t="shared" si="9"/>
        <v>19090.379999999997</v>
      </c>
    </row>
    <row r="22" spans="1:12" ht="15.6" x14ac:dyDescent="0.3">
      <c r="A22" s="8">
        <v>4</v>
      </c>
      <c r="B22" s="3">
        <f t="shared" si="2"/>
        <v>7681.44</v>
      </c>
      <c r="C22" s="5">
        <f t="shared" si="3"/>
        <v>4440.21</v>
      </c>
      <c r="D22" s="3">
        <f t="shared" si="6"/>
        <v>3241.2299999999996</v>
      </c>
      <c r="E22" s="5">
        <f t="shared" si="7"/>
        <v>107764.06000000001</v>
      </c>
      <c r="H22" s="4">
        <v>4</v>
      </c>
      <c r="I22" s="5">
        <f t="shared" si="4"/>
        <v>367.69</v>
      </c>
      <c r="J22" s="5">
        <f t="shared" si="5"/>
        <v>62.5</v>
      </c>
      <c r="K22" s="5">
        <f t="shared" si="8"/>
        <v>305.19</v>
      </c>
      <c r="L22" s="5">
        <f t="shared" si="9"/>
        <v>18785.189999999999</v>
      </c>
    </row>
    <row r="23" spans="1:12" ht="15.6" x14ac:dyDescent="0.3">
      <c r="A23" s="8">
        <v>5</v>
      </c>
      <c r="B23" s="3">
        <f t="shared" si="2"/>
        <v>7681.44</v>
      </c>
      <c r="C23" s="5">
        <f t="shared" si="3"/>
        <v>4310.5600000000004</v>
      </c>
      <c r="D23" s="3">
        <f t="shared" si="6"/>
        <v>3370.8799999999992</v>
      </c>
      <c r="E23" s="5">
        <f t="shared" si="7"/>
        <v>104393.18000000001</v>
      </c>
      <c r="H23" s="4">
        <v>5</v>
      </c>
      <c r="I23" s="5">
        <f t="shared" si="4"/>
        <v>367.69</v>
      </c>
      <c r="J23" s="5">
        <f t="shared" si="5"/>
        <v>61.5</v>
      </c>
      <c r="K23" s="5">
        <f t="shared" si="8"/>
        <v>306.19</v>
      </c>
      <c r="L23" s="5">
        <f t="shared" si="9"/>
        <v>18479</v>
      </c>
    </row>
    <row r="24" spans="1:12" ht="15.6" x14ac:dyDescent="0.3">
      <c r="A24" s="8">
        <v>6</v>
      </c>
      <c r="B24" s="3">
        <f t="shared" si="2"/>
        <v>7681.44</v>
      </c>
      <c r="C24" s="5">
        <f t="shared" si="3"/>
        <v>4175.7299999999996</v>
      </c>
      <c r="D24" s="3">
        <f t="shared" si="6"/>
        <v>3505.71</v>
      </c>
      <c r="E24" s="5">
        <f t="shared" si="7"/>
        <v>100887.47</v>
      </c>
      <c r="H24" s="4">
        <v>6</v>
      </c>
      <c r="I24" s="5">
        <f t="shared" si="4"/>
        <v>367.69</v>
      </c>
      <c r="J24" s="5">
        <f t="shared" si="5"/>
        <v>60.5</v>
      </c>
      <c r="K24" s="5">
        <f t="shared" si="8"/>
        <v>307.19</v>
      </c>
      <c r="L24" s="5">
        <f t="shared" si="9"/>
        <v>18171.810000000001</v>
      </c>
    </row>
    <row r="25" spans="1:12" ht="15.6" x14ac:dyDescent="0.3">
      <c r="A25" s="8">
        <v>7</v>
      </c>
      <c r="B25" s="3">
        <f t="shared" si="2"/>
        <v>7681.44</v>
      </c>
      <c r="C25" s="5">
        <f t="shared" si="3"/>
        <v>4035.5</v>
      </c>
      <c r="D25" s="3">
        <f t="shared" si="6"/>
        <v>3645.9399999999996</v>
      </c>
      <c r="E25" s="5">
        <f t="shared" si="7"/>
        <v>97241.53</v>
      </c>
      <c r="H25" s="4">
        <v>7</v>
      </c>
      <c r="I25" s="5">
        <f t="shared" si="4"/>
        <v>367.69</v>
      </c>
      <c r="J25" s="5">
        <f t="shared" si="5"/>
        <v>59.49</v>
      </c>
      <c r="K25" s="5">
        <f t="shared" si="8"/>
        <v>308.2</v>
      </c>
      <c r="L25" s="5">
        <f t="shared" si="9"/>
        <v>17863.61</v>
      </c>
    </row>
    <row r="26" spans="1:12" ht="15.6" x14ac:dyDescent="0.3">
      <c r="A26" s="8">
        <v>8</v>
      </c>
      <c r="B26" s="3">
        <f t="shared" si="2"/>
        <v>7681.44</v>
      </c>
      <c r="C26" s="5">
        <f t="shared" si="3"/>
        <v>3889.66</v>
      </c>
      <c r="D26" s="3">
        <f t="shared" si="6"/>
        <v>3791.7799999999997</v>
      </c>
      <c r="E26" s="5">
        <f t="shared" si="7"/>
        <v>93449.75</v>
      </c>
      <c r="H26" s="4">
        <v>8</v>
      </c>
      <c r="I26" s="5">
        <f t="shared" si="4"/>
        <v>367.69</v>
      </c>
      <c r="J26" s="5">
        <f t="shared" si="5"/>
        <v>58.48</v>
      </c>
      <c r="K26" s="5">
        <f t="shared" si="8"/>
        <v>309.20999999999998</v>
      </c>
      <c r="L26" s="5">
        <f t="shared" si="9"/>
        <v>17554.400000000001</v>
      </c>
    </row>
    <row r="27" spans="1:12" ht="15.6" x14ac:dyDescent="0.3">
      <c r="A27" s="8">
        <v>9</v>
      </c>
      <c r="B27" s="3">
        <f t="shared" si="2"/>
        <v>7681.44</v>
      </c>
      <c r="C27" s="5">
        <f t="shared" si="3"/>
        <v>3737.99</v>
      </c>
      <c r="D27" s="3">
        <f t="shared" si="6"/>
        <v>3943.45</v>
      </c>
      <c r="E27" s="5">
        <f t="shared" si="7"/>
        <v>89506.3</v>
      </c>
      <c r="H27" s="4">
        <v>9</v>
      </c>
      <c r="I27" s="5">
        <f t="shared" si="4"/>
        <v>367.69</v>
      </c>
      <c r="J27" s="5">
        <f t="shared" si="5"/>
        <v>57.47</v>
      </c>
      <c r="K27" s="5">
        <f t="shared" si="8"/>
        <v>310.22000000000003</v>
      </c>
      <c r="L27" s="5">
        <f t="shared" si="9"/>
        <v>17244.18</v>
      </c>
    </row>
    <row r="28" spans="1:12" ht="15.6" x14ac:dyDescent="0.3">
      <c r="A28" s="8">
        <v>10</v>
      </c>
      <c r="B28" s="3">
        <f t="shared" si="2"/>
        <v>7681.44</v>
      </c>
      <c r="C28" s="5">
        <f t="shared" si="3"/>
        <v>3580.25</v>
      </c>
      <c r="D28" s="3">
        <f t="shared" si="6"/>
        <v>4101.1899999999996</v>
      </c>
      <c r="E28" s="5">
        <f t="shared" si="7"/>
        <v>85405.11</v>
      </c>
      <c r="H28" s="4">
        <v>10</v>
      </c>
      <c r="I28" s="5">
        <f t="shared" si="4"/>
        <v>367.69</v>
      </c>
      <c r="J28" s="5">
        <f t="shared" si="5"/>
        <v>56.45</v>
      </c>
      <c r="K28" s="5">
        <f t="shared" si="8"/>
        <v>311.24</v>
      </c>
      <c r="L28" s="5">
        <f t="shared" si="9"/>
        <v>16932.939999999999</v>
      </c>
    </row>
    <row r="29" spans="1:12" ht="15.6" x14ac:dyDescent="0.3">
      <c r="A29" s="8">
        <v>11</v>
      </c>
      <c r="B29" s="3">
        <f t="shared" si="2"/>
        <v>7681.44</v>
      </c>
      <c r="C29" s="5">
        <f t="shared" si="3"/>
        <v>3416.2</v>
      </c>
      <c r="D29" s="3">
        <f t="shared" si="6"/>
        <v>4265.24</v>
      </c>
      <c r="E29" s="5">
        <f t="shared" si="7"/>
        <v>81139.87</v>
      </c>
      <c r="H29" s="4">
        <v>11</v>
      </c>
      <c r="I29" s="5">
        <f t="shared" si="4"/>
        <v>367.69</v>
      </c>
      <c r="J29" s="5">
        <f t="shared" si="5"/>
        <v>55.43</v>
      </c>
      <c r="K29" s="5">
        <f t="shared" si="8"/>
        <v>312.26</v>
      </c>
      <c r="L29" s="5">
        <f t="shared" si="9"/>
        <v>16620.68</v>
      </c>
    </row>
    <row r="30" spans="1:12" ht="15.6" x14ac:dyDescent="0.3">
      <c r="A30" s="8">
        <v>12</v>
      </c>
      <c r="B30" s="3">
        <f t="shared" si="2"/>
        <v>7681.44</v>
      </c>
      <c r="C30" s="5">
        <f t="shared" si="3"/>
        <v>3245.59</v>
      </c>
      <c r="D30" s="3">
        <f t="shared" si="6"/>
        <v>4435.8499999999995</v>
      </c>
      <c r="E30" s="5">
        <f t="shared" si="7"/>
        <v>76704.01999999999</v>
      </c>
      <c r="H30" s="4">
        <v>12</v>
      </c>
      <c r="I30" s="5">
        <f t="shared" si="4"/>
        <v>367.69</v>
      </c>
      <c r="J30" s="5">
        <f t="shared" si="5"/>
        <v>54.41</v>
      </c>
      <c r="K30" s="5">
        <f t="shared" si="8"/>
        <v>313.27999999999997</v>
      </c>
      <c r="L30" s="5">
        <f t="shared" si="9"/>
        <v>16307.4</v>
      </c>
    </row>
    <row r="31" spans="1:12" ht="15.6" x14ac:dyDescent="0.3">
      <c r="A31" s="8">
        <v>13</v>
      </c>
      <c r="B31" s="3">
        <f t="shared" si="2"/>
        <v>7681.44</v>
      </c>
      <c r="C31" s="5">
        <f t="shared" si="3"/>
        <v>3068.16</v>
      </c>
      <c r="D31" s="3">
        <f t="shared" si="6"/>
        <v>4613.28</v>
      </c>
      <c r="E31" s="5">
        <f t="shared" si="7"/>
        <v>72090.739999999991</v>
      </c>
      <c r="G31" s="7"/>
      <c r="H31" s="4">
        <v>13</v>
      </c>
      <c r="I31" s="5">
        <f t="shared" si="4"/>
        <v>367.69</v>
      </c>
      <c r="J31" s="5">
        <f t="shared" si="5"/>
        <v>53.39</v>
      </c>
      <c r="K31" s="5">
        <f t="shared" si="8"/>
        <v>314.3</v>
      </c>
      <c r="L31" s="5">
        <f t="shared" si="9"/>
        <v>15993.1</v>
      </c>
    </row>
    <row r="32" spans="1:12" ht="15.6" x14ac:dyDescent="0.3">
      <c r="A32" s="8">
        <v>14</v>
      </c>
      <c r="B32" s="3">
        <f t="shared" si="2"/>
        <v>7681.44</v>
      </c>
      <c r="C32" s="5">
        <f t="shared" si="3"/>
        <v>2883.63</v>
      </c>
      <c r="D32" s="3">
        <f t="shared" si="6"/>
        <v>4797.8099999999995</v>
      </c>
      <c r="E32" s="5">
        <f t="shared" si="7"/>
        <v>67292.929999999993</v>
      </c>
      <c r="H32" s="4">
        <v>14</v>
      </c>
      <c r="I32" s="5">
        <f t="shared" si="4"/>
        <v>367.69</v>
      </c>
      <c r="J32" s="5">
        <f t="shared" si="5"/>
        <v>52.36</v>
      </c>
      <c r="K32" s="5">
        <f t="shared" si="8"/>
        <v>315.33</v>
      </c>
      <c r="L32" s="5">
        <f t="shared" si="9"/>
        <v>15677.77</v>
      </c>
    </row>
    <row r="33" spans="1:12" ht="15.6" x14ac:dyDescent="0.3">
      <c r="A33" s="8">
        <v>15</v>
      </c>
      <c r="B33" s="3">
        <f t="shared" si="2"/>
        <v>7681.44</v>
      </c>
      <c r="C33" s="5">
        <f t="shared" si="3"/>
        <v>2691.72</v>
      </c>
      <c r="D33" s="3">
        <f t="shared" si="6"/>
        <v>4989.7199999999993</v>
      </c>
      <c r="E33" s="5">
        <f t="shared" si="7"/>
        <v>62303.209999999992</v>
      </c>
      <c r="H33" s="4">
        <v>15</v>
      </c>
      <c r="I33" s="5">
        <f t="shared" si="4"/>
        <v>367.69</v>
      </c>
      <c r="J33" s="5">
        <f t="shared" si="5"/>
        <v>51.32</v>
      </c>
      <c r="K33" s="5">
        <f t="shared" si="8"/>
        <v>316.37</v>
      </c>
      <c r="L33" s="5">
        <f t="shared" si="9"/>
        <v>15361.4</v>
      </c>
    </row>
    <row r="34" spans="1:12" ht="15.6" x14ac:dyDescent="0.3">
      <c r="A34" s="8">
        <v>16</v>
      </c>
      <c r="B34" s="3">
        <f t="shared" si="2"/>
        <v>7681.44</v>
      </c>
      <c r="C34" s="5">
        <f t="shared" si="3"/>
        <v>2492.13</v>
      </c>
      <c r="D34" s="3">
        <f t="shared" si="6"/>
        <v>5189.3099999999995</v>
      </c>
      <c r="E34" s="5">
        <f t="shared" si="7"/>
        <v>57113.899999999994</v>
      </c>
      <c r="H34" s="4">
        <v>16</v>
      </c>
      <c r="I34" s="5">
        <f t="shared" si="4"/>
        <v>367.69</v>
      </c>
      <c r="J34" s="5">
        <f t="shared" si="5"/>
        <v>50.29</v>
      </c>
      <c r="K34" s="5">
        <f t="shared" si="8"/>
        <v>317.39999999999998</v>
      </c>
      <c r="L34" s="5">
        <f t="shared" si="9"/>
        <v>15044</v>
      </c>
    </row>
    <row r="35" spans="1:12" ht="15.6" x14ac:dyDescent="0.3">
      <c r="A35" s="8">
        <v>17</v>
      </c>
      <c r="B35" s="3">
        <f t="shared" si="2"/>
        <v>7681.44</v>
      </c>
      <c r="C35" s="5">
        <f t="shared" si="3"/>
        <v>2284.56</v>
      </c>
      <c r="D35" s="3">
        <f t="shared" si="6"/>
        <v>5396.8799999999992</v>
      </c>
      <c r="E35" s="5">
        <f t="shared" si="7"/>
        <v>51717.02</v>
      </c>
      <c r="H35" s="4">
        <v>17</v>
      </c>
      <c r="I35" s="5">
        <f t="shared" si="4"/>
        <v>367.69</v>
      </c>
      <c r="J35" s="5">
        <f t="shared" si="5"/>
        <v>49.25</v>
      </c>
      <c r="K35" s="5">
        <f t="shared" si="8"/>
        <v>318.44</v>
      </c>
      <c r="L35" s="5">
        <f t="shared" si="9"/>
        <v>14725.56</v>
      </c>
    </row>
    <row r="36" spans="1:12" ht="15.6" x14ac:dyDescent="0.3">
      <c r="A36" s="8">
        <v>18</v>
      </c>
      <c r="B36" s="3">
        <f t="shared" si="2"/>
        <v>7681.44</v>
      </c>
      <c r="C36" s="5">
        <f t="shared" si="3"/>
        <v>2068.6799999999998</v>
      </c>
      <c r="D36" s="3">
        <f t="shared" si="6"/>
        <v>5612.76</v>
      </c>
      <c r="E36" s="5">
        <f t="shared" si="7"/>
        <v>46104.259999999995</v>
      </c>
      <c r="H36" s="4">
        <v>18</v>
      </c>
      <c r="I36" s="5">
        <f t="shared" si="4"/>
        <v>367.69</v>
      </c>
      <c r="J36" s="5">
        <f t="shared" si="5"/>
        <v>48.21</v>
      </c>
      <c r="K36" s="5">
        <f t="shared" si="8"/>
        <v>319.48</v>
      </c>
      <c r="L36" s="5">
        <f t="shared" si="9"/>
        <v>14406.08</v>
      </c>
    </row>
    <row r="37" spans="1:12" ht="15.6" x14ac:dyDescent="0.3">
      <c r="A37" s="8">
        <v>19</v>
      </c>
      <c r="B37" s="3">
        <f t="shared" si="2"/>
        <v>7681.44</v>
      </c>
      <c r="C37" s="5">
        <f t="shared" si="3"/>
        <v>1844.17</v>
      </c>
      <c r="D37" s="3">
        <f t="shared" si="6"/>
        <v>5837.2699999999995</v>
      </c>
      <c r="E37" s="5">
        <f t="shared" si="7"/>
        <v>40266.99</v>
      </c>
      <c r="H37" s="4">
        <v>19</v>
      </c>
      <c r="I37" s="5">
        <f t="shared" si="4"/>
        <v>367.69</v>
      </c>
      <c r="J37" s="5">
        <f t="shared" si="5"/>
        <v>47.16</v>
      </c>
      <c r="K37" s="5">
        <f t="shared" si="8"/>
        <v>320.52999999999997</v>
      </c>
      <c r="L37" s="5">
        <f t="shared" si="9"/>
        <v>14085.55</v>
      </c>
    </row>
    <row r="38" spans="1:12" ht="15.6" x14ac:dyDescent="0.3">
      <c r="A38" s="8">
        <v>20</v>
      </c>
      <c r="B38" s="3">
        <f t="shared" si="2"/>
        <v>7681.44</v>
      </c>
      <c r="C38" s="5">
        <f t="shared" si="3"/>
        <v>1610.68</v>
      </c>
      <c r="D38" s="3">
        <f t="shared" si="6"/>
        <v>6070.7599999999993</v>
      </c>
      <c r="E38" s="5">
        <f t="shared" si="7"/>
        <v>34196.229999999996</v>
      </c>
      <c r="H38" s="4">
        <v>20</v>
      </c>
      <c r="I38" s="5">
        <f t="shared" si="4"/>
        <v>367.69</v>
      </c>
      <c r="J38" s="5">
        <f t="shared" si="5"/>
        <v>46.11</v>
      </c>
      <c r="K38" s="5">
        <f t="shared" si="8"/>
        <v>321.58</v>
      </c>
      <c r="L38" s="5">
        <f t="shared" si="9"/>
        <v>13763.97</v>
      </c>
    </row>
    <row r="39" spans="1:12" ht="15.6" x14ac:dyDescent="0.3">
      <c r="A39" s="8">
        <v>21</v>
      </c>
      <c r="B39" s="3">
        <f t="shared" si="2"/>
        <v>7681.44</v>
      </c>
      <c r="C39" s="5">
        <f t="shared" si="3"/>
        <v>1367.85</v>
      </c>
      <c r="D39" s="3">
        <f t="shared" si="6"/>
        <v>6313.59</v>
      </c>
      <c r="E39" s="5">
        <f t="shared" si="7"/>
        <v>27882.639999999996</v>
      </c>
      <c r="H39" s="4">
        <v>21</v>
      </c>
      <c r="I39" s="5">
        <f t="shared" si="4"/>
        <v>367.69</v>
      </c>
      <c r="J39" s="5">
        <f t="shared" si="5"/>
        <v>45.06</v>
      </c>
      <c r="K39" s="5">
        <f t="shared" si="8"/>
        <v>322.63</v>
      </c>
      <c r="L39" s="5">
        <f t="shared" si="9"/>
        <v>13441.34</v>
      </c>
    </row>
    <row r="40" spans="1:12" ht="15.6" x14ac:dyDescent="0.3">
      <c r="A40" s="8">
        <v>22</v>
      </c>
      <c r="B40" s="3">
        <f t="shared" si="2"/>
        <v>7681.44</v>
      </c>
      <c r="C40" s="5">
        <f t="shared" si="3"/>
        <v>1115.31</v>
      </c>
      <c r="D40" s="3">
        <f t="shared" si="6"/>
        <v>6566.1299999999992</v>
      </c>
      <c r="E40" s="5">
        <f t="shared" si="7"/>
        <v>21316.509999999995</v>
      </c>
      <c r="H40" s="4">
        <v>22</v>
      </c>
      <c r="I40" s="5">
        <f t="shared" si="4"/>
        <v>367.69</v>
      </c>
      <c r="J40" s="5">
        <f t="shared" si="5"/>
        <v>44</v>
      </c>
      <c r="K40" s="5">
        <f t="shared" si="8"/>
        <v>323.69</v>
      </c>
      <c r="L40" s="5">
        <f t="shared" si="9"/>
        <v>13117.65</v>
      </c>
    </row>
    <row r="41" spans="1:12" ht="15.6" x14ac:dyDescent="0.3">
      <c r="A41" s="8">
        <v>23</v>
      </c>
      <c r="B41" s="3">
        <f t="shared" si="2"/>
        <v>7681.44</v>
      </c>
      <c r="C41" s="5">
        <f t="shared" si="3"/>
        <v>852.66</v>
      </c>
      <c r="D41" s="3">
        <f t="shared" si="6"/>
        <v>6828.78</v>
      </c>
      <c r="E41" s="5">
        <f t="shared" si="7"/>
        <v>14487.729999999996</v>
      </c>
      <c r="H41" s="4">
        <v>23</v>
      </c>
      <c r="I41" s="5">
        <f t="shared" si="4"/>
        <v>367.69</v>
      </c>
      <c r="J41" s="5">
        <f t="shared" si="5"/>
        <v>42.94</v>
      </c>
      <c r="K41" s="5">
        <f t="shared" si="8"/>
        <v>324.75</v>
      </c>
      <c r="L41" s="5">
        <f t="shared" si="9"/>
        <v>12792.9</v>
      </c>
    </row>
    <row r="42" spans="1:12" ht="15.6" x14ac:dyDescent="0.3">
      <c r="A42" s="8">
        <v>24</v>
      </c>
      <c r="B42" s="3">
        <f t="shared" si="2"/>
        <v>7681.44</v>
      </c>
      <c r="C42" s="5">
        <f t="shared" si="3"/>
        <v>579.51</v>
      </c>
      <c r="D42" s="3">
        <f t="shared" si="6"/>
        <v>7101.9299999999994</v>
      </c>
      <c r="E42" s="5">
        <f t="shared" si="7"/>
        <v>7385.7999999999965</v>
      </c>
      <c r="H42" s="4">
        <v>24</v>
      </c>
      <c r="I42" s="5">
        <f t="shared" si="4"/>
        <v>367.69</v>
      </c>
      <c r="J42" s="5">
        <f t="shared" si="5"/>
        <v>41.88</v>
      </c>
      <c r="K42" s="5">
        <f t="shared" si="8"/>
        <v>325.81</v>
      </c>
      <c r="L42" s="5">
        <f t="shared" si="9"/>
        <v>12467.09</v>
      </c>
    </row>
    <row r="43" spans="1:12" ht="15.6" x14ac:dyDescent="0.3">
      <c r="A43" s="8">
        <v>25</v>
      </c>
      <c r="B43" s="3">
        <f>E42+C43</f>
        <v>7681.2299999999968</v>
      </c>
      <c r="C43" s="5">
        <f t="shared" si="3"/>
        <v>295.43</v>
      </c>
      <c r="D43" s="3">
        <f t="shared" si="6"/>
        <v>7385.7999999999965</v>
      </c>
      <c r="E43" s="5">
        <f t="shared" si="7"/>
        <v>0</v>
      </c>
      <c r="H43" s="4">
        <v>25</v>
      </c>
      <c r="I43" s="5">
        <f t="shared" si="4"/>
        <v>367.69</v>
      </c>
      <c r="J43" s="5">
        <f t="shared" si="5"/>
        <v>40.81</v>
      </c>
      <c r="K43" s="5">
        <f t="shared" si="8"/>
        <v>326.88</v>
      </c>
      <c r="L43" s="5">
        <f t="shared" si="9"/>
        <v>12140.210000000001</v>
      </c>
    </row>
    <row r="44" spans="1:12" x14ac:dyDescent="0.25">
      <c r="H44" s="4">
        <v>26</v>
      </c>
      <c r="I44" s="5">
        <f t="shared" si="4"/>
        <v>367.69</v>
      </c>
      <c r="J44" s="5">
        <f t="shared" si="5"/>
        <v>39.74</v>
      </c>
      <c r="K44" s="5">
        <f t="shared" si="8"/>
        <v>327.95</v>
      </c>
      <c r="L44" s="5">
        <f t="shared" si="9"/>
        <v>11812.26</v>
      </c>
    </row>
    <row r="45" spans="1:12" ht="15.6" x14ac:dyDescent="0.3">
      <c r="B45" s="7"/>
      <c r="C45" s="7"/>
      <c r="D45" s="7"/>
      <c r="H45" s="4">
        <v>27</v>
      </c>
      <c r="I45" s="5">
        <f t="shared" si="4"/>
        <v>367.69</v>
      </c>
      <c r="J45" s="5">
        <f t="shared" si="5"/>
        <v>38.67</v>
      </c>
      <c r="K45" s="5">
        <f t="shared" si="8"/>
        <v>329.02</v>
      </c>
      <c r="L45" s="5">
        <f t="shared" si="9"/>
        <v>11483.24</v>
      </c>
    </row>
    <row r="46" spans="1:12" x14ac:dyDescent="0.25">
      <c r="B46" s="3"/>
      <c r="H46" s="4">
        <v>28</v>
      </c>
      <c r="I46" s="5">
        <f t="shared" si="4"/>
        <v>367.69</v>
      </c>
      <c r="J46" s="5">
        <f t="shared" si="5"/>
        <v>37.590000000000003</v>
      </c>
      <c r="K46" s="5">
        <f t="shared" si="8"/>
        <v>330.1</v>
      </c>
      <c r="L46" s="5">
        <f t="shared" si="9"/>
        <v>11153.14</v>
      </c>
    </row>
    <row r="47" spans="1:12" x14ac:dyDescent="0.25">
      <c r="H47" s="4">
        <v>29</v>
      </c>
      <c r="I47" s="5">
        <f t="shared" si="4"/>
        <v>367.69</v>
      </c>
      <c r="J47" s="5">
        <f t="shared" si="5"/>
        <v>36.51</v>
      </c>
      <c r="K47" s="5">
        <f t="shared" si="8"/>
        <v>331.18</v>
      </c>
      <c r="L47" s="5">
        <f t="shared" si="9"/>
        <v>10821.96</v>
      </c>
    </row>
    <row r="48" spans="1:12" x14ac:dyDescent="0.25">
      <c r="H48" s="4">
        <v>30</v>
      </c>
      <c r="I48" s="5">
        <f t="shared" si="4"/>
        <v>367.69</v>
      </c>
      <c r="J48" s="5">
        <f t="shared" si="5"/>
        <v>35.43</v>
      </c>
      <c r="K48" s="5">
        <f t="shared" si="8"/>
        <v>332.26</v>
      </c>
      <c r="L48" s="5">
        <f t="shared" si="9"/>
        <v>10489.699999999999</v>
      </c>
    </row>
    <row r="49" spans="8:12" x14ac:dyDescent="0.25">
      <c r="H49" s="4">
        <v>31</v>
      </c>
      <c r="I49" s="5">
        <f t="shared" si="4"/>
        <v>367.69</v>
      </c>
      <c r="J49" s="5">
        <f t="shared" si="5"/>
        <v>34.340000000000003</v>
      </c>
      <c r="K49" s="5">
        <f t="shared" si="8"/>
        <v>333.35</v>
      </c>
      <c r="L49" s="5">
        <f t="shared" si="9"/>
        <v>10156.349999999999</v>
      </c>
    </row>
    <row r="50" spans="8:12" x14ac:dyDescent="0.25">
      <c r="H50" s="4">
        <v>32</v>
      </c>
      <c r="I50" s="5">
        <f t="shared" si="4"/>
        <v>367.69</v>
      </c>
      <c r="J50" s="5">
        <f t="shared" si="5"/>
        <v>33.25</v>
      </c>
      <c r="K50" s="5">
        <f t="shared" si="8"/>
        <v>334.44</v>
      </c>
      <c r="L50" s="5">
        <f t="shared" si="9"/>
        <v>9821.909999999998</v>
      </c>
    </row>
    <row r="51" spans="8:12" x14ac:dyDescent="0.25">
      <c r="H51" s="4">
        <v>33</v>
      </c>
      <c r="I51" s="5">
        <f t="shared" ref="I51:I77" si="10">repayment_B</f>
        <v>367.69</v>
      </c>
      <c r="J51" s="5">
        <f t="shared" ref="J51:J78" si="11">ROUND(interest_BM*L50,2)</f>
        <v>32.15</v>
      </c>
      <c r="K51" s="5">
        <f t="shared" si="8"/>
        <v>335.54</v>
      </c>
      <c r="L51" s="5">
        <f t="shared" si="9"/>
        <v>9486.3699999999972</v>
      </c>
    </row>
    <row r="52" spans="8:12" x14ac:dyDescent="0.25">
      <c r="H52" s="4">
        <v>34</v>
      </c>
      <c r="I52" s="5">
        <f t="shared" si="10"/>
        <v>367.69</v>
      </c>
      <c r="J52" s="5">
        <f t="shared" si="11"/>
        <v>31.06</v>
      </c>
      <c r="K52" s="5">
        <f t="shared" si="8"/>
        <v>336.63</v>
      </c>
      <c r="L52" s="5">
        <f t="shared" si="9"/>
        <v>9149.739999999998</v>
      </c>
    </row>
    <row r="53" spans="8:12" x14ac:dyDescent="0.25">
      <c r="H53" s="4">
        <v>35</v>
      </c>
      <c r="I53" s="5">
        <f t="shared" si="10"/>
        <v>367.69</v>
      </c>
      <c r="J53" s="5">
        <f t="shared" si="11"/>
        <v>29.95</v>
      </c>
      <c r="K53" s="5">
        <f t="shared" si="8"/>
        <v>337.74</v>
      </c>
      <c r="L53" s="5">
        <f t="shared" si="9"/>
        <v>8811.9999999999982</v>
      </c>
    </row>
    <row r="54" spans="8:12" x14ac:dyDescent="0.25">
      <c r="H54" s="4">
        <v>36</v>
      </c>
      <c r="I54" s="5">
        <f t="shared" si="10"/>
        <v>367.69</v>
      </c>
      <c r="J54" s="5">
        <f t="shared" si="11"/>
        <v>28.85</v>
      </c>
      <c r="K54" s="5">
        <f t="shared" si="8"/>
        <v>338.84</v>
      </c>
      <c r="L54" s="5">
        <f t="shared" si="9"/>
        <v>8473.159999999998</v>
      </c>
    </row>
    <row r="55" spans="8:12" x14ac:dyDescent="0.25">
      <c r="H55" s="4">
        <v>37</v>
      </c>
      <c r="I55" s="5">
        <f t="shared" si="10"/>
        <v>367.69</v>
      </c>
      <c r="J55" s="5">
        <f t="shared" si="11"/>
        <v>27.74</v>
      </c>
      <c r="K55" s="5">
        <f t="shared" si="8"/>
        <v>339.95</v>
      </c>
      <c r="L55" s="5">
        <f t="shared" si="9"/>
        <v>8133.2099999999982</v>
      </c>
    </row>
    <row r="56" spans="8:12" x14ac:dyDescent="0.25">
      <c r="H56" s="4">
        <v>38</v>
      </c>
      <c r="I56" s="5">
        <f t="shared" si="10"/>
        <v>367.69</v>
      </c>
      <c r="J56" s="5">
        <f t="shared" si="11"/>
        <v>26.63</v>
      </c>
      <c r="K56" s="5">
        <f t="shared" si="8"/>
        <v>341.06</v>
      </c>
      <c r="L56" s="5">
        <f t="shared" si="9"/>
        <v>7792.1499999999978</v>
      </c>
    </row>
    <row r="57" spans="8:12" x14ac:dyDescent="0.25">
      <c r="H57" s="4">
        <v>39</v>
      </c>
      <c r="I57" s="5">
        <f t="shared" si="10"/>
        <v>367.69</v>
      </c>
      <c r="J57" s="5">
        <f t="shared" si="11"/>
        <v>25.51</v>
      </c>
      <c r="K57" s="5">
        <f t="shared" si="8"/>
        <v>342.18</v>
      </c>
      <c r="L57" s="5">
        <f t="shared" si="9"/>
        <v>7449.9699999999975</v>
      </c>
    </row>
    <row r="58" spans="8:12" x14ac:dyDescent="0.25">
      <c r="H58" s="4">
        <v>40</v>
      </c>
      <c r="I58" s="5">
        <f t="shared" si="10"/>
        <v>367.69</v>
      </c>
      <c r="J58" s="5">
        <f t="shared" si="11"/>
        <v>24.39</v>
      </c>
      <c r="K58" s="5">
        <f t="shared" si="8"/>
        <v>343.3</v>
      </c>
      <c r="L58" s="5">
        <f t="shared" si="9"/>
        <v>7106.6699999999973</v>
      </c>
    </row>
    <row r="59" spans="8:12" x14ac:dyDescent="0.25">
      <c r="H59" s="4">
        <v>41</v>
      </c>
      <c r="I59" s="5">
        <f t="shared" si="10"/>
        <v>367.69</v>
      </c>
      <c r="J59" s="5">
        <f t="shared" si="11"/>
        <v>23.27</v>
      </c>
      <c r="K59" s="5">
        <f t="shared" si="8"/>
        <v>344.42</v>
      </c>
      <c r="L59" s="5">
        <f t="shared" si="9"/>
        <v>6762.2499999999973</v>
      </c>
    </row>
    <row r="60" spans="8:12" x14ac:dyDescent="0.25">
      <c r="H60" s="4">
        <v>42</v>
      </c>
      <c r="I60" s="5">
        <f t="shared" si="10"/>
        <v>367.69</v>
      </c>
      <c r="J60" s="5">
        <f t="shared" si="11"/>
        <v>22.14</v>
      </c>
      <c r="K60" s="5">
        <f t="shared" si="8"/>
        <v>345.55</v>
      </c>
      <c r="L60" s="5">
        <f t="shared" si="9"/>
        <v>6416.6999999999971</v>
      </c>
    </row>
    <row r="61" spans="8:12" x14ac:dyDescent="0.25">
      <c r="H61" s="4">
        <v>43</v>
      </c>
      <c r="I61" s="5">
        <f t="shared" si="10"/>
        <v>367.69</v>
      </c>
      <c r="J61" s="5">
        <f t="shared" si="11"/>
        <v>21.01</v>
      </c>
      <c r="K61" s="5">
        <f t="shared" si="8"/>
        <v>346.68</v>
      </c>
      <c r="L61" s="5">
        <f t="shared" si="9"/>
        <v>6070.0199999999968</v>
      </c>
    </row>
    <row r="62" spans="8:12" x14ac:dyDescent="0.25">
      <c r="H62" s="4">
        <v>44</v>
      </c>
      <c r="I62" s="5">
        <f t="shared" si="10"/>
        <v>367.69</v>
      </c>
      <c r="J62" s="5">
        <f t="shared" si="11"/>
        <v>19.87</v>
      </c>
      <c r="K62" s="5">
        <f t="shared" si="8"/>
        <v>347.82</v>
      </c>
      <c r="L62" s="5">
        <f t="shared" si="9"/>
        <v>5722.1999999999971</v>
      </c>
    </row>
    <row r="63" spans="8:12" x14ac:dyDescent="0.25">
      <c r="H63" s="4">
        <v>45</v>
      </c>
      <c r="I63" s="5">
        <f t="shared" si="10"/>
        <v>367.69</v>
      </c>
      <c r="J63" s="5">
        <f t="shared" si="11"/>
        <v>18.73</v>
      </c>
      <c r="K63" s="5">
        <f t="shared" si="8"/>
        <v>348.96</v>
      </c>
      <c r="L63" s="5">
        <f t="shared" si="9"/>
        <v>5373.2399999999971</v>
      </c>
    </row>
    <row r="64" spans="8:12" x14ac:dyDescent="0.25">
      <c r="H64" s="4">
        <v>46</v>
      </c>
      <c r="I64" s="5">
        <f t="shared" si="10"/>
        <v>367.69</v>
      </c>
      <c r="J64" s="5">
        <f t="shared" si="11"/>
        <v>17.59</v>
      </c>
      <c r="K64" s="5">
        <f t="shared" si="8"/>
        <v>350.1</v>
      </c>
      <c r="L64" s="5">
        <f t="shared" si="9"/>
        <v>5023.1399999999967</v>
      </c>
    </row>
    <row r="65" spans="8:12" x14ac:dyDescent="0.25">
      <c r="H65" s="4">
        <v>47</v>
      </c>
      <c r="I65" s="5">
        <f t="shared" si="10"/>
        <v>367.69</v>
      </c>
      <c r="J65" s="5">
        <f t="shared" si="11"/>
        <v>16.440000000000001</v>
      </c>
      <c r="K65" s="5">
        <f t="shared" si="8"/>
        <v>351.25</v>
      </c>
      <c r="L65" s="5">
        <f t="shared" si="9"/>
        <v>4671.8899999999967</v>
      </c>
    </row>
    <row r="66" spans="8:12" x14ac:dyDescent="0.25">
      <c r="H66" s="4">
        <v>48</v>
      </c>
      <c r="I66" s="5">
        <f t="shared" si="10"/>
        <v>367.69</v>
      </c>
      <c r="J66" s="5">
        <f t="shared" si="11"/>
        <v>15.29</v>
      </c>
      <c r="K66" s="5">
        <f t="shared" si="8"/>
        <v>352.4</v>
      </c>
      <c r="L66" s="5">
        <f t="shared" si="9"/>
        <v>4319.4899999999971</v>
      </c>
    </row>
    <row r="67" spans="8:12" x14ac:dyDescent="0.25">
      <c r="H67" s="4">
        <v>49</v>
      </c>
      <c r="I67" s="5">
        <f t="shared" si="10"/>
        <v>367.69</v>
      </c>
      <c r="J67" s="5">
        <f t="shared" si="11"/>
        <v>14.14</v>
      </c>
      <c r="K67" s="5">
        <f t="shared" si="8"/>
        <v>353.55</v>
      </c>
      <c r="L67" s="5">
        <f t="shared" si="9"/>
        <v>3965.9399999999969</v>
      </c>
    </row>
    <row r="68" spans="8:12" x14ac:dyDescent="0.25">
      <c r="H68" s="4">
        <v>50</v>
      </c>
      <c r="I68" s="5">
        <f t="shared" si="10"/>
        <v>367.69</v>
      </c>
      <c r="J68" s="5">
        <f t="shared" si="11"/>
        <v>12.98</v>
      </c>
      <c r="K68" s="5">
        <f t="shared" si="8"/>
        <v>354.71</v>
      </c>
      <c r="L68" s="5">
        <f t="shared" si="9"/>
        <v>3611.2299999999968</v>
      </c>
    </row>
    <row r="69" spans="8:12" x14ac:dyDescent="0.25">
      <c r="H69" s="4">
        <v>51</v>
      </c>
      <c r="I69" s="5">
        <f t="shared" si="10"/>
        <v>367.69</v>
      </c>
      <c r="J69" s="5">
        <f t="shared" si="11"/>
        <v>11.82</v>
      </c>
      <c r="K69" s="5">
        <f t="shared" si="8"/>
        <v>355.87</v>
      </c>
      <c r="L69" s="5">
        <f t="shared" si="9"/>
        <v>3255.3599999999969</v>
      </c>
    </row>
    <row r="70" spans="8:12" x14ac:dyDescent="0.25">
      <c r="H70" s="4">
        <v>52</v>
      </c>
      <c r="I70" s="5">
        <f t="shared" si="10"/>
        <v>367.69</v>
      </c>
      <c r="J70" s="5">
        <f t="shared" si="11"/>
        <v>10.66</v>
      </c>
      <c r="K70" s="5">
        <f t="shared" si="8"/>
        <v>357.03</v>
      </c>
      <c r="L70" s="5">
        <f t="shared" si="9"/>
        <v>2898.3299999999972</v>
      </c>
    </row>
    <row r="71" spans="8:12" x14ac:dyDescent="0.25">
      <c r="H71" s="4">
        <v>53</v>
      </c>
      <c r="I71" s="5">
        <f t="shared" si="10"/>
        <v>367.69</v>
      </c>
      <c r="J71" s="5">
        <f t="shared" si="11"/>
        <v>9.49</v>
      </c>
      <c r="K71" s="5">
        <f t="shared" si="8"/>
        <v>358.2</v>
      </c>
      <c r="L71" s="5">
        <f t="shared" si="9"/>
        <v>2540.1299999999974</v>
      </c>
    </row>
    <row r="72" spans="8:12" x14ac:dyDescent="0.25">
      <c r="H72" s="4">
        <v>54</v>
      </c>
      <c r="I72" s="5">
        <f t="shared" si="10"/>
        <v>367.69</v>
      </c>
      <c r="J72" s="5">
        <f t="shared" si="11"/>
        <v>8.32</v>
      </c>
      <c r="K72" s="5">
        <f t="shared" si="8"/>
        <v>359.37</v>
      </c>
      <c r="L72" s="5">
        <f t="shared" si="9"/>
        <v>2180.7599999999975</v>
      </c>
    </row>
    <row r="73" spans="8:12" x14ac:dyDescent="0.25">
      <c r="H73" s="4">
        <v>55</v>
      </c>
      <c r="I73" s="5">
        <f t="shared" si="10"/>
        <v>367.69</v>
      </c>
      <c r="J73" s="5">
        <f t="shared" si="11"/>
        <v>7.14</v>
      </c>
      <c r="K73" s="5">
        <f t="shared" si="8"/>
        <v>360.55</v>
      </c>
      <c r="L73" s="5">
        <f t="shared" si="9"/>
        <v>1820.2099999999975</v>
      </c>
    </row>
    <row r="74" spans="8:12" x14ac:dyDescent="0.25">
      <c r="H74" s="4">
        <v>56</v>
      </c>
      <c r="I74" s="5">
        <f t="shared" si="10"/>
        <v>367.69</v>
      </c>
      <c r="J74" s="5">
        <f t="shared" si="11"/>
        <v>5.96</v>
      </c>
      <c r="K74" s="5">
        <f t="shared" si="8"/>
        <v>361.73</v>
      </c>
      <c r="L74" s="5">
        <f t="shared" si="9"/>
        <v>1458.4799999999975</v>
      </c>
    </row>
    <row r="75" spans="8:12" x14ac:dyDescent="0.25">
      <c r="H75" s="4">
        <v>57</v>
      </c>
      <c r="I75" s="5">
        <f t="shared" si="10"/>
        <v>367.69</v>
      </c>
      <c r="J75" s="5">
        <f t="shared" si="11"/>
        <v>4.7699999999999996</v>
      </c>
      <c r="K75" s="5">
        <f t="shared" si="8"/>
        <v>362.92</v>
      </c>
      <c r="L75" s="5">
        <f t="shared" si="9"/>
        <v>1095.5599999999974</v>
      </c>
    </row>
    <row r="76" spans="8:12" x14ac:dyDescent="0.25">
      <c r="H76" s="4">
        <v>58</v>
      </c>
      <c r="I76" s="5">
        <f t="shared" si="10"/>
        <v>367.69</v>
      </c>
      <c r="J76" s="5">
        <f t="shared" si="11"/>
        <v>3.59</v>
      </c>
      <c r="K76" s="5">
        <f t="shared" si="8"/>
        <v>364.1</v>
      </c>
      <c r="L76" s="5">
        <f t="shared" si="9"/>
        <v>731.45999999999742</v>
      </c>
    </row>
    <row r="77" spans="8:12" x14ac:dyDescent="0.25">
      <c r="H77" s="4">
        <v>59</v>
      </c>
      <c r="I77" s="5">
        <f t="shared" si="10"/>
        <v>367.69</v>
      </c>
      <c r="J77" s="5">
        <f t="shared" si="11"/>
        <v>2.39</v>
      </c>
      <c r="K77" s="5">
        <f t="shared" si="8"/>
        <v>365.3</v>
      </c>
      <c r="L77" s="5">
        <f t="shared" si="9"/>
        <v>366.15999999999741</v>
      </c>
    </row>
    <row r="78" spans="8:12" x14ac:dyDescent="0.25">
      <c r="H78" s="4">
        <v>60</v>
      </c>
      <c r="I78" s="5">
        <f>L77+J78</f>
        <v>367.3599999999974</v>
      </c>
      <c r="J78" s="5">
        <f t="shared" si="11"/>
        <v>1.2</v>
      </c>
      <c r="K78" s="5">
        <f t="shared" si="8"/>
        <v>366.15999999999741</v>
      </c>
      <c r="L78" s="5">
        <f t="shared" si="9"/>
        <v>0</v>
      </c>
    </row>
    <row r="80" spans="8:12" ht="15.6" x14ac:dyDescent="0.3">
      <c r="H80" s="6"/>
      <c r="I80" s="7"/>
      <c r="J80" s="7"/>
      <c r="K80" s="7"/>
      <c r="L80" s="7"/>
    </row>
  </sheetData>
  <mergeCells count="10">
    <mergeCell ref="A15:A16"/>
    <mergeCell ref="B15:B16"/>
    <mergeCell ref="C15:C16"/>
    <mergeCell ref="D15:D16"/>
    <mergeCell ref="E15:E16"/>
    <mergeCell ref="H15:H16"/>
    <mergeCell ref="I15:I16"/>
    <mergeCell ref="J15:J16"/>
    <mergeCell ref="K15:K16"/>
    <mergeCell ref="L15:L16"/>
  </mergeCells>
  <pageMargins left="0.7" right="0.7" top="0.75" bottom="0.75" header="0.3" footer="0.3"/>
  <pageSetup paperSize="9" orientation="portrait" horizontalDpi="300" verticalDpi="300" r:id="rId1"/>
  <ignoredErrors>
    <ignoredError sqref="A17:E17 H17:L17" numberStoredAsText="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46AC-7725-40F4-BC20-76F8FE6AA10C}">
  <dimension ref="A1:N89"/>
  <sheetViews>
    <sheetView zoomScaleNormal="100" workbookViewId="0">
      <selection activeCell="D3" sqref="D3"/>
    </sheetView>
  </sheetViews>
  <sheetFormatPr defaultColWidth="9.109375" defaultRowHeight="15" x14ac:dyDescent="0.25"/>
  <cols>
    <col min="1" max="1" width="20.6640625" style="35" customWidth="1"/>
    <col min="2" max="2" width="16.6640625" style="35" customWidth="1"/>
    <col min="3" max="3" width="15.6640625" style="35" customWidth="1"/>
    <col min="4" max="4" width="13.6640625" style="35" customWidth="1"/>
    <col min="5" max="6" width="15.6640625" style="35" customWidth="1"/>
    <col min="7" max="8" width="8.6640625" style="35" customWidth="1"/>
    <col min="9" max="9" width="20.6640625" style="35" customWidth="1"/>
    <col min="10" max="10" width="14.88671875" style="35" bestFit="1" customWidth="1"/>
    <col min="11" max="11" width="15.6640625" style="35" customWidth="1"/>
    <col min="12" max="12" width="13.6640625" style="35" customWidth="1"/>
    <col min="13" max="14" width="15.6640625" style="35" customWidth="1"/>
    <col min="15" max="16384" width="9.109375" style="35"/>
  </cols>
  <sheetData>
    <row r="1" spans="1:11" ht="15.6" x14ac:dyDescent="0.3">
      <c r="A1" s="1" t="s">
        <v>61</v>
      </c>
      <c r="I1" s="1" t="s">
        <v>62</v>
      </c>
    </row>
    <row r="2" spans="1:11" ht="15.6" x14ac:dyDescent="0.3">
      <c r="A2" s="35" t="s">
        <v>19</v>
      </c>
      <c r="I2" s="35" t="s">
        <v>19</v>
      </c>
    </row>
    <row r="3" spans="1:11" x14ac:dyDescent="0.25">
      <c r="A3" s="35" t="s">
        <v>0</v>
      </c>
      <c r="I3" s="35" t="s">
        <v>0</v>
      </c>
    </row>
    <row r="4" spans="1:11" x14ac:dyDescent="0.25">
      <c r="A4" s="35" t="s">
        <v>1</v>
      </c>
      <c r="I4" s="35" t="s">
        <v>1</v>
      </c>
    </row>
    <row r="7" spans="1:11" ht="15.6" x14ac:dyDescent="0.3">
      <c r="A7" s="1" t="s">
        <v>2</v>
      </c>
      <c r="B7" s="1" t="s">
        <v>3</v>
      </c>
      <c r="C7" s="1" t="s">
        <v>4</v>
      </c>
      <c r="I7" s="1" t="s">
        <v>2</v>
      </c>
      <c r="J7" s="1" t="s">
        <v>3</v>
      </c>
      <c r="K7" s="1" t="s">
        <v>4</v>
      </c>
    </row>
    <row r="8" spans="1:11" x14ac:dyDescent="0.25">
      <c r="A8" s="35" t="s">
        <v>20</v>
      </c>
      <c r="B8" s="36">
        <v>120000</v>
      </c>
      <c r="C8" s="35" t="s">
        <v>5</v>
      </c>
      <c r="I8" s="35" t="s">
        <v>24</v>
      </c>
      <c r="J8" s="36">
        <v>20000</v>
      </c>
      <c r="K8" s="35" t="s">
        <v>5</v>
      </c>
    </row>
    <row r="9" spans="1:11" x14ac:dyDescent="0.25">
      <c r="A9" s="35" t="s">
        <v>39</v>
      </c>
      <c r="B9" s="37">
        <v>0.04</v>
      </c>
      <c r="C9" s="35" t="s">
        <v>6</v>
      </c>
      <c r="I9" s="35" t="s">
        <v>45</v>
      </c>
      <c r="J9" s="37">
        <v>0.04</v>
      </c>
      <c r="K9" s="35" t="s">
        <v>6</v>
      </c>
    </row>
    <row r="10" spans="1:11" x14ac:dyDescent="0.25">
      <c r="A10" s="35" t="s">
        <v>40</v>
      </c>
      <c r="B10" s="37">
        <v>0.05</v>
      </c>
      <c r="C10" s="35" t="s">
        <v>6</v>
      </c>
      <c r="I10" s="35" t="s">
        <v>52</v>
      </c>
      <c r="J10" s="38">
        <f>(1+interest_BY_old)^(1/12) - 1</f>
        <v>3.2737397821989145E-3</v>
      </c>
      <c r="K10" s="35" t="s">
        <v>7</v>
      </c>
    </row>
    <row r="11" spans="1:11" x14ac:dyDescent="0.25">
      <c r="A11" s="35" t="s">
        <v>41</v>
      </c>
      <c r="B11" s="39">
        <v>2</v>
      </c>
      <c r="C11" s="35" t="s">
        <v>42</v>
      </c>
      <c r="I11" s="35" t="s">
        <v>46</v>
      </c>
      <c r="J11" s="37">
        <v>0.05</v>
      </c>
      <c r="K11" s="35" t="s">
        <v>6</v>
      </c>
    </row>
    <row r="12" spans="1:11" x14ac:dyDescent="0.25">
      <c r="A12" s="35" t="s">
        <v>22</v>
      </c>
      <c r="B12" s="39">
        <v>25</v>
      </c>
      <c r="C12" s="35" t="s">
        <v>8</v>
      </c>
      <c r="I12" s="35" t="s">
        <v>47</v>
      </c>
      <c r="J12" s="38" cm="1">
        <f t="array" ref="J12">(1+interest_BY_new)^(1/12)-1</f>
        <v>4.0741237836483535E-3</v>
      </c>
      <c r="K12" s="35" t="s">
        <v>7</v>
      </c>
    </row>
    <row r="13" spans="1:11" x14ac:dyDescent="0.25">
      <c r="A13" s="35" t="s">
        <v>43</v>
      </c>
      <c r="B13" s="40">
        <f>ROUND(PMT(interest_A_old,term_A,-loan_A,0,0), 2)</f>
        <v>7681.44</v>
      </c>
      <c r="C13" s="35" t="s">
        <v>17</v>
      </c>
      <c r="I13" s="35" t="s">
        <v>50</v>
      </c>
      <c r="J13" s="39">
        <v>24</v>
      </c>
      <c r="K13" s="35" t="s">
        <v>51</v>
      </c>
    </row>
    <row r="14" spans="1:11" x14ac:dyDescent="0.25">
      <c r="A14" s="35" t="s">
        <v>92</v>
      </c>
      <c r="B14" s="41">
        <f>VLOOKUP(interest_A_change,A28:F52,6,0)</f>
        <v>114121.86</v>
      </c>
      <c r="C14" s="35" t="s">
        <v>95</v>
      </c>
      <c r="I14" s="35" t="s">
        <v>27</v>
      </c>
      <c r="J14" s="39">
        <v>60</v>
      </c>
      <c r="K14" s="35" t="s">
        <v>9</v>
      </c>
    </row>
    <row r="15" spans="1:11" x14ac:dyDescent="0.25">
      <c r="A15" s="35" t="s">
        <v>44</v>
      </c>
      <c r="B15" s="40">
        <f>ROUND(PMT(interest_A_new,term_A-B11,-cap_rem_A,0,0),2)</f>
        <v>8460.6299999999992</v>
      </c>
      <c r="C15" s="35" t="s">
        <v>17</v>
      </c>
      <c r="I15" s="35" t="s">
        <v>48</v>
      </c>
      <c r="J15" s="40">
        <f>ROUND(PMT(J10,term_B,-loan_B,0,0),2)</f>
        <v>367.69</v>
      </c>
      <c r="K15" s="35" t="s">
        <v>10</v>
      </c>
    </row>
    <row r="16" spans="1:11" x14ac:dyDescent="0.25">
      <c r="I16" s="35" t="s">
        <v>93</v>
      </c>
      <c r="J16" s="41">
        <f>VLOOKUP(J13,I28:N87,6,0)</f>
        <v>12467.09</v>
      </c>
      <c r="K16" s="35" t="s">
        <v>96</v>
      </c>
    </row>
    <row r="17" spans="1:14" x14ac:dyDescent="0.25">
      <c r="I17" s="35" t="s">
        <v>49</v>
      </c>
      <c r="J17" s="40">
        <f>ROUND(PMT(interest_BM_new,term_B-J13,-cap_rem_B,0,0),2)</f>
        <v>373.03</v>
      </c>
      <c r="K17" s="35" t="s">
        <v>10</v>
      </c>
    </row>
    <row r="18" spans="1:14" x14ac:dyDescent="0.25">
      <c r="A18" s="42" t="s">
        <v>53</v>
      </c>
      <c r="B18" s="42"/>
      <c r="C18" s="42"/>
      <c r="J18" s="40"/>
    </row>
    <row r="19" spans="1:14" x14ac:dyDescent="0.25">
      <c r="A19" s="43" t="s">
        <v>94</v>
      </c>
      <c r="B19" s="43"/>
      <c r="C19" s="43"/>
      <c r="D19" s="43"/>
      <c r="E19" s="43"/>
      <c r="I19" s="44" t="s">
        <v>53</v>
      </c>
      <c r="J19" s="44"/>
      <c r="K19" s="44"/>
    </row>
    <row r="20" spans="1:14" x14ac:dyDescent="0.25">
      <c r="I20" s="43" t="s">
        <v>94</v>
      </c>
      <c r="J20" s="43"/>
      <c r="K20" s="43"/>
      <c r="L20" s="43"/>
      <c r="M20" s="43"/>
    </row>
    <row r="21" spans="1:14" x14ac:dyDescent="0.25">
      <c r="J21" s="40"/>
    </row>
    <row r="22" spans="1:14" ht="15.45" customHeight="1" x14ac:dyDescent="0.3">
      <c r="A22" s="14" t="s">
        <v>15</v>
      </c>
      <c r="B22" s="14"/>
      <c r="C22" s="13">
        <f>SUM(C28:C104)</f>
        <v>209957.46000000005</v>
      </c>
      <c r="D22" s="13">
        <f t="shared" ref="D22:E22" si="0">SUM(D28:D104)</f>
        <v>89957.459999999992</v>
      </c>
      <c r="E22" s="13">
        <f t="shared" si="0"/>
        <v>119999.99999999999</v>
      </c>
      <c r="I22" s="14" t="s">
        <v>15</v>
      </c>
      <c r="J22" s="14"/>
      <c r="K22" s="13">
        <f>SUM(K28:K104)</f>
        <v>22253.549999999992</v>
      </c>
      <c r="L22" s="13">
        <f t="shared" ref="L22:M22" si="1">SUM(L28:L104)</f>
        <v>2253.5500000000006</v>
      </c>
      <c r="M22" s="13">
        <f t="shared" si="1"/>
        <v>19999.999999999996</v>
      </c>
    </row>
    <row r="23" spans="1:14" ht="15.6" x14ac:dyDescent="0.25">
      <c r="A23" s="33" t="s">
        <v>16</v>
      </c>
      <c r="B23" s="33" t="s">
        <v>54</v>
      </c>
      <c r="C23" s="33" t="s">
        <v>11</v>
      </c>
      <c r="D23" s="33" t="s">
        <v>12</v>
      </c>
      <c r="E23" s="33" t="s">
        <v>13</v>
      </c>
      <c r="F23" s="33" t="s">
        <v>14</v>
      </c>
      <c r="G23" s="33"/>
      <c r="H23" s="16"/>
      <c r="I23" s="33" t="s">
        <v>18</v>
      </c>
      <c r="J23" s="33" t="s">
        <v>54</v>
      </c>
      <c r="K23" s="33" t="s">
        <v>11</v>
      </c>
      <c r="L23" s="33" t="s">
        <v>12</v>
      </c>
      <c r="M23" s="33" t="s">
        <v>13</v>
      </c>
      <c r="N23" s="33" t="s">
        <v>14</v>
      </c>
    </row>
    <row r="24" spans="1:14" ht="15.6" x14ac:dyDescent="0.25">
      <c r="A24" s="33"/>
      <c r="B24" s="33"/>
      <c r="C24" s="33"/>
      <c r="D24" s="33"/>
      <c r="E24" s="33"/>
      <c r="F24" s="33"/>
      <c r="G24" s="33"/>
      <c r="H24" s="16"/>
      <c r="I24" s="33"/>
      <c r="J24" s="33"/>
      <c r="K24" s="33"/>
      <c r="L24" s="33"/>
      <c r="M24" s="33"/>
      <c r="N24" s="33"/>
    </row>
    <row r="25" spans="1:14" ht="15.6" x14ac:dyDescent="0.25">
      <c r="A25" s="33"/>
      <c r="B25" s="33"/>
      <c r="C25" s="33"/>
      <c r="D25" s="33"/>
      <c r="E25" s="33"/>
      <c r="F25" s="33"/>
      <c r="G25" s="16"/>
      <c r="H25" s="16"/>
      <c r="I25" s="33"/>
      <c r="J25" s="33"/>
      <c r="K25" s="33"/>
      <c r="L25" s="33"/>
      <c r="M25" s="33"/>
      <c r="N25" s="33"/>
    </row>
    <row r="26" spans="1:14" ht="15.6" x14ac:dyDescent="0.3">
      <c r="A26" s="11" t="s">
        <v>29</v>
      </c>
      <c r="B26" s="11" t="s">
        <v>30</v>
      </c>
      <c r="C26" s="11" t="s">
        <v>31</v>
      </c>
      <c r="D26" s="11" t="s">
        <v>32</v>
      </c>
      <c r="E26" s="11" t="s">
        <v>33</v>
      </c>
      <c r="F26" s="11" t="s">
        <v>34</v>
      </c>
      <c r="G26" s="12"/>
      <c r="H26" s="12"/>
      <c r="I26" s="11" t="s">
        <v>35</v>
      </c>
      <c r="J26" s="11" t="s">
        <v>36</v>
      </c>
      <c r="K26" s="11" t="s">
        <v>37</v>
      </c>
      <c r="L26" s="11" t="s">
        <v>38</v>
      </c>
      <c r="M26" s="11" t="s">
        <v>55</v>
      </c>
      <c r="N26" s="11" t="s">
        <v>56</v>
      </c>
    </row>
    <row r="27" spans="1:14" ht="15.6" x14ac:dyDescent="0.3">
      <c r="A27" s="8">
        <v>0</v>
      </c>
      <c r="B27" s="8"/>
      <c r="F27" s="45">
        <f>loan_A</f>
        <v>120000</v>
      </c>
      <c r="I27" s="46">
        <v>0</v>
      </c>
      <c r="J27" s="46"/>
      <c r="N27" s="45">
        <f>loan_B</f>
        <v>20000</v>
      </c>
    </row>
    <row r="28" spans="1:14" ht="15.6" x14ac:dyDescent="0.3">
      <c r="A28" s="8">
        <v>1</v>
      </c>
      <c r="B28" s="46">
        <f t="shared" ref="B28:B52" si="2">IF(A28&lt;=interest_A_change,interest_A_old,interest_A_new)</f>
        <v>0.04</v>
      </c>
      <c r="C28" s="40">
        <f t="shared" ref="C28:C51" si="3">IF(A28&gt;interest_A_change, repayment_A_new, repayment_A_old)</f>
        <v>7681.44</v>
      </c>
      <c r="D28" s="45">
        <f>ROUND(F27*B28,2)</f>
        <v>4800</v>
      </c>
      <c r="E28" s="40">
        <f>C28-D28</f>
        <v>2881.4399999999996</v>
      </c>
      <c r="F28" s="45">
        <f>F27-E28</f>
        <v>117118.56</v>
      </c>
      <c r="I28" s="46">
        <v>1</v>
      </c>
      <c r="J28" s="47">
        <f t="shared" ref="J28:J59" si="4">IF(I28&lt;=interest_B_change,interest_BM_old,interest_BM_new)</f>
        <v>3.2737397821989145E-3</v>
      </c>
      <c r="K28" s="45">
        <f t="shared" ref="K28:K59" si="5">IF(I28&gt;interest_B_change, repayment_B_new, repayment_B_old)</f>
        <v>367.69</v>
      </c>
      <c r="L28" s="45">
        <f>ROUND(N27*J28,2)</f>
        <v>65.47</v>
      </c>
      <c r="M28" s="45">
        <f>K28-L28</f>
        <v>302.22000000000003</v>
      </c>
      <c r="N28" s="45">
        <f>N27-M28</f>
        <v>19697.78</v>
      </c>
    </row>
    <row r="29" spans="1:14" ht="15.6" x14ac:dyDescent="0.3">
      <c r="A29" s="8">
        <v>2</v>
      </c>
      <c r="B29" s="46">
        <f t="shared" si="2"/>
        <v>0.04</v>
      </c>
      <c r="C29" s="40">
        <f t="shared" si="3"/>
        <v>7681.44</v>
      </c>
      <c r="D29" s="45">
        <f t="shared" ref="D29:D52" si="6">ROUND(F28*B29,2)</f>
        <v>4684.74</v>
      </c>
      <c r="E29" s="40">
        <f t="shared" ref="E29:E52" si="7">C29-D29</f>
        <v>2996.7</v>
      </c>
      <c r="F29" s="48">
        <f t="shared" ref="F29:F52" si="8">F28-E29</f>
        <v>114121.86</v>
      </c>
      <c r="G29" s="40"/>
      <c r="H29" s="40"/>
      <c r="I29" s="46">
        <v>2</v>
      </c>
      <c r="J29" s="47">
        <f t="shared" si="4"/>
        <v>3.2737397821989145E-3</v>
      </c>
      <c r="K29" s="45">
        <f t="shared" si="5"/>
        <v>367.69</v>
      </c>
      <c r="L29" s="45">
        <f t="shared" ref="L29:L87" si="9">ROUND(N28*J29,2)</f>
        <v>64.489999999999995</v>
      </c>
      <c r="M29" s="45">
        <f t="shared" ref="M29:M87" si="10">K29-L29</f>
        <v>303.2</v>
      </c>
      <c r="N29" s="45">
        <f t="shared" ref="N29:N87" si="11">N28-M29</f>
        <v>19394.579999999998</v>
      </c>
    </row>
    <row r="30" spans="1:14" ht="15.6" x14ac:dyDescent="0.3">
      <c r="A30" s="8">
        <v>3</v>
      </c>
      <c r="B30" s="46">
        <f t="shared" si="2"/>
        <v>0.05</v>
      </c>
      <c r="C30" s="40">
        <f t="shared" si="3"/>
        <v>8460.6299999999992</v>
      </c>
      <c r="D30" s="45">
        <f t="shared" si="6"/>
        <v>5706.09</v>
      </c>
      <c r="E30" s="40">
        <f t="shared" si="7"/>
        <v>2754.5399999999991</v>
      </c>
      <c r="F30" s="45">
        <f t="shared" si="8"/>
        <v>111367.32</v>
      </c>
      <c r="I30" s="46">
        <v>3</v>
      </c>
      <c r="J30" s="47">
        <f t="shared" si="4"/>
        <v>3.2737397821989145E-3</v>
      </c>
      <c r="K30" s="45">
        <f t="shared" si="5"/>
        <v>367.69</v>
      </c>
      <c r="L30" s="45">
        <f t="shared" si="9"/>
        <v>63.49</v>
      </c>
      <c r="M30" s="45">
        <f t="shared" si="10"/>
        <v>304.2</v>
      </c>
      <c r="N30" s="45">
        <f t="shared" si="11"/>
        <v>19090.379999999997</v>
      </c>
    </row>
    <row r="31" spans="1:14" ht="15.6" x14ac:dyDescent="0.3">
      <c r="A31" s="8">
        <v>4</v>
      </c>
      <c r="B31" s="46">
        <f t="shared" si="2"/>
        <v>0.05</v>
      </c>
      <c r="C31" s="40">
        <f t="shared" si="3"/>
        <v>8460.6299999999992</v>
      </c>
      <c r="D31" s="45">
        <f t="shared" si="6"/>
        <v>5568.37</v>
      </c>
      <c r="E31" s="40">
        <f t="shared" si="7"/>
        <v>2892.2599999999993</v>
      </c>
      <c r="F31" s="45">
        <f t="shared" si="8"/>
        <v>108475.06000000001</v>
      </c>
      <c r="I31" s="46">
        <v>4</v>
      </c>
      <c r="J31" s="47">
        <f t="shared" si="4"/>
        <v>3.2737397821989145E-3</v>
      </c>
      <c r="K31" s="45">
        <f t="shared" si="5"/>
        <v>367.69</v>
      </c>
      <c r="L31" s="45">
        <f t="shared" si="9"/>
        <v>62.5</v>
      </c>
      <c r="M31" s="45">
        <f t="shared" si="10"/>
        <v>305.19</v>
      </c>
      <c r="N31" s="45">
        <f t="shared" si="11"/>
        <v>18785.189999999999</v>
      </c>
    </row>
    <row r="32" spans="1:14" ht="15.6" x14ac:dyDescent="0.3">
      <c r="A32" s="8">
        <v>5</v>
      </c>
      <c r="B32" s="46">
        <f t="shared" si="2"/>
        <v>0.05</v>
      </c>
      <c r="C32" s="40">
        <f t="shared" si="3"/>
        <v>8460.6299999999992</v>
      </c>
      <c r="D32" s="45">
        <f t="shared" si="6"/>
        <v>5423.75</v>
      </c>
      <c r="E32" s="40">
        <f t="shared" si="7"/>
        <v>3036.8799999999992</v>
      </c>
      <c r="F32" s="45">
        <f t="shared" si="8"/>
        <v>105438.18000000001</v>
      </c>
      <c r="I32" s="46">
        <v>5</v>
      </c>
      <c r="J32" s="47">
        <f t="shared" si="4"/>
        <v>3.2737397821989145E-3</v>
      </c>
      <c r="K32" s="45">
        <f t="shared" si="5"/>
        <v>367.69</v>
      </c>
      <c r="L32" s="45">
        <f t="shared" si="9"/>
        <v>61.5</v>
      </c>
      <c r="M32" s="45">
        <f t="shared" si="10"/>
        <v>306.19</v>
      </c>
      <c r="N32" s="45">
        <f t="shared" si="11"/>
        <v>18479</v>
      </c>
    </row>
    <row r="33" spans="1:14" ht="15.6" x14ac:dyDescent="0.3">
      <c r="A33" s="8">
        <v>6</v>
      </c>
      <c r="B33" s="46">
        <f t="shared" si="2"/>
        <v>0.05</v>
      </c>
      <c r="C33" s="40">
        <f t="shared" si="3"/>
        <v>8460.6299999999992</v>
      </c>
      <c r="D33" s="45">
        <f t="shared" si="6"/>
        <v>5271.91</v>
      </c>
      <c r="E33" s="40">
        <f t="shared" si="7"/>
        <v>3188.7199999999993</v>
      </c>
      <c r="F33" s="45">
        <f t="shared" si="8"/>
        <v>102249.46</v>
      </c>
      <c r="I33" s="46">
        <v>6</v>
      </c>
      <c r="J33" s="47">
        <f t="shared" si="4"/>
        <v>3.2737397821989145E-3</v>
      </c>
      <c r="K33" s="45">
        <f t="shared" si="5"/>
        <v>367.69</v>
      </c>
      <c r="L33" s="45">
        <f t="shared" si="9"/>
        <v>60.5</v>
      </c>
      <c r="M33" s="45">
        <f t="shared" si="10"/>
        <v>307.19</v>
      </c>
      <c r="N33" s="45">
        <f t="shared" si="11"/>
        <v>18171.810000000001</v>
      </c>
    </row>
    <row r="34" spans="1:14" ht="15.6" x14ac:dyDescent="0.3">
      <c r="A34" s="8">
        <v>7</v>
      </c>
      <c r="B34" s="46">
        <f t="shared" si="2"/>
        <v>0.05</v>
      </c>
      <c r="C34" s="40">
        <f t="shared" si="3"/>
        <v>8460.6299999999992</v>
      </c>
      <c r="D34" s="45">
        <f t="shared" si="6"/>
        <v>5112.47</v>
      </c>
      <c r="E34" s="40">
        <f t="shared" si="7"/>
        <v>3348.1599999999989</v>
      </c>
      <c r="F34" s="45">
        <f t="shared" si="8"/>
        <v>98901.3</v>
      </c>
      <c r="I34" s="46">
        <v>7</v>
      </c>
      <c r="J34" s="47">
        <f t="shared" si="4"/>
        <v>3.2737397821989145E-3</v>
      </c>
      <c r="K34" s="45">
        <f t="shared" si="5"/>
        <v>367.69</v>
      </c>
      <c r="L34" s="45">
        <f t="shared" si="9"/>
        <v>59.49</v>
      </c>
      <c r="M34" s="45">
        <f t="shared" si="10"/>
        <v>308.2</v>
      </c>
      <c r="N34" s="45">
        <f t="shared" si="11"/>
        <v>17863.61</v>
      </c>
    </row>
    <row r="35" spans="1:14" ht="15.6" x14ac:dyDescent="0.3">
      <c r="A35" s="8">
        <v>8</v>
      </c>
      <c r="B35" s="46">
        <f t="shared" si="2"/>
        <v>0.05</v>
      </c>
      <c r="C35" s="40">
        <f t="shared" si="3"/>
        <v>8460.6299999999992</v>
      </c>
      <c r="D35" s="45">
        <f t="shared" si="6"/>
        <v>4945.07</v>
      </c>
      <c r="E35" s="40">
        <f t="shared" si="7"/>
        <v>3515.5599999999995</v>
      </c>
      <c r="F35" s="45">
        <f t="shared" si="8"/>
        <v>95385.74</v>
      </c>
      <c r="I35" s="46">
        <v>8</v>
      </c>
      <c r="J35" s="47">
        <f t="shared" si="4"/>
        <v>3.2737397821989145E-3</v>
      </c>
      <c r="K35" s="45">
        <f t="shared" si="5"/>
        <v>367.69</v>
      </c>
      <c r="L35" s="45">
        <f t="shared" si="9"/>
        <v>58.48</v>
      </c>
      <c r="M35" s="45">
        <f t="shared" si="10"/>
        <v>309.20999999999998</v>
      </c>
      <c r="N35" s="45">
        <f t="shared" si="11"/>
        <v>17554.400000000001</v>
      </c>
    </row>
    <row r="36" spans="1:14" ht="15.6" x14ac:dyDescent="0.3">
      <c r="A36" s="8">
        <v>9</v>
      </c>
      <c r="B36" s="46">
        <f t="shared" si="2"/>
        <v>0.05</v>
      </c>
      <c r="C36" s="40">
        <f t="shared" si="3"/>
        <v>8460.6299999999992</v>
      </c>
      <c r="D36" s="45">
        <f t="shared" si="6"/>
        <v>4769.29</v>
      </c>
      <c r="E36" s="40">
        <f t="shared" si="7"/>
        <v>3691.3399999999992</v>
      </c>
      <c r="F36" s="45">
        <f t="shared" si="8"/>
        <v>91694.400000000009</v>
      </c>
      <c r="I36" s="46">
        <v>9</v>
      </c>
      <c r="J36" s="47">
        <f t="shared" si="4"/>
        <v>3.2737397821989145E-3</v>
      </c>
      <c r="K36" s="45">
        <f t="shared" si="5"/>
        <v>367.69</v>
      </c>
      <c r="L36" s="45">
        <f t="shared" si="9"/>
        <v>57.47</v>
      </c>
      <c r="M36" s="45">
        <f t="shared" si="10"/>
        <v>310.22000000000003</v>
      </c>
      <c r="N36" s="45">
        <f t="shared" si="11"/>
        <v>17244.18</v>
      </c>
    </row>
    <row r="37" spans="1:14" ht="15.6" x14ac:dyDescent="0.3">
      <c r="A37" s="8">
        <v>10</v>
      </c>
      <c r="B37" s="46">
        <f t="shared" si="2"/>
        <v>0.05</v>
      </c>
      <c r="C37" s="40">
        <f t="shared" si="3"/>
        <v>8460.6299999999992</v>
      </c>
      <c r="D37" s="45">
        <f t="shared" si="6"/>
        <v>4584.72</v>
      </c>
      <c r="E37" s="40">
        <f t="shared" si="7"/>
        <v>3875.9099999999989</v>
      </c>
      <c r="F37" s="45">
        <f t="shared" si="8"/>
        <v>87818.49</v>
      </c>
      <c r="I37" s="46">
        <v>10</v>
      </c>
      <c r="J37" s="47">
        <f t="shared" si="4"/>
        <v>3.2737397821989145E-3</v>
      </c>
      <c r="K37" s="45">
        <f t="shared" si="5"/>
        <v>367.69</v>
      </c>
      <c r="L37" s="45">
        <f t="shared" si="9"/>
        <v>56.45</v>
      </c>
      <c r="M37" s="45">
        <f t="shared" si="10"/>
        <v>311.24</v>
      </c>
      <c r="N37" s="45">
        <f t="shared" si="11"/>
        <v>16932.939999999999</v>
      </c>
    </row>
    <row r="38" spans="1:14" ht="15.6" x14ac:dyDescent="0.3">
      <c r="A38" s="8">
        <v>11</v>
      </c>
      <c r="B38" s="46">
        <f t="shared" si="2"/>
        <v>0.05</v>
      </c>
      <c r="C38" s="40">
        <f t="shared" si="3"/>
        <v>8460.6299999999992</v>
      </c>
      <c r="D38" s="45">
        <f t="shared" si="6"/>
        <v>4390.92</v>
      </c>
      <c r="E38" s="40">
        <f t="shared" si="7"/>
        <v>4069.7099999999991</v>
      </c>
      <c r="F38" s="45">
        <f t="shared" si="8"/>
        <v>83748.78</v>
      </c>
      <c r="I38" s="46">
        <v>11</v>
      </c>
      <c r="J38" s="47">
        <f t="shared" si="4"/>
        <v>3.2737397821989145E-3</v>
      </c>
      <c r="K38" s="45">
        <f t="shared" si="5"/>
        <v>367.69</v>
      </c>
      <c r="L38" s="45">
        <f t="shared" si="9"/>
        <v>55.43</v>
      </c>
      <c r="M38" s="45">
        <f t="shared" si="10"/>
        <v>312.26</v>
      </c>
      <c r="N38" s="45">
        <f t="shared" si="11"/>
        <v>16620.68</v>
      </c>
    </row>
    <row r="39" spans="1:14" ht="15.6" x14ac:dyDescent="0.3">
      <c r="A39" s="8">
        <v>12</v>
      </c>
      <c r="B39" s="46">
        <f t="shared" si="2"/>
        <v>0.05</v>
      </c>
      <c r="C39" s="40">
        <f t="shared" si="3"/>
        <v>8460.6299999999992</v>
      </c>
      <c r="D39" s="45">
        <f t="shared" si="6"/>
        <v>4187.4399999999996</v>
      </c>
      <c r="E39" s="40">
        <f t="shared" si="7"/>
        <v>4273.1899999999996</v>
      </c>
      <c r="F39" s="45">
        <f t="shared" si="8"/>
        <v>79475.59</v>
      </c>
      <c r="I39" s="46">
        <v>12</v>
      </c>
      <c r="J39" s="47">
        <f t="shared" si="4"/>
        <v>3.2737397821989145E-3</v>
      </c>
      <c r="K39" s="45">
        <f t="shared" si="5"/>
        <v>367.69</v>
      </c>
      <c r="L39" s="45">
        <f t="shared" si="9"/>
        <v>54.41</v>
      </c>
      <c r="M39" s="45">
        <f t="shared" si="10"/>
        <v>313.27999999999997</v>
      </c>
      <c r="N39" s="45">
        <f t="shared" si="11"/>
        <v>16307.4</v>
      </c>
    </row>
    <row r="40" spans="1:14" ht="15.6" x14ac:dyDescent="0.3">
      <c r="A40" s="8">
        <v>13</v>
      </c>
      <c r="B40" s="46">
        <f t="shared" si="2"/>
        <v>0.05</v>
      </c>
      <c r="C40" s="40">
        <f t="shared" si="3"/>
        <v>8460.6299999999992</v>
      </c>
      <c r="D40" s="45">
        <f t="shared" si="6"/>
        <v>3973.78</v>
      </c>
      <c r="E40" s="40">
        <f t="shared" si="7"/>
        <v>4486.8499999999985</v>
      </c>
      <c r="F40" s="45">
        <f t="shared" si="8"/>
        <v>74988.739999999991</v>
      </c>
      <c r="I40" s="46">
        <v>13</v>
      </c>
      <c r="J40" s="47">
        <f t="shared" si="4"/>
        <v>3.2737397821989145E-3</v>
      </c>
      <c r="K40" s="45">
        <f t="shared" si="5"/>
        <v>367.69</v>
      </c>
      <c r="L40" s="45">
        <f t="shared" si="9"/>
        <v>53.39</v>
      </c>
      <c r="M40" s="45">
        <f t="shared" si="10"/>
        <v>314.3</v>
      </c>
      <c r="N40" s="45">
        <f t="shared" si="11"/>
        <v>15993.1</v>
      </c>
    </row>
    <row r="41" spans="1:14" ht="15.6" x14ac:dyDescent="0.3">
      <c r="A41" s="8">
        <v>14</v>
      </c>
      <c r="B41" s="46">
        <f t="shared" si="2"/>
        <v>0.05</v>
      </c>
      <c r="C41" s="40">
        <f t="shared" si="3"/>
        <v>8460.6299999999992</v>
      </c>
      <c r="D41" s="45">
        <f t="shared" si="6"/>
        <v>3749.44</v>
      </c>
      <c r="E41" s="40">
        <f t="shared" si="7"/>
        <v>4711.1899999999987</v>
      </c>
      <c r="F41" s="45">
        <f t="shared" si="8"/>
        <v>70277.549999999988</v>
      </c>
      <c r="I41" s="46">
        <v>14</v>
      </c>
      <c r="J41" s="47">
        <f t="shared" si="4"/>
        <v>3.2737397821989145E-3</v>
      </c>
      <c r="K41" s="45">
        <f t="shared" si="5"/>
        <v>367.69</v>
      </c>
      <c r="L41" s="45">
        <f t="shared" si="9"/>
        <v>52.36</v>
      </c>
      <c r="M41" s="45">
        <f t="shared" si="10"/>
        <v>315.33</v>
      </c>
      <c r="N41" s="45">
        <f t="shared" si="11"/>
        <v>15677.77</v>
      </c>
    </row>
    <row r="42" spans="1:14" ht="15.6" x14ac:dyDescent="0.3">
      <c r="A42" s="8">
        <v>15</v>
      </c>
      <c r="B42" s="46">
        <f t="shared" si="2"/>
        <v>0.05</v>
      </c>
      <c r="C42" s="40">
        <f t="shared" si="3"/>
        <v>8460.6299999999992</v>
      </c>
      <c r="D42" s="45">
        <f t="shared" si="6"/>
        <v>3513.88</v>
      </c>
      <c r="E42" s="40">
        <f t="shared" si="7"/>
        <v>4946.7499999999991</v>
      </c>
      <c r="F42" s="45">
        <f t="shared" si="8"/>
        <v>65330.799999999988</v>
      </c>
      <c r="I42" s="46">
        <v>15</v>
      </c>
      <c r="J42" s="47">
        <f t="shared" si="4"/>
        <v>3.2737397821989145E-3</v>
      </c>
      <c r="K42" s="45">
        <f t="shared" si="5"/>
        <v>367.69</v>
      </c>
      <c r="L42" s="45">
        <f t="shared" si="9"/>
        <v>51.32</v>
      </c>
      <c r="M42" s="45">
        <f t="shared" si="10"/>
        <v>316.37</v>
      </c>
      <c r="N42" s="45">
        <f t="shared" si="11"/>
        <v>15361.4</v>
      </c>
    </row>
    <row r="43" spans="1:14" ht="15.6" x14ac:dyDescent="0.3">
      <c r="A43" s="8">
        <v>16</v>
      </c>
      <c r="B43" s="46">
        <f t="shared" si="2"/>
        <v>0.05</v>
      </c>
      <c r="C43" s="40">
        <f t="shared" si="3"/>
        <v>8460.6299999999992</v>
      </c>
      <c r="D43" s="45">
        <f t="shared" si="6"/>
        <v>3266.54</v>
      </c>
      <c r="E43" s="40">
        <f t="shared" si="7"/>
        <v>5194.0899999999992</v>
      </c>
      <c r="F43" s="45">
        <f t="shared" si="8"/>
        <v>60136.709999999992</v>
      </c>
      <c r="I43" s="46">
        <v>16</v>
      </c>
      <c r="J43" s="47">
        <f t="shared" si="4"/>
        <v>3.2737397821989145E-3</v>
      </c>
      <c r="K43" s="45">
        <f t="shared" si="5"/>
        <v>367.69</v>
      </c>
      <c r="L43" s="45">
        <f t="shared" si="9"/>
        <v>50.29</v>
      </c>
      <c r="M43" s="45">
        <f t="shared" si="10"/>
        <v>317.39999999999998</v>
      </c>
      <c r="N43" s="45">
        <f t="shared" si="11"/>
        <v>15044</v>
      </c>
    </row>
    <row r="44" spans="1:14" ht="15.6" x14ac:dyDescent="0.3">
      <c r="A44" s="8">
        <v>17</v>
      </c>
      <c r="B44" s="46">
        <f t="shared" si="2"/>
        <v>0.05</v>
      </c>
      <c r="C44" s="40">
        <f t="shared" si="3"/>
        <v>8460.6299999999992</v>
      </c>
      <c r="D44" s="45">
        <f t="shared" si="6"/>
        <v>3006.84</v>
      </c>
      <c r="E44" s="40">
        <f t="shared" si="7"/>
        <v>5453.7899999999991</v>
      </c>
      <c r="F44" s="45">
        <f t="shared" si="8"/>
        <v>54682.919999999991</v>
      </c>
      <c r="I44" s="46">
        <v>17</v>
      </c>
      <c r="J44" s="47">
        <f t="shared" si="4"/>
        <v>3.2737397821989145E-3</v>
      </c>
      <c r="K44" s="45">
        <f t="shared" si="5"/>
        <v>367.69</v>
      </c>
      <c r="L44" s="45">
        <f t="shared" si="9"/>
        <v>49.25</v>
      </c>
      <c r="M44" s="45">
        <f t="shared" si="10"/>
        <v>318.44</v>
      </c>
      <c r="N44" s="45">
        <f t="shared" si="11"/>
        <v>14725.56</v>
      </c>
    </row>
    <row r="45" spans="1:14" ht="15.6" x14ac:dyDescent="0.3">
      <c r="A45" s="8">
        <v>18</v>
      </c>
      <c r="B45" s="46">
        <f t="shared" si="2"/>
        <v>0.05</v>
      </c>
      <c r="C45" s="40">
        <f t="shared" si="3"/>
        <v>8460.6299999999992</v>
      </c>
      <c r="D45" s="45">
        <f t="shared" si="6"/>
        <v>2734.15</v>
      </c>
      <c r="E45" s="40">
        <f t="shared" si="7"/>
        <v>5726.48</v>
      </c>
      <c r="F45" s="45">
        <f t="shared" si="8"/>
        <v>48956.439999999988</v>
      </c>
      <c r="I45" s="46">
        <v>18</v>
      </c>
      <c r="J45" s="47">
        <f t="shared" si="4"/>
        <v>3.2737397821989145E-3</v>
      </c>
      <c r="K45" s="45">
        <f t="shared" si="5"/>
        <v>367.69</v>
      </c>
      <c r="L45" s="45">
        <f t="shared" si="9"/>
        <v>48.21</v>
      </c>
      <c r="M45" s="45">
        <f t="shared" si="10"/>
        <v>319.48</v>
      </c>
      <c r="N45" s="45">
        <f t="shared" si="11"/>
        <v>14406.08</v>
      </c>
    </row>
    <row r="46" spans="1:14" ht="15.6" x14ac:dyDescent="0.3">
      <c r="A46" s="8">
        <v>19</v>
      </c>
      <c r="B46" s="46">
        <f t="shared" si="2"/>
        <v>0.05</v>
      </c>
      <c r="C46" s="40">
        <f t="shared" si="3"/>
        <v>8460.6299999999992</v>
      </c>
      <c r="D46" s="45">
        <f t="shared" si="6"/>
        <v>2447.8200000000002</v>
      </c>
      <c r="E46" s="40">
        <f t="shared" si="7"/>
        <v>6012.8099999999995</v>
      </c>
      <c r="F46" s="45">
        <f t="shared" si="8"/>
        <v>42943.62999999999</v>
      </c>
      <c r="I46" s="46">
        <v>19</v>
      </c>
      <c r="J46" s="47">
        <f t="shared" si="4"/>
        <v>3.2737397821989145E-3</v>
      </c>
      <c r="K46" s="45">
        <f t="shared" si="5"/>
        <v>367.69</v>
      </c>
      <c r="L46" s="45">
        <f t="shared" si="9"/>
        <v>47.16</v>
      </c>
      <c r="M46" s="45">
        <f t="shared" si="10"/>
        <v>320.52999999999997</v>
      </c>
      <c r="N46" s="45">
        <f t="shared" si="11"/>
        <v>14085.55</v>
      </c>
    </row>
    <row r="47" spans="1:14" ht="15.6" x14ac:dyDescent="0.3">
      <c r="A47" s="8">
        <v>20</v>
      </c>
      <c r="B47" s="46">
        <f t="shared" si="2"/>
        <v>0.05</v>
      </c>
      <c r="C47" s="40">
        <f t="shared" si="3"/>
        <v>8460.6299999999992</v>
      </c>
      <c r="D47" s="45">
        <f t="shared" si="6"/>
        <v>2147.1799999999998</v>
      </c>
      <c r="E47" s="40">
        <f t="shared" si="7"/>
        <v>6313.4499999999989</v>
      </c>
      <c r="F47" s="45">
        <f t="shared" si="8"/>
        <v>36630.179999999993</v>
      </c>
      <c r="I47" s="46">
        <v>20</v>
      </c>
      <c r="J47" s="47">
        <f t="shared" si="4"/>
        <v>3.2737397821989145E-3</v>
      </c>
      <c r="K47" s="45">
        <f t="shared" si="5"/>
        <v>367.69</v>
      </c>
      <c r="L47" s="45">
        <f t="shared" si="9"/>
        <v>46.11</v>
      </c>
      <c r="M47" s="45">
        <f t="shared" si="10"/>
        <v>321.58</v>
      </c>
      <c r="N47" s="45">
        <f t="shared" si="11"/>
        <v>13763.97</v>
      </c>
    </row>
    <row r="48" spans="1:14" ht="15.6" x14ac:dyDescent="0.3">
      <c r="A48" s="8">
        <v>21</v>
      </c>
      <c r="B48" s="46">
        <f t="shared" si="2"/>
        <v>0.05</v>
      </c>
      <c r="C48" s="40">
        <f t="shared" si="3"/>
        <v>8460.6299999999992</v>
      </c>
      <c r="D48" s="45">
        <f t="shared" si="6"/>
        <v>1831.51</v>
      </c>
      <c r="E48" s="40">
        <f t="shared" si="7"/>
        <v>6629.119999999999</v>
      </c>
      <c r="F48" s="45">
        <f t="shared" si="8"/>
        <v>30001.059999999994</v>
      </c>
      <c r="I48" s="46">
        <v>21</v>
      </c>
      <c r="J48" s="47">
        <f t="shared" si="4"/>
        <v>3.2737397821989145E-3</v>
      </c>
      <c r="K48" s="45">
        <f t="shared" si="5"/>
        <v>367.69</v>
      </c>
      <c r="L48" s="45">
        <f t="shared" si="9"/>
        <v>45.06</v>
      </c>
      <c r="M48" s="45">
        <f t="shared" si="10"/>
        <v>322.63</v>
      </c>
      <c r="N48" s="45">
        <f t="shared" si="11"/>
        <v>13441.34</v>
      </c>
    </row>
    <row r="49" spans="1:14" ht="15.6" x14ac:dyDescent="0.3">
      <c r="A49" s="8">
        <v>22</v>
      </c>
      <c r="B49" s="46">
        <f t="shared" si="2"/>
        <v>0.05</v>
      </c>
      <c r="C49" s="40">
        <f t="shared" si="3"/>
        <v>8460.6299999999992</v>
      </c>
      <c r="D49" s="45">
        <f t="shared" si="6"/>
        <v>1500.05</v>
      </c>
      <c r="E49" s="40">
        <f t="shared" si="7"/>
        <v>6960.579999999999</v>
      </c>
      <c r="F49" s="45">
        <f t="shared" si="8"/>
        <v>23040.479999999996</v>
      </c>
      <c r="I49" s="46">
        <v>22</v>
      </c>
      <c r="J49" s="47">
        <f t="shared" si="4"/>
        <v>3.2737397821989145E-3</v>
      </c>
      <c r="K49" s="45">
        <f t="shared" si="5"/>
        <v>367.69</v>
      </c>
      <c r="L49" s="45">
        <f t="shared" si="9"/>
        <v>44</v>
      </c>
      <c r="M49" s="45">
        <f t="shared" si="10"/>
        <v>323.69</v>
      </c>
      <c r="N49" s="45">
        <f t="shared" si="11"/>
        <v>13117.65</v>
      </c>
    </row>
    <row r="50" spans="1:14" ht="15.6" x14ac:dyDescent="0.3">
      <c r="A50" s="8">
        <v>23</v>
      </c>
      <c r="B50" s="46">
        <f t="shared" si="2"/>
        <v>0.05</v>
      </c>
      <c r="C50" s="40">
        <f t="shared" si="3"/>
        <v>8460.6299999999992</v>
      </c>
      <c r="D50" s="45">
        <f t="shared" si="6"/>
        <v>1152.02</v>
      </c>
      <c r="E50" s="40">
        <f t="shared" si="7"/>
        <v>7308.6099999999988</v>
      </c>
      <c r="F50" s="45">
        <f t="shared" si="8"/>
        <v>15731.869999999997</v>
      </c>
      <c r="I50" s="46">
        <v>23</v>
      </c>
      <c r="J50" s="47">
        <f t="shared" si="4"/>
        <v>3.2737397821989145E-3</v>
      </c>
      <c r="K50" s="45">
        <f t="shared" si="5"/>
        <v>367.69</v>
      </c>
      <c r="L50" s="45">
        <f t="shared" si="9"/>
        <v>42.94</v>
      </c>
      <c r="M50" s="45">
        <f t="shared" si="10"/>
        <v>324.75</v>
      </c>
      <c r="N50" s="45">
        <f t="shared" si="11"/>
        <v>12792.9</v>
      </c>
    </row>
    <row r="51" spans="1:14" ht="15.6" x14ac:dyDescent="0.3">
      <c r="A51" s="8">
        <v>24</v>
      </c>
      <c r="B51" s="46">
        <f t="shared" si="2"/>
        <v>0.05</v>
      </c>
      <c r="C51" s="40">
        <f t="shared" si="3"/>
        <v>8460.6299999999992</v>
      </c>
      <c r="D51" s="45">
        <f t="shared" si="6"/>
        <v>786.59</v>
      </c>
      <c r="E51" s="40">
        <f t="shared" si="7"/>
        <v>7674.0399999999991</v>
      </c>
      <c r="F51" s="45">
        <f t="shared" si="8"/>
        <v>8057.8299999999981</v>
      </c>
      <c r="I51" s="46">
        <v>24</v>
      </c>
      <c r="J51" s="47">
        <f t="shared" si="4"/>
        <v>3.2737397821989145E-3</v>
      </c>
      <c r="K51" s="45">
        <f t="shared" si="5"/>
        <v>367.69</v>
      </c>
      <c r="L51" s="45">
        <f t="shared" si="9"/>
        <v>41.88</v>
      </c>
      <c r="M51" s="45">
        <f t="shared" si="10"/>
        <v>325.81</v>
      </c>
      <c r="N51" s="45">
        <f t="shared" si="11"/>
        <v>12467.09</v>
      </c>
    </row>
    <row r="52" spans="1:14" ht="15.6" x14ac:dyDescent="0.3">
      <c r="A52" s="8">
        <v>25</v>
      </c>
      <c r="B52" s="46">
        <f t="shared" si="2"/>
        <v>0.05</v>
      </c>
      <c r="C52" s="40">
        <f>F51+D52</f>
        <v>8460.7199999999975</v>
      </c>
      <c r="D52" s="45">
        <f t="shared" si="6"/>
        <v>402.89</v>
      </c>
      <c r="E52" s="40">
        <f t="shared" si="7"/>
        <v>8057.8299999999972</v>
      </c>
      <c r="F52" s="45">
        <f t="shared" si="8"/>
        <v>0</v>
      </c>
      <c r="I52" s="46">
        <v>25</v>
      </c>
      <c r="J52" s="47">
        <f t="shared" si="4"/>
        <v>4.0741237836483535E-3</v>
      </c>
      <c r="K52" s="45">
        <f t="shared" si="5"/>
        <v>373.03</v>
      </c>
      <c r="L52" s="45">
        <f t="shared" si="9"/>
        <v>50.79</v>
      </c>
      <c r="M52" s="45">
        <f t="shared" si="10"/>
        <v>322.23999999999995</v>
      </c>
      <c r="N52" s="45">
        <f t="shared" si="11"/>
        <v>12144.85</v>
      </c>
    </row>
    <row r="53" spans="1:14" x14ac:dyDescent="0.25">
      <c r="I53" s="46">
        <v>26</v>
      </c>
      <c r="J53" s="47">
        <f t="shared" si="4"/>
        <v>4.0741237836483535E-3</v>
      </c>
      <c r="K53" s="45">
        <f t="shared" si="5"/>
        <v>373.03</v>
      </c>
      <c r="L53" s="45">
        <f t="shared" si="9"/>
        <v>49.48</v>
      </c>
      <c r="M53" s="45">
        <f t="shared" si="10"/>
        <v>323.54999999999995</v>
      </c>
      <c r="N53" s="45">
        <f>N52-M53</f>
        <v>11821.300000000001</v>
      </c>
    </row>
    <row r="54" spans="1:14" ht="15.6" x14ac:dyDescent="0.3">
      <c r="A54" s="6"/>
      <c r="B54" s="7"/>
      <c r="C54" s="7"/>
      <c r="D54" s="7"/>
      <c r="E54" s="40"/>
      <c r="I54" s="46">
        <v>27</v>
      </c>
      <c r="J54" s="47">
        <f t="shared" si="4"/>
        <v>4.0741237836483535E-3</v>
      </c>
      <c r="K54" s="45">
        <f t="shared" si="5"/>
        <v>373.03</v>
      </c>
      <c r="L54" s="45">
        <f t="shared" si="9"/>
        <v>48.16</v>
      </c>
      <c r="M54" s="45">
        <f t="shared" si="10"/>
        <v>324.87</v>
      </c>
      <c r="N54" s="45">
        <f t="shared" si="11"/>
        <v>11496.43</v>
      </c>
    </row>
    <row r="55" spans="1:14" x14ac:dyDescent="0.25">
      <c r="I55" s="46">
        <v>28</v>
      </c>
      <c r="J55" s="47">
        <f t="shared" si="4"/>
        <v>4.0741237836483535E-3</v>
      </c>
      <c r="K55" s="45">
        <f t="shared" si="5"/>
        <v>373.03</v>
      </c>
      <c r="L55" s="45">
        <f t="shared" si="9"/>
        <v>46.84</v>
      </c>
      <c r="M55" s="45">
        <f t="shared" si="10"/>
        <v>326.18999999999994</v>
      </c>
      <c r="N55" s="45">
        <f t="shared" si="11"/>
        <v>11170.24</v>
      </c>
    </row>
    <row r="56" spans="1:14" x14ac:dyDescent="0.25">
      <c r="I56" s="46">
        <v>29</v>
      </c>
      <c r="J56" s="47">
        <f t="shared" si="4"/>
        <v>4.0741237836483535E-3</v>
      </c>
      <c r="K56" s="45">
        <f t="shared" si="5"/>
        <v>373.03</v>
      </c>
      <c r="L56" s="45">
        <f t="shared" si="9"/>
        <v>45.51</v>
      </c>
      <c r="M56" s="45">
        <f t="shared" si="10"/>
        <v>327.52</v>
      </c>
      <c r="N56" s="45">
        <f t="shared" si="11"/>
        <v>10842.72</v>
      </c>
    </row>
    <row r="57" spans="1:14" x14ac:dyDescent="0.25">
      <c r="I57" s="46">
        <v>30</v>
      </c>
      <c r="J57" s="47">
        <f t="shared" si="4"/>
        <v>4.0741237836483535E-3</v>
      </c>
      <c r="K57" s="45">
        <f t="shared" si="5"/>
        <v>373.03</v>
      </c>
      <c r="L57" s="45">
        <f t="shared" si="9"/>
        <v>44.17</v>
      </c>
      <c r="M57" s="45">
        <f t="shared" si="10"/>
        <v>328.85999999999996</v>
      </c>
      <c r="N57" s="45">
        <f t="shared" si="11"/>
        <v>10513.859999999999</v>
      </c>
    </row>
    <row r="58" spans="1:14" x14ac:dyDescent="0.25">
      <c r="I58" s="46">
        <v>31</v>
      </c>
      <c r="J58" s="47">
        <f t="shared" si="4"/>
        <v>4.0741237836483535E-3</v>
      </c>
      <c r="K58" s="45">
        <f t="shared" si="5"/>
        <v>373.03</v>
      </c>
      <c r="L58" s="45">
        <f t="shared" si="9"/>
        <v>42.83</v>
      </c>
      <c r="M58" s="45">
        <f t="shared" si="10"/>
        <v>330.2</v>
      </c>
      <c r="N58" s="45">
        <f t="shared" si="11"/>
        <v>10183.659999999998</v>
      </c>
    </row>
    <row r="59" spans="1:14" x14ac:dyDescent="0.25">
      <c r="I59" s="46">
        <v>32</v>
      </c>
      <c r="J59" s="47">
        <f t="shared" si="4"/>
        <v>4.0741237836483535E-3</v>
      </c>
      <c r="K59" s="45">
        <f t="shared" si="5"/>
        <v>373.03</v>
      </c>
      <c r="L59" s="45">
        <f t="shared" si="9"/>
        <v>41.49</v>
      </c>
      <c r="M59" s="45">
        <f t="shared" si="10"/>
        <v>331.53999999999996</v>
      </c>
      <c r="N59" s="45">
        <f t="shared" si="11"/>
        <v>9852.119999999999</v>
      </c>
    </row>
    <row r="60" spans="1:14" x14ac:dyDescent="0.25">
      <c r="I60" s="46">
        <v>33</v>
      </c>
      <c r="J60" s="47">
        <f t="shared" ref="J60:J87" si="12">IF(I60&lt;=interest_B_change,interest_BM_old,interest_BM_new)</f>
        <v>4.0741237836483535E-3</v>
      </c>
      <c r="K60" s="45">
        <f t="shared" ref="K60:K86" si="13">IF(I60&gt;interest_B_change, repayment_B_new, repayment_B_old)</f>
        <v>373.03</v>
      </c>
      <c r="L60" s="45">
        <f t="shared" si="9"/>
        <v>40.14</v>
      </c>
      <c r="M60" s="45">
        <f t="shared" si="10"/>
        <v>332.89</v>
      </c>
      <c r="N60" s="45">
        <f t="shared" si="11"/>
        <v>9519.23</v>
      </c>
    </row>
    <row r="61" spans="1:14" x14ac:dyDescent="0.25">
      <c r="I61" s="46">
        <v>34</v>
      </c>
      <c r="J61" s="47">
        <f t="shared" si="12"/>
        <v>4.0741237836483535E-3</v>
      </c>
      <c r="K61" s="45">
        <f t="shared" si="13"/>
        <v>373.03</v>
      </c>
      <c r="L61" s="45">
        <f t="shared" si="9"/>
        <v>38.78</v>
      </c>
      <c r="M61" s="45">
        <f t="shared" si="10"/>
        <v>334.25</v>
      </c>
      <c r="N61" s="45">
        <f t="shared" si="11"/>
        <v>9184.98</v>
      </c>
    </row>
    <row r="62" spans="1:14" x14ac:dyDescent="0.25">
      <c r="I62" s="46">
        <v>35</v>
      </c>
      <c r="J62" s="47">
        <f t="shared" si="12"/>
        <v>4.0741237836483535E-3</v>
      </c>
      <c r="K62" s="45">
        <f t="shared" si="13"/>
        <v>373.03</v>
      </c>
      <c r="L62" s="45">
        <f t="shared" si="9"/>
        <v>37.42</v>
      </c>
      <c r="M62" s="45">
        <f t="shared" si="10"/>
        <v>335.60999999999996</v>
      </c>
      <c r="N62" s="45">
        <f t="shared" si="11"/>
        <v>8849.369999999999</v>
      </c>
    </row>
    <row r="63" spans="1:14" x14ac:dyDescent="0.25">
      <c r="I63" s="46">
        <v>36</v>
      </c>
      <c r="J63" s="47">
        <f t="shared" si="12"/>
        <v>4.0741237836483535E-3</v>
      </c>
      <c r="K63" s="45">
        <f t="shared" si="13"/>
        <v>373.03</v>
      </c>
      <c r="L63" s="45">
        <f t="shared" si="9"/>
        <v>36.049999999999997</v>
      </c>
      <c r="M63" s="45">
        <f t="shared" si="10"/>
        <v>336.97999999999996</v>
      </c>
      <c r="N63" s="45">
        <f t="shared" si="11"/>
        <v>8512.39</v>
      </c>
    </row>
    <row r="64" spans="1:14" x14ac:dyDescent="0.25">
      <c r="I64" s="46">
        <v>37</v>
      </c>
      <c r="J64" s="47">
        <f t="shared" si="12"/>
        <v>4.0741237836483535E-3</v>
      </c>
      <c r="K64" s="45">
        <f t="shared" si="13"/>
        <v>373.03</v>
      </c>
      <c r="L64" s="45">
        <f t="shared" si="9"/>
        <v>34.68</v>
      </c>
      <c r="M64" s="45">
        <f t="shared" si="10"/>
        <v>338.34999999999997</v>
      </c>
      <c r="N64" s="45">
        <f t="shared" si="11"/>
        <v>8174.0399999999991</v>
      </c>
    </row>
    <row r="65" spans="9:14" x14ac:dyDescent="0.25">
      <c r="I65" s="46">
        <v>38</v>
      </c>
      <c r="J65" s="47">
        <f t="shared" si="12"/>
        <v>4.0741237836483535E-3</v>
      </c>
      <c r="K65" s="45">
        <f t="shared" si="13"/>
        <v>373.03</v>
      </c>
      <c r="L65" s="45">
        <f t="shared" si="9"/>
        <v>33.299999999999997</v>
      </c>
      <c r="M65" s="45">
        <f t="shared" si="10"/>
        <v>339.72999999999996</v>
      </c>
      <c r="N65" s="45">
        <f t="shared" si="11"/>
        <v>7834.3099999999995</v>
      </c>
    </row>
    <row r="66" spans="9:14" x14ac:dyDescent="0.25">
      <c r="I66" s="46">
        <v>39</v>
      </c>
      <c r="J66" s="47">
        <f t="shared" si="12"/>
        <v>4.0741237836483535E-3</v>
      </c>
      <c r="K66" s="45">
        <f t="shared" si="13"/>
        <v>373.03</v>
      </c>
      <c r="L66" s="45">
        <f t="shared" si="9"/>
        <v>31.92</v>
      </c>
      <c r="M66" s="45">
        <f t="shared" si="10"/>
        <v>341.10999999999996</v>
      </c>
      <c r="N66" s="45">
        <f t="shared" si="11"/>
        <v>7493.2</v>
      </c>
    </row>
    <row r="67" spans="9:14" x14ac:dyDescent="0.25">
      <c r="I67" s="46">
        <v>40</v>
      </c>
      <c r="J67" s="47">
        <f t="shared" si="12"/>
        <v>4.0741237836483535E-3</v>
      </c>
      <c r="K67" s="45">
        <f t="shared" si="13"/>
        <v>373.03</v>
      </c>
      <c r="L67" s="45">
        <f t="shared" si="9"/>
        <v>30.53</v>
      </c>
      <c r="M67" s="45">
        <f t="shared" si="10"/>
        <v>342.5</v>
      </c>
      <c r="N67" s="45">
        <f t="shared" si="11"/>
        <v>7150.7</v>
      </c>
    </row>
    <row r="68" spans="9:14" x14ac:dyDescent="0.25">
      <c r="I68" s="46">
        <v>41</v>
      </c>
      <c r="J68" s="47">
        <f t="shared" si="12"/>
        <v>4.0741237836483535E-3</v>
      </c>
      <c r="K68" s="45">
        <f t="shared" si="13"/>
        <v>373.03</v>
      </c>
      <c r="L68" s="45">
        <f t="shared" si="9"/>
        <v>29.13</v>
      </c>
      <c r="M68" s="45">
        <f t="shared" si="10"/>
        <v>343.9</v>
      </c>
      <c r="N68" s="45">
        <f t="shared" si="11"/>
        <v>6806.8</v>
      </c>
    </row>
    <row r="69" spans="9:14" x14ac:dyDescent="0.25">
      <c r="I69" s="46">
        <v>42</v>
      </c>
      <c r="J69" s="47">
        <f t="shared" si="12"/>
        <v>4.0741237836483535E-3</v>
      </c>
      <c r="K69" s="45">
        <f t="shared" si="13"/>
        <v>373.03</v>
      </c>
      <c r="L69" s="45">
        <f t="shared" si="9"/>
        <v>27.73</v>
      </c>
      <c r="M69" s="45">
        <f t="shared" si="10"/>
        <v>345.29999999999995</v>
      </c>
      <c r="N69" s="45">
        <f t="shared" si="11"/>
        <v>6461.5</v>
      </c>
    </row>
    <row r="70" spans="9:14" x14ac:dyDescent="0.25">
      <c r="I70" s="46">
        <v>43</v>
      </c>
      <c r="J70" s="47">
        <f t="shared" si="12"/>
        <v>4.0741237836483535E-3</v>
      </c>
      <c r="K70" s="45">
        <f t="shared" si="13"/>
        <v>373.03</v>
      </c>
      <c r="L70" s="45">
        <f t="shared" si="9"/>
        <v>26.32</v>
      </c>
      <c r="M70" s="45">
        <f t="shared" si="10"/>
        <v>346.71</v>
      </c>
      <c r="N70" s="45">
        <f t="shared" si="11"/>
        <v>6114.79</v>
      </c>
    </row>
    <row r="71" spans="9:14" x14ac:dyDescent="0.25">
      <c r="I71" s="46">
        <v>44</v>
      </c>
      <c r="J71" s="47">
        <f t="shared" si="12"/>
        <v>4.0741237836483535E-3</v>
      </c>
      <c r="K71" s="45">
        <f t="shared" si="13"/>
        <v>373.03</v>
      </c>
      <c r="L71" s="45">
        <f t="shared" si="9"/>
        <v>24.91</v>
      </c>
      <c r="M71" s="45">
        <f t="shared" si="10"/>
        <v>348.11999999999995</v>
      </c>
      <c r="N71" s="45">
        <f t="shared" si="11"/>
        <v>5766.67</v>
      </c>
    </row>
    <row r="72" spans="9:14" x14ac:dyDescent="0.25">
      <c r="I72" s="46">
        <v>45</v>
      </c>
      <c r="J72" s="47">
        <f t="shared" si="12"/>
        <v>4.0741237836483535E-3</v>
      </c>
      <c r="K72" s="45">
        <f t="shared" si="13"/>
        <v>373.03</v>
      </c>
      <c r="L72" s="45">
        <f t="shared" si="9"/>
        <v>23.49</v>
      </c>
      <c r="M72" s="45">
        <f t="shared" si="10"/>
        <v>349.53999999999996</v>
      </c>
      <c r="N72" s="45">
        <f t="shared" si="11"/>
        <v>5417.13</v>
      </c>
    </row>
    <row r="73" spans="9:14" x14ac:dyDescent="0.25">
      <c r="I73" s="46">
        <v>46</v>
      </c>
      <c r="J73" s="47">
        <f t="shared" si="12"/>
        <v>4.0741237836483535E-3</v>
      </c>
      <c r="K73" s="45">
        <f t="shared" si="13"/>
        <v>373.03</v>
      </c>
      <c r="L73" s="45">
        <f t="shared" si="9"/>
        <v>22.07</v>
      </c>
      <c r="M73" s="45">
        <f t="shared" si="10"/>
        <v>350.96</v>
      </c>
      <c r="N73" s="45">
        <f t="shared" si="11"/>
        <v>5066.17</v>
      </c>
    </row>
    <row r="74" spans="9:14" x14ac:dyDescent="0.25">
      <c r="I74" s="46">
        <v>47</v>
      </c>
      <c r="J74" s="47">
        <f t="shared" si="12"/>
        <v>4.0741237836483535E-3</v>
      </c>
      <c r="K74" s="45">
        <f t="shared" si="13"/>
        <v>373.03</v>
      </c>
      <c r="L74" s="45">
        <f t="shared" si="9"/>
        <v>20.64</v>
      </c>
      <c r="M74" s="45">
        <f t="shared" si="10"/>
        <v>352.39</v>
      </c>
      <c r="N74" s="45">
        <f t="shared" si="11"/>
        <v>4713.78</v>
      </c>
    </row>
    <row r="75" spans="9:14" x14ac:dyDescent="0.25">
      <c r="I75" s="46">
        <v>48</v>
      </c>
      <c r="J75" s="47">
        <f t="shared" si="12"/>
        <v>4.0741237836483535E-3</v>
      </c>
      <c r="K75" s="45">
        <f t="shared" si="13"/>
        <v>373.03</v>
      </c>
      <c r="L75" s="45">
        <f t="shared" si="9"/>
        <v>19.2</v>
      </c>
      <c r="M75" s="45">
        <f t="shared" si="10"/>
        <v>353.83</v>
      </c>
      <c r="N75" s="45">
        <f t="shared" si="11"/>
        <v>4359.95</v>
      </c>
    </row>
    <row r="76" spans="9:14" x14ac:dyDescent="0.25">
      <c r="I76" s="46">
        <v>49</v>
      </c>
      <c r="J76" s="47">
        <f t="shared" si="12"/>
        <v>4.0741237836483535E-3</v>
      </c>
      <c r="K76" s="45">
        <f t="shared" si="13"/>
        <v>373.03</v>
      </c>
      <c r="L76" s="45">
        <f t="shared" si="9"/>
        <v>17.760000000000002</v>
      </c>
      <c r="M76" s="45">
        <f t="shared" si="10"/>
        <v>355.27</v>
      </c>
      <c r="N76" s="45">
        <f t="shared" si="11"/>
        <v>4004.68</v>
      </c>
    </row>
    <row r="77" spans="9:14" x14ac:dyDescent="0.25">
      <c r="I77" s="46">
        <v>50</v>
      </c>
      <c r="J77" s="47">
        <f t="shared" si="12"/>
        <v>4.0741237836483535E-3</v>
      </c>
      <c r="K77" s="45">
        <f t="shared" si="13"/>
        <v>373.03</v>
      </c>
      <c r="L77" s="45">
        <f t="shared" si="9"/>
        <v>16.32</v>
      </c>
      <c r="M77" s="45">
        <f t="shared" si="10"/>
        <v>356.71</v>
      </c>
      <c r="N77" s="45">
        <f t="shared" si="11"/>
        <v>3647.97</v>
      </c>
    </row>
    <row r="78" spans="9:14" x14ac:dyDescent="0.25">
      <c r="I78" s="46">
        <v>51</v>
      </c>
      <c r="J78" s="47">
        <f t="shared" si="12"/>
        <v>4.0741237836483535E-3</v>
      </c>
      <c r="K78" s="45">
        <f t="shared" si="13"/>
        <v>373.03</v>
      </c>
      <c r="L78" s="45">
        <f t="shared" si="9"/>
        <v>14.86</v>
      </c>
      <c r="M78" s="45">
        <f t="shared" si="10"/>
        <v>358.16999999999996</v>
      </c>
      <c r="N78" s="45">
        <f t="shared" si="11"/>
        <v>3289.7999999999997</v>
      </c>
    </row>
    <row r="79" spans="9:14" x14ac:dyDescent="0.25">
      <c r="I79" s="46">
        <v>52</v>
      </c>
      <c r="J79" s="47">
        <f t="shared" si="12"/>
        <v>4.0741237836483535E-3</v>
      </c>
      <c r="K79" s="45">
        <f t="shared" si="13"/>
        <v>373.03</v>
      </c>
      <c r="L79" s="45">
        <f t="shared" si="9"/>
        <v>13.4</v>
      </c>
      <c r="M79" s="45">
        <f t="shared" si="10"/>
        <v>359.63</v>
      </c>
      <c r="N79" s="45">
        <f t="shared" si="11"/>
        <v>2930.1699999999996</v>
      </c>
    </row>
    <row r="80" spans="9:14" x14ac:dyDescent="0.25">
      <c r="I80" s="46">
        <v>53</v>
      </c>
      <c r="J80" s="47">
        <f t="shared" si="12"/>
        <v>4.0741237836483535E-3</v>
      </c>
      <c r="K80" s="45">
        <f t="shared" si="13"/>
        <v>373.03</v>
      </c>
      <c r="L80" s="45">
        <f t="shared" si="9"/>
        <v>11.94</v>
      </c>
      <c r="M80" s="45">
        <f t="shared" si="10"/>
        <v>361.09</v>
      </c>
      <c r="N80" s="45">
        <f t="shared" si="11"/>
        <v>2569.0799999999995</v>
      </c>
    </row>
    <row r="81" spans="9:14" x14ac:dyDescent="0.25">
      <c r="I81" s="46">
        <v>54</v>
      </c>
      <c r="J81" s="47">
        <f t="shared" si="12"/>
        <v>4.0741237836483535E-3</v>
      </c>
      <c r="K81" s="45">
        <f t="shared" si="13"/>
        <v>373.03</v>
      </c>
      <c r="L81" s="45">
        <f t="shared" si="9"/>
        <v>10.47</v>
      </c>
      <c r="M81" s="45">
        <f t="shared" si="10"/>
        <v>362.55999999999995</v>
      </c>
      <c r="N81" s="45">
        <f t="shared" si="11"/>
        <v>2206.5199999999995</v>
      </c>
    </row>
    <row r="82" spans="9:14" x14ac:dyDescent="0.25">
      <c r="I82" s="46">
        <v>55</v>
      </c>
      <c r="J82" s="47">
        <f t="shared" si="12"/>
        <v>4.0741237836483535E-3</v>
      </c>
      <c r="K82" s="45">
        <f t="shared" si="13"/>
        <v>373.03</v>
      </c>
      <c r="L82" s="45">
        <f t="shared" si="9"/>
        <v>8.99</v>
      </c>
      <c r="M82" s="45">
        <f t="shared" si="10"/>
        <v>364.03999999999996</v>
      </c>
      <c r="N82" s="45">
        <f t="shared" si="11"/>
        <v>1842.4799999999996</v>
      </c>
    </row>
    <row r="83" spans="9:14" x14ac:dyDescent="0.25">
      <c r="I83" s="46">
        <v>56</v>
      </c>
      <c r="J83" s="47">
        <f t="shared" si="12"/>
        <v>4.0741237836483535E-3</v>
      </c>
      <c r="K83" s="45">
        <f t="shared" si="13"/>
        <v>373.03</v>
      </c>
      <c r="L83" s="45">
        <f t="shared" si="9"/>
        <v>7.51</v>
      </c>
      <c r="M83" s="45">
        <f t="shared" si="10"/>
        <v>365.52</v>
      </c>
      <c r="N83" s="45">
        <f t="shared" si="11"/>
        <v>1476.9599999999996</v>
      </c>
    </row>
    <row r="84" spans="9:14" x14ac:dyDescent="0.25">
      <c r="I84" s="46">
        <v>57</v>
      </c>
      <c r="J84" s="47">
        <f t="shared" si="12"/>
        <v>4.0741237836483535E-3</v>
      </c>
      <c r="K84" s="45">
        <f t="shared" si="13"/>
        <v>373.03</v>
      </c>
      <c r="L84" s="45">
        <f t="shared" si="9"/>
        <v>6.02</v>
      </c>
      <c r="M84" s="45">
        <f t="shared" si="10"/>
        <v>367.01</v>
      </c>
      <c r="N84" s="45">
        <f t="shared" si="11"/>
        <v>1109.9499999999996</v>
      </c>
    </row>
    <row r="85" spans="9:14" x14ac:dyDescent="0.25">
      <c r="I85" s="46">
        <v>58</v>
      </c>
      <c r="J85" s="47">
        <f t="shared" si="12"/>
        <v>4.0741237836483535E-3</v>
      </c>
      <c r="K85" s="45">
        <f t="shared" si="13"/>
        <v>373.03</v>
      </c>
      <c r="L85" s="45">
        <f t="shared" si="9"/>
        <v>4.5199999999999996</v>
      </c>
      <c r="M85" s="45">
        <f t="shared" si="10"/>
        <v>368.51</v>
      </c>
      <c r="N85" s="45">
        <f t="shared" si="11"/>
        <v>741.4399999999996</v>
      </c>
    </row>
    <row r="86" spans="9:14" x14ac:dyDescent="0.25">
      <c r="I86" s="46">
        <v>59</v>
      </c>
      <c r="J86" s="47">
        <f t="shared" si="12"/>
        <v>4.0741237836483535E-3</v>
      </c>
      <c r="K86" s="45">
        <f t="shared" si="13"/>
        <v>373.03</v>
      </c>
      <c r="L86" s="45">
        <f t="shared" si="9"/>
        <v>3.02</v>
      </c>
      <c r="M86" s="45">
        <f t="shared" si="10"/>
        <v>370.01</v>
      </c>
      <c r="N86" s="45">
        <f t="shared" si="11"/>
        <v>371.42999999999961</v>
      </c>
    </row>
    <row r="87" spans="9:14" x14ac:dyDescent="0.25">
      <c r="I87" s="46">
        <v>60</v>
      </c>
      <c r="J87" s="47">
        <f t="shared" si="12"/>
        <v>4.0741237836483535E-3</v>
      </c>
      <c r="K87" s="45">
        <f>N86+L87</f>
        <v>372.9399999999996</v>
      </c>
      <c r="L87" s="45">
        <f t="shared" si="9"/>
        <v>1.51</v>
      </c>
      <c r="M87" s="45">
        <f t="shared" si="10"/>
        <v>371.42999999999961</v>
      </c>
      <c r="N87" s="45">
        <f t="shared" si="11"/>
        <v>0</v>
      </c>
    </row>
    <row r="89" spans="9:14" ht="15.6" x14ac:dyDescent="0.3">
      <c r="I89" s="6"/>
      <c r="J89" s="7"/>
      <c r="K89" s="7"/>
      <c r="L89" s="7"/>
      <c r="M89" s="7"/>
    </row>
  </sheetData>
  <mergeCells count="13">
    <mergeCell ref="N23:N25"/>
    <mergeCell ref="G23:G24"/>
    <mergeCell ref="I23:I25"/>
    <mergeCell ref="J23:J25"/>
    <mergeCell ref="K23:K25"/>
    <mergeCell ref="L23:L25"/>
    <mergeCell ref="M23:M25"/>
    <mergeCell ref="A23:A25"/>
    <mergeCell ref="B23:B25"/>
    <mergeCell ref="C23:C25"/>
    <mergeCell ref="D23:D25"/>
    <mergeCell ref="E23:E25"/>
    <mergeCell ref="F23:F25"/>
  </mergeCells>
  <conditionalFormatting sqref="A27:B52">
    <cfRule type="cellIs" dxfId="5" priority="4" operator="equal">
      <formula>$B$11+1</formula>
    </cfRule>
  </conditionalFormatting>
  <conditionalFormatting sqref="I27:J87">
    <cfRule type="cellIs" dxfId="4" priority="3" operator="equal">
      <formula>$J$13+1</formula>
    </cfRule>
  </conditionalFormatting>
  <conditionalFormatting sqref="F27:F52">
    <cfRule type="cellIs" dxfId="3" priority="2" operator="equal">
      <formula>$B$14</formula>
    </cfRule>
  </conditionalFormatting>
  <conditionalFormatting sqref="N27:N87">
    <cfRule type="cellIs" dxfId="2" priority="1" operator="equal">
      <formula>$J$16</formula>
    </cfRule>
  </conditionalFormatting>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8D23-9815-4C05-9E64-6F0DF7FBA994}">
  <dimension ref="A1:H57"/>
  <sheetViews>
    <sheetView topLeftCell="A10" zoomScaleNormal="100" workbookViewId="0">
      <selection activeCell="A20" sqref="A20"/>
    </sheetView>
  </sheetViews>
  <sheetFormatPr defaultColWidth="9.109375" defaultRowHeight="15" x14ac:dyDescent="0.25"/>
  <cols>
    <col min="1" max="1" width="20.6640625" style="35" customWidth="1"/>
    <col min="2" max="2" width="16.6640625" style="35" customWidth="1"/>
    <col min="3" max="3" width="15.6640625" style="35" customWidth="1"/>
    <col min="4" max="4" width="13.6640625" style="35" customWidth="1"/>
    <col min="5" max="6" width="15.6640625" style="35" customWidth="1"/>
    <col min="7" max="8" width="8.6640625" style="35" customWidth="1"/>
    <col min="9" max="16384" width="9.109375" style="35"/>
  </cols>
  <sheetData>
    <row r="1" spans="1:3" ht="15.6" x14ac:dyDescent="0.3">
      <c r="A1" s="1" t="s">
        <v>63</v>
      </c>
    </row>
    <row r="2" spans="1:3" ht="15.6" x14ac:dyDescent="0.3">
      <c r="A2" s="35" t="s">
        <v>19</v>
      </c>
    </row>
    <row r="3" spans="1:3" x14ac:dyDescent="0.25">
      <c r="A3" s="35" t="s">
        <v>0</v>
      </c>
    </row>
    <row r="4" spans="1:3" x14ac:dyDescent="0.25">
      <c r="A4" s="35" t="s">
        <v>1</v>
      </c>
    </row>
    <row r="7" spans="1:3" ht="15.6" x14ac:dyDescent="0.3">
      <c r="A7" s="1" t="s">
        <v>2</v>
      </c>
      <c r="B7" s="1" t="s">
        <v>3</v>
      </c>
      <c r="C7" s="1" t="s">
        <v>4</v>
      </c>
    </row>
    <row r="8" spans="1:3" x14ac:dyDescent="0.25">
      <c r="A8" s="35" t="s">
        <v>20</v>
      </c>
      <c r="B8" s="36">
        <v>120000</v>
      </c>
      <c r="C8" s="35" t="s">
        <v>5</v>
      </c>
    </row>
    <row r="9" spans="1:3" x14ac:dyDescent="0.25">
      <c r="A9" s="35" t="s">
        <v>39</v>
      </c>
      <c r="B9" s="39">
        <v>0.04</v>
      </c>
      <c r="C9" s="35" t="s">
        <v>6</v>
      </c>
    </row>
    <row r="10" spans="1:3" x14ac:dyDescent="0.25">
      <c r="A10" s="35" t="s">
        <v>40</v>
      </c>
      <c r="B10" s="39">
        <v>5.5E-2</v>
      </c>
      <c r="C10" s="35" t="s">
        <v>6</v>
      </c>
    </row>
    <row r="11" spans="1:3" x14ac:dyDescent="0.25">
      <c r="A11" s="35" t="s">
        <v>41</v>
      </c>
      <c r="B11" s="39">
        <v>3</v>
      </c>
      <c r="C11" s="35" t="s">
        <v>42</v>
      </c>
    </row>
    <row r="12" spans="1:3" x14ac:dyDescent="0.25">
      <c r="A12" s="35" t="s">
        <v>22</v>
      </c>
      <c r="B12" s="39">
        <v>25</v>
      </c>
      <c r="C12" s="35" t="s">
        <v>8</v>
      </c>
    </row>
    <row r="13" spans="1:3" x14ac:dyDescent="0.25">
      <c r="A13" s="35" t="s">
        <v>43</v>
      </c>
      <c r="B13" s="40">
        <f>ROUND(PMT(interest_A_old,term_A,-loan_A,0,0), 2)</f>
        <v>7681.44</v>
      </c>
      <c r="C13" s="35" t="s">
        <v>17</v>
      </c>
    </row>
    <row r="14" spans="1:3" x14ac:dyDescent="0.25">
      <c r="A14" s="35" t="s">
        <v>59</v>
      </c>
      <c r="B14" s="39">
        <v>3</v>
      </c>
      <c r="C14" s="35" t="s">
        <v>60</v>
      </c>
    </row>
    <row r="15" spans="1:3" x14ac:dyDescent="0.25">
      <c r="A15" s="35" t="s">
        <v>92</v>
      </c>
      <c r="B15" s="49">
        <f>VLOOKUP(interest_A_change,A28:F55,6,0)</f>
        <v>111005.29000000001</v>
      </c>
      <c r="C15" s="35" t="s">
        <v>95</v>
      </c>
    </row>
    <row r="16" spans="1:3" x14ac:dyDescent="0.25">
      <c r="A16" s="35" t="s">
        <v>44</v>
      </c>
      <c r="B16" s="40">
        <f>ROUND(PMT(interest_A_new,term_A-B11+B14,-cap_rem_A,0,0),2)</f>
        <v>8275.3700000000008</v>
      </c>
      <c r="C16" s="35" t="s">
        <v>17</v>
      </c>
    </row>
    <row r="19" spans="1:8" x14ac:dyDescent="0.25">
      <c r="A19" s="42" t="s">
        <v>53</v>
      </c>
      <c r="B19" s="42"/>
      <c r="C19" s="42"/>
    </row>
    <row r="20" spans="1:8" x14ac:dyDescent="0.25">
      <c r="A20" s="43" t="s">
        <v>94</v>
      </c>
      <c r="B20" s="43"/>
      <c r="C20" s="43"/>
      <c r="D20" s="43"/>
      <c r="E20" s="43"/>
    </row>
    <row r="22" spans="1:8" ht="15.6" x14ac:dyDescent="0.3">
      <c r="A22" s="14" t="s">
        <v>15</v>
      </c>
      <c r="B22" s="14"/>
      <c r="C22" s="13">
        <f>SUM(C28:C107)</f>
        <v>229928.67999999991</v>
      </c>
      <c r="D22" s="13">
        <f t="shared" ref="D22:E22" si="0">SUM(D28:D107)</f>
        <v>109928.68000000001</v>
      </c>
      <c r="E22" s="13">
        <f t="shared" si="0"/>
        <v>119999.99999999997</v>
      </c>
    </row>
    <row r="23" spans="1:8" ht="15.45" customHeight="1" x14ac:dyDescent="0.25">
      <c r="A23" s="33" t="s">
        <v>16</v>
      </c>
      <c r="B23" s="33" t="s">
        <v>54</v>
      </c>
      <c r="C23" s="33" t="s">
        <v>11</v>
      </c>
      <c r="D23" s="33" t="s">
        <v>12</v>
      </c>
      <c r="E23" s="33" t="s">
        <v>13</v>
      </c>
      <c r="F23" s="33" t="s">
        <v>14</v>
      </c>
      <c r="G23" s="33"/>
      <c r="H23" s="16"/>
    </row>
    <row r="24" spans="1:8" ht="15.6" x14ac:dyDescent="0.25">
      <c r="A24" s="33"/>
      <c r="B24" s="33"/>
      <c r="C24" s="33"/>
      <c r="D24" s="33"/>
      <c r="E24" s="33"/>
      <c r="F24" s="33"/>
      <c r="G24" s="33"/>
      <c r="H24" s="16"/>
    </row>
    <row r="25" spans="1:8" ht="15.6" x14ac:dyDescent="0.25">
      <c r="A25" s="33"/>
      <c r="B25" s="33"/>
      <c r="C25" s="33"/>
      <c r="D25" s="33"/>
      <c r="E25" s="33"/>
      <c r="F25" s="33"/>
      <c r="G25" s="16"/>
      <c r="H25" s="16"/>
    </row>
    <row r="26" spans="1:8" ht="15.6" x14ac:dyDescent="0.3">
      <c r="A26" s="11" t="s">
        <v>29</v>
      </c>
      <c r="B26" s="11" t="s">
        <v>30</v>
      </c>
      <c r="C26" s="11" t="s">
        <v>31</v>
      </c>
      <c r="D26" s="11" t="s">
        <v>32</v>
      </c>
      <c r="E26" s="11" t="s">
        <v>33</v>
      </c>
      <c r="F26" s="11" t="s">
        <v>34</v>
      </c>
      <c r="G26" s="12"/>
      <c r="H26" s="12"/>
    </row>
    <row r="27" spans="1:8" ht="15.6" x14ac:dyDescent="0.3">
      <c r="A27" s="8">
        <v>0</v>
      </c>
      <c r="B27" s="8"/>
      <c r="F27" s="45">
        <f>loan_A</f>
        <v>120000</v>
      </c>
    </row>
    <row r="28" spans="1:8" ht="15.6" x14ac:dyDescent="0.3">
      <c r="A28" s="8">
        <v>1</v>
      </c>
      <c r="B28" s="46">
        <f t="shared" ref="B28:B55" si="1">IF(A28&lt;=interest_A_change,interest_A_old,interest_A_new)</f>
        <v>0.04</v>
      </c>
      <c r="C28" s="40">
        <f t="shared" ref="C28:C51" si="2">IF(A28&gt;interest_A_change, repayment_A_new, repayment_A_old)</f>
        <v>7681.44</v>
      </c>
      <c r="D28" s="45">
        <f>ROUND(F27*B28,2)</f>
        <v>4800</v>
      </c>
      <c r="E28" s="40">
        <f>C28-D28</f>
        <v>2881.4399999999996</v>
      </c>
      <c r="F28" s="45">
        <f>F27-E28</f>
        <v>117118.56</v>
      </c>
    </row>
    <row r="29" spans="1:8" ht="15.6" x14ac:dyDescent="0.3">
      <c r="A29" s="8">
        <v>2</v>
      </c>
      <c r="B29" s="46">
        <f t="shared" si="1"/>
        <v>0.04</v>
      </c>
      <c r="C29" s="40">
        <f t="shared" si="2"/>
        <v>7681.44</v>
      </c>
      <c r="D29" s="45">
        <f t="shared" ref="D29:D55" si="3">ROUND(F28*B29,2)</f>
        <v>4684.74</v>
      </c>
      <c r="E29" s="40">
        <f t="shared" ref="E29:E55" si="4">C29-D29</f>
        <v>2996.7</v>
      </c>
      <c r="F29" s="45">
        <f t="shared" ref="F29:F55" si="5">F28-E29</f>
        <v>114121.86</v>
      </c>
      <c r="G29" s="40"/>
      <c r="H29" s="40"/>
    </row>
    <row r="30" spans="1:8" ht="15.6" x14ac:dyDescent="0.3">
      <c r="A30" s="8">
        <v>3</v>
      </c>
      <c r="B30" s="46">
        <f t="shared" si="1"/>
        <v>0.04</v>
      </c>
      <c r="C30" s="40">
        <f t="shared" si="2"/>
        <v>7681.44</v>
      </c>
      <c r="D30" s="45">
        <f t="shared" si="3"/>
        <v>4564.87</v>
      </c>
      <c r="E30" s="40">
        <f t="shared" si="4"/>
        <v>3116.5699999999997</v>
      </c>
      <c r="F30" s="45">
        <f t="shared" si="5"/>
        <v>111005.29000000001</v>
      </c>
    </row>
    <row r="31" spans="1:8" ht="15.6" x14ac:dyDescent="0.3">
      <c r="A31" s="8">
        <v>4</v>
      </c>
      <c r="B31" s="46">
        <f t="shared" si="1"/>
        <v>5.5E-2</v>
      </c>
      <c r="C31" s="40">
        <f t="shared" si="2"/>
        <v>8275.3700000000008</v>
      </c>
      <c r="D31" s="45">
        <f t="shared" si="3"/>
        <v>6105.29</v>
      </c>
      <c r="E31" s="40">
        <f t="shared" si="4"/>
        <v>2170.0800000000008</v>
      </c>
      <c r="F31" s="45">
        <f t="shared" si="5"/>
        <v>108835.21</v>
      </c>
    </row>
    <row r="32" spans="1:8" ht="15.6" x14ac:dyDescent="0.3">
      <c r="A32" s="8">
        <v>5</v>
      </c>
      <c r="B32" s="46">
        <f t="shared" si="1"/>
        <v>5.5E-2</v>
      </c>
      <c r="C32" s="40">
        <f t="shared" si="2"/>
        <v>8275.3700000000008</v>
      </c>
      <c r="D32" s="45">
        <f t="shared" si="3"/>
        <v>5985.94</v>
      </c>
      <c r="E32" s="40">
        <f t="shared" si="4"/>
        <v>2289.4300000000012</v>
      </c>
      <c r="F32" s="45">
        <f t="shared" si="5"/>
        <v>106545.78</v>
      </c>
    </row>
    <row r="33" spans="1:6" ht="15.6" x14ac:dyDescent="0.3">
      <c r="A33" s="8">
        <v>6</v>
      </c>
      <c r="B33" s="46">
        <f t="shared" si="1"/>
        <v>5.5E-2</v>
      </c>
      <c r="C33" s="40">
        <f t="shared" si="2"/>
        <v>8275.3700000000008</v>
      </c>
      <c r="D33" s="45">
        <f t="shared" si="3"/>
        <v>5860.02</v>
      </c>
      <c r="E33" s="40">
        <f t="shared" si="4"/>
        <v>2415.3500000000004</v>
      </c>
      <c r="F33" s="45">
        <f t="shared" si="5"/>
        <v>104130.43</v>
      </c>
    </row>
    <row r="34" spans="1:6" ht="15.6" x14ac:dyDescent="0.3">
      <c r="A34" s="8">
        <v>7</v>
      </c>
      <c r="B34" s="46">
        <f t="shared" si="1"/>
        <v>5.5E-2</v>
      </c>
      <c r="C34" s="40">
        <f t="shared" si="2"/>
        <v>8275.3700000000008</v>
      </c>
      <c r="D34" s="45">
        <f t="shared" si="3"/>
        <v>5727.17</v>
      </c>
      <c r="E34" s="40">
        <f t="shared" si="4"/>
        <v>2548.2000000000007</v>
      </c>
      <c r="F34" s="45">
        <f t="shared" si="5"/>
        <v>101582.23</v>
      </c>
    </row>
    <row r="35" spans="1:6" ht="15.6" x14ac:dyDescent="0.3">
      <c r="A35" s="8">
        <v>8</v>
      </c>
      <c r="B35" s="46">
        <f t="shared" si="1"/>
        <v>5.5E-2</v>
      </c>
      <c r="C35" s="40">
        <f t="shared" si="2"/>
        <v>8275.3700000000008</v>
      </c>
      <c r="D35" s="45">
        <f t="shared" si="3"/>
        <v>5587.02</v>
      </c>
      <c r="E35" s="40">
        <f t="shared" si="4"/>
        <v>2688.3500000000004</v>
      </c>
      <c r="F35" s="45">
        <f t="shared" si="5"/>
        <v>98893.87999999999</v>
      </c>
    </row>
    <row r="36" spans="1:6" ht="15.6" x14ac:dyDescent="0.3">
      <c r="A36" s="8">
        <v>9</v>
      </c>
      <c r="B36" s="46">
        <f t="shared" si="1"/>
        <v>5.5E-2</v>
      </c>
      <c r="C36" s="40">
        <f t="shared" si="2"/>
        <v>8275.3700000000008</v>
      </c>
      <c r="D36" s="45">
        <f t="shared" si="3"/>
        <v>5439.16</v>
      </c>
      <c r="E36" s="40">
        <f t="shared" si="4"/>
        <v>2836.2100000000009</v>
      </c>
      <c r="F36" s="45">
        <f t="shared" si="5"/>
        <v>96057.669999999984</v>
      </c>
    </row>
    <row r="37" spans="1:6" ht="15.6" x14ac:dyDescent="0.3">
      <c r="A37" s="8">
        <v>10</v>
      </c>
      <c r="B37" s="46">
        <f t="shared" si="1"/>
        <v>5.5E-2</v>
      </c>
      <c r="C37" s="40">
        <f t="shared" si="2"/>
        <v>8275.3700000000008</v>
      </c>
      <c r="D37" s="45">
        <f t="shared" si="3"/>
        <v>5283.17</v>
      </c>
      <c r="E37" s="40">
        <f t="shared" si="4"/>
        <v>2992.2000000000007</v>
      </c>
      <c r="F37" s="45">
        <f t="shared" si="5"/>
        <v>93065.469999999987</v>
      </c>
    </row>
    <row r="38" spans="1:6" ht="15.6" x14ac:dyDescent="0.3">
      <c r="A38" s="8">
        <v>11</v>
      </c>
      <c r="B38" s="46">
        <f t="shared" si="1"/>
        <v>5.5E-2</v>
      </c>
      <c r="C38" s="40">
        <f t="shared" si="2"/>
        <v>8275.3700000000008</v>
      </c>
      <c r="D38" s="45">
        <f t="shared" si="3"/>
        <v>5118.6000000000004</v>
      </c>
      <c r="E38" s="40">
        <f t="shared" si="4"/>
        <v>3156.7700000000004</v>
      </c>
      <c r="F38" s="45">
        <f t="shared" si="5"/>
        <v>89908.699999999983</v>
      </c>
    </row>
    <row r="39" spans="1:6" ht="15.6" x14ac:dyDescent="0.3">
      <c r="A39" s="8">
        <v>12</v>
      </c>
      <c r="B39" s="46">
        <f t="shared" si="1"/>
        <v>5.5E-2</v>
      </c>
      <c r="C39" s="40">
        <f t="shared" si="2"/>
        <v>8275.3700000000008</v>
      </c>
      <c r="D39" s="45">
        <f t="shared" si="3"/>
        <v>4944.9799999999996</v>
      </c>
      <c r="E39" s="40">
        <f t="shared" si="4"/>
        <v>3330.3900000000012</v>
      </c>
      <c r="F39" s="45">
        <f t="shared" si="5"/>
        <v>86578.309999999983</v>
      </c>
    </row>
    <row r="40" spans="1:6" ht="15.6" x14ac:dyDescent="0.3">
      <c r="A40" s="8">
        <v>13</v>
      </c>
      <c r="B40" s="46">
        <f t="shared" si="1"/>
        <v>5.5E-2</v>
      </c>
      <c r="C40" s="40">
        <f t="shared" si="2"/>
        <v>8275.3700000000008</v>
      </c>
      <c r="D40" s="45">
        <f t="shared" si="3"/>
        <v>4761.8100000000004</v>
      </c>
      <c r="E40" s="40">
        <f t="shared" si="4"/>
        <v>3513.5600000000004</v>
      </c>
      <c r="F40" s="45">
        <f t="shared" si="5"/>
        <v>83064.749999999985</v>
      </c>
    </row>
    <row r="41" spans="1:6" ht="15.6" x14ac:dyDescent="0.3">
      <c r="A41" s="8">
        <v>14</v>
      </c>
      <c r="B41" s="46">
        <f t="shared" si="1"/>
        <v>5.5E-2</v>
      </c>
      <c r="C41" s="40">
        <f t="shared" si="2"/>
        <v>8275.3700000000008</v>
      </c>
      <c r="D41" s="45">
        <f t="shared" si="3"/>
        <v>4568.5600000000004</v>
      </c>
      <c r="E41" s="40">
        <f t="shared" si="4"/>
        <v>3706.8100000000004</v>
      </c>
      <c r="F41" s="45">
        <f t="shared" si="5"/>
        <v>79357.939999999988</v>
      </c>
    </row>
    <row r="42" spans="1:6" ht="15.6" x14ac:dyDescent="0.3">
      <c r="A42" s="8">
        <v>15</v>
      </c>
      <c r="B42" s="46">
        <f t="shared" si="1"/>
        <v>5.5E-2</v>
      </c>
      <c r="C42" s="40">
        <f t="shared" si="2"/>
        <v>8275.3700000000008</v>
      </c>
      <c r="D42" s="45">
        <f t="shared" si="3"/>
        <v>4364.6899999999996</v>
      </c>
      <c r="E42" s="40">
        <f t="shared" si="4"/>
        <v>3910.6800000000012</v>
      </c>
      <c r="F42" s="45">
        <f t="shared" si="5"/>
        <v>75447.25999999998</v>
      </c>
    </row>
    <row r="43" spans="1:6" ht="15.6" x14ac:dyDescent="0.3">
      <c r="A43" s="8">
        <v>16</v>
      </c>
      <c r="B43" s="46">
        <f t="shared" si="1"/>
        <v>5.5E-2</v>
      </c>
      <c r="C43" s="40">
        <f t="shared" si="2"/>
        <v>8275.3700000000008</v>
      </c>
      <c r="D43" s="45">
        <f t="shared" si="3"/>
        <v>4149.6000000000004</v>
      </c>
      <c r="E43" s="40">
        <f t="shared" si="4"/>
        <v>4125.7700000000004</v>
      </c>
      <c r="F43" s="45">
        <f t="shared" si="5"/>
        <v>71321.489999999976</v>
      </c>
    </row>
    <row r="44" spans="1:6" ht="15.6" x14ac:dyDescent="0.3">
      <c r="A44" s="8">
        <v>17</v>
      </c>
      <c r="B44" s="46">
        <f t="shared" si="1"/>
        <v>5.5E-2</v>
      </c>
      <c r="C44" s="40">
        <f t="shared" si="2"/>
        <v>8275.3700000000008</v>
      </c>
      <c r="D44" s="45">
        <f t="shared" si="3"/>
        <v>3922.68</v>
      </c>
      <c r="E44" s="40">
        <f t="shared" si="4"/>
        <v>4352.6900000000005</v>
      </c>
      <c r="F44" s="45">
        <f t="shared" si="5"/>
        <v>66968.799999999974</v>
      </c>
    </row>
    <row r="45" spans="1:6" ht="15.6" x14ac:dyDescent="0.3">
      <c r="A45" s="8">
        <v>18</v>
      </c>
      <c r="B45" s="46">
        <f t="shared" si="1"/>
        <v>5.5E-2</v>
      </c>
      <c r="C45" s="40">
        <f t="shared" si="2"/>
        <v>8275.3700000000008</v>
      </c>
      <c r="D45" s="45">
        <f t="shared" si="3"/>
        <v>3683.28</v>
      </c>
      <c r="E45" s="40">
        <f t="shared" si="4"/>
        <v>4592.09</v>
      </c>
      <c r="F45" s="45">
        <f t="shared" si="5"/>
        <v>62376.709999999977</v>
      </c>
    </row>
    <row r="46" spans="1:6" ht="15.6" x14ac:dyDescent="0.3">
      <c r="A46" s="8">
        <v>19</v>
      </c>
      <c r="B46" s="46">
        <f t="shared" si="1"/>
        <v>5.5E-2</v>
      </c>
      <c r="C46" s="40">
        <f t="shared" si="2"/>
        <v>8275.3700000000008</v>
      </c>
      <c r="D46" s="45">
        <f t="shared" si="3"/>
        <v>3430.72</v>
      </c>
      <c r="E46" s="40">
        <f t="shared" si="4"/>
        <v>4844.6500000000015</v>
      </c>
      <c r="F46" s="45">
        <f t="shared" si="5"/>
        <v>57532.059999999976</v>
      </c>
    </row>
    <row r="47" spans="1:6" ht="15.6" x14ac:dyDescent="0.3">
      <c r="A47" s="8">
        <v>20</v>
      </c>
      <c r="B47" s="46">
        <f t="shared" si="1"/>
        <v>5.5E-2</v>
      </c>
      <c r="C47" s="40">
        <f t="shared" si="2"/>
        <v>8275.3700000000008</v>
      </c>
      <c r="D47" s="45">
        <f t="shared" si="3"/>
        <v>3164.26</v>
      </c>
      <c r="E47" s="40">
        <f t="shared" si="4"/>
        <v>5111.1100000000006</v>
      </c>
      <c r="F47" s="45">
        <f t="shared" si="5"/>
        <v>52420.949999999975</v>
      </c>
    </row>
    <row r="48" spans="1:6" ht="15.6" x14ac:dyDescent="0.3">
      <c r="A48" s="8">
        <v>21</v>
      </c>
      <c r="B48" s="46">
        <f t="shared" si="1"/>
        <v>5.5E-2</v>
      </c>
      <c r="C48" s="40">
        <f t="shared" si="2"/>
        <v>8275.3700000000008</v>
      </c>
      <c r="D48" s="45">
        <f t="shared" si="3"/>
        <v>2883.15</v>
      </c>
      <c r="E48" s="40">
        <f t="shared" si="4"/>
        <v>5392.2200000000012</v>
      </c>
      <c r="F48" s="45">
        <f t="shared" si="5"/>
        <v>47028.729999999974</v>
      </c>
    </row>
    <row r="49" spans="1:6" ht="15.6" x14ac:dyDescent="0.3">
      <c r="A49" s="8">
        <v>22</v>
      </c>
      <c r="B49" s="46">
        <f t="shared" si="1"/>
        <v>5.5E-2</v>
      </c>
      <c r="C49" s="40">
        <f t="shared" si="2"/>
        <v>8275.3700000000008</v>
      </c>
      <c r="D49" s="45">
        <f t="shared" si="3"/>
        <v>2586.58</v>
      </c>
      <c r="E49" s="40">
        <f t="shared" si="4"/>
        <v>5688.7900000000009</v>
      </c>
      <c r="F49" s="45">
        <f t="shared" si="5"/>
        <v>41339.939999999973</v>
      </c>
    </row>
    <row r="50" spans="1:6" ht="15.6" x14ac:dyDescent="0.3">
      <c r="A50" s="8">
        <v>23</v>
      </c>
      <c r="B50" s="46">
        <f t="shared" si="1"/>
        <v>5.5E-2</v>
      </c>
      <c r="C50" s="40">
        <f t="shared" si="2"/>
        <v>8275.3700000000008</v>
      </c>
      <c r="D50" s="45">
        <f t="shared" si="3"/>
        <v>2273.6999999999998</v>
      </c>
      <c r="E50" s="40">
        <f t="shared" si="4"/>
        <v>6001.670000000001</v>
      </c>
      <c r="F50" s="45">
        <f t="shared" si="5"/>
        <v>35338.269999999975</v>
      </c>
    </row>
    <row r="51" spans="1:6" ht="15.6" x14ac:dyDescent="0.3">
      <c r="A51" s="8">
        <v>24</v>
      </c>
      <c r="B51" s="46">
        <f t="shared" si="1"/>
        <v>5.5E-2</v>
      </c>
      <c r="C51" s="40">
        <f t="shared" si="2"/>
        <v>8275.3700000000008</v>
      </c>
      <c r="D51" s="45">
        <f t="shared" si="3"/>
        <v>1943.6</v>
      </c>
      <c r="E51" s="40">
        <f t="shared" si="4"/>
        <v>6331.77</v>
      </c>
      <c r="F51" s="45">
        <f t="shared" si="5"/>
        <v>29006.499999999975</v>
      </c>
    </row>
    <row r="52" spans="1:6" ht="15.6" x14ac:dyDescent="0.3">
      <c r="A52" s="8">
        <v>25</v>
      </c>
      <c r="B52" s="46">
        <f t="shared" si="1"/>
        <v>5.5E-2</v>
      </c>
      <c r="C52" s="40">
        <f t="shared" ref="C52:C53" si="6">IF(A52&gt;interest_A_change, repayment_A_new, repayment_A_old)</f>
        <v>8275.3700000000008</v>
      </c>
      <c r="D52" s="45">
        <f t="shared" si="3"/>
        <v>1595.36</v>
      </c>
      <c r="E52" s="40">
        <f t="shared" si="4"/>
        <v>6680.0100000000011</v>
      </c>
      <c r="F52" s="45">
        <f t="shared" si="5"/>
        <v>22326.489999999972</v>
      </c>
    </row>
    <row r="53" spans="1:6" ht="15.6" x14ac:dyDescent="0.3">
      <c r="A53" s="8">
        <v>26</v>
      </c>
      <c r="B53" s="46">
        <f t="shared" si="1"/>
        <v>5.5E-2</v>
      </c>
      <c r="C53" s="40">
        <f t="shared" si="6"/>
        <v>8275.3700000000008</v>
      </c>
      <c r="D53" s="45">
        <f t="shared" si="3"/>
        <v>1227.96</v>
      </c>
      <c r="E53" s="40">
        <f t="shared" si="4"/>
        <v>7047.4100000000008</v>
      </c>
      <c r="F53" s="45">
        <f t="shared" si="5"/>
        <v>15279.079999999973</v>
      </c>
    </row>
    <row r="54" spans="1:6" ht="15.6" x14ac:dyDescent="0.3">
      <c r="A54" s="8">
        <v>27</v>
      </c>
      <c r="B54" s="46">
        <f t="shared" si="1"/>
        <v>5.5E-2</v>
      </c>
      <c r="C54" s="40">
        <f t="shared" ref="C54" si="7">IF(A54&gt;interest_A_change, repayment_A_new, repayment_A_old)</f>
        <v>8275.3700000000008</v>
      </c>
      <c r="D54" s="45">
        <f t="shared" si="3"/>
        <v>840.35</v>
      </c>
      <c r="E54" s="40">
        <f t="shared" si="4"/>
        <v>7435.02</v>
      </c>
      <c r="F54" s="45">
        <f t="shared" si="5"/>
        <v>7844.0599999999722</v>
      </c>
    </row>
    <row r="55" spans="1:6" ht="15.6" x14ac:dyDescent="0.3">
      <c r="A55" s="8">
        <v>28</v>
      </c>
      <c r="B55" s="46">
        <f t="shared" si="1"/>
        <v>5.5E-2</v>
      </c>
      <c r="C55" s="40">
        <f>F54+D55</f>
        <v>8275.4799999999723</v>
      </c>
      <c r="D55" s="45">
        <f t="shared" si="3"/>
        <v>431.42</v>
      </c>
      <c r="E55" s="40">
        <f t="shared" si="4"/>
        <v>7844.0599999999722</v>
      </c>
      <c r="F55" s="45">
        <f t="shared" si="5"/>
        <v>0</v>
      </c>
    </row>
    <row r="57" spans="1:6" ht="15.6" x14ac:dyDescent="0.3">
      <c r="A57" s="6"/>
      <c r="B57" s="7"/>
      <c r="C57" s="7"/>
      <c r="D57" s="7"/>
      <c r="E57" s="40"/>
    </row>
  </sheetData>
  <mergeCells count="7">
    <mergeCell ref="G23:G24"/>
    <mergeCell ref="A23:A25"/>
    <mergeCell ref="B23:B25"/>
    <mergeCell ref="C23:C25"/>
    <mergeCell ref="D23:D25"/>
    <mergeCell ref="E23:E25"/>
    <mergeCell ref="F23:F25"/>
  </mergeCells>
  <conditionalFormatting sqref="A27:B55">
    <cfRule type="cellIs" dxfId="1" priority="2" operator="equal">
      <formula>$B$11+1</formula>
    </cfRule>
  </conditionalFormatting>
  <conditionalFormatting sqref="F27:F55">
    <cfRule type="cellIs" dxfId="0" priority="1" operator="equal">
      <formula>$B$15</formula>
    </cfRule>
  </conditionalFormatting>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31294-30ED-4EA6-A5E3-D850D85B1FA7}">
  <dimension ref="A1:O49"/>
  <sheetViews>
    <sheetView zoomScale="110" zoomScaleNormal="110" workbookViewId="0">
      <selection activeCell="G16" sqref="G16"/>
    </sheetView>
  </sheetViews>
  <sheetFormatPr defaultColWidth="9.109375" defaultRowHeight="15" x14ac:dyDescent="0.25"/>
  <cols>
    <col min="1" max="1" width="16.6640625" style="19" customWidth="1"/>
    <col min="2" max="2" width="15.88671875" style="19" customWidth="1"/>
    <col min="3" max="3" width="15.6640625" style="19" customWidth="1"/>
    <col min="4" max="4" width="15.21875" style="19" customWidth="1"/>
    <col min="5" max="5" width="16.77734375" style="19" customWidth="1"/>
    <col min="6" max="6" width="16.21875" style="19" customWidth="1"/>
    <col min="7" max="7" width="9.109375" style="19"/>
    <col min="8" max="8" width="13.6640625" style="19" customWidth="1"/>
    <col min="9" max="9" width="16.109375" style="19" customWidth="1"/>
    <col min="10" max="10" width="25.33203125" style="19" customWidth="1"/>
    <col min="11" max="11" width="16.33203125" style="19" customWidth="1"/>
    <col min="12" max="12" width="14.44140625" style="19" customWidth="1"/>
    <col min="13" max="13" width="13.44140625" style="19" customWidth="1"/>
    <col min="14" max="16384" width="9.109375" style="19"/>
  </cols>
  <sheetData>
    <row r="1" spans="1:7" ht="15.6" x14ac:dyDescent="0.3">
      <c r="A1" s="1" t="s">
        <v>64</v>
      </c>
    </row>
    <row r="2" spans="1:7" ht="48" customHeight="1" x14ac:dyDescent="0.25">
      <c r="A2" s="34" t="s">
        <v>65</v>
      </c>
      <c r="B2" s="34"/>
      <c r="C2" s="34"/>
      <c r="D2" s="34"/>
      <c r="E2" s="34"/>
      <c r="F2" s="34"/>
    </row>
    <row r="3" spans="1:7" ht="15.6" x14ac:dyDescent="0.3">
      <c r="A3" s="19" t="s">
        <v>19</v>
      </c>
    </row>
    <row r="4" spans="1:7" x14ac:dyDescent="0.25">
      <c r="A4" s="19" t="s">
        <v>0</v>
      </c>
    </row>
    <row r="5" spans="1:7" x14ac:dyDescent="0.25">
      <c r="A5" s="19" t="s">
        <v>1</v>
      </c>
    </row>
    <row r="8" spans="1:7" ht="15.6" x14ac:dyDescent="0.3">
      <c r="A8" s="1" t="s">
        <v>2</v>
      </c>
      <c r="B8" s="1" t="s">
        <v>3</v>
      </c>
      <c r="C8" s="1" t="s">
        <v>4</v>
      </c>
    </row>
    <row r="9" spans="1:7" x14ac:dyDescent="0.25">
      <c r="A9" s="19" t="s">
        <v>66</v>
      </c>
      <c r="B9" s="20">
        <v>100000</v>
      </c>
      <c r="C9" s="19" t="s">
        <v>67</v>
      </c>
    </row>
    <row r="10" spans="1:7" x14ac:dyDescent="0.25">
      <c r="A10" s="19" t="s">
        <v>68</v>
      </c>
      <c r="B10" s="21">
        <v>0.06</v>
      </c>
      <c r="C10" s="19" t="s">
        <v>69</v>
      </c>
    </row>
    <row r="11" spans="1:7" x14ac:dyDescent="0.25">
      <c r="A11" s="19" t="s">
        <v>70</v>
      </c>
      <c r="B11" s="22">
        <v>7.0000000000000007E-2</v>
      </c>
      <c r="C11" s="19" t="s">
        <v>71</v>
      </c>
    </row>
    <row r="12" spans="1:7" x14ac:dyDescent="0.25">
      <c r="A12" s="19" t="s">
        <v>72</v>
      </c>
      <c r="B12" s="22">
        <v>16</v>
      </c>
      <c r="C12" s="19" t="s">
        <v>73</v>
      </c>
    </row>
    <row r="13" spans="1:7" x14ac:dyDescent="0.25">
      <c r="A13" s="19" t="s">
        <v>74</v>
      </c>
      <c r="B13" s="22">
        <v>30</v>
      </c>
      <c r="C13" s="19" t="s">
        <v>75</v>
      </c>
    </row>
    <row r="14" spans="1:7" ht="15.6" x14ac:dyDescent="0.3">
      <c r="A14" s="19" t="s">
        <v>76</v>
      </c>
      <c r="B14" s="23">
        <v>7400.4656181219862</v>
      </c>
      <c r="C14" s="19" t="s">
        <v>77</v>
      </c>
    </row>
    <row r="16" spans="1:7" ht="15.6" x14ac:dyDescent="0.3">
      <c r="C16" s="24"/>
      <c r="D16" s="24"/>
      <c r="F16" s="25">
        <f>F49</f>
        <v>1.6370904631912708E-11</v>
      </c>
      <c r="G16" s="26" t="s">
        <v>78</v>
      </c>
    </row>
    <row r="17" spans="1:15" ht="30" customHeight="1" x14ac:dyDescent="0.25">
      <c r="A17" s="33" t="s">
        <v>16</v>
      </c>
      <c r="B17" s="33" t="s">
        <v>54</v>
      </c>
      <c r="C17" s="33" t="s">
        <v>11</v>
      </c>
      <c r="D17" s="33" t="s">
        <v>12</v>
      </c>
      <c r="E17" s="33" t="s">
        <v>13</v>
      </c>
      <c r="F17" s="33" t="s">
        <v>14</v>
      </c>
      <c r="I17" s="33"/>
      <c r="J17" s="33"/>
      <c r="K17" s="33"/>
      <c r="L17" s="33"/>
      <c r="M17" s="33"/>
      <c r="N17" s="33"/>
      <c r="O17" s="33"/>
    </row>
    <row r="18" spans="1:15" ht="30" customHeight="1" x14ac:dyDescent="0.25">
      <c r="A18" s="33"/>
      <c r="B18" s="33"/>
      <c r="C18" s="33"/>
      <c r="D18" s="33"/>
      <c r="E18" s="33"/>
      <c r="F18" s="33"/>
      <c r="I18" s="33"/>
      <c r="J18" s="33"/>
      <c r="K18" s="33"/>
      <c r="L18" s="33"/>
      <c r="M18" s="33"/>
      <c r="N18" s="33"/>
      <c r="O18" s="33"/>
    </row>
    <row r="19" spans="1:15" ht="15.6" x14ac:dyDescent="0.3">
      <c r="A19" s="8">
        <v>0</v>
      </c>
      <c r="B19" s="8"/>
      <c r="F19" s="27">
        <f>Loan_Q4</f>
        <v>100000</v>
      </c>
    </row>
    <row r="20" spans="1:15" ht="15.6" x14ac:dyDescent="0.3">
      <c r="A20" s="8">
        <v>1</v>
      </c>
      <c r="B20" s="28">
        <f t="shared" ref="B20:B49" si="0">IF(A20&lt;Switch_Q4,Int_Q4_1,Int_Q4_2)</f>
        <v>0.06</v>
      </c>
      <c r="C20" s="29">
        <f t="shared" ref="C20:C49" si="1">Repay_Q4</f>
        <v>7400.4656181219862</v>
      </c>
      <c r="D20" s="29">
        <f>F19*B20</f>
        <v>6000</v>
      </c>
      <c r="E20" s="29">
        <f>C20-D20</f>
        <v>1400.4656181219862</v>
      </c>
      <c r="F20" s="29">
        <f>F19-E20</f>
        <v>98599.534381878009</v>
      </c>
      <c r="I20" s="8"/>
    </row>
    <row r="21" spans="1:15" ht="15.6" x14ac:dyDescent="0.3">
      <c r="A21" s="8">
        <v>2</v>
      </c>
      <c r="B21" s="28">
        <f t="shared" si="0"/>
        <v>0.06</v>
      </c>
      <c r="C21" s="29">
        <f t="shared" si="1"/>
        <v>7400.4656181219862</v>
      </c>
      <c r="D21" s="29">
        <f t="shared" ref="D21:D49" si="2">F20*B21</f>
        <v>5915.9720629126805</v>
      </c>
      <c r="E21" s="29">
        <f t="shared" ref="E21:E49" si="3">C21-D21</f>
        <v>1484.4935552093057</v>
      </c>
      <c r="F21" s="29">
        <f t="shared" ref="F21:F49" si="4">F20-E21</f>
        <v>97115.040826668701</v>
      </c>
      <c r="G21" s="30"/>
      <c r="I21" s="8"/>
    </row>
    <row r="22" spans="1:15" ht="15.6" x14ac:dyDescent="0.3">
      <c r="A22" s="8">
        <v>3</v>
      </c>
      <c r="B22" s="28">
        <f t="shared" si="0"/>
        <v>0.06</v>
      </c>
      <c r="C22" s="29">
        <f t="shared" si="1"/>
        <v>7400.4656181219862</v>
      </c>
      <c r="D22" s="29">
        <f t="shared" si="2"/>
        <v>5826.9024496001221</v>
      </c>
      <c r="E22" s="29">
        <f t="shared" si="3"/>
        <v>1573.5631685218641</v>
      </c>
      <c r="F22" s="29">
        <f t="shared" si="4"/>
        <v>95541.477658146832</v>
      </c>
      <c r="G22" s="30"/>
      <c r="I22" s="8"/>
    </row>
    <row r="23" spans="1:15" ht="15.6" x14ac:dyDescent="0.3">
      <c r="A23" s="8">
        <v>4</v>
      </c>
      <c r="B23" s="28">
        <f t="shared" si="0"/>
        <v>0.06</v>
      </c>
      <c r="C23" s="29">
        <f t="shared" si="1"/>
        <v>7400.4656181219862</v>
      </c>
      <c r="D23" s="29">
        <f t="shared" si="2"/>
        <v>5732.4886594888094</v>
      </c>
      <c r="E23" s="29">
        <f t="shared" si="3"/>
        <v>1667.9769586331768</v>
      </c>
      <c r="F23" s="29">
        <f t="shared" si="4"/>
        <v>93873.50069951365</v>
      </c>
      <c r="G23" s="30"/>
      <c r="I23" s="8"/>
    </row>
    <row r="24" spans="1:15" ht="15.6" x14ac:dyDescent="0.3">
      <c r="A24" s="8">
        <v>5</v>
      </c>
      <c r="B24" s="28">
        <f t="shared" si="0"/>
        <v>0.06</v>
      </c>
      <c r="C24" s="29">
        <f t="shared" si="1"/>
        <v>7400.4656181219862</v>
      </c>
      <c r="D24" s="29">
        <f t="shared" si="2"/>
        <v>5632.4100419708184</v>
      </c>
      <c r="E24" s="29">
        <f t="shared" si="3"/>
        <v>1768.0555761511678</v>
      </c>
      <c r="F24" s="29">
        <f t="shared" si="4"/>
        <v>92105.445123362486</v>
      </c>
      <c r="G24" s="30"/>
    </row>
    <row r="25" spans="1:15" ht="15.6" x14ac:dyDescent="0.3">
      <c r="A25" s="8">
        <v>6</v>
      </c>
      <c r="B25" s="28">
        <f t="shared" si="0"/>
        <v>0.06</v>
      </c>
      <c r="C25" s="29">
        <f t="shared" si="1"/>
        <v>7400.4656181219862</v>
      </c>
      <c r="D25" s="29">
        <f t="shared" si="2"/>
        <v>5526.3267074017485</v>
      </c>
      <c r="E25" s="29">
        <f t="shared" si="3"/>
        <v>1874.1389107202376</v>
      </c>
      <c r="F25" s="29">
        <f t="shared" si="4"/>
        <v>90231.306212642245</v>
      </c>
    </row>
    <row r="26" spans="1:15" ht="15.6" x14ac:dyDescent="0.3">
      <c r="A26" s="8">
        <v>7</v>
      </c>
      <c r="B26" s="28">
        <f t="shared" si="0"/>
        <v>0.06</v>
      </c>
      <c r="C26" s="29">
        <f t="shared" si="1"/>
        <v>7400.4656181219862</v>
      </c>
      <c r="D26" s="29">
        <f t="shared" si="2"/>
        <v>5413.8783727585342</v>
      </c>
      <c r="E26" s="29">
        <f t="shared" si="3"/>
        <v>1986.587245363452</v>
      </c>
      <c r="F26" s="29">
        <f t="shared" si="4"/>
        <v>88244.718967278794</v>
      </c>
    </row>
    <row r="27" spans="1:15" ht="15.6" x14ac:dyDescent="0.3">
      <c r="A27" s="8">
        <v>8</v>
      </c>
      <c r="B27" s="28">
        <f t="shared" si="0"/>
        <v>0.06</v>
      </c>
      <c r="C27" s="29">
        <f t="shared" si="1"/>
        <v>7400.4656181219862</v>
      </c>
      <c r="D27" s="29">
        <f t="shared" si="2"/>
        <v>5294.6831380367275</v>
      </c>
      <c r="E27" s="29">
        <f t="shared" si="3"/>
        <v>2105.7824800852586</v>
      </c>
      <c r="F27" s="29">
        <f t="shared" si="4"/>
        <v>86138.93648719354</v>
      </c>
    </row>
    <row r="28" spans="1:15" ht="15.6" x14ac:dyDescent="0.3">
      <c r="A28" s="8">
        <v>9</v>
      </c>
      <c r="B28" s="28">
        <f t="shared" si="0"/>
        <v>0.06</v>
      </c>
      <c r="C28" s="29">
        <f t="shared" si="1"/>
        <v>7400.4656181219862</v>
      </c>
      <c r="D28" s="29">
        <f t="shared" si="2"/>
        <v>5168.3361892316125</v>
      </c>
      <c r="E28" s="29">
        <f t="shared" si="3"/>
        <v>2232.1294288903737</v>
      </c>
      <c r="F28" s="29">
        <f t="shared" si="4"/>
        <v>83906.807058303166</v>
      </c>
    </row>
    <row r="29" spans="1:15" ht="15.6" x14ac:dyDescent="0.3">
      <c r="A29" s="8">
        <v>10</v>
      </c>
      <c r="B29" s="28">
        <f t="shared" si="0"/>
        <v>0.06</v>
      </c>
      <c r="C29" s="29">
        <f t="shared" si="1"/>
        <v>7400.4656181219862</v>
      </c>
      <c r="D29" s="29">
        <f t="shared" si="2"/>
        <v>5034.4084234981901</v>
      </c>
      <c r="E29" s="29">
        <f t="shared" si="3"/>
        <v>2366.057194623796</v>
      </c>
      <c r="F29" s="29">
        <f t="shared" si="4"/>
        <v>81540.749863679375</v>
      </c>
    </row>
    <row r="30" spans="1:15" ht="15.6" x14ac:dyDescent="0.3">
      <c r="A30" s="8">
        <v>11</v>
      </c>
      <c r="B30" s="28">
        <f t="shared" si="0"/>
        <v>0.06</v>
      </c>
      <c r="C30" s="29">
        <f t="shared" si="1"/>
        <v>7400.4656181219862</v>
      </c>
      <c r="D30" s="29">
        <f t="shared" si="2"/>
        <v>4892.444991820762</v>
      </c>
      <c r="E30" s="29">
        <f t="shared" si="3"/>
        <v>2508.0206263012242</v>
      </c>
      <c r="F30" s="29">
        <f t="shared" si="4"/>
        <v>79032.729237378153</v>
      </c>
    </row>
    <row r="31" spans="1:15" ht="15.6" x14ac:dyDescent="0.3">
      <c r="A31" s="8">
        <v>12</v>
      </c>
      <c r="B31" s="28">
        <f t="shared" si="0"/>
        <v>0.06</v>
      </c>
      <c r="C31" s="29">
        <f t="shared" si="1"/>
        <v>7400.4656181219862</v>
      </c>
      <c r="D31" s="29">
        <f t="shared" si="2"/>
        <v>4741.963754242689</v>
      </c>
      <c r="E31" s="29">
        <f t="shared" si="3"/>
        <v>2658.5018638792972</v>
      </c>
      <c r="F31" s="29">
        <f t="shared" si="4"/>
        <v>76374.227373498856</v>
      </c>
    </row>
    <row r="32" spans="1:15" ht="15.6" x14ac:dyDescent="0.3">
      <c r="A32" s="8">
        <v>13</v>
      </c>
      <c r="B32" s="28">
        <f t="shared" si="0"/>
        <v>0.06</v>
      </c>
      <c r="C32" s="29">
        <f t="shared" si="1"/>
        <v>7400.4656181219862</v>
      </c>
      <c r="D32" s="29">
        <f t="shared" si="2"/>
        <v>4582.4536424099315</v>
      </c>
      <c r="E32" s="29">
        <f t="shared" si="3"/>
        <v>2818.0119757120547</v>
      </c>
      <c r="F32" s="29">
        <f t="shared" si="4"/>
        <v>73556.2153977868</v>
      </c>
    </row>
    <row r="33" spans="1:6" ht="15.6" x14ac:dyDescent="0.3">
      <c r="A33" s="8">
        <v>14</v>
      </c>
      <c r="B33" s="28">
        <f t="shared" si="0"/>
        <v>0.06</v>
      </c>
      <c r="C33" s="29">
        <f t="shared" si="1"/>
        <v>7400.4656181219862</v>
      </c>
      <c r="D33" s="29">
        <f t="shared" si="2"/>
        <v>4413.3729238672076</v>
      </c>
      <c r="E33" s="29">
        <f t="shared" si="3"/>
        <v>2987.0926942547785</v>
      </c>
      <c r="F33" s="29">
        <f t="shared" si="4"/>
        <v>70569.122703532019</v>
      </c>
    </row>
    <row r="34" spans="1:6" ht="15.6" x14ac:dyDescent="0.3">
      <c r="A34" s="8">
        <v>15</v>
      </c>
      <c r="B34" s="28">
        <f t="shared" si="0"/>
        <v>0.06</v>
      </c>
      <c r="C34" s="29">
        <f t="shared" si="1"/>
        <v>7400.4656181219862</v>
      </c>
      <c r="D34" s="29">
        <f t="shared" si="2"/>
        <v>4234.1473622119211</v>
      </c>
      <c r="E34" s="29">
        <f t="shared" si="3"/>
        <v>3166.3182559100651</v>
      </c>
      <c r="F34" s="29">
        <f t="shared" si="4"/>
        <v>67402.804447621951</v>
      </c>
    </row>
    <row r="35" spans="1:6" ht="15.6" x14ac:dyDescent="0.3">
      <c r="A35" s="8">
        <v>16</v>
      </c>
      <c r="B35" s="28">
        <f t="shared" si="0"/>
        <v>7.0000000000000007E-2</v>
      </c>
      <c r="C35" s="29">
        <f t="shared" si="1"/>
        <v>7400.4656181219862</v>
      </c>
      <c r="D35" s="29">
        <f t="shared" si="2"/>
        <v>4718.1963113335369</v>
      </c>
      <c r="E35" s="29">
        <f t="shared" si="3"/>
        <v>2682.2693067884493</v>
      </c>
      <c r="F35" s="29">
        <f t="shared" si="4"/>
        <v>64720.535140833505</v>
      </c>
    </row>
    <row r="36" spans="1:6" ht="15.6" x14ac:dyDescent="0.3">
      <c r="A36" s="8">
        <v>17</v>
      </c>
      <c r="B36" s="28">
        <f t="shared" si="0"/>
        <v>7.0000000000000007E-2</v>
      </c>
      <c r="C36" s="29">
        <f t="shared" si="1"/>
        <v>7400.4656181219862</v>
      </c>
      <c r="D36" s="29">
        <f t="shared" si="2"/>
        <v>4530.4374598583454</v>
      </c>
      <c r="E36" s="29">
        <f t="shared" si="3"/>
        <v>2870.0281582636408</v>
      </c>
      <c r="F36" s="29">
        <f t="shared" si="4"/>
        <v>61850.506982569867</v>
      </c>
    </row>
    <row r="37" spans="1:6" ht="15.6" x14ac:dyDescent="0.3">
      <c r="A37" s="8">
        <v>18</v>
      </c>
      <c r="B37" s="28">
        <f t="shared" si="0"/>
        <v>7.0000000000000007E-2</v>
      </c>
      <c r="C37" s="29">
        <f t="shared" si="1"/>
        <v>7400.4656181219862</v>
      </c>
      <c r="D37" s="29">
        <f t="shared" si="2"/>
        <v>4329.5354887798912</v>
      </c>
      <c r="E37" s="29">
        <f t="shared" si="3"/>
        <v>3070.9301293420949</v>
      </c>
      <c r="F37" s="29">
        <f t="shared" si="4"/>
        <v>58779.576853227773</v>
      </c>
    </row>
    <row r="38" spans="1:6" ht="15.6" x14ac:dyDescent="0.3">
      <c r="A38" s="8">
        <v>19</v>
      </c>
      <c r="B38" s="28">
        <f t="shared" si="0"/>
        <v>7.0000000000000007E-2</v>
      </c>
      <c r="C38" s="29">
        <f t="shared" si="1"/>
        <v>7400.4656181219862</v>
      </c>
      <c r="D38" s="29">
        <f t="shared" si="2"/>
        <v>4114.5703797259448</v>
      </c>
      <c r="E38" s="29">
        <f t="shared" si="3"/>
        <v>3285.8952383960413</v>
      </c>
      <c r="F38" s="29">
        <f t="shared" si="4"/>
        <v>55493.68161483173</v>
      </c>
    </row>
    <row r="39" spans="1:6" ht="15.6" x14ac:dyDescent="0.3">
      <c r="A39" s="8">
        <v>20</v>
      </c>
      <c r="B39" s="28">
        <f t="shared" si="0"/>
        <v>7.0000000000000007E-2</v>
      </c>
      <c r="C39" s="29">
        <f t="shared" si="1"/>
        <v>7400.4656181219862</v>
      </c>
      <c r="D39" s="29">
        <f t="shared" si="2"/>
        <v>3884.5577130382217</v>
      </c>
      <c r="E39" s="29">
        <f t="shared" si="3"/>
        <v>3515.9079050837645</v>
      </c>
      <c r="F39" s="29">
        <f t="shared" si="4"/>
        <v>51977.773709747969</v>
      </c>
    </row>
    <row r="40" spans="1:6" ht="15.6" x14ac:dyDescent="0.3">
      <c r="A40" s="8">
        <v>21</v>
      </c>
      <c r="B40" s="28">
        <f t="shared" si="0"/>
        <v>7.0000000000000007E-2</v>
      </c>
      <c r="C40" s="29">
        <f t="shared" si="1"/>
        <v>7400.4656181219862</v>
      </c>
      <c r="D40" s="29">
        <f t="shared" si="2"/>
        <v>3638.4441596823581</v>
      </c>
      <c r="E40" s="29">
        <f t="shared" si="3"/>
        <v>3762.0214584396281</v>
      </c>
      <c r="F40" s="29">
        <f t="shared" si="4"/>
        <v>48215.752251308339</v>
      </c>
    </row>
    <row r="41" spans="1:6" ht="15.6" x14ac:dyDescent="0.3">
      <c r="A41" s="8">
        <v>22</v>
      </c>
      <c r="B41" s="28">
        <f t="shared" si="0"/>
        <v>7.0000000000000007E-2</v>
      </c>
      <c r="C41" s="29">
        <f t="shared" si="1"/>
        <v>7400.4656181219862</v>
      </c>
      <c r="D41" s="29">
        <f t="shared" si="2"/>
        <v>3375.1026575915839</v>
      </c>
      <c r="E41" s="29">
        <f t="shared" si="3"/>
        <v>4025.3629605304022</v>
      </c>
      <c r="F41" s="29">
        <f t="shared" si="4"/>
        <v>44190.389290777937</v>
      </c>
    </row>
    <row r="42" spans="1:6" ht="15.6" x14ac:dyDescent="0.3">
      <c r="A42" s="8">
        <v>23</v>
      </c>
      <c r="B42" s="28">
        <f t="shared" si="0"/>
        <v>7.0000000000000007E-2</v>
      </c>
      <c r="C42" s="29">
        <f t="shared" si="1"/>
        <v>7400.4656181219862</v>
      </c>
      <c r="D42" s="29">
        <f t="shared" si="2"/>
        <v>3093.3272503544558</v>
      </c>
      <c r="E42" s="29">
        <f t="shared" si="3"/>
        <v>4307.1383677675303</v>
      </c>
      <c r="F42" s="29">
        <f t="shared" si="4"/>
        <v>39883.250923010404</v>
      </c>
    </row>
    <row r="43" spans="1:6" ht="15.6" x14ac:dyDescent="0.3">
      <c r="A43" s="8">
        <v>24</v>
      </c>
      <c r="B43" s="28">
        <f t="shared" si="0"/>
        <v>7.0000000000000007E-2</v>
      </c>
      <c r="C43" s="29">
        <f t="shared" si="1"/>
        <v>7400.4656181219862</v>
      </c>
      <c r="D43" s="29">
        <f t="shared" si="2"/>
        <v>2791.8275646107286</v>
      </c>
      <c r="E43" s="29">
        <f t="shared" si="3"/>
        <v>4608.6380535112576</v>
      </c>
      <c r="F43" s="29">
        <f t="shared" si="4"/>
        <v>35274.612869499149</v>
      </c>
    </row>
    <row r="44" spans="1:6" ht="15.6" x14ac:dyDescent="0.3">
      <c r="A44" s="8">
        <v>25</v>
      </c>
      <c r="B44" s="28">
        <f t="shared" si="0"/>
        <v>7.0000000000000007E-2</v>
      </c>
      <c r="C44" s="29">
        <f t="shared" si="1"/>
        <v>7400.4656181219862</v>
      </c>
      <c r="D44" s="29">
        <f t="shared" si="2"/>
        <v>2469.2229008649406</v>
      </c>
      <c r="E44" s="29">
        <f t="shared" si="3"/>
        <v>4931.242717257046</v>
      </c>
      <c r="F44" s="29">
        <f t="shared" si="4"/>
        <v>30343.370152242103</v>
      </c>
    </row>
    <row r="45" spans="1:6" ht="15.6" x14ac:dyDescent="0.3">
      <c r="A45" s="8">
        <v>26</v>
      </c>
      <c r="B45" s="28">
        <f t="shared" si="0"/>
        <v>7.0000000000000007E-2</v>
      </c>
      <c r="C45" s="29">
        <f t="shared" si="1"/>
        <v>7400.4656181219862</v>
      </c>
      <c r="D45" s="29">
        <f t="shared" si="2"/>
        <v>2124.0359106569476</v>
      </c>
      <c r="E45" s="29">
        <f t="shared" si="3"/>
        <v>5276.4297074650385</v>
      </c>
      <c r="F45" s="29">
        <f t="shared" si="4"/>
        <v>25066.940444777065</v>
      </c>
    </row>
    <row r="46" spans="1:6" ht="15.6" x14ac:dyDescent="0.3">
      <c r="A46" s="8">
        <v>27</v>
      </c>
      <c r="B46" s="28">
        <f t="shared" si="0"/>
        <v>7.0000000000000007E-2</v>
      </c>
      <c r="C46" s="29">
        <f t="shared" si="1"/>
        <v>7400.4656181219862</v>
      </c>
      <c r="D46" s="29">
        <f t="shared" si="2"/>
        <v>1754.6858311343947</v>
      </c>
      <c r="E46" s="29">
        <f t="shared" si="3"/>
        <v>5645.7797869875913</v>
      </c>
      <c r="F46" s="29">
        <f t="shared" si="4"/>
        <v>19421.160657789474</v>
      </c>
    </row>
    <row r="47" spans="1:6" ht="15.6" x14ac:dyDescent="0.3">
      <c r="A47" s="8">
        <v>28</v>
      </c>
      <c r="B47" s="28">
        <f t="shared" si="0"/>
        <v>7.0000000000000007E-2</v>
      </c>
      <c r="C47" s="29">
        <f t="shared" si="1"/>
        <v>7400.4656181219862</v>
      </c>
      <c r="D47" s="29">
        <f t="shared" si="2"/>
        <v>1359.4812460452633</v>
      </c>
      <c r="E47" s="29">
        <f t="shared" si="3"/>
        <v>6040.984372076723</v>
      </c>
      <c r="F47" s="29">
        <f t="shared" si="4"/>
        <v>13380.176285712751</v>
      </c>
    </row>
    <row r="48" spans="1:6" ht="15.6" x14ac:dyDescent="0.3">
      <c r="A48" s="8">
        <v>29</v>
      </c>
      <c r="B48" s="28">
        <f t="shared" si="0"/>
        <v>7.0000000000000007E-2</v>
      </c>
      <c r="C48" s="29">
        <f t="shared" si="1"/>
        <v>7400.4656181219862</v>
      </c>
      <c r="D48" s="29">
        <f t="shared" si="2"/>
        <v>936.61233999989258</v>
      </c>
      <c r="E48" s="29">
        <f t="shared" si="3"/>
        <v>6463.8532781220938</v>
      </c>
      <c r="F48" s="29">
        <f t="shared" si="4"/>
        <v>6916.3230075906567</v>
      </c>
    </row>
    <row r="49" spans="1:6" ht="15.6" x14ac:dyDescent="0.3">
      <c r="A49" s="8">
        <v>30</v>
      </c>
      <c r="B49" s="28">
        <f t="shared" si="0"/>
        <v>7.0000000000000007E-2</v>
      </c>
      <c r="C49" s="29">
        <f t="shared" si="1"/>
        <v>7400.4656181219862</v>
      </c>
      <c r="D49" s="29">
        <f t="shared" si="2"/>
        <v>484.14261053134601</v>
      </c>
      <c r="E49" s="29">
        <f t="shared" si="3"/>
        <v>6916.3230075906404</v>
      </c>
      <c r="F49" s="29">
        <f t="shared" si="4"/>
        <v>1.6370904631912708E-11</v>
      </c>
    </row>
  </sheetData>
  <mergeCells count="14">
    <mergeCell ref="A2:F2"/>
    <mergeCell ref="A17:A18"/>
    <mergeCell ref="B17:B18"/>
    <mergeCell ref="C17:C18"/>
    <mergeCell ref="D17:D18"/>
    <mergeCell ref="E17:E18"/>
    <mergeCell ref="F17:F18"/>
    <mergeCell ref="O17:O18"/>
    <mergeCell ref="I17:I18"/>
    <mergeCell ref="J17:J18"/>
    <mergeCell ref="K17:K18"/>
    <mergeCell ref="L17:L18"/>
    <mergeCell ref="M17:M18"/>
    <mergeCell ref="N17:N18"/>
  </mergeCells>
  <pageMargins left="0.7" right="0.7" top="0.75" bottom="0.75" header="0.3" footer="0.3"/>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A2889-C72E-45AF-83E7-B6210C9298A6}">
  <dimension ref="A1:O36"/>
  <sheetViews>
    <sheetView tabSelected="1" zoomScale="110" zoomScaleNormal="110" workbookViewId="0">
      <selection activeCell="F10" sqref="F10"/>
    </sheetView>
  </sheetViews>
  <sheetFormatPr defaultColWidth="9.109375" defaultRowHeight="15" x14ac:dyDescent="0.25"/>
  <cols>
    <col min="1" max="1" width="19.5546875" style="19" customWidth="1"/>
    <col min="2" max="2" width="16.21875" style="19" customWidth="1"/>
    <col min="3" max="3" width="15.6640625" style="19" customWidth="1"/>
    <col min="4" max="4" width="13.6640625" style="19" customWidth="1"/>
    <col min="5" max="5" width="13.77734375" style="19" customWidth="1"/>
    <col min="6" max="6" width="16.21875" style="19" customWidth="1"/>
    <col min="7" max="7" width="9.109375" style="19"/>
    <col min="8" max="8" width="13.6640625" style="19" customWidth="1"/>
    <col min="9" max="9" width="16.109375" style="19" customWidth="1"/>
    <col min="10" max="10" width="25.33203125" style="19" customWidth="1"/>
    <col min="11" max="11" width="16.33203125" style="19" customWidth="1"/>
    <col min="12" max="12" width="14.44140625" style="19" customWidth="1"/>
    <col min="13" max="13" width="13.44140625" style="19" customWidth="1"/>
    <col min="14" max="16384" width="9.109375" style="19"/>
  </cols>
  <sheetData>
    <row r="1" spans="1:6" ht="15.6" x14ac:dyDescent="0.3">
      <c r="A1" s="1" t="s">
        <v>79</v>
      </c>
    </row>
    <row r="2" spans="1:6" ht="79.95" customHeight="1" x14ac:dyDescent="0.25">
      <c r="A2" s="34" t="s">
        <v>80</v>
      </c>
      <c r="B2" s="34"/>
      <c r="C2" s="34"/>
      <c r="D2" s="34"/>
      <c r="E2" s="34"/>
      <c r="F2" s="34"/>
    </row>
    <row r="3" spans="1:6" ht="15.6" x14ac:dyDescent="0.3">
      <c r="A3" s="19" t="s">
        <v>19</v>
      </c>
    </row>
    <row r="4" spans="1:6" x14ac:dyDescent="0.25">
      <c r="A4" s="19" t="s">
        <v>0</v>
      </c>
    </row>
    <row r="5" spans="1:6" x14ac:dyDescent="0.25">
      <c r="A5" s="19" t="s">
        <v>1</v>
      </c>
    </row>
    <row r="8" spans="1:6" ht="15.6" x14ac:dyDescent="0.3">
      <c r="A8" s="1" t="s">
        <v>2</v>
      </c>
      <c r="B8" s="1" t="s">
        <v>3</v>
      </c>
      <c r="C8" s="1" t="s">
        <v>4</v>
      </c>
    </row>
    <row r="9" spans="1:6" x14ac:dyDescent="0.25">
      <c r="A9" s="19" t="s">
        <v>81</v>
      </c>
      <c r="B9" s="20">
        <v>20000</v>
      </c>
      <c r="C9" s="19" t="s">
        <v>67</v>
      </c>
    </row>
    <row r="10" spans="1:6" x14ac:dyDescent="0.25">
      <c r="A10" s="19" t="s">
        <v>82</v>
      </c>
      <c r="B10" s="21">
        <v>0.1</v>
      </c>
      <c r="C10" s="19" t="s">
        <v>69</v>
      </c>
    </row>
    <row r="11" spans="1:6" x14ac:dyDescent="0.25">
      <c r="A11" s="19" t="s">
        <v>83</v>
      </c>
      <c r="B11" s="21">
        <v>0.01</v>
      </c>
      <c r="C11" s="19" t="s">
        <v>84</v>
      </c>
    </row>
    <row r="12" spans="1:6" x14ac:dyDescent="0.25">
      <c r="A12" s="19" t="s">
        <v>85</v>
      </c>
      <c r="B12" s="31">
        <f>(1+Int_Q5_2_mth)^12 - 1</f>
        <v>0.12682503013196977</v>
      </c>
      <c r="C12" s="19" t="s">
        <v>71</v>
      </c>
    </row>
    <row r="13" spans="1:6" x14ac:dyDescent="0.25">
      <c r="A13" s="19" t="s">
        <v>86</v>
      </c>
      <c r="B13" s="22">
        <v>11</v>
      </c>
      <c r="C13" s="19" t="s">
        <v>73</v>
      </c>
    </row>
    <row r="14" spans="1:6" x14ac:dyDescent="0.25">
      <c r="A14" s="19" t="s">
        <v>87</v>
      </c>
      <c r="B14" s="22">
        <v>11</v>
      </c>
      <c r="C14" s="19" t="s">
        <v>88</v>
      </c>
    </row>
    <row r="15" spans="1:6" x14ac:dyDescent="0.25">
      <c r="A15" s="19" t="s">
        <v>89</v>
      </c>
      <c r="B15" s="22">
        <v>15</v>
      </c>
      <c r="C15" s="19" t="s">
        <v>75</v>
      </c>
    </row>
    <row r="16" spans="1:6" ht="15.6" x14ac:dyDescent="0.3">
      <c r="A16" s="19" t="s">
        <v>90</v>
      </c>
      <c r="B16" s="23">
        <v>2252.8105340259235</v>
      </c>
      <c r="C16" s="19" t="s">
        <v>77</v>
      </c>
    </row>
    <row r="18" spans="1:15" ht="15.6" x14ac:dyDescent="0.3">
      <c r="C18" s="24"/>
      <c r="D18" s="24"/>
      <c r="F18" s="25">
        <f>F36</f>
        <v>1.0004441719502211E-11</v>
      </c>
      <c r="G18" s="26" t="s">
        <v>91</v>
      </c>
    </row>
    <row r="19" spans="1:15" ht="30" customHeight="1" x14ac:dyDescent="0.25">
      <c r="A19" s="33" t="s">
        <v>16</v>
      </c>
      <c r="B19" s="33" t="s">
        <v>54</v>
      </c>
      <c r="C19" s="33" t="s">
        <v>11</v>
      </c>
      <c r="D19" s="33" t="s">
        <v>12</v>
      </c>
      <c r="E19" s="33" t="s">
        <v>13</v>
      </c>
      <c r="F19" s="33" t="s">
        <v>14</v>
      </c>
      <c r="I19" s="33"/>
      <c r="J19" s="33"/>
      <c r="K19" s="33"/>
      <c r="L19" s="33"/>
      <c r="M19" s="33"/>
      <c r="N19" s="33"/>
      <c r="O19" s="33"/>
    </row>
    <row r="20" spans="1:15" ht="30" customHeight="1" x14ac:dyDescent="0.25">
      <c r="A20" s="33"/>
      <c r="B20" s="33"/>
      <c r="C20" s="33"/>
      <c r="D20" s="33"/>
      <c r="E20" s="33"/>
      <c r="F20" s="33"/>
      <c r="I20" s="33"/>
      <c r="J20" s="33"/>
      <c r="K20" s="33"/>
      <c r="L20" s="33"/>
      <c r="M20" s="33"/>
      <c r="N20" s="33"/>
      <c r="O20" s="33"/>
    </row>
    <row r="21" spans="1:15" ht="15.6" x14ac:dyDescent="0.3">
      <c r="A21" s="8">
        <v>0</v>
      </c>
      <c r="B21" s="8"/>
      <c r="F21" s="27">
        <f>Loan_Q5</f>
        <v>20000</v>
      </c>
    </row>
    <row r="22" spans="1:15" ht="15.6" x14ac:dyDescent="0.3">
      <c r="A22" s="8">
        <v>1</v>
      </c>
      <c r="B22" s="32">
        <f t="shared" ref="B22:B36" si="0">IF(A22&lt;Switch_Q5,Int_Q5_1,Int_Q5_2)</f>
        <v>0.1</v>
      </c>
      <c r="C22" s="29">
        <f t="shared" ref="C22:C36" si="1">IF(A22&lt;Switch_Q5_repay,Repay_Q5,2*Repay_Q5)</f>
        <v>2252.8105340259235</v>
      </c>
      <c r="D22" s="29">
        <f>F21*B22</f>
        <v>2000</v>
      </c>
      <c r="E22" s="29">
        <f>C22-D22</f>
        <v>252.81053402592352</v>
      </c>
      <c r="F22" s="29">
        <f>F21-E22</f>
        <v>19747.189465974076</v>
      </c>
      <c r="I22" s="8"/>
    </row>
    <row r="23" spans="1:15" ht="15.6" x14ac:dyDescent="0.3">
      <c r="A23" s="8">
        <v>2</v>
      </c>
      <c r="B23" s="32">
        <f t="shared" si="0"/>
        <v>0.1</v>
      </c>
      <c r="C23" s="29">
        <f t="shared" si="1"/>
        <v>2252.8105340259235</v>
      </c>
      <c r="D23" s="29">
        <f t="shared" ref="D23:D36" si="2">F22*B23</f>
        <v>1974.7189465974077</v>
      </c>
      <c r="E23" s="29">
        <f t="shared" ref="E23:E36" si="3">C23-D23</f>
        <v>278.09158742851582</v>
      </c>
      <c r="F23" s="29">
        <f t="shared" ref="F23:F36" si="4">F22-E23</f>
        <v>19469.097878545559</v>
      </c>
      <c r="G23" s="30"/>
      <c r="I23" s="8"/>
    </row>
    <row r="24" spans="1:15" ht="15.6" x14ac:dyDescent="0.3">
      <c r="A24" s="8">
        <v>3</v>
      </c>
      <c r="B24" s="32">
        <f t="shared" si="0"/>
        <v>0.1</v>
      </c>
      <c r="C24" s="29">
        <f t="shared" si="1"/>
        <v>2252.8105340259235</v>
      </c>
      <c r="D24" s="29">
        <f t="shared" si="2"/>
        <v>1946.909787854556</v>
      </c>
      <c r="E24" s="29">
        <f t="shared" si="3"/>
        <v>305.90074617136747</v>
      </c>
      <c r="F24" s="29">
        <f t="shared" si="4"/>
        <v>19163.197132374193</v>
      </c>
      <c r="G24" s="30"/>
      <c r="I24" s="8"/>
    </row>
    <row r="25" spans="1:15" ht="15.6" x14ac:dyDescent="0.3">
      <c r="A25" s="8">
        <v>4</v>
      </c>
      <c r="B25" s="32">
        <f t="shared" si="0"/>
        <v>0.1</v>
      </c>
      <c r="C25" s="29">
        <f t="shared" si="1"/>
        <v>2252.8105340259235</v>
      </c>
      <c r="D25" s="29">
        <f t="shared" si="2"/>
        <v>1916.3197132374194</v>
      </c>
      <c r="E25" s="29">
        <f t="shared" si="3"/>
        <v>336.49082078850415</v>
      </c>
      <c r="F25" s="29">
        <f t="shared" si="4"/>
        <v>18826.706311585687</v>
      </c>
      <c r="G25" s="30"/>
      <c r="I25" s="8"/>
    </row>
    <row r="26" spans="1:15" ht="15.6" x14ac:dyDescent="0.3">
      <c r="A26" s="8">
        <v>5</v>
      </c>
      <c r="B26" s="32">
        <f t="shared" si="0"/>
        <v>0.1</v>
      </c>
      <c r="C26" s="29">
        <f t="shared" si="1"/>
        <v>2252.8105340259235</v>
      </c>
      <c r="D26" s="29">
        <f t="shared" si="2"/>
        <v>1882.6706311585688</v>
      </c>
      <c r="E26" s="29">
        <f t="shared" si="3"/>
        <v>370.13990286735475</v>
      </c>
      <c r="F26" s="29">
        <f t="shared" si="4"/>
        <v>18456.566408718332</v>
      </c>
      <c r="G26" s="30"/>
    </row>
    <row r="27" spans="1:15" ht="15.6" x14ac:dyDescent="0.3">
      <c r="A27" s="8">
        <v>6</v>
      </c>
      <c r="B27" s="32">
        <f t="shared" si="0"/>
        <v>0.1</v>
      </c>
      <c r="C27" s="29">
        <f t="shared" si="1"/>
        <v>2252.8105340259235</v>
      </c>
      <c r="D27" s="29">
        <f t="shared" si="2"/>
        <v>1845.6566408718334</v>
      </c>
      <c r="E27" s="29">
        <f t="shared" si="3"/>
        <v>407.15389315409016</v>
      </c>
      <c r="F27" s="29">
        <f t="shared" si="4"/>
        <v>18049.412515564243</v>
      </c>
    </row>
    <row r="28" spans="1:15" ht="15.6" x14ac:dyDescent="0.3">
      <c r="A28" s="8">
        <v>7</v>
      </c>
      <c r="B28" s="32">
        <f t="shared" si="0"/>
        <v>0.1</v>
      </c>
      <c r="C28" s="29">
        <f t="shared" si="1"/>
        <v>2252.8105340259235</v>
      </c>
      <c r="D28" s="29">
        <f t="shared" si="2"/>
        <v>1804.9412515564245</v>
      </c>
      <c r="E28" s="29">
        <f t="shared" si="3"/>
        <v>447.86928246949901</v>
      </c>
      <c r="F28" s="29">
        <f t="shared" si="4"/>
        <v>17601.543233094744</v>
      </c>
    </row>
    <row r="29" spans="1:15" ht="15.6" x14ac:dyDescent="0.3">
      <c r="A29" s="8">
        <v>8</v>
      </c>
      <c r="B29" s="32">
        <f t="shared" si="0"/>
        <v>0.1</v>
      </c>
      <c r="C29" s="29">
        <f t="shared" si="1"/>
        <v>2252.8105340259235</v>
      </c>
      <c r="D29" s="29">
        <f t="shared" si="2"/>
        <v>1760.1543233094744</v>
      </c>
      <c r="E29" s="29">
        <f t="shared" si="3"/>
        <v>492.6562107164491</v>
      </c>
      <c r="F29" s="29">
        <f t="shared" si="4"/>
        <v>17108.887022378294</v>
      </c>
    </row>
    <row r="30" spans="1:15" ht="15.6" x14ac:dyDescent="0.3">
      <c r="A30" s="8">
        <v>9</v>
      </c>
      <c r="B30" s="32">
        <f t="shared" si="0"/>
        <v>0.1</v>
      </c>
      <c r="C30" s="29">
        <f t="shared" si="1"/>
        <v>2252.8105340259235</v>
      </c>
      <c r="D30" s="29">
        <f t="shared" si="2"/>
        <v>1710.8887022378294</v>
      </c>
      <c r="E30" s="29">
        <f t="shared" si="3"/>
        <v>541.9218317880941</v>
      </c>
      <c r="F30" s="29">
        <f t="shared" si="4"/>
        <v>16566.965190590199</v>
      </c>
    </row>
    <row r="31" spans="1:15" ht="15.6" x14ac:dyDescent="0.3">
      <c r="A31" s="8">
        <v>10</v>
      </c>
      <c r="B31" s="32">
        <f t="shared" si="0"/>
        <v>0.1</v>
      </c>
      <c r="C31" s="29">
        <f t="shared" si="1"/>
        <v>2252.8105340259235</v>
      </c>
      <c r="D31" s="29">
        <f t="shared" si="2"/>
        <v>1656.6965190590199</v>
      </c>
      <c r="E31" s="29">
        <f t="shared" si="3"/>
        <v>596.1140149669036</v>
      </c>
      <c r="F31" s="29">
        <f t="shared" si="4"/>
        <v>15970.851175623295</v>
      </c>
    </row>
    <row r="32" spans="1:15" ht="15.6" x14ac:dyDescent="0.3">
      <c r="A32" s="8">
        <v>11</v>
      </c>
      <c r="B32" s="32">
        <f t="shared" si="0"/>
        <v>0.12682503013196977</v>
      </c>
      <c r="C32" s="29">
        <f t="shared" si="1"/>
        <v>4505.621068051847</v>
      </c>
      <c r="D32" s="29">
        <f t="shared" si="2"/>
        <v>2025.5036815816293</v>
      </c>
      <c r="E32" s="29">
        <f t="shared" si="3"/>
        <v>2480.1173864702178</v>
      </c>
      <c r="F32" s="29">
        <f t="shared" si="4"/>
        <v>13490.733789153077</v>
      </c>
    </row>
    <row r="33" spans="1:6" ht="15.6" x14ac:dyDescent="0.3">
      <c r="A33" s="8">
        <v>12</v>
      </c>
      <c r="B33" s="32">
        <f t="shared" si="0"/>
        <v>0.12682503013196977</v>
      </c>
      <c r="C33" s="29">
        <f t="shared" si="1"/>
        <v>4505.621068051847</v>
      </c>
      <c r="D33" s="29">
        <f t="shared" si="2"/>
        <v>1710.9627193117217</v>
      </c>
      <c r="E33" s="29">
        <f t="shared" si="3"/>
        <v>2794.6583487401253</v>
      </c>
      <c r="F33" s="29">
        <f t="shared" si="4"/>
        <v>10696.075440412951</v>
      </c>
    </row>
    <row r="34" spans="1:6" ht="15.6" x14ac:dyDescent="0.3">
      <c r="A34" s="8">
        <v>13</v>
      </c>
      <c r="B34" s="32">
        <f t="shared" si="0"/>
        <v>0.12682503013196977</v>
      </c>
      <c r="C34" s="29">
        <f t="shared" si="1"/>
        <v>4505.621068051847</v>
      </c>
      <c r="D34" s="29">
        <f t="shared" si="2"/>
        <v>1356.5300900241944</v>
      </c>
      <c r="E34" s="29">
        <f t="shared" si="3"/>
        <v>3149.0909780276525</v>
      </c>
      <c r="F34" s="29">
        <f t="shared" si="4"/>
        <v>7546.9844623852987</v>
      </c>
    </row>
    <row r="35" spans="1:6" ht="15.6" x14ac:dyDescent="0.3">
      <c r="A35" s="8">
        <v>14</v>
      </c>
      <c r="B35" s="32">
        <f t="shared" si="0"/>
        <v>0.12682503013196977</v>
      </c>
      <c r="C35" s="29">
        <f t="shared" si="1"/>
        <v>4505.621068051847</v>
      </c>
      <c r="D35" s="29">
        <f t="shared" si="2"/>
        <v>957.14653184752319</v>
      </c>
      <c r="E35" s="29">
        <f t="shared" si="3"/>
        <v>3548.4745362043241</v>
      </c>
      <c r="F35" s="29">
        <f t="shared" si="4"/>
        <v>3998.5099261809746</v>
      </c>
    </row>
    <row r="36" spans="1:6" ht="15.6" x14ac:dyDescent="0.3">
      <c r="A36" s="8">
        <v>15</v>
      </c>
      <c r="B36" s="32">
        <f t="shared" si="0"/>
        <v>0.12682503013196977</v>
      </c>
      <c r="C36" s="29">
        <f t="shared" si="1"/>
        <v>4505.621068051847</v>
      </c>
      <c r="D36" s="29">
        <f t="shared" si="2"/>
        <v>507.11114187088236</v>
      </c>
      <c r="E36" s="29">
        <f t="shared" si="3"/>
        <v>3998.5099261809646</v>
      </c>
      <c r="F36" s="29">
        <f t="shared" si="4"/>
        <v>1.0004441719502211E-11</v>
      </c>
    </row>
  </sheetData>
  <mergeCells count="14">
    <mergeCell ref="A2:F2"/>
    <mergeCell ref="A19:A20"/>
    <mergeCell ref="B19:B20"/>
    <mergeCell ref="C19:C20"/>
    <mergeCell ref="D19:D20"/>
    <mergeCell ref="E19:E20"/>
    <mergeCell ref="F19:F20"/>
    <mergeCell ref="O19:O20"/>
    <mergeCell ref="I19:I20"/>
    <mergeCell ref="J19:J20"/>
    <mergeCell ref="K19:K20"/>
    <mergeCell ref="L19:L20"/>
    <mergeCell ref="M19:M20"/>
    <mergeCell ref="N19:N20"/>
  </mergeCells>
  <pageMargins left="0.7" right="0.7" top="0.75" bottom="0.75" header="0.3" footer="0.3"/>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49</vt:i4>
      </vt:variant>
    </vt:vector>
  </HeadingPairs>
  <TitlesOfParts>
    <vt:vector size="54" baseType="lpstr">
      <vt:lpstr>Q1</vt:lpstr>
      <vt:lpstr>Q2</vt:lpstr>
      <vt:lpstr>Q3</vt:lpstr>
      <vt:lpstr>Q4</vt:lpstr>
      <vt:lpstr>Q5</vt:lpstr>
      <vt:lpstr>'Q2'!cap_rem_A</vt:lpstr>
      <vt:lpstr>'Q3'!cap_rem_A</vt:lpstr>
      <vt:lpstr>'Q2'!cap_rem_B</vt:lpstr>
      <vt:lpstr>'Q4'!Int_Q4_1</vt:lpstr>
      <vt:lpstr>'Q4'!Int_Q4_2</vt:lpstr>
      <vt:lpstr>'Q5'!Int_Q5_1</vt:lpstr>
      <vt:lpstr>'Q5'!Int_Q5_2</vt:lpstr>
      <vt:lpstr>'Q5'!Int_Q5_2_mth</vt:lpstr>
      <vt:lpstr>'Q1'!Interest_A</vt:lpstr>
      <vt:lpstr>'Q2'!interest_A_change</vt:lpstr>
      <vt:lpstr>'Q3'!interest_A_change</vt:lpstr>
      <vt:lpstr>'Q2'!interest_A_new</vt:lpstr>
      <vt:lpstr>'Q3'!interest_A_new</vt:lpstr>
      <vt:lpstr>'Q2'!interest_A_old</vt:lpstr>
      <vt:lpstr>'Q3'!interest_A_old</vt:lpstr>
      <vt:lpstr>'Q2'!interest_B_change</vt:lpstr>
      <vt:lpstr>'Q1'!interest_BM</vt:lpstr>
      <vt:lpstr>'Q2'!interest_BM_new</vt:lpstr>
      <vt:lpstr>'Q2'!interest_BM_old</vt:lpstr>
      <vt:lpstr>'Q1'!interest_BY</vt:lpstr>
      <vt:lpstr>'Q2'!interest_BY_new</vt:lpstr>
      <vt:lpstr>'Q2'!interest_BY_old</vt:lpstr>
      <vt:lpstr>'Q1'!loan_A</vt:lpstr>
      <vt:lpstr>'Q2'!loan_A</vt:lpstr>
      <vt:lpstr>'Q3'!loan_A</vt:lpstr>
      <vt:lpstr>'Q1'!loan_B</vt:lpstr>
      <vt:lpstr>'Q2'!loan_B</vt:lpstr>
      <vt:lpstr>'Q4'!Loan_Q4</vt:lpstr>
      <vt:lpstr>'Q5'!Loan_Q5</vt:lpstr>
      <vt:lpstr>'Q5'!Period_Q5</vt:lpstr>
      <vt:lpstr>'Q4'!Repay_Q4</vt:lpstr>
      <vt:lpstr>'Q5'!Repay_Q5</vt:lpstr>
      <vt:lpstr>'Q1'!repayment_A</vt:lpstr>
      <vt:lpstr>'Q2'!repayment_A_new</vt:lpstr>
      <vt:lpstr>'Q3'!repayment_A_new</vt:lpstr>
      <vt:lpstr>'Q2'!repayment_A_old</vt:lpstr>
      <vt:lpstr>'Q3'!repayment_A_old</vt:lpstr>
      <vt:lpstr>'Q1'!repayment_B</vt:lpstr>
      <vt:lpstr>'Q2'!repayment_B_new</vt:lpstr>
      <vt:lpstr>'Q2'!repayment_B_old</vt:lpstr>
      <vt:lpstr>'Q4'!Switch_Q4</vt:lpstr>
      <vt:lpstr>'Q5'!Switch_Q5</vt:lpstr>
      <vt:lpstr>'Q5'!Switch_Q5_repay</vt:lpstr>
      <vt:lpstr>'Q1'!term_A</vt:lpstr>
      <vt:lpstr>'Q2'!term_A</vt:lpstr>
      <vt:lpstr>'Q3'!term_A</vt:lpstr>
      <vt:lpstr>'Q3'!term_A_ext</vt:lpstr>
      <vt:lpstr>'Q1'!term_B</vt:lpstr>
      <vt:lpstr>'Q2'!term_B</vt:lpstr>
    </vt:vector>
  </TitlesOfParts>
  <Company>Heriot-Watt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Karamjeet Singh</dc:creator>
  <cp:lastModifiedBy>K.Ranthir Singh, Karamjeet Singh</cp:lastModifiedBy>
  <dcterms:created xsi:type="dcterms:W3CDTF">2016-10-25T07:38:55Z</dcterms:created>
  <dcterms:modified xsi:type="dcterms:W3CDTF">2026-03-11T05:48:32Z</dcterms:modified>
</cp:coreProperties>
</file>