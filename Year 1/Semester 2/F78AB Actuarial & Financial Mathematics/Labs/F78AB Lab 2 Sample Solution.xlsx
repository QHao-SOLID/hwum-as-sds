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k43\Documents\Y1S2 F78AB Actuarial and Financial Mathematics 2025-26\Excel Labs\F78AB Excel Lab 2\Drafts\"/>
    </mc:Choice>
  </mc:AlternateContent>
  <xr:revisionPtr revIDLastSave="0" documentId="13_ncr:1_{F2E4BF56-67CB-4FF8-9468-66073F07D9BA}" xr6:coauthVersionLast="47" xr6:coauthVersionMax="47" xr10:uidLastSave="{00000000-0000-0000-0000-000000000000}"/>
  <bookViews>
    <workbookView xWindow="28695" yWindow="0" windowWidth="19410" windowHeight="15585" xr2:uid="{00000000-000D-0000-FFFF-FFFF00000000}"/>
  </bookViews>
  <sheets>
    <sheet name="Q1" sheetId="3" r:id="rId1"/>
    <sheet name="Q2" sheetId="2" r:id="rId2"/>
    <sheet name="Q3" sheetId="4" r:id="rId3"/>
    <sheet name="Q4" sheetId="7" r:id="rId4"/>
    <sheet name="Q5" sheetId="5" r:id="rId5"/>
    <sheet name="Q6" sheetId="6" r:id="rId6"/>
  </sheets>
  <definedNames>
    <definedName name="cashflow" localSheetId="0">'Q1'!$B$6</definedName>
    <definedName name="delta" localSheetId="0">'Q1'!$B$5</definedName>
    <definedName name="delta_1" localSheetId="2">'Q3'!$B$5</definedName>
    <definedName name="delta_2" localSheetId="2">'Q3'!$B$7</definedName>
    <definedName name="delta_monthly" localSheetId="1">'Q2'!$B$6</definedName>
    <definedName name="deposit" localSheetId="2">'Q3'!$B$10</definedName>
    <definedName name="disc_delta_1" localSheetId="2">'Q3'!$B$6</definedName>
    <definedName name="disc_delta_2" localSheetId="2">'Q3'!$B$8</definedName>
    <definedName name="i_money" localSheetId="4">'Q5'!$B$5</definedName>
    <definedName name="i_money" localSheetId="5">'Q6'!$B$5</definedName>
    <definedName name="i_real" localSheetId="4">'Q5'!$B$6</definedName>
    <definedName name="i_real" localSheetId="5">'Q6'!$B$6</definedName>
    <definedName name="ini_pmt" localSheetId="1">'Q2'!$B$7</definedName>
    <definedName name="pmt_inc_monthly" localSheetId="1">'Q2'!$B$5</definedName>
    <definedName name="RPI_Inc" localSheetId="4">'Q5'!$B$7</definedName>
    <definedName name="RPI_Inc" localSheetId="5">'Q6'!$B$7</definedName>
    <definedName name="switchtime" localSheetId="2">'Q3'!$B$9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3" l="1"/>
  <c r="D16" i="3"/>
  <c r="D17" i="3"/>
  <c r="D18" i="3"/>
  <c r="D19" i="3"/>
  <c r="D20" i="3"/>
  <c r="D21" i="3"/>
  <c r="D22" i="3"/>
  <c r="D23" i="3"/>
  <c r="D14" i="3"/>
  <c r="T8" i="7"/>
  <c r="T7" i="7"/>
  <c r="R5" i="7"/>
  <c r="S5" i="7" s="1"/>
  <c r="R4" i="7"/>
  <c r="S4" i="7" s="1"/>
  <c r="I8" i="6" l="1"/>
  <c r="J8" i="6" s="1"/>
  <c r="G8" i="6"/>
  <c r="I7" i="6"/>
  <c r="J7" i="6" s="1"/>
  <c r="G7" i="6"/>
  <c r="I6" i="6"/>
  <c r="J6" i="6" s="1"/>
  <c r="G6" i="6"/>
  <c r="G3" i="6" s="1"/>
  <c r="H7" i="5"/>
  <c r="I7" i="5" s="1"/>
  <c r="J7" i="5" s="1"/>
  <c r="G7" i="5"/>
  <c r="J6" i="5"/>
  <c r="I6" i="5"/>
  <c r="G6" i="5"/>
  <c r="J3" i="6" l="1"/>
  <c r="G3" i="5"/>
  <c r="J3" i="5"/>
  <c r="B8" i="4"/>
  <c r="B6" i="4"/>
  <c r="C19" i="4" s="1"/>
  <c r="C15" i="2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19" i="4"/>
  <c r="B15" i="3" l="1"/>
  <c r="B16" i="3"/>
  <c r="B17" i="3"/>
  <c r="B18" i="3"/>
  <c r="B19" i="3"/>
  <c r="B20" i="3"/>
  <c r="B21" i="3"/>
  <c r="B22" i="3"/>
  <c r="B23" i="3"/>
  <c r="B14" i="3"/>
  <c r="D19" i="4" l="1"/>
  <c r="D15" i="2"/>
  <c r="E19" i="4" l="1"/>
  <c r="A20" i="4"/>
  <c r="E15" i="2"/>
  <c r="B16" i="2"/>
  <c r="C14" i="3"/>
  <c r="A15" i="3"/>
  <c r="C15" i="3" s="1"/>
  <c r="C20" i="4" l="1"/>
  <c r="D20" i="4" s="1"/>
  <c r="E20" i="4" s="1"/>
  <c r="B17" i="2"/>
  <c r="D17" i="2" s="1"/>
  <c r="D16" i="2"/>
  <c r="E16" i="2" s="1"/>
  <c r="A16" i="3"/>
  <c r="A21" i="4"/>
  <c r="C21" i="4" l="1"/>
  <c r="D21" i="4" s="1"/>
  <c r="B18" i="2"/>
  <c r="B19" i="2" s="1"/>
  <c r="C16" i="3"/>
  <c r="A17" i="3"/>
  <c r="A22" i="4"/>
  <c r="E17" i="2"/>
  <c r="C22" i="4" l="1"/>
  <c r="D22" i="4" s="1"/>
  <c r="E22" i="4" s="1"/>
  <c r="D18" i="2"/>
  <c r="E18" i="2" s="1"/>
  <c r="B20" i="2"/>
  <c r="D19" i="2"/>
  <c r="E21" i="4"/>
  <c r="A23" i="4"/>
  <c r="C23" i="4" s="1"/>
  <c r="A18" i="3"/>
  <c r="C17" i="3"/>
  <c r="B21" i="2" l="1"/>
  <c r="D20" i="2"/>
  <c r="A24" i="4"/>
  <c r="C24" i="4" s="1"/>
  <c r="D23" i="4"/>
  <c r="A19" i="3"/>
  <c r="C18" i="3"/>
  <c r="E19" i="2"/>
  <c r="B22" i="2" l="1"/>
  <c r="D21" i="2"/>
  <c r="A25" i="4"/>
  <c r="C25" i="4" s="1"/>
  <c r="D24" i="4"/>
  <c r="E23" i="4"/>
  <c r="A20" i="3"/>
  <c r="C19" i="3"/>
  <c r="E20" i="2"/>
  <c r="B23" i="2" l="1"/>
  <c r="D22" i="2"/>
  <c r="E24" i="4"/>
  <c r="A26" i="4"/>
  <c r="C26" i="4" s="1"/>
  <c r="D25" i="4"/>
  <c r="A21" i="3"/>
  <c r="C20" i="3"/>
  <c r="E21" i="2"/>
  <c r="B24" i="2" l="1"/>
  <c r="D23" i="2"/>
  <c r="E25" i="4"/>
  <c r="A27" i="4"/>
  <c r="C27" i="4" s="1"/>
  <c r="D26" i="4"/>
  <c r="A22" i="3"/>
  <c r="C21" i="3"/>
  <c r="E22" i="2"/>
  <c r="B25" i="2" l="1"/>
  <c r="D24" i="2"/>
  <c r="E26" i="4"/>
  <c r="A28" i="4"/>
  <c r="C28" i="4" s="1"/>
  <c r="D27" i="4"/>
  <c r="A23" i="3"/>
  <c r="C23" i="3" s="1"/>
  <c r="C22" i="3"/>
  <c r="E23" i="2"/>
  <c r="B26" i="2" l="1"/>
  <c r="D25" i="2"/>
  <c r="D9" i="3"/>
  <c r="E27" i="4"/>
  <c r="A29" i="4"/>
  <c r="C29" i="4" s="1"/>
  <c r="D28" i="4"/>
  <c r="E24" i="2"/>
  <c r="B27" i="2" l="1"/>
  <c r="D26" i="2"/>
  <c r="E28" i="4"/>
  <c r="A30" i="4"/>
  <c r="C30" i="4" s="1"/>
  <c r="D29" i="4"/>
  <c r="E25" i="2"/>
  <c r="B28" i="2" l="1"/>
  <c r="D27" i="2"/>
  <c r="E29" i="4"/>
  <c r="A31" i="4"/>
  <c r="C31" i="4" s="1"/>
  <c r="D30" i="4"/>
  <c r="E26" i="2"/>
  <c r="B29" i="2" l="1"/>
  <c r="D29" i="2" s="1"/>
  <c r="D28" i="2"/>
  <c r="E30" i="4"/>
  <c r="A32" i="4"/>
  <c r="C32" i="4" s="1"/>
  <c r="D31" i="4"/>
  <c r="E27" i="2"/>
  <c r="E31" i="4" l="1"/>
  <c r="A33" i="4"/>
  <c r="C33" i="4" s="1"/>
  <c r="D32" i="4"/>
  <c r="E29" i="2"/>
  <c r="E28" i="2"/>
  <c r="E10" i="2" l="1"/>
  <c r="E32" i="4"/>
  <c r="A34" i="4"/>
  <c r="C34" i="4" s="1"/>
  <c r="D33" i="4"/>
  <c r="E33" i="4" l="1"/>
  <c r="A35" i="4"/>
  <c r="C35" i="4" s="1"/>
  <c r="D34" i="4"/>
  <c r="E34" i="4" l="1"/>
  <c r="A36" i="4"/>
  <c r="C36" i="4" s="1"/>
  <c r="D35" i="4"/>
  <c r="E35" i="4" l="1"/>
  <c r="A37" i="4"/>
  <c r="C37" i="4" s="1"/>
  <c r="D36" i="4"/>
  <c r="E36" i="4" l="1"/>
  <c r="A38" i="4"/>
  <c r="C38" i="4" s="1"/>
  <c r="D37" i="4"/>
  <c r="D38" i="4" l="1"/>
  <c r="E38" i="4" s="1"/>
  <c r="E37" i="4"/>
  <c r="E13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Karamjeet Singh</author>
  </authors>
  <commentList>
    <comment ref="B5" authorId="0" shapeId="0" xr:uid="{20054D1A-2A45-4F34-856F-23FD50095B4E}">
      <text>
        <r>
          <rPr>
            <b/>
            <sz val="9"/>
            <color indexed="81"/>
            <rFont val="Tahoma"/>
            <family val="2"/>
          </rPr>
          <t>Karamjeet Singh:</t>
        </r>
        <r>
          <rPr>
            <sz val="9"/>
            <color indexed="81"/>
            <rFont val="Tahoma"/>
            <family val="2"/>
          </rPr>
          <t xml:space="preserve">
Found using Goal Seek by making cell G2=0.</t>
        </r>
      </text>
    </comment>
    <comment ref="B6" authorId="0" shapeId="0" xr:uid="{091FC6D2-7094-4BFB-BDBE-41A7CAAB1B33}">
      <text>
        <r>
          <rPr>
            <b/>
            <sz val="9"/>
            <color indexed="81"/>
            <rFont val="Tahoma"/>
            <family val="2"/>
          </rPr>
          <t>Karamjeet Singh:</t>
        </r>
        <r>
          <rPr>
            <sz val="9"/>
            <color indexed="81"/>
            <rFont val="Tahoma"/>
            <family val="2"/>
          </rPr>
          <t xml:space="preserve">
Found using Goal Seek by making cell J2=0.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Karamjeet Singh</author>
  </authors>
  <commentList>
    <comment ref="B5" authorId="0" shapeId="0" xr:uid="{8D007FC9-3282-4F26-ADB0-B2E0A900BE3B}">
      <text>
        <r>
          <rPr>
            <b/>
            <sz val="9"/>
            <color indexed="81"/>
            <rFont val="Tahoma"/>
            <family val="2"/>
          </rPr>
          <t>Karamjeet Singh:</t>
        </r>
        <r>
          <rPr>
            <sz val="9"/>
            <color indexed="81"/>
            <rFont val="Tahoma"/>
            <family val="2"/>
          </rPr>
          <t xml:space="preserve">
Found using Goal Seek by making cell G2=0.</t>
        </r>
      </text>
    </comment>
    <comment ref="B6" authorId="0" shapeId="0" xr:uid="{61E6B3DA-58CE-492D-87E4-37555B83D9BE}">
      <text>
        <r>
          <rPr>
            <b/>
            <sz val="9"/>
            <color indexed="81"/>
            <rFont val="Tahoma"/>
            <family val="2"/>
          </rPr>
          <t>Karamjeet Singh:</t>
        </r>
        <r>
          <rPr>
            <sz val="9"/>
            <color indexed="81"/>
            <rFont val="Tahoma"/>
            <family val="2"/>
          </rPr>
          <t xml:space="preserve">
Found using Goal Seek by making cell J2=0.</t>
        </r>
      </text>
    </comment>
  </commentList>
</comments>
</file>

<file path=xl/sharedStrings.xml><?xml version="1.0" encoding="utf-8"?>
<sst xmlns="http://schemas.openxmlformats.org/spreadsheetml/2006/main" count="152" uniqueCount="102">
  <si>
    <t>delta</t>
  </si>
  <si>
    <t>Total</t>
  </si>
  <si>
    <t>Annual force of interest</t>
  </si>
  <si>
    <t>Monthly force of interest</t>
  </si>
  <si>
    <t>delta_monthly</t>
  </si>
  <si>
    <t>Monthly increase to payments</t>
  </si>
  <si>
    <t>delta_1</t>
  </si>
  <si>
    <t>delta_2</t>
  </si>
  <si>
    <t>Annual force of interest up to time 4</t>
  </si>
  <si>
    <t>Annual force of interest from time 4</t>
  </si>
  <si>
    <t>Name</t>
  </si>
  <si>
    <t>Value</t>
  </si>
  <si>
    <t>Description</t>
  </si>
  <si>
    <t>Question 1</t>
  </si>
  <si>
    <t>Question 2</t>
  </si>
  <si>
    <t>Question 3</t>
  </si>
  <si>
    <t>switchtime</t>
  </si>
  <si>
    <t>Time at which force of interest switches</t>
  </si>
  <si>
    <t>Time in years</t>
  </si>
  <si>
    <t>Discount factor for payment at time</t>
  </si>
  <si>
    <t xml:space="preserve">Discount factor for payment at start of month </t>
  </si>
  <si>
    <t>Time t</t>
  </si>
  <si>
    <t>Payment at time t</t>
  </si>
  <si>
    <t>t</t>
  </si>
  <si>
    <t>Value, at time 0, of payment</t>
  </si>
  <si>
    <t>cashflow</t>
  </si>
  <si>
    <t>Fixed constant annual payment</t>
  </si>
  <si>
    <t>NOTE:</t>
  </si>
  <si>
    <t>Cells highlighted in this colour can be changed.</t>
  </si>
  <si>
    <t>Payment number</t>
  </si>
  <si>
    <t>deposit</t>
  </si>
  <si>
    <t>Fixed constant annual deposits</t>
  </si>
  <si>
    <t>Present value of cashflow</t>
  </si>
  <si>
    <t>Present value of cashflow (£millions)</t>
  </si>
  <si>
    <t>Payment at time t (£m)</t>
  </si>
  <si>
    <t>Time in months, t</t>
  </si>
  <si>
    <t>(displayed to 6 d.p.)</t>
  </si>
  <si>
    <t>Note that each formula is the same all the way down the column. This makes it easier for checking.</t>
  </si>
  <si>
    <t>(displayed to 2 d.p.)</t>
  </si>
  <si>
    <r>
      <t xml:space="preserve">Discount factor </t>
    </r>
    <r>
      <rPr>
        <b/>
        <sz val="12"/>
        <color theme="1"/>
        <rFont val="Arial"/>
        <family val="2"/>
      </rPr>
      <t>(t) to (t</t>
    </r>
    <r>
      <rPr>
        <b/>
        <sz val="12"/>
        <color theme="1"/>
        <rFont val="Symbol"/>
        <family val="1"/>
        <charset val="2"/>
      </rPr>
      <t>-</t>
    </r>
    <r>
      <rPr>
        <b/>
        <sz val="12"/>
        <color theme="1"/>
        <rFont val="Arial"/>
        <family val="2"/>
      </rPr>
      <t>1)</t>
    </r>
  </si>
  <si>
    <r>
      <t>e</t>
    </r>
    <r>
      <rPr>
        <b/>
        <vertAlign val="superscript"/>
        <sz val="14"/>
        <color theme="1"/>
        <rFont val="Arial"/>
        <family val="2"/>
      </rPr>
      <t>-tδ</t>
    </r>
  </si>
  <si>
    <t>ini_pmt</t>
  </si>
  <si>
    <t>pmt_inc_monthly</t>
  </si>
  <si>
    <r>
      <t>e</t>
    </r>
    <r>
      <rPr>
        <b/>
        <vertAlign val="superscript"/>
        <sz val="14"/>
        <color theme="1"/>
        <rFont val="Arial"/>
        <family val="2"/>
      </rPr>
      <t>-δ_1</t>
    </r>
  </si>
  <si>
    <r>
      <t>e</t>
    </r>
    <r>
      <rPr>
        <b/>
        <vertAlign val="superscript"/>
        <sz val="14"/>
        <color theme="1"/>
        <rFont val="Arial"/>
        <family val="2"/>
      </rPr>
      <t>-δ_2</t>
    </r>
  </si>
  <si>
    <t>disc_delta_1</t>
  </si>
  <si>
    <t>disc_delta_2</t>
  </si>
  <si>
    <r>
      <t xml:space="preserve">Cell typed in </t>
    </r>
    <r>
      <rPr>
        <sz val="12"/>
        <color rgb="FF0070C0"/>
        <rFont val="Arial"/>
        <family val="2"/>
      </rPr>
      <t>BLUE</t>
    </r>
    <r>
      <rPr>
        <sz val="11"/>
        <color theme="1"/>
        <rFont val="Calibri"/>
        <family val="2"/>
        <scheme val="minor"/>
      </rPr>
      <t xml:space="preserve"> can be changed.</t>
    </r>
  </si>
  <si>
    <t>TOTAL</t>
  </si>
  <si>
    <t>Time</t>
  </si>
  <si>
    <t>Cashflow</t>
  </si>
  <si>
    <t>PV(0)</t>
  </si>
  <si>
    <t>RPI</t>
  </si>
  <si>
    <t>Real Value</t>
  </si>
  <si>
    <t>=</t>
  </si>
  <si>
    <t>*</t>
  </si>
  <si>
    <t>RPI(Base)</t>
  </si>
  <si>
    <t>i_money</t>
  </si>
  <si>
    <t>Money yield</t>
  </si>
  <si>
    <t>(i_money)</t>
  </si>
  <si>
    <t>(time 0 values)</t>
  </si>
  <si>
    <t>(i_real)</t>
  </si>
  <si>
    <t>RPI(time t)</t>
  </si>
  <si>
    <t>i_real</t>
  </si>
  <si>
    <t>Real yield</t>
  </si>
  <si>
    <t>RPI_Inc</t>
  </si>
  <si>
    <t>Increase in RPI</t>
  </si>
  <si>
    <t>Question 5 (Tutorial 3 Question 4.1)</t>
  </si>
  <si>
    <t>Question 6 (Tutorial 3 Question 5.1 and 5.2)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</si>
  <si>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</si>
  <si>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</si>
  <si>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</si>
  <si>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</si>
  <si>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</si>
  <si>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</si>
  <si>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</si>
  <si>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</si>
  <si>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</si>
  <si>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</si>
  <si>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</si>
  <si>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</si>
  <si>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</t>
  </si>
  <si>
    <t>Month</t>
  </si>
  <si>
    <t>Month (number)</t>
  </si>
  <si>
    <t>January</t>
  </si>
  <si>
    <t>Price of 1kg of sugar in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</si>
  <si>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</si>
  <si>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</si>
  <si>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</si>
  <si>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</si>
  <si>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</si>
  <si>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</si>
  <si>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</si>
  <si>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</si>
  <si>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</si>
  <si>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</si>
  <si>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</si>
  <si>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Question 4 (Notes Example 5.1.1)</t>
  </si>
  <si>
    <t xml:space="preserve">Change in price of sugar from January 2000 to January 2005 = </t>
  </si>
  <si>
    <t xml:space="preserve">Annualised average change in the price of 1kg of sugar = </t>
  </si>
  <si>
    <t>Initial monthly payment (millionms)</t>
  </si>
  <si>
    <t>Discount factor from time t to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</si>
</sst>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0"/>
    <numFmt numFmtId="165" formatCode="0.00000"/>
    <numFmt numFmtId="166" formatCode="&quot;£&quot;#,##0.00"/>
    <numFmt numFmtId="167" formatCode="&quot;£&quot;#,##0"/>
    <numFmt numFmtId="168" formatCode="0.0000"/>
    <numFmt numFmtId="169" formatCode="0.0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Symbol"/>
      <family val="1"/>
      <charset val="2"/>
    </font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vertAlign val="superscript"/>
      <sz val="14"/>
      <color theme="1"/>
      <name val="Arial"/>
      <family val="2"/>
    </font>
    <font>
      <sz val="12"/>
      <color rgb="FF0070C0"/>
      <name val="Arial"/>
      <family val="2"/>
    </font>
    <font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9FF99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9" fontId="9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quotePrefix="1" applyFont="1" applyAlignment="1">
      <alignment horizontal="center"/>
    </xf>
    <xf numFmtId="0" fontId="4" fillId="0" borderId="0" xfId="0" applyFont="1" applyAlignment="1">
      <alignment horizontal="center"/>
    </xf>
    <xf numFmtId="165" fontId="4" fillId="0" borderId="0" xfId="0" applyNumberFormat="1" applyFont="1"/>
    <xf numFmtId="164" fontId="4" fillId="0" borderId="0" xfId="0" applyNumberFormat="1" applyFont="1"/>
    <xf numFmtId="0" fontId="5" fillId="0" borderId="0" xfId="0" applyFont="1" applyAlignment="1">
      <alignment horizontal="center" vertical="center" wrapText="1"/>
    </xf>
    <xf numFmtId="166" fontId="5" fillId="0" borderId="0" xfId="0" applyNumberFormat="1" applyFont="1"/>
    <xf numFmtId="0" fontId="4" fillId="0" borderId="0" xfId="0" applyFont="1" applyAlignment="1">
      <alignment wrapText="1"/>
    </xf>
    <xf numFmtId="166" fontId="4" fillId="0" borderId="0" xfId="0" applyNumberFormat="1" applyFont="1"/>
    <xf numFmtId="4" fontId="4" fillId="0" borderId="0" xfId="0" applyNumberFormat="1" applyFont="1"/>
    <xf numFmtId="4" fontId="5" fillId="0" borderId="0" xfId="0" applyNumberFormat="1" applyFont="1"/>
    <xf numFmtId="0" fontId="5" fillId="0" borderId="0" xfId="0" applyFont="1" applyAlignment="1">
      <alignment horizontal="right"/>
    </xf>
    <xf numFmtId="0" fontId="5" fillId="0" borderId="0" xfId="0" quotePrefix="1" applyFont="1" applyAlignment="1">
      <alignment horizontal="center" vertical="center" wrapText="1"/>
    </xf>
    <xf numFmtId="0" fontId="5" fillId="0" borderId="0" xfId="0" quotePrefix="1" applyFont="1" applyAlignment="1">
      <alignment horizontal="center" vertical="center"/>
    </xf>
    <xf numFmtId="0" fontId="4" fillId="3" borderId="0" xfId="0" applyFont="1" applyFill="1" applyAlignment="1">
      <alignment horizontal="center"/>
    </xf>
    <xf numFmtId="167" fontId="4" fillId="0" borderId="0" xfId="0" applyNumberFormat="1" applyFont="1"/>
    <xf numFmtId="0" fontId="5" fillId="2" borderId="1" xfId="0" applyFont="1" applyFill="1" applyBorder="1" applyAlignment="1">
      <alignment horizontal="center"/>
    </xf>
    <xf numFmtId="166" fontId="5" fillId="2" borderId="2" xfId="0" applyNumberFormat="1" applyFont="1" applyFill="1" applyBorder="1" applyAlignment="1">
      <alignment horizontal="center"/>
    </xf>
    <xf numFmtId="167" fontId="5" fillId="2" borderId="2" xfId="0" applyNumberFormat="1" applyFont="1" applyFill="1" applyBorder="1"/>
    <xf numFmtId="166" fontId="5" fillId="2" borderId="2" xfId="0" applyNumberFormat="1" applyFont="1" applyFill="1" applyBorder="1"/>
    <xf numFmtId="0" fontId="2" fillId="0" borderId="0" xfId="0" quotePrefix="1" applyFont="1" applyAlignment="1">
      <alignment horizontal="center"/>
    </xf>
    <xf numFmtId="0" fontId="5" fillId="4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5" fillId="0" borderId="0" xfId="0" applyFont="1" applyBorder="1"/>
    <xf numFmtId="0" fontId="5" fillId="0" borderId="0" xfId="0" applyFont="1" applyBorder="1" applyAlignment="1">
      <alignment horizontal="center"/>
    </xf>
    <xf numFmtId="0" fontId="4" fillId="0" borderId="0" xfId="0" applyFont="1" applyBorder="1"/>
    <xf numFmtId="0" fontId="4" fillId="3" borderId="0" xfId="0" applyFont="1" applyFill="1" applyBorder="1" applyAlignment="1">
      <alignment horizontal="center"/>
    </xf>
    <xf numFmtId="167" fontId="4" fillId="3" borderId="0" xfId="0" applyNumberFormat="1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1" fillId="0" borderId="0" xfId="0" applyFont="1"/>
    <xf numFmtId="165" fontId="4" fillId="0" borderId="0" xfId="0" applyNumberFormat="1" applyFont="1" applyFill="1"/>
    <xf numFmtId="0" fontId="1" fillId="0" borderId="0" xfId="0" applyFont="1" applyBorder="1"/>
    <xf numFmtId="167" fontId="5" fillId="3" borderId="0" xfId="0" applyNumberFormat="1" applyFont="1" applyFill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1" fillId="0" borderId="0" xfId="2"/>
    <xf numFmtId="0" fontId="5" fillId="2" borderId="0" xfId="2" applyFont="1" applyFill="1" applyAlignment="1">
      <alignment horizontal="center"/>
    </xf>
    <xf numFmtId="168" fontId="5" fillId="2" borderId="0" xfId="2" applyNumberFormat="1" applyFont="1" applyFill="1"/>
    <xf numFmtId="0" fontId="5" fillId="5" borderId="0" xfId="2" applyFont="1" applyFill="1" applyAlignment="1">
      <alignment horizontal="center"/>
    </xf>
    <xf numFmtId="168" fontId="5" fillId="5" borderId="0" xfId="2" applyNumberFormat="1" applyFont="1" applyFill="1"/>
    <xf numFmtId="0" fontId="5" fillId="0" borderId="0" xfId="2" applyFont="1"/>
    <xf numFmtId="0" fontId="5" fillId="0" borderId="0" xfId="2" applyFont="1" applyAlignment="1">
      <alignment horizontal="center"/>
    </xf>
    <xf numFmtId="0" fontId="13" fillId="0" borderId="0" xfId="2" applyFont="1"/>
    <xf numFmtId="0" fontId="5" fillId="0" borderId="6" xfId="2" applyFont="1" applyBorder="1" applyAlignment="1">
      <alignment horizontal="center"/>
    </xf>
    <xf numFmtId="0" fontId="1" fillId="0" borderId="0" xfId="2" applyAlignment="1">
      <alignment horizontal="center"/>
    </xf>
    <xf numFmtId="168" fontId="1" fillId="0" borderId="0" xfId="2" applyNumberFormat="1"/>
    <xf numFmtId="9" fontId="12" fillId="0" borderId="0" xfId="2" applyNumberFormat="1" applyFont="1"/>
    <xf numFmtId="0" fontId="3" fillId="0" borderId="0" xfId="2" applyFont="1" applyBorder="1"/>
    <xf numFmtId="0" fontId="5" fillId="6" borderId="0" xfId="2" applyFont="1" applyFill="1" applyAlignment="1">
      <alignment horizontal="center" vertical="center"/>
    </xf>
    <xf numFmtId="0" fontId="1" fillId="6" borderId="0" xfId="2" quotePrefix="1" applyFill="1" applyAlignment="1">
      <alignment horizontal="center" vertical="center"/>
    </xf>
    <xf numFmtId="0" fontId="1" fillId="6" borderId="0" xfId="2" applyFill="1" applyAlignment="1">
      <alignment horizontal="center" vertical="center"/>
    </xf>
    <xf numFmtId="0" fontId="5" fillId="0" borderId="4" xfId="2" applyFont="1" applyBorder="1" applyAlignment="1">
      <alignment horizontal="center"/>
    </xf>
    <xf numFmtId="0" fontId="5" fillId="0" borderId="3" xfId="2" applyFont="1" applyBorder="1" applyAlignment="1">
      <alignment horizontal="center"/>
    </xf>
    <xf numFmtId="0" fontId="3" fillId="0" borderId="0" xfId="2" applyFont="1" applyAlignment="1">
      <alignment horizontal="center"/>
    </xf>
    <xf numFmtId="0" fontId="3" fillId="0" borderId="0" xfId="2" applyFont="1" applyAlignment="1">
      <alignment horizontal="center" wrapText="1"/>
    </xf>
    <xf numFmtId="0" fontId="1" fillId="0" borderId="0" xfId="2" applyFont="1"/>
    <xf numFmtId="0" fontId="1" fillId="0" borderId="5" xfId="2" applyFont="1" applyBorder="1"/>
    <xf numFmtId="0" fontId="1" fillId="0" borderId="0" xfId="2" applyFont="1" applyAlignment="1">
      <alignment horizontal="center"/>
    </xf>
    <xf numFmtId="169" fontId="1" fillId="0" borderId="0" xfId="2" applyNumberFormat="1" applyFont="1" applyAlignment="1">
      <alignment horizontal="center"/>
    </xf>
    <xf numFmtId="10" fontId="5" fillId="2" borderId="0" xfId="3" applyNumberFormat="1" applyFont="1" applyFill="1"/>
    <xf numFmtId="0" fontId="1" fillId="0" borderId="0" xfId="2" applyFont="1" applyAlignment="1">
      <alignment horizontal="right"/>
    </xf>
    <xf numFmtId="0" fontId="12" fillId="0" borderId="0" xfId="2" applyFont="1" applyAlignment="1">
      <alignment horizontal="center"/>
    </xf>
    <xf numFmtId="164" fontId="4" fillId="0" borderId="0" xfId="0" quotePrefix="1" applyNumberFormat="1" applyFont="1" applyAlignment="1">
      <alignment horizontal="right"/>
    </xf>
    <xf numFmtId="0" fontId="5" fillId="6" borderId="0" xfId="1" applyNumberFormat="1" applyFont="1" applyFill="1"/>
    <xf numFmtId="0" fontId="1" fillId="6" borderId="6" xfId="2" applyFill="1" applyBorder="1" applyAlignment="1">
      <alignment horizontal="center"/>
    </xf>
    <xf numFmtId="0" fontId="1" fillId="6" borderId="0" xfId="2" applyFill="1" applyAlignment="1">
      <alignment horizontal="center"/>
    </xf>
  </cellXfs>
  <cellStyles count="4">
    <cellStyle name="Normal" xfId="0" builtinId="0"/>
    <cellStyle name="Normal 2" xfId="2" xr:uid="{BEFF5C52-9D2C-4475-9CB4-9C0584880C3A}"/>
    <cellStyle name="Percent" xfId="1" builtinId="5"/>
    <cellStyle name="Percent 2" xfId="3" xr:uid="{B1C9AC20-34FF-4E93-97C6-368E1105E905}"/>
  </cellStyles>
  <dxfs count="0"/>
  <tableStyles count="0" defaultTableStyle="TableStyleMedium9" defaultPivotStyle="PivotStyleLight16"/>
  <colors>
    <mruColors>
      <color rgb="FF99FF99"/>
      <color rgb="FF66FFCC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14</xdr:row>
      <xdr:rowOff>352425</xdr:rowOff>
    </xdr:from>
    <xdr:to>
      <xdr:col>5</xdr:col>
      <xdr:colOff>333375</xdr:colOff>
      <xdr:row>18</xdr:row>
      <xdr:rowOff>19050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 flipH="1">
          <a:off x="3562350" y="2400300"/>
          <a:ext cx="2181225" cy="866775"/>
        </a:xfrm>
        <a:prstGeom prst="straightConnector1">
          <a:avLst/>
        </a:prstGeom>
        <a:ln w="25400">
          <a:solidFill>
            <a:srgbClr val="0070C0"/>
          </a:solidFill>
          <a:headEnd type="none" w="lg" len="sm"/>
          <a:tailEnd type="arrow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zoomScale="110" zoomScaleNormal="110" workbookViewId="0">
      <selection activeCell="B11" sqref="B11"/>
    </sheetView>
  </sheetViews>
  <sheetFormatPr defaultColWidth="9.08984375" defaultRowHeight="15.5" x14ac:dyDescent="0.35"/>
  <cols>
    <col min="1" max="1" width="10.54296875" style="2" customWidth="1"/>
    <col min="2" max="2" width="12" style="2" customWidth="1"/>
    <col min="3" max="3" width="16.6328125" style="2" customWidth="1"/>
    <col min="4" max="4" width="14.6328125" style="2" customWidth="1"/>
    <col min="5" max="5" width="12.08984375" style="2" bestFit="1" customWidth="1"/>
    <col min="6" max="16384" width="9.08984375" style="2"/>
  </cols>
  <sheetData>
    <row r="1" spans="1:5" x14ac:dyDescent="0.35">
      <c r="A1" s="1" t="s">
        <v>13</v>
      </c>
    </row>
    <row r="2" spans="1:5" x14ac:dyDescent="0.35">
      <c r="A2" s="3" t="s">
        <v>27</v>
      </c>
      <c r="B2" s="18"/>
      <c r="C2" s="2" t="s">
        <v>28</v>
      </c>
    </row>
    <row r="4" spans="1:5" x14ac:dyDescent="0.35">
      <c r="A4" s="27" t="s">
        <v>10</v>
      </c>
      <c r="B4" s="28" t="s">
        <v>11</v>
      </c>
      <c r="C4" s="27" t="s">
        <v>12</v>
      </c>
      <c r="D4" s="29"/>
    </row>
    <row r="5" spans="1:5" x14ac:dyDescent="0.35">
      <c r="A5" s="29" t="s">
        <v>0</v>
      </c>
      <c r="B5" s="30">
        <v>0.04</v>
      </c>
      <c r="C5" s="29" t="s">
        <v>2</v>
      </c>
      <c r="D5" s="29"/>
    </row>
    <row r="6" spans="1:5" x14ac:dyDescent="0.35">
      <c r="A6" s="29" t="s">
        <v>25</v>
      </c>
      <c r="B6" s="31">
        <v>2000</v>
      </c>
      <c r="C6" s="29" t="s">
        <v>26</v>
      </c>
      <c r="D6" s="29"/>
    </row>
    <row r="7" spans="1:5" x14ac:dyDescent="0.35">
      <c r="B7" s="6"/>
    </row>
    <row r="8" spans="1:5" s="6" customFormat="1" ht="16" thickBot="1" x14ac:dyDescent="0.4">
      <c r="A8" s="4"/>
      <c r="B8" s="4"/>
      <c r="C8" s="4"/>
      <c r="E8" s="4"/>
    </row>
    <row r="9" spans="1:5" s="6" customFormat="1" ht="16" thickBot="1" x14ac:dyDescent="0.4">
      <c r="A9" s="4"/>
      <c r="B9" s="4"/>
      <c r="C9" s="20" t="s">
        <v>1</v>
      </c>
      <c r="D9" s="21">
        <f>SUM(D14:D56)</f>
        <v>16156.5155520059</v>
      </c>
      <c r="E9" s="4"/>
    </row>
    <row r="10" spans="1:5" s="6" customFormat="1" x14ac:dyDescent="0.35">
      <c r="A10" s="4"/>
      <c r="B10" s="4"/>
      <c r="C10" s="4"/>
      <c r="D10" s="4"/>
      <c r="E10" s="4"/>
    </row>
    <row r="11" spans="1:5" s="6" customFormat="1" ht="62" x14ac:dyDescent="0.35">
      <c r="A11" s="9" t="s">
        <v>18</v>
      </c>
      <c r="B11" s="9" t="s">
        <v>22</v>
      </c>
      <c r="C11" s="9" t="s">
        <v>19</v>
      </c>
      <c r="D11" s="9" t="s">
        <v>24</v>
      </c>
      <c r="E11" s="4"/>
    </row>
    <row r="12" spans="1:5" s="6" customFormat="1" ht="31" x14ac:dyDescent="0.35">
      <c r="A12" s="17" t="s">
        <v>23</v>
      </c>
      <c r="B12" s="17"/>
      <c r="C12" s="26" t="s">
        <v>40</v>
      </c>
      <c r="D12" s="16" t="s">
        <v>38</v>
      </c>
      <c r="E12" s="5"/>
    </row>
    <row r="13" spans="1:5" s="6" customFormat="1" x14ac:dyDescent="0.35">
      <c r="A13" s="5"/>
      <c r="B13" s="5"/>
      <c r="C13" s="15"/>
      <c r="D13" s="5"/>
      <c r="E13" s="5"/>
    </row>
    <row r="14" spans="1:5" x14ac:dyDescent="0.35">
      <c r="A14" s="6">
        <v>1</v>
      </c>
      <c r="B14" s="19">
        <f t="shared" ref="B14:B23" si="0">cashflow</f>
        <v>2000</v>
      </c>
      <c r="C14" s="8">
        <f t="shared" ref="C14:C23" si="1">EXP(-delta*A14)</f>
        <v>0.96078943915232318</v>
      </c>
      <c r="D14" s="12">
        <f>B14*C14</f>
        <v>1921.5788783046464</v>
      </c>
      <c r="E14" s="13"/>
    </row>
    <row r="15" spans="1:5" x14ac:dyDescent="0.35">
      <c r="A15" s="6">
        <f>A14+1</f>
        <v>2</v>
      </c>
      <c r="B15" s="19">
        <f t="shared" si="0"/>
        <v>2000</v>
      </c>
      <c r="C15" s="8">
        <f t="shared" si="1"/>
        <v>0.92311634638663576</v>
      </c>
      <c r="D15" s="12">
        <f t="shared" ref="D15:D23" si="2">B15*C15</f>
        <v>1846.2326927732715</v>
      </c>
      <c r="E15" s="13"/>
    </row>
    <row r="16" spans="1:5" x14ac:dyDescent="0.35">
      <c r="A16" s="6">
        <f t="shared" ref="A16:A23" si="3">A15+1</f>
        <v>3</v>
      </c>
      <c r="B16" s="19">
        <f t="shared" si="0"/>
        <v>2000</v>
      </c>
      <c r="C16" s="8">
        <f t="shared" si="1"/>
        <v>0.88692043671715748</v>
      </c>
      <c r="D16" s="12">
        <f t="shared" si="2"/>
        <v>1773.840873434315</v>
      </c>
      <c r="E16" s="13"/>
    </row>
    <row r="17" spans="1:5" x14ac:dyDescent="0.35">
      <c r="A17" s="6">
        <f t="shared" si="3"/>
        <v>4</v>
      </c>
      <c r="B17" s="19">
        <f t="shared" si="0"/>
        <v>2000</v>
      </c>
      <c r="C17" s="8">
        <f t="shared" si="1"/>
        <v>0.85214378896621135</v>
      </c>
      <c r="D17" s="12">
        <f t="shared" si="2"/>
        <v>1704.2875779324227</v>
      </c>
      <c r="E17" s="13"/>
    </row>
    <row r="18" spans="1:5" x14ac:dyDescent="0.35">
      <c r="A18" s="6">
        <f t="shared" si="3"/>
        <v>5</v>
      </c>
      <c r="B18" s="19">
        <f t="shared" si="0"/>
        <v>2000</v>
      </c>
      <c r="C18" s="8">
        <f t="shared" si="1"/>
        <v>0.81873075307798182</v>
      </c>
      <c r="D18" s="12">
        <f t="shared" si="2"/>
        <v>1637.4615061559637</v>
      </c>
      <c r="E18" s="13"/>
    </row>
    <row r="19" spans="1:5" x14ac:dyDescent="0.35">
      <c r="A19" s="6">
        <f t="shared" si="3"/>
        <v>6</v>
      </c>
      <c r="B19" s="19">
        <f t="shared" si="0"/>
        <v>2000</v>
      </c>
      <c r="C19" s="8">
        <f t="shared" si="1"/>
        <v>0.78662786106655347</v>
      </c>
      <c r="D19" s="12">
        <f t="shared" si="2"/>
        <v>1573.2557221331069</v>
      </c>
      <c r="E19" s="13"/>
    </row>
    <row r="20" spans="1:5" x14ac:dyDescent="0.35">
      <c r="A20" s="6">
        <f t="shared" si="3"/>
        <v>7</v>
      </c>
      <c r="B20" s="19">
        <f t="shared" si="0"/>
        <v>2000</v>
      </c>
      <c r="C20" s="8">
        <f t="shared" si="1"/>
        <v>0.75578374145572547</v>
      </c>
      <c r="D20" s="12">
        <f t="shared" si="2"/>
        <v>1511.567482911451</v>
      </c>
      <c r="E20" s="13"/>
    </row>
    <row r="21" spans="1:5" x14ac:dyDescent="0.35">
      <c r="A21" s="6">
        <f t="shared" si="3"/>
        <v>8</v>
      </c>
      <c r="B21" s="19">
        <f t="shared" si="0"/>
        <v>2000</v>
      </c>
      <c r="C21" s="8">
        <f t="shared" si="1"/>
        <v>0.72614903707369094</v>
      </c>
      <c r="D21" s="12">
        <f t="shared" si="2"/>
        <v>1452.2980741473818</v>
      </c>
      <c r="E21" s="13"/>
    </row>
    <row r="22" spans="1:5" x14ac:dyDescent="0.35">
      <c r="A22" s="6">
        <f t="shared" si="3"/>
        <v>9</v>
      </c>
      <c r="B22" s="19">
        <f t="shared" si="0"/>
        <v>2000</v>
      </c>
      <c r="C22" s="8">
        <f t="shared" si="1"/>
        <v>0.69767632607103103</v>
      </c>
      <c r="D22" s="12">
        <f t="shared" si="2"/>
        <v>1395.352652142062</v>
      </c>
      <c r="E22" s="13"/>
    </row>
    <row r="23" spans="1:5" x14ac:dyDescent="0.35">
      <c r="A23" s="6">
        <f t="shared" si="3"/>
        <v>10</v>
      </c>
      <c r="B23" s="19">
        <f t="shared" si="0"/>
        <v>2000</v>
      </c>
      <c r="C23" s="8">
        <f t="shared" si="1"/>
        <v>0.67032004603563933</v>
      </c>
      <c r="D23" s="12">
        <f t="shared" si="2"/>
        <v>1340.6400920712786</v>
      </c>
      <c r="E23" s="13"/>
    </row>
    <row r="24" spans="1:5" x14ac:dyDescent="0.35">
      <c r="D24" s="13"/>
    </row>
    <row r="25" spans="1:5" x14ac:dyDescent="0.35">
      <c r="A25" s="4"/>
      <c r="B25" s="3"/>
      <c r="C25" s="3"/>
      <c r="D25" s="14"/>
      <c r="E25" s="1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"/>
  <sheetViews>
    <sheetView zoomScale="110" zoomScaleNormal="110" workbookViewId="0">
      <selection activeCell="G17" sqref="G17"/>
    </sheetView>
  </sheetViews>
  <sheetFormatPr defaultColWidth="9.08984375" defaultRowHeight="15.5" x14ac:dyDescent="0.35"/>
  <cols>
    <col min="1" max="1" width="18" style="2" bestFit="1" customWidth="1"/>
    <col min="2" max="2" width="12.7265625" style="2" customWidth="1"/>
    <col min="3" max="3" width="14" style="2" customWidth="1"/>
    <col min="4" max="4" width="17.453125" style="2" customWidth="1"/>
    <col min="5" max="5" width="15.54296875" style="2" customWidth="1"/>
    <col min="6" max="16384" width="9.08984375" style="2"/>
  </cols>
  <sheetData>
    <row r="1" spans="1:5" x14ac:dyDescent="0.35">
      <c r="A1" s="1" t="s">
        <v>14</v>
      </c>
    </row>
    <row r="2" spans="1:5" x14ac:dyDescent="0.35">
      <c r="A2" s="3" t="s">
        <v>27</v>
      </c>
      <c r="B2" s="18"/>
      <c r="C2" s="2" t="s">
        <v>28</v>
      </c>
    </row>
    <row r="4" spans="1:5" x14ac:dyDescent="0.35">
      <c r="A4" s="27" t="s">
        <v>10</v>
      </c>
      <c r="B4" s="28" t="s">
        <v>11</v>
      </c>
      <c r="C4" s="27" t="s">
        <v>12</v>
      </c>
      <c r="D4" s="29"/>
    </row>
    <row r="5" spans="1:5" x14ac:dyDescent="0.35">
      <c r="A5" s="35" t="s">
        <v>42</v>
      </c>
      <c r="B5" s="32">
        <v>0.03</v>
      </c>
      <c r="C5" s="29" t="s">
        <v>5</v>
      </c>
      <c r="D5" s="29"/>
    </row>
    <row r="6" spans="1:5" x14ac:dyDescent="0.35">
      <c r="A6" s="29" t="s">
        <v>4</v>
      </c>
      <c r="B6" s="32">
        <v>0.01</v>
      </c>
      <c r="C6" s="29" t="s">
        <v>3</v>
      </c>
      <c r="D6" s="29"/>
    </row>
    <row r="7" spans="1:5" x14ac:dyDescent="0.35">
      <c r="A7" s="33" t="s">
        <v>41</v>
      </c>
      <c r="B7" s="32">
        <v>4</v>
      </c>
      <c r="C7" s="33" t="s">
        <v>100</v>
      </c>
    </row>
    <row r="9" spans="1:5" ht="16" thickBot="1" x14ac:dyDescent="0.4">
      <c r="B9" s="4"/>
      <c r="C9" s="4"/>
      <c r="D9" s="4"/>
      <c r="E9" s="4"/>
    </row>
    <row r="10" spans="1:5" ht="16" thickBot="1" x14ac:dyDescent="0.4">
      <c r="B10" s="4"/>
      <c r="C10" s="4"/>
      <c r="D10" s="20" t="s">
        <v>1</v>
      </c>
      <c r="E10" s="22">
        <f>SUM($E$15:$E$175)*1000000</f>
        <v>69049528.078485668</v>
      </c>
    </row>
    <row r="11" spans="1:5" x14ac:dyDescent="0.35">
      <c r="B11" s="4"/>
      <c r="C11" s="4"/>
      <c r="D11" s="4"/>
      <c r="E11" s="4"/>
    </row>
    <row r="12" spans="1:5" ht="46.5" x14ac:dyDescent="0.35">
      <c r="A12" s="9" t="s">
        <v>29</v>
      </c>
      <c r="B12" s="9" t="s">
        <v>35</v>
      </c>
      <c r="C12" s="9" t="s">
        <v>34</v>
      </c>
      <c r="D12" s="9" t="s">
        <v>20</v>
      </c>
      <c r="E12" s="9" t="s">
        <v>33</v>
      </c>
    </row>
    <row r="13" spans="1:5" ht="31" x14ac:dyDescent="0.35">
      <c r="B13" s="9"/>
      <c r="C13" s="9"/>
      <c r="D13" s="9"/>
      <c r="E13" s="16" t="s">
        <v>36</v>
      </c>
    </row>
    <row r="14" spans="1:5" x14ac:dyDescent="0.35">
      <c r="B14" s="5"/>
      <c r="C14" s="5"/>
      <c r="D14" s="5"/>
      <c r="E14" s="5"/>
    </row>
    <row r="15" spans="1:5" x14ac:dyDescent="0.35">
      <c r="A15" s="6">
        <v>1</v>
      </c>
      <c r="B15" s="6">
        <v>0</v>
      </c>
      <c r="C15" s="34">
        <f>ini_pmt</f>
        <v>4</v>
      </c>
      <c r="D15" s="7">
        <f t="shared" ref="D15:D29" si="0">EXP(-delta_monthly*B15)</f>
        <v>1</v>
      </c>
      <c r="E15" s="8">
        <f>C15*D15</f>
        <v>4</v>
      </c>
    </row>
    <row r="16" spans="1:5" x14ac:dyDescent="0.35">
      <c r="A16" s="6">
        <v>2</v>
      </c>
      <c r="B16" s="6">
        <f>B15+1</f>
        <v>1</v>
      </c>
      <c r="C16" s="7">
        <f t="shared" ref="C16:C29" si="1">C15*(1+pmt_inc_monthly)</f>
        <v>4.12</v>
      </c>
      <c r="D16" s="7">
        <f t="shared" si="0"/>
        <v>0.99004983374916811</v>
      </c>
      <c r="E16" s="8">
        <f t="shared" ref="E16:E29" si="2">C16*D16</f>
        <v>4.0790053150465724</v>
      </c>
    </row>
    <row r="17" spans="1:5" x14ac:dyDescent="0.35">
      <c r="A17" s="6">
        <v>3</v>
      </c>
      <c r="B17" s="6">
        <f t="shared" ref="B17:B29" si="3">B16+1</f>
        <v>2</v>
      </c>
      <c r="C17" s="7">
        <f t="shared" si="1"/>
        <v>4.2435999999999998</v>
      </c>
      <c r="D17" s="7">
        <f t="shared" si="0"/>
        <v>0.98019867330675525</v>
      </c>
      <c r="E17" s="8">
        <f t="shared" si="2"/>
        <v>4.1595710900445466</v>
      </c>
    </row>
    <row r="18" spans="1:5" x14ac:dyDescent="0.35">
      <c r="A18" s="6">
        <v>4</v>
      </c>
      <c r="B18" s="6">
        <f t="shared" si="3"/>
        <v>3</v>
      </c>
      <c r="C18" s="7">
        <f t="shared" si="1"/>
        <v>4.370908</v>
      </c>
      <c r="D18" s="7">
        <f t="shared" si="0"/>
        <v>0.97044553354850815</v>
      </c>
      <c r="E18" s="8">
        <f t="shared" si="2"/>
        <v>4.2417281461514431</v>
      </c>
    </row>
    <row r="19" spans="1:5" x14ac:dyDescent="0.35">
      <c r="A19" s="6">
        <v>5</v>
      </c>
      <c r="B19" s="6">
        <f t="shared" si="3"/>
        <v>4</v>
      </c>
      <c r="C19" s="7">
        <f t="shared" si="1"/>
        <v>4.5020352400000005</v>
      </c>
      <c r="D19" s="7">
        <f t="shared" si="0"/>
        <v>0.96078943915232318</v>
      </c>
      <c r="E19" s="8">
        <f t="shared" si="2"/>
        <v>4.3255079132835954</v>
      </c>
    </row>
    <row r="20" spans="1:5" x14ac:dyDescent="0.35">
      <c r="A20" s="6">
        <v>6</v>
      </c>
      <c r="B20" s="6">
        <f t="shared" si="3"/>
        <v>5</v>
      </c>
      <c r="C20" s="7">
        <f t="shared" si="1"/>
        <v>4.6370962972000003</v>
      </c>
      <c r="D20" s="7">
        <f t="shared" si="0"/>
        <v>0.95122942450071402</v>
      </c>
      <c r="E20" s="8">
        <f t="shared" si="2"/>
        <v>4.4109424421399481</v>
      </c>
    </row>
    <row r="21" spans="1:5" x14ac:dyDescent="0.35">
      <c r="A21" s="6">
        <v>7</v>
      </c>
      <c r="B21" s="6">
        <f t="shared" si="3"/>
        <v>6</v>
      </c>
      <c r="C21" s="7">
        <f t="shared" si="1"/>
        <v>4.7762091861160005</v>
      </c>
      <c r="D21" s="7">
        <f t="shared" si="0"/>
        <v>0.94176453358424872</v>
      </c>
      <c r="E21" s="8">
        <f t="shared" si="2"/>
        <v>4.4980644164633397</v>
      </c>
    </row>
    <row r="22" spans="1:5" x14ac:dyDescent="0.35">
      <c r="A22" s="6">
        <v>8</v>
      </c>
      <c r="B22" s="6">
        <f t="shared" si="3"/>
        <v>7</v>
      </c>
      <c r="C22" s="7">
        <f t="shared" si="1"/>
        <v>4.9194954616994808</v>
      </c>
      <c r="D22" s="7">
        <f t="shared" si="0"/>
        <v>0.93239381990594827</v>
      </c>
      <c r="E22" s="8">
        <f t="shared" si="2"/>
        <v>4.5869071655439555</v>
      </c>
    </row>
    <row r="23" spans="1:5" x14ac:dyDescent="0.35">
      <c r="A23" s="6">
        <v>9</v>
      </c>
      <c r="B23" s="6">
        <f t="shared" si="3"/>
        <v>8</v>
      </c>
      <c r="C23" s="7">
        <f t="shared" si="1"/>
        <v>5.0670803255504655</v>
      </c>
      <c r="D23" s="7">
        <f t="shared" si="0"/>
        <v>0.92311634638663576</v>
      </c>
      <c r="E23" s="8">
        <f t="shared" si="2"/>
        <v>4.6775046769697504</v>
      </c>
    </row>
    <row r="24" spans="1:5" x14ac:dyDescent="0.35">
      <c r="A24" s="6">
        <v>10</v>
      </c>
      <c r="B24" s="6">
        <f t="shared" si="3"/>
        <v>9</v>
      </c>
      <c r="C24" s="7">
        <f t="shared" si="1"/>
        <v>5.2190927353169796</v>
      </c>
      <c r="D24" s="7">
        <f t="shared" si="0"/>
        <v>0.91393118527122819</v>
      </c>
      <c r="E24" s="8">
        <f t="shared" si="2"/>
        <v>4.7698916096287034</v>
      </c>
    </row>
    <row r="25" spans="1:5" x14ac:dyDescent="0.35">
      <c r="A25" s="6">
        <v>11</v>
      </c>
      <c r="B25" s="6">
        <f t="shared" si="3"/>
        <v>10</v>
      </c>
      <c r="C25" s="7">
        <f t="shared" si="1"/>
        <v>5.3756655173764889</v>
      </c>
      <c r="D25" s="7">
        <f t="shared" si="0"/>
        <v>0.90483741803595952</v>
      </c>
      <c r="E25" s="8">
        <f t="shared" si="2"/>
        <v>4.8641033069678823</v>
      </c>
    </row>
    <row r="26" spans="1:5" x14ac:dyDescent="0.35">
      <c r="A26" s="6">
        <v>12</v>
      </c>
      <c r="B26" s="6">
        <f t="shared" si="3"/>
        <v>11</v>
      </c>
      <c r="C26" s="7">
        <f t="shared" si="1"/>
        <v>5.5369354828977837</v>
      </c>
      <c r="D26" s="7">
        <f t="shared" si="0"/>
        <v>0.89583413529652822</v>
      </c>
      <c r="E26" s="8">
        <f t="shared" si="2"/>
        <v>4.9601758105144009</v>
      </c>
    </row>
    <row r="27" spans="1:5" x14ac:dyDescent="0.35">
      <c r="A27" s="6">
        <v>13</v>
      </c>
      <c r="B27" s="6">
        <f t="shared" si="3"/>
        <v>12</v>
      </c>
      <c r="C27" s="7">
        <f t="shared" si="1"/>
        <v>5.7030435473847172</v>
      </c>
      <c r="D27" s="7">
        <f t="shared" si="0"/>
        <v>0.88692043671715748</v>
      </c>
      <c r="E27" s="8">
        <f t="shared" si="2"/>
        <v>5.0581458736634204</v>
      </c>
    </row>
    <row r="28" spans="1:5" x14ac:dyDescent="0.35">
      <c r="A28" s="6">
        <v>14</v>
      </c>
      <c r="B28" s="6">
        <f t="shared" si="3"/>
        <v>13</v>
      </c>
      <c r="C28" s="7">
        <f t="shared" si="1"/>
        <v>5.8741348538062592</v>
      </c>
      <c r="D28" s="7">
        <f t="shared" si="0"/>
        <v>0.8780954309205613</v>
      </c>
      <c r="E28" s="8">
        <f t="shared" si="2"/>
        <v>5.1580509757384956</v>
      </c>
    </row>
    <row r="29" spans="1:5" x14ac:dyDescent="0.35">
      <c r="A29" s="6">
        <v>15</v>
      </c>
      <c r="B29" s="6">
        <f t="shared" si="3"/>
        <v>14</v>
      </c>
      <c r="C29" s="7">
        <f t="shared" si="1"/>
        <v>6.0503588994204476</v>
      </c>
      <c r="D29" s="7">
        <f t="shared" si="0"/>
        <v>0.86935823539880586</v>
      </c>
      <c r="E29" s="8">
        <f t="shared" si="2"/>
        <v>5.2599293363296216</v>
      </c>
    </row>
    <row r="31" spans="1:5" x14ac:dyDescent="0.35">
      <c r="B31" s="3"/>
      <c r="C31" s="3"/>
      <c r="D31" s="3"/>
      <c r="E31" s="3"/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0"/>
  <sheetViews>
    <sheetView topLeftCell="A10" zoomScale="110" zoomScaleNormal="110" workbookViewId="0">
      <selection activeCell="F18" sqref="F18"/>
    </sheetView>
  </sheetViews>
  <sheetFormatPr defaultColWidth="9.08984375" defaultRowHeight="15.5" x14ac:dyDescent="0.35"/>
  <cols>
    <col min="1" max="1" width="14.54296875" style="2" bestFit="1" customWidth="1"/>
    <col min="2" max="2" width="11.36328125" style="2" customWidth="1"/>
    <col min="3" max="3" width="14.08984375" style="2" customWidth="1"/>
    <col min="4" max="4" width="13.1796875" style="2" customWidth="1"/>
    <col min="5" max="5" width="14.36328125" style="2" customWidth="1"/>
    <col min="6" max="6" width="5.453125" style="2" customWidth="1"/>
    <col min="7" max="7" width="27.54296875" style="2" customWidth="1"/>
    <col min="8" max="8" width="10.36328125" style="2" bestFit="1" customWidth="1"/>
    <col min="9" max="9" width="11.08984375" style="2" customWidth="1"/>
    <col min="10" max="11" width="15.54296875" style="2" bestFit="1" customWidth="1"/>
    <col min="12" max="16384" width="9.08984375" style="2"/>
  </cols>
  <sheetData>
    <row r="1" spans="1:10" x14ac:dyDescent="0.35">
      <c r="A1" s="1" t="s">
        <v>15</v>
      </c>
    </row>
    <row r="2" spans="1:10" x14ac:dyDescent="0.35">
      <c r="A2" s="3" t="s">
        <v>27</v>
      </c>
      <c r="B2" s="18"/>
      <c r="C2" s="2" t="s">
        <v>28</v>
      </c>
    </row>
    <row r="4" spans="1:10" x14ac:dyDescent="0.35">
      <c r="A4" s="27" t="s">
        <v>10</v>
      </c>
      <c r="B4" s="28" t="s">
        <v>11</v>
      </c>
      <c r="C4" s="27" t="s">
        <v>12</v>
      </c>
      <c r="D4" s="27"/>
      <c r="E4" s="29"/>
    </row>
    <row r="5" spans="1:10" x14ac:dyDescent="0.35">
      <c r="A5" s="29" t="s">
        <v>6</v>
      </c>
      <c r="B5" s="32">
        <v>0.03</v>
      </c>
      <c r="C5" s="29" t="s">
        <v>8</v>
      </c>
      <c r="D5" s="29"/>
      <c r="E5" s="29"/>
    </row>
    <row r="6" spans="1:10" ht="21" x14ac:dyDescent="0.4">
      <c r="A6" s="35" t="s">
        <v>45</v>
      </c>
      <c r="B6" s="38">
        <f>EXP(-delta_1)</f>
        <v>0.97044553354850815</v>
      </c>
      <c r="C6" s="37" t="s">
        <v>43</v>
      </c>
      <c r="D6" s="29"/>
      <c r="E6" s="29"/>
    </row>
    <row r="7" spans="1:10" x14ac:dyDescent="0.35">
      <c r="A7" s="29" t="s">
        <v>7</v>
      </c>
      <c r="B7" s="32">
        <v>0.05</v>
      </c>
      <c r="C7" s="29" t="s">
        <v>9</v>
      </c>
      <c r="D7" s="29"/>
      <c r="E7" s="29"/>
    </row>
    <row r="8" spans="1:10" ht="21" x14ac:dyDescent="0.4">
      <c r="A8" s="35" t="s">
        <v>46</v>
      </c>
      <c r="B8" s="38">
        <f>EXP(-delta_2)</f>
        <v>0.95122942450071402</v>
      </c>
      <c r="C8" s="37" t="s">
        <v>44</v>
      </c>
      <c r="D8" s="29"/>
      <c r="E8" s="29"/>
    </row>
    <row r="9" spans="1:10" x14ac:dyDescent="0.35">
      <c r="A9" s="29" t="s">
        <v>16</v>
      </c>
      <c r="B9" s="32">
        <v>4</v>
      </c>
      <c r="C9" s="29" t="s">
        <v>17</v>
      </c>
      <c r="D9" s="29"/>
      <c r="E9" s="29"/>
    </row>
    <row r="10" spans="1:10" x14ac:dyDescent="0.35">
      <c r="A10" s="29" t="s">
        <v>30</v>
      </c>
      <c r="B10" s="36">
        <v>10000</v>
      </c>
      <c r="C10" s="29" t="s">
        <v>31</v>
      </c>
      <c r="D10" s="29"/>
      <c r="E10" s="29"/>
      <c r="J10" s="8"/>
    </row>
    <row r="11" spans="1:10" x14ac:dyDescent="0.35">
      <c r="B11" s="4"/>
      <c r="C11" s="4"/>
      <c r="J11" s="8"/>
    </row>
    <row r="12" spans="1:10" ht="16" thickBot="1" x14ac:dyDescent="0.4">
      <c r="A12" s="4"/>
      <c r="B12" s="4"/>
      <c r="C12" s="4"/>
      <c r="D12" s="4"/>
      <c r="E12" s="10"/>
    </row>
    <row r="13" spans="1:10" ht="16" thickBot="1" x14ac:dyDescent="0.4">
      <c r="A13" s="4"/>
      <c r="B13" s="4"/>
      <c r="C13" s="4"/>
      <c r="D13" s="20" t="s">
        <v>1</v>
      </c>
      <c r="E13" s="23">
        <f>SUM($E$19:$E$138)</f>
        <v>132389.2382498596</v>
      </c>
    </row>
    <row r="14" spans="1:10" x14ac:dyDescent="0.35">
      <c r="A14" s="4"/>
      <c r="B14" s="4"/>
      <c r="C14" s="4"/>
      <c r="D14" s="4"/>
      <c r="E14" s="4"/>
      <c r="G14" s="25" t="s">
        <v>37</v>
      </c>
    </row>
    <row r="15" spans="1:10" s="11" customFormat="1" ht="56" customHeight="1" x14ac:dyDescent="0.35">
      <c r="A15" s="9" t="s">
        <v>21</v>
      </c>
      <c r="B15" s="9" t="s">
        <v>22</v>
      </c>
      <c r="C15" s="9" t="s">
        <v>39</v>
      </c>
      <c r="D15" s="9" t="s">
        <v>101</v>
      </c>
      <c r="E15" s="9" t="s">
        <v>32</v>
      </c>
      <c r="G15" s="25"/>
    </row>
    <row r="16" spans="1:10" ht="31" x14ac:dyDescent="0.35">
      <c r="A16" s="5"/>
      <c r="B16" s="5"/>
      <c r="C16" s="5"/>
      <c r="D16" s="5"/>
      <c r="E16" s="16" t="s">
        <v>38</v>
      </c>
      <c r="G16" s="25"/>
    </row>
    <row r="17" spans="1:5" x14ac:dyDescent="0.35">
      <c r="A17" s="5"/>
      <c r="B17" s="5"/>
      <c r="C17" s="5"/>
      <c r="D17" s="5"/>
      <c r="E17" s="5"/>
    </row>
    <row r="18" spans="1:5" x14ac:dyDescent="0.35">
      <c r="A18" s="24">
        <v>0</v>
      </c>
      <c r="B18" s="5"/>
      <c r="C18" s="5"/>
      <c r="D18" s="66">
        <v>1</v>
      </c>
      <c r="E18" s="5"/>
    </row>
    <row r="19" spans="1:5" x14ac:dyDescent="0.35">
      <c r="A19" s="6">
        <v>1</v>
      </c>
      <c r="B19" s="19">
        <f t="shared" ref="B19:B38" si="0">deposit</f>
        <v>10000</v>
      </c>
      <c r="C19" s="8">
        <f>IF(A19&lt;=switchtime,disc_delta_1,disc_delta_2)</f>
        <v>0.97044553354850815</v>
      </c>
      <c r="D19" s="8">
        <f>D18*C19</f>
        <v>0.97044553354850815</v>
      </c>
      <c r="E19" s="12">
        <f>B19*D19</f>
        <v>9704.4553354850814</v>
      </c>
    </row>
    <row r="20" spans="1:5" x14ac:dyDescent="0.35">
      <c r="A20" s="6">
        <f>A19+1</f>
        <v>2</v>
      </c>
      <c r="B20" s="19">
        <f t="shared" si="0"/>
        <v>10000</v>
      </c>
      <c r="C20" s="8">
        <f>IF(A20&lt;=switchtime,disc_delta_1,disc_delta_2)</f>
        <v>0.97044553354850815</v>
      </c>
      <c r="D20" s="8">
        <f t="shared" ref="D20:D38" si="1">D19*C20</f>
        <v>0.94176453358424872</v>
      </c>
      <c r="E20" s="12">
        <f t="shared" ref="E20:E38" si="2">B20*D20</f>
        <v>9417.6453358424878</v>
      </c>
    </row>
    <row r="21" spans="1:5" x14ac:dyDescent="0.35">
      <c r="A21" s="6">
        <f t="shared" ref="A21:A26" si="3">A20+1</f>
        <v>3</v>
      </c>
      <c r="B21" s="19">
        <f t="shared" si="0"/>
        <v>10000</v>
      </c>
      <c r="C21" s="8">
        <f>IF(A21&lt;=switchtime,disc_delta_1,disc_delta_2)</f>
        <v>0.97044553354850815</v>
      </c>
      <c r="D21" s="8">
        <f t="shared" si="1"/>
        <v>0.91393118527122819</v>
      </c>
      <c r="E21" s="12">
        <f t="shared" si="2"/>
        <v>9139.3118527122824</v>
      </c>
    </row>
    <row r="22" spans="1:5" x14ac:dyDescent="0.35">
      <c r="A22" s="6">
        <f t="shared" si="3"/>
        <v>4</v>
      </c>
      <c r="B22" s="19">
        <f t="shared" si="0"/>
        <v>10000</v>
      </c>
      <c r="C22" s="8">
        <f>IF(A22&lt;=switchtime,disc_delta_1,disc_delta_2)</f>
        <v>0.97044553354850815</v>
      </c>
      <c r="D22" s="8">
        <f t="shared" si="1"/>
        <v>0.88692043671715748</v>
      </c>
      <c r="E22" s="12">
        <f t="shared" si="2"/>
        <v>8869.2043671715746</v>
      </c>
    </row>
    <row r="23" spans="1:5" x14ac:dyDescent="0.35">
      <c r="A23" s="6">
        <f t="shared" si="3"/>
        <v>5</v>
      </c>
      <c r="B23" s="19">
        <f t="shared" si="0"/>
        <v>10000</v>
      </c>
      <c r="C23" s="8">
        <f>IF(A23&lt;=switchtime,disc_delta_1,disc_delta_2)</f>
        <v>0.95122942450071402</v>
      </c>
      <c r="D23" s="8">
        <f t="shared" si="1"/>
        <v>0.8436648165963837</v>
      </c>
      <c r="E23" s="12">
        <f t="shared" si="2"/>
        <v>8436.6481659638375</v>
      </c>
    </row>
    <row r="24" spans="1:5" x14ac:dyDescent="0.35">
      <c r="A24" s="6">
        <f t="shared" si="3"/>
        <v>6</v>
      </c>
      <c r="B24" s="19">
        <f t="shared" si="0"/>
        <v>10000</v>
      </c>
      <c r="C24" s="8">
        <f>IF(A24&lt;=switchtime,disc_delta_1,disc_delta_2)</f>
        <v>0.95122942450071402</v>
      </c>
      <c r="D24" s="8">
        <f t="shared" si="1"/>
        <v>0.80251879796247849</v>
      </c>
      <c r="E24" s="12">
        <f t="shared" si="2"/>
        <v>8025.1879796247849</v>
      </c>
    </row>
    <row r="25" spans="1:5" x14ac:dyDescent="0.35">
      <c r="A25" s="6">
        <f t="shared" si="3"/>
        <v>7</v>
      </c>
      <c r="B25" s="19">
        <f t="shared" si="0"/>
        <v>10000</v>
      </c>
      <c r="C25" s="8">
        <f>IF(A25&lt;=switchtime,disc_delta_1,disc_delta_2)</f>
        <v>0.95122942450071402</v>
      </c>
      <c r="D25" s="8">
        <f t="shared" si="1"/>
        <v>0.76337949433685315</v>
      </c>
      <c r="E25" s="12">
        <f t="shared" si="2"/>
        <v>7633.7949433685317</v>
      </c>
    </row>
    <row r="26" spans="1:5" x14ac:dyDescent="0.35">
      <c r="A26" s="6">
        <f t="shared" si="3"/>
        <v>8</v>
      </c>
      <c r="B26" s="19">
        <f t="shared" si="0"/>
        <v>10000</v>
      </c>
      <c r="C26" s="8">
        <f>IF(A26&lt;=switchtime,disc_delta_1,disc_delta_2)</f>
        <v>0.95122942450071402</v>
      </c>
      <c r="D26" s="8">
        <f t="shared" si="1"/>
        <v>0.72614903707369094</v>
      </c>
      <c r="E26" s="12">
        <f t="shared" si="2"/>
        <v>7261.4903707369094</v>
      </c>
    </row>
    <row r="27" spans="1:5" x14ac:dyDescent="0.35">
      <c r="A27" s="6">
        <f t="shared" ref="A27:A38" si="4">A26+1</f>
        <v>9</v>
      </c>
      <c r="B27" s="19">
        <f t="shared" si="0"/>
        <v>10000</v>
      </c>
      <c r="C27" s="8">
        <f>IF(A27&lt;=switchtime,disc_delta_1,disc_delta_2)</f>
        <v>0.95122942450071402</v>
      </c>
      <c r="D27" s="8">
        <f t="shared" si="1"/>
        <v>0.69073433063735468</v>
      </c>
      <c r="E27" s="12">
        <f t="shared" si="2"/>
        <v>6907.3433063735465</v>
      </c>
    </row>
    <row r="28" spans="1:5" x14ac:dyDescent="0.35">
      <c r="A28" s="6">
        <f t="shared" si="4"/>
        <v>10</v>
      </c>
      <c r="B28" s="19">
        <f t="shared" si="0"/>
        <v>10000</v>
      </c>
      <c r="C28" s="8">
        <f>IF(A28&lt;=switchtime,disc_delta_1,disc_delta_2)</f>
        <v>0.95122942450071402</v>
      </c>
      <c r="D28" s="8">
        <f t="shared" si="1"/>
        <v>0.65704681981505675</v>
      </c>
      <c r="E28" s="12">
        <f t="shared" si="2"/>
        <v>6570.4681981505673</v>
      </c>
    </row>
    <row r="29" spans="1:5" x14ac:dyDescent="0.35">
      <c r="A29" s="6">
        <f t="shared" si="4"/>
        <v>11</v>
      </c>
      <c r="B29" s="19">
        <f t="shared" si="0"/>
        <v>10000</v>
      </c>
      <c r="C29" s="8">
        <f>IF(A29&lt;=switchtime,disc_delta_1,disc_delta_2)</f>
        <v>0.95122942450071402</v>
      </c>
      <c r="D29" s="8">
        <f t="shared" si="1"/>
        <v>0.62500226828270078</v>
      </c>
      <c r="E29" s="12">
        <f t="shared" si="2"/>
        <v>6250.0226828270079</v>
      </c>
    </row>
    <row r="30" spans="1:5" x14ac:dyDescent="0.35">
      <c r="A30" s="6">
        <f t="shared" si="4"/>
        <v>12</v>
      </c>
      <c r="B30" s="19">
        <f t="shared" si="0"/>
        <v>10000</v>
      </c>
      <c r="C30" s="8">
        <f>IF(A30&lt;=switchtime,disc_delta_1,disc_delta_2)</f>
        <v>0.95122942450071402</v>
      </c>
      <c r="D30" s="8">
        <f t="shared" si="1"/>
        <v>0.59452054797019438</v>
      </c>
      <c r="E30" s="12">
        <f t="shared" si="2"/>
        <v>5945.2054797019437</v>
      </c>
    </row>
    <row r="31" spans="1:5" x14ac:dyDescent="0.35">
      <c r="A31" s="6">
        <f t="shared" si="4"/>
        <v>13</v>
      </c>
      <c r="B31" s="19">
        <f t="shared" si="0"/>
        <v>10000</v>
      </c>
      <c r="C31" s="8">
        <f>IF(A31&lt;=switchtime,disc_delta_1,disc_delta_2)</f>
        <v>0.95122942450071402</v>
      </c>
      <c r="D31" s="8">
        <f t="shared" si="1"/>
        <v>0.56552543869953709</v>
      </c>
      <c r="E31" s="12">
        <f t="shared" si="2"/>
        <v>5655.2543869953706</v>
      </c>
    </row>
    <row r="32" spans="1:5" x14ac:dyDescent="0.35">
      <c r="A32" s="6">
        <f t="shared" si="4"/>
        <v>14</v>
      </c>
      <c r="B32" s="19">
        <f t="shared" si="0"/>
        <v>10000</v>
      </c>
      <c r="C32" s="8">
        <f>IF(A32&lt;=switchtime,disc_delta_1,disc_delta_2)</f>
        <v>0.95122942450071402</v>
      </c>
      <c r="D32" s="8">
        <f t="shared" si="1"/>
        <v>0.53794443759467447</v>
      </c>
      <c r="E32" s="12">
        <f t="shared" si="2"/>
        <v>5379.4443759467449</v>
      </c>
    </row>
    <row r="33" spans="1:5" x14ac:dyDescent="0.35">
      <c r="A33" s="6">
        <f t="shared" si="4"/>
        <v>15</v>
      </c>
      <c r="B33" s="19">
        <f t="shared" si="0"/>
        <v>10000</v>
      </c>
      <c r="C33" s="8">
        <f>IF(A33&lt;=switchtime,disc_delta_1,disc_delta_2)</f>
        <v>0.95122942450071402</v>
      </c>
      <c r="D33" s="8">
        <f t="shared" si="1"/>
        <v>0.51170857778654244</v>
      </c>
      <c r="E33" s="12">
        <f t="shared" si="2"/>
        <v>5117.0857778654245</v>
      </c>
    </row>
    <row r="34" spans="1:5" x14ac:dyDescent="0.35">
      <c r="A34" s="6">
        <f t="shared" si="4"/>
        <v>16</v>
      </c>
      <c r="B34" s="19">
        <f t="shared" si="0"/>
        <v>10000</v>
      </c>
      <c r="C34" s="8">
        <f>IF(A34&lt;=switchtime,disc_delta_1,disc_delta_2)</f>
        <v>0.95122942450071402</v>
      </c>
      <c r="D34" s="8">
        <f t="shared" si="1"/>
        <v>0.48675225595997162</v>
      </c>
      <c r="E34" s="12">
        <f t="shared" si="2"/>
        <v>4867.5225595997163</v>
      </c>
    </row>
    <row r="35" spans="1:5" x14ac:dyDescent="0.35">
      <c r="A35" s="6">
        <f t="shared" si="4"/>
        <v>17</v>
      </c>
      <c r="B35" s="19">
        <f t="shared" si="0"/>
        <v>10000</v>
      </c>
      <c r="C35" s="8">
        <f>IF(A35&lt;=switchtime,disc_delta_1,disc_delta_2)</f>
        <v>0.95122942450071402</v>
      </c>
      <c r="D35" s="8">
        <f t="shared" si="1"/>
        <v>0.46301306831122807</v>
      </c>
      <c r="E35" s="12">
        <f t="shared" si="2"/>
        <v>4630.1306831122811</v>
      </c>
    </row>
    <row r="36" spans="1:5" x14ac:dyDescent="0.35">
      <c r="A36" s="6">
        <f t="shared" si="4"/>
        <v>18</v>
      </c>
      <c r="B36" s="19">
        <f t="shared" si="0"/>
        <v>10000</v>
      </c>
      <c r="C36" s="8">
        <f>IF(A36&lt;=switchtime,disc_delta_1,disc_delta_2)</f>
        <v>0.95122942450071402</v>
      </c>
      <c r="D36" s="8">
        <f t="shared" si="1"/>
        <v>0.44043165450599925</v>
      </c>
      <c r="E36" s="12">
        <f t="shared" si="2"/>
        <v>4404.3165450599927</v>
      </c>
    </row>
    <row r="37" spans="1:5" x14ac:dyDescent="0.35">
      <c r="A37" s="6">
        <f t="shared" si="4"/>
        <v>19</v>
      </c>
      <c r="B37" s="19">
        <f t="shared" si="0"/>
        <v>10000</v>
      </c>
      <c r="C37" s="8">
        <f>IF(A37&lt;=switchtime,disc_delta_1,disc_delta_2)</f>
        <v>0.95122942450071402</v>
      </c>
      <c r="D37" s="8">
        <f t="shared" si="1"/>
        <v>0.418951549247639</v>
      </c>
      <c r="E37" s="12">
        <f t="shared" si="2"/>
        <v>4189.5154924763901</v>
      </c>
    </row>
    <row r="38" spans="1:5" x14ac:dyDescent="0.35">
      <c r="A38" s="6">
        <f t="shared" si="4"/>
        <v>20</v>
      </c>
      <c r="B38" s="19">
        <f t="shared" si="0"/>
        <v>10000</v>
      </c>
      <c r="C38" s="8">
        <f>IF(A38&lt;=switchtime,disc_delta_1,disc_delta_2)</f>
        <v>0.95122942450071402</v>
      </c>
      <c r="D38" s="8">
        <f t="shared" si="1"/>
        <v>0.39851904108451419</v>
      </c>
      <c r="E38" s="12">
        <f t="shared" si="2"/>
        <v>3985.1904108451417</v>
      </c>
    </row>
    <row r="39" spans="1:5" x14ac:dyDescent="0.35">
      <c r="E39" s="13"/>
    </row>
    <row r="40" spans="1:5" x14ac:dyDescent="0.35">
      <c r="A40" s="3"/>
      <c r="E40" s="14"/>
    </row>
  </sheetData>
  <mergeCells count="1">
    <mergeCell ref="G14:G16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537BA-32C5-4B7F-8872-ADDC63CFE50C}">
  <dimension ref="A1:Z32"/>
  <sheetViews>
    <sheetView zoomScale="110" zoomScaleNormal="110" workbookViewId="0">
      <selection activeCell="U15" sqref="U15"/>
    </sheetView>
  </sheetViews>
  <sheetFormatPr defaultRowHeight="15.5" x14ac:dyDescent="0.35"/>
  <cols>
    <col min="1" max="1" width="8.453125" style="59" customWidth="1"/>
    <col min="2" max="13" width="9.08984375" style="59" customWidth="1"/>
    <col min="14" max="14" width="8.7265625" style="59"/>
    <col min="15" max="15" width="25.1796875" style="59" customWidth="1"/>
    <col min="16" max="16" width="7.90625" style="59" customWidth="1"/>
    <col min="17" max="17" width="11.453125" style="59" customWidth="1"/>
    <col min="18" max="18" width="10.1796875" style="59" customWidth="1"/>
    <col min="19" max="19" width="10.54296875" style="59" customWidth="1"/>
    <col min="20" max="20" width="10.81640625" style="59" customWidth="1"/>
    <col min="21" max="24" width="8.7265625" style="59"/>
    <col min="25" max="25" width="12.6328125" style="59" customWidth="1"/>
    <col min="26" max="16384" width="8.7265625" style="59"/>
  </cols>
  <sheetData>
    <row r="1" spans="1:26" x14ac:dyDescent="0.35">
      <c r="A1" s="1" t="s">
        <v>97</v>
      </c>
    </row>
    <row r="2" spans="1:26" x14ac:dyDescent="0.35">
      <c r="A2" s="39" t="s">
        <v>47</v>
      </c>
    </row>
    <row r="3" spans="1:26" ht="31" x14ac:dyDescent="0.35">
      <c r="P3" s="57" t="s">
        <v>81</v>
      </c>
      <c r="Q3" s="57" t="s">
        <v>82</v>
      </c>
      <c r="R3" s="58" t="s">
        <v>83</v>
      </c>
      <c r="S3" s="57" t="s">
        <v>52</v>
      </c>
    </row>
    <row r="4" spans="1:26" x14ac:dyDescent="0.35">
      <c r="A4" s="60"/>
      <c r="B4" s="55" t="s">
        <v>69</v>
      </c>
      <c r="C4" s="55" t="s">
        <v>70</v>
      </c>
      <c r="D4" s="55" t="s">
        <v>71</v>
      </c>
      <c r="E4" s="55" t="s">
        <v>72</v>
      </c>
      <c r="F4" s="55" t="s">
        <v>73</v>
      </c>
      <c r="G4" s="55" t="s">
        <v>74</v>
      </c>
      <c r="H4" s="55" t="s">
        <v>75</v>
      </c>
      <c r="I4" s="55" t="s">
        <v>76</v>
      </c>
      <c r="J4" s="55" t="s">
        <v>77</v>
      </c>
      <c r="K4" s="55" t="s">
        <v>78</v>
      </c>
      <c r="L4" s="55" t="s">
        <v>79</v>
      </c>
      <c r="M4" s="55" t="s">
        <v>80</v>
      </c>
      <c r="O4" s="59" t="s">
        <v>85</v>
      </c>
      <c r="P4" s="65">
        <v>2000</v>
      </c>
      <c r="Q4" s="65" t="s">
        <v>84</v>
      </c>
      <c r="R4" s="61">
        <f>VLOOKUP(Q4,$Y$4:$Z$15,2)</f>
        <v>1</v>
      </c>
      <c r="S4" s="59">
        <f>VLOOKUP(P4,$A$4:$M$32,1+R4)</f>
        <v>166.6</v>
      </c>
      <c r="Y4" s="59" t="s">
        <v>84</v>
      </c>
      <c r="Z4" s="59">
        <v>1</v>
      </c>
    </row>
    <row r="5" spans="1:26" x14ac:dyDescent="0.35">
      <c r="A5" s="56">
        <v>1987</v>
      </c>
      <c r="B5" s="61">
        <v>100</v>
      </c>
      <c r="C5" s="62">
        <v>100.4</v>
      </c>
      <c r="D5" s="62">
        <v>100.6</v>
      </c>
      <c r="E5" s="62">
        <v>101.8</v>
      </c>
      <c r="F5" s="62">
        <v>101.9</v>
      </c>
      <c r="G5" s="62">
        <v>101.9</v>
      </c>
      <c r="H5" s="62">
        <v>101.8</v>
      </c>
      <c r="I5" s="62">
        <v>102.1</v>
      </c>
      <c r="J5" s="62">
        <v>102.4</v>
      </c>
      <c r="K5" s="62">
        <v>102.9</v>
      </c>
      <c r="L5" s="62">
        <v>103.4</v>
      </c>
      <c r="M5" s="62">
        <v>103.3</v>
      </c>
      <c r="O5" s="59" t="s">
        <v>85</v>
      </c>
      <c r="P5" s="65">
        <v>2005</v>
      </c>
      <c r="Q5" s="65" t="s">
        <v>84</v>
      </c>
      <c r="R5" s="61">
        <f>VLOOKUP(Q5,$Y$4:$Z$15,2)</f>
        <v>1</v>
      </c>
      <c r="S5" s="59">
        <f>VLOOKUP(P5,$A$4:$M$32,1+R5)</f>
        <v>188.9</v>
      </c>
      <c r="Y5" s="59" t="s">
        <v>86</v>
      </c>
      <c r="Z5" s="59">
        <v>2</v>
      </c>
    </row>
    <row r="6" spans="1:26" x14ac:dyDescent="0.35">
      <c r="A6" s="56">
        <v>1988</v>
      </c>
      <c r="B6" s="62">
        <v>103.3</v>
      </c>
      <c r="C6" s="62">
        <v>103.7</v>
      </c>
      <c r="D6" s="62">
        <v>104.1</v>
      </c>
      <c r="E6" s="62">
        <v>105.8</v>
      </c>
      <c r="F6" s="62">
        <v>106.2</v>
      </c>
      <c r="G6" s="62">
        <v>106.6</v>
      </c>
      <c r="H6" s="62">
        <v>106.7</v>
      </c>
      <c r="I6" s="62">
        <v>107.9</v>
      </c>
      <c r="J6" s="62">
        <v>108.4</v>
      </c>
      <c r="K6" s="62">
        <v>109.5</v>
      </c>
      <c r="L6" s="62">
        <v>110</v>
      </c>
      <c r="M6" s="62">
        <v>110.3</v>
      </c>
      <c r="Y6" s="59" t="s">
        <v>87</v>
      </c>
      <c r="Z6" s="59">
        <v>3</v>
      </c>
    </row>
    <row r="7" spans="1:26" x14ac:dyDescent="0.35">
      <c r="A7" s="56">
        <v>1989</v>
      </c>
      <c r="B7" s="62">
        <v>111</v>
      </c>
      <c r="C7" s="62">
        <v>111.8</v>
      </c>
      <c r="D7" s="62">
        <v>112.3</v>
      </c>
      <c r="E7" s="62">
        <v>114.3</v>
      </c>
      <c r="F7" s="62">
        <v>115</v>
      </c>
      <c r="G7" s="62">
        <v>115.4</v>
      </c>
      <c r="H7" s="62">
        <v>115.5</v>
      </c>
      <c r="I7" s="62">
        <v>115.8</v>
      </c>
      <c r="J7" s="62">
        <v>116.6</v>
      </c>
      <c r="K7" s="62">
        <v>117.5</v>
      </c>
      <c r="L7" s="62">
        <v>118.5</v>
      </c>
      <c r="M7" s="62">
        <v>118.8</v>
      </c>
      <c r="S7" s="64" t="s">
        <v>98</v>
      </c>
      <c r="T7" s="67">
        <f>S5/S4</f>
        <v>1.1338535414165667</v>
      </c>
      <c r="Y7" s="59" t="s">
        <v>88</v>
      </c>
      <c r="Z7" s="59">
        <v>4</v>
      </c>
    </row>
    <row r="8" spans="1:26" x14ac:dyDescent="0.35">
      <c r="A8" s="56">
        <v>1990</v>
      </c>
      <c r="B8" s="62">
        <v>119.5</v>
      </c>
      <c r="C8" s="62">
        <v>120.2</v>
      </c>
      <c r="D8" s="62">
        <v>121.4</v>
      </c>
      <c r="E8" s="62">
        <v>125.1</v>
      </c>
      <c r="F8" s="62">
        <v>126.2</v>
      </c>
      <c r="G8" s="62">
        <v>126.7</v>
      </c>
      <c r="H8" s="62">
        <v>126.8</v>
      </c>
      <c r="I8" s="62">
        <v>128.1</v>
      </c>
      <c r="J8" s="62">
        <v>129.30000000000001</v>
      </c>
      <c r="K8" s="62">
        <v>130.30000000000001</v>
      </c>
      <c r="L8" s="62">
        <v>130</v>
      </c>
      <c r="M8" s="62">
        <v>129.9</v>
      </c>
      <c r="S8" s="64" t="s">
        <v>99</v>
      </c>
      <c r="T8" s="63">
        <f>T7^(1/(P5-P4))-1</f>
        <v>2.5442686842093387E-2</v>
      </c>
      <c r="Y8" s="59" t="s">
        <v>89</v>
      </c>
      <c r="Z8" s="59">
        <v>5</v>
      </c>
    </row>
    <row r="9" spans="1:26" x14ac:dyDescent="0.35">
      <c r="A9" s="56">
        <v>1991</v>
      </c>
      <c r="B9" s="62">
        <v>130.19999999999999</v>
      </c>
      <c r="C9" s="62">
        <v>130.9</v>
      </c>
      <c r="D9" s="62">
        <v>131.4</v>
      </c>
      <c r="E9" s="62">
        <v>133.1</v>
      </c>
      <c r="F9" s="62">
        <v>133.5</v>
      </c>
      <c r="G9" s="62">
        <v>134.1</v>
      </c>
      <c r="H9" s="62">
        <v>133.80000000000001</v>
      </c>
      <c r="I9" s="62">
        <v>134.1</v>
      </c>
      <c r="J9" s="62">
        <v>134.6</v>
      </c>
      <c r="K9" s="62">
        <v>135.1</v>
      </c>
      <c r="L9" s="62">
        <v>135.6</v>
      </c>
      <c r="M9" s="62">
        <v>135.69999999999999</v>
      </c>
      <c r="Y9" s="59" t="s">
        <v>90</v>
      </c>
      <c r="Z9" s="59">
        <v>6</v>
      </c>
    </row>
    <row r="10" spans="1:26" x14ac:dyDescent="0.35">
      <c r="A10" s="56">
        <v>1992</v>
      </c>
      <c r="B10" s="62">
        <v>135.6</v>
      </c>
      <c r="C10" s="62">
        <v>136.30000000000001</v>
      </c>
      <c r="D10" s="62">
        <v>136.69999999999999</v>
      </c>
      <c r="E10" s="62">
        <v>138.80000000000001</v>
      </c>
      <c r="F10" s="62">
        <v>139.30000000000001</v>
      </c>
      <c r="G10" s="62">
        <v>139.30000000000001</v>
      </c>
      <c r="H10" s="62">
        <v>138.80000000000001</v>
      </c>
      <c r="I10" s="62">
        <v>138.9</v>
      </c>
      <c r="J10" s="62">
        <v>139.4</v>
      </c>
      <c r="K10" s="62">
        <v>139.9</v>
      </c>
      <c r="L10" s="62">
        <v>139.69999999999999</v>
      </c>
      <c r="M10" s="62">
        <v>139.19999999999999</v>
      </c>
      <c r="Y10" s="59" t="s">
        <v>91</v>
      </c>
      <c r="Z10" s="59">
        <v>7</v>
      </c>
    </row>
    <row r="11" spans="1:26" x14ac:dyDescent="0.35">
      <c r="A11" s="56">
        <v>1993</v>
      </c>
      <c r="B11" s="62">
        <v>137.9</v>
      </c>
      <c r="C11" s="62">
        <v>138.80000000000001</v>
      </c>
      <c r="D11" s="62">
        <v>139.30000000000001</v>
      </c>
      <c r="E11" s="62">
        <v>140.6</v>
      </c>
      <c r="F11" s="62">
        <v>141.1</v>
      </c>
      <c r="G11" s="62">
        <v>141</v>
      </c>
      <c r="H11" s="62">
        <v>140.69999999999999</v>
      </c>
      <c r="I11" s="62">
        <v>141.30000000000001</v>
      </c>
      <c r="J11" s="62">
        <v>141.9</v>
      </c>
      <c r="K11" s="62">
        <v>141.80000000000001</v>
      </c>
      <c r="L11" s="62">
        <v>141.6</v>
      </c>
      <c r="M11" s="62">
        <v>141.9</v>
      </c>
      <c r="Y11" s="59" t="s">
        <v>92</v>
      </c>
      <c r="Z11" s="59">
        <v>8</v>
      </c>
    </row>
    <row r="12" spans="1:26" x14ac:dyDescent="0.35">
      <c r="A12" s="56">
        <v>1994</v>
      </c>
      <c r="B12" s="62">
        <v>141.30000000000001</v>
      </c>
      <c r="C12" s="62">
        <v>142.1</v>
      </c>
      <c r="D12" s="62">
        <v>142.5</v>
      </c>
      <c r="E12" s="62">
        <v>144.19999999999999</v>
      </c>
      <c r="F12" s="62">
        <v>144.69999999999999</v>
      </c>
      <c r="G12" s="62">
        <v>144.69999999999999</v>
      </c>
      <c r="H12" s="62">
        <v>144</v>
      </c>
      <c r="I12" s="62">
        <v>144.69999999999999</v>
      </c>
      <c r="J12" s="62">
        <v>145</v>
      </c>
      <c r="K12" s="62">
        <v>145.19999999999999</v>
      </c>
      <c r="L12" s="62">
        <v>145.30000000000001</v>
      </c>
      <c r="M12" s="62">
        <v>146</v>
      </c>
      <c r="Y12" s="59" t="s">
        <v>93</v>
      </c>
      <c r="Z12" s="59">
        <v>9</v>
      </c>
    </row>
    <row r="13" spans="1:26" x14ac:dyDescent="0.35">
      <c r="A13" s="56">
        <v>1995</v>
      </c>
      <c r="B13" s="62">
        <v>146</v>
      </c>
      <c r="C13" s="62">
        <v>146.9</v>
      </c>
      <c r="D13" s="62">
        <v>147.5</v>
      </c>
      <c r="E13" s="62">
        <v>149</v>
      </c>
      <c r="F13" s="62">
        <v>149.6</v>
      </c>
      <c r="G13" s="62">
        <v>149.80000000000001</v>
      </c>
      <c r="H13" s="62">
        <v>149.1</v>
      </c>
      <c r="I13" s="62">
        <v>149.9</v>
      </c>
      <c r="J13" s="62">
        <v>150.6</v>
      </c>
      <c r="K13" s="62">
        <v>149.80000000000001</v>
      </c>
      <c r="L13" s="62">
        <v>149.80000000000001</v>
      </c>
      <c r="M13" s="62">
        <v>150.69999999999999</v>
      </c>
      <c r="Y13" s="59" t="s">
        <v>94</v>
      </c>
      <c r="Z13" s="59">
        <v>10</v>
      </c>
    </row>
    <row r="14" spans="1:26" x14ac:dyDescent="0.35">
      <c r="A14" s="56">
        <v>1996</v>
      </c>
      <c r="B14" s="62">
        <v>150.19999999999999</v>
      </c>
      <c r="C14" s="62">
        <v>150.9</v>
      </c>
      <c r="D14" s="62">
        <v>151.5</v>
      </c>
      <c r="E14" s="62">
        <v>152.6</v>
      </c>
      <c r="F14" s="62">
        <v>152.9</v>
      </c>
      <c r="G14" s="62">
        <v>153</v>
      </c>
      <c r="H14" s="62">
        <v>152.4</v>
      </c>
      <c r="I14" s="62">
        <v>153.1</v>
      </c>
      <c r="J14" s="62">
        <v>153.80000000000001</v>
      </c>
      <c r="K14" s="62">
        <v>153.80000000000001</v>
      </c>
      <c r="L14" s="62">
        <v>153.9</v>
      </c>
      <c r="M14" s="62">
        <v>154.4</v>
      </c>
      <c r="Y14" s="59" t="s">
        <v>95</v>
      </c>
      <c r="Z14" s="59">
        <v>11</v>
      </c>
    </row>
    <row r="15" spans="1:26" x14ac:dyDescent="0.35">
      <c r="A15" s="56">
        <v>1997</v>
      </c>
      <c r="B15" s="62">
        <v>154.4</v>
      </c>
      <c r="C15" s="62">
        <v>155</v>
      </c>
      <c r="D15" s="62">
        <v>155.4</v>
      </c>
      <c r="E15" s="62">
        <v>156.30000000000001</v>
      </c>
      <c r="F15" s="62">
        <v>156.9</v>
      </c>
      <c r="G15" s="62">
        <v>157.5</v>
      </c>
      <c r="H15" s="62">
        <v>157.5</v>
      </c>
      <c r="I15" s="62">
        <v>158.5</v>
      </c>
      <c r="J15" s="62">
        <v>159.30000000000001</v>
      </c>
      <c r="K15" s="62">
        <v>159.5</v>
      </c>
      <c r="L15" s="62">
        <v>159.6</v>
      </c>
      <c r="M15" s="62">
        <v>160</v>
      </c>
      <c r="Y15" s="59" t="s">
        <v>96</v>
      </c>
      <c r="Z15" s="59">
        <v>12</v>
      </c>
    </row>
    <row r="16" spans="1:26" x14ac:dyDescent="0.35">
      <c r="A16" s="56">
        <v>1998</v>
      </c>
      <c r="B16" s="62">
        <v>159.5</v>
      </c>
      <c r="C16" s="62">
        <v>160.30000000000001</v>
      </c>
      <c r="D16" s="62">
        <v>160.80000000000001</v>
      </c>
      <c r="E16" s="62">
        <v>162.6</v>
      </c>
      <c r="F16" s="62">
        <v>163.5</v>
      </c>
      <c r="G16" s="62">
        <v>163.4</v>
      </c>
      <c r="H16" s="62">
        <v>163</v>
      </c>
      <c r="I16" s="62">
        <v>163.69999999999999</v>
      </c>
      <c r="J16" s="62">
        <v>164.4</v>
      </c>
      <c r="K16" s="62">
        <v>164.5</v>
      </c>
      <c r="L16" s="62">
        <v>164.4</v>
      </c>
      <c r="M16" s="62">
        <v>164.4</v>
      </c>
    </row>
    <row r="17" spans="1:13" x14ac:dyDescent="0.35">
      <c r="A17" s="56">
        <v>1999</v>
      </c>
      <c r="B17" s="62">
        <v>163.4</v>
      </c>
      <c r="C17" s="62">
        <v>163.69999999999999</v>
      </c>
      <c r="D17" s="62">
        <v>164.1</v>
      </c>
      <c r="E17" s="62">
        <v>165.2</v>
      </c>
      <c r="F17" s="62">
        <v>165.6</v>
      </c>
      <c r="G17" s="62">
        <v>165.6</v>
      </c>
      <c r="H17" s="62">
        <v>165.1</v>
      </c>
      <c r="I17" s="62">
        <v>165.5</v>
      </c>
      <c r="J17" s="62">
        <v>166.2</v>
      </c>
      <c r="K17" s="62">
        <v>166.5</v>
      </c>
      <c r="L17" s="62">
        <v>166.7</v>
      </c>
      <c r="M17" s="62">
        <v>167.3</v>
      </c>
    </row>
    <row r="18" spans="1:13" x14ac:dyDescent="0.35">
      <c r="A18" s="56">
        <v>2000</v>
      </c>
      <c r="B18" s="62">
        <v>166.6</v>
      </c>
      <c r="C18" s="62">
        <v>167.5</v>
      </c>
      <c r="D18" s="62">
        <v>168.4</v>
      </c>
      <c r="E18" s="62">
        <v>170.1</v>
      </c>
      <c r="F18" s="62">
        <v>170.7</v>
      </c>
      <c r="G18" s="62">
        <v>171.1</v>
      </c>
      <c r="H18" s="62">
        <v>170.5</v>
      </c>
      <c r="I18" s="62">
        <v>170.5</v>
      </c>
      <c r="J18" s="62">
        <v>171.7</v>
      </c>
      <c r="K18" s="62">
        <v>171.6</v>
      </c>
      <c r="L18" s="62">
        <v>172.1</v>
      </c>
      <c r="M18" s="62">
        <v>172.2</v>
      </c>
    </row>
    <row r="19" spans="1:13" x14ac:dyDescent="0.35">
      <c r="A19" s="56">
        <v>2001</v>
      </c>
      <c r="B19" s="62">
        <v>171.1</v>
      </c>
      <c r="C19" s="62">
        <v>172</v>
      </c>
      <c r="D19" s="62">
        <v>172.2</v>
      </c>
      <c r="E19" s="62">
        <v>173.1</v>
      </c>
      <c r="F19" s="62">
        <v>174.2</v>
      </c>
      <c r="G19" s="62">
        <v>174.4</v>
      </c>
      <c r="H19" s="62">
        <v>173.3</v>
      </c>
      <c r="I19" s="62">
        <v>174</v>
      </c>
      <c r="J19" s="62">
        <v>174.6</v>
      </c>
      <c r="K19" s="62">
        <v>174.3</v>
      </c>
      <c r="L19" s="62">
        <v>173.6</v>
      </c>
      <c r="M19" s="62">
        <v>173.4</v>
      </c>
    </row>
    <row r="20" spans="1:13" x14ac:dyDescent="0.35">
      <c r="A20" s="56">
        <v>2002</v>
      </c>
      <c r="B20" s="62">
        <v>173.3</v>
      </c>
      <c r="C20" s="62">
        <v>173.8</v>
      </c>
      <c r="D20" s="62">
        <v>174.5</v>
      </c>
      <c r="E20" s="62">
        <v>175.7</v>
      </c>
      <c r="F20" s="62">
        <v>176.2</v>
      </c>
      <c r="G20" s="62">
        <v>176.2</v>
      </c>
      <c r="H20" s="62">
        <v>175.9</v>
      </c>
      <c r="I20" s="62">
        <v>176.4</v>
      </c>
      <c r="J20" s="62">
        <v>177.6</v>
      </c>
      <c r="K20" s="62">
        <v>177.9</v>
      </c>
      <c r="L20" s="62">
        <v>178.2</v>
      </c>
      <c r="M20" s="62">
        <v>178.5</v>
      </c>
    </row>
    <row r="21" spans="1:13" x14ac:dyDescent="0.35">
      <c r="A21" s="56">
        <v>2003</v>
      </c>
      <c r="B21" s="62">
        <v>178.4</v>
      </c>
      <c r="C21" s="62">
        <v>179.3</v>
      </c>
      <c r="D21" s="62">
        <v>179.9</v>
      </c>
      <c r="E21" s="62">
        <v>181.2</v>
      </c>
      <c r="F21" s="62">
        <v>181.5</v>
      </c>
      <c r="G21" s="62">
        <v>181.3</v>
      </c>
      <c r="H21" s="62">
        <v>181.3</v>
      </c>
      <c r="I21" s="62">
        <v>181.6</v>
      </c>
      <c r="J21" s="62">
        <v>182.5</v>
      </c>
      <c r="K21" s="62">
        <v>182.6</v>
      </c>
      <c r="L21" s="62">
        <v>182.7</v>
      </c>
      <c r="M21" s="62">
        <v>183.5</v>
      </c>
    </row>
    <row r="22" spans="1:13" x14ac:dyDescent="0.35">
      <c r="A22" s="56">
        <v>2004</v>
      </c>
      <c r="B22" s="62">
        <v>183.1</v>
      </c>
      <c r="C22" s="62">
        <v>183.8</v>
      </c>
      <c r="D22" s="62">
        <v>184.6</v>
      </c>
      <c r="E22" s="62">
        <v>185.7</v>
      </c>
      <c r="F22" s="62">
        <v>186.5</v>
      </c>
      <c r="G22" s="62">
        <v>186.8</v>
      </c>
      <c r="H22" s="62">
        <v>186.8</v>
      </c>
      <c r="I22" s="62">
        <v>187.4</v>
      </c>
      <c r="J22" s="62">
        <v>188.1</v>
      </c>
      <c r="K22" s="62">
        <v>188.6</v>
      </c>
      <c r="L22" s="62">
        <v>189</v>
      </c>
      <c r="M22" s="62">
        <v>189.9</v>
      </c>
    </row>
    <row r="23" spans="1:13" x14ac:dyDescent="0.35">
      <c r="A23" s="56">
        <v>2005</v>
      </c>
      <c r="B23" s="62">
        <v>188.9</v>
      </c>
      <c r="C23" s="62">
        <v>189.6</v>
      </c>
      <c r="D23" s="62">
        <v>190.5</v>
      </c>
      <c r="E23" s="62">
        <v>191.6</v>
      </c>
      <c r="F23" s="62">
        <v>192</v>
      </c>
      <c r="G23" s="62">
        <v>192.2</v>
      </c>
      <c r="H23" s="62">
        <v>192.2</v>
      </c>
      <c r="I23" s="62">
        <v>192.6</v>
      </c>
      <c r="J23" s="62">
        <v>193.1</v>
      </c>
      <c r="K23" s="62">
        <v>193.3</v>
      </c>
      <c r="L23" s="62">
        <v>193.6</v>
      </c>
      <c r="M23" s="62">
        <v>194.1</v>
      </c>
    </row>
    <row r="24" spans="1:13" x14ac:dyDescent="0.35">
      <c r="A24" s="56">
        <v>2006</v>
      </c>
      <c r="B24" s="62">
        <v>193.4</v>
      </c>
      <c r="C24" s="62">
        <v>194.2</v>
      </c>
      <c r="D24" s="62">
        <v>195</v>
      </c>
      <c r="E24" s="62">
        <v>196.5</v>
      </c>
      <c r="F24" s="62">
        <v>197.7</v>
      </c>
      <c r="G24" s="62">
        <v>198.5</v>
      </c>
      <c r="H24" s="62">
        <v>198.5</v>
      </c>
      <c r="I24" s="62">
        <v>199.2</v>
      </c>
      <c r="J24" s="62">
        <v>200.1</v>
      </c>
      <c r="K24" s="62">
        <v>200.4</v>
      </c>
      <c r="L24" s="62">
        <v>201.1</v>
      </c>
      <c r="M24" s="62">
        <v>202.7</v>
      </c>
    </row>
    <row r="25" spans="1:13" x14ac:dyDescent="0.35">
      <c r="A25" s="56">
        <v>2007</v>
      </c>
      <c r="B25" s="62">
        <v>201.6</v>
      </c>
      <c r="C25" s="62">
        <v>203.1</v>
      </c>
      <c r="D25" s="62">
        <v>204.4</v>
      </c>
      <c r="E25" s="62">
        <v>205.4</v>
      </c>
      <c r="F25" s="62">
        <v>206.2</v>
      </c>
      <c r="G25" s="62">
        <v>207.3</v>
      </c>
      <c r="H25" s="62">
        <v>206.1</v>
      </c>
      <c r="I25" s="62">
        <v>207.3</v>
      </c>
      <c r="J25" s="62">
        <v>208</v>
      </c>
      <c r="K25" s="62">
        <v>208.9</v>
      </c>
      <c r="L25" s="62">
        <v>209.7</v>
      </c>
      <c r="M25" s="62">
        <v>210.9</v>
      </c>
    </row>
    <row r="26" spans="1:13" x14ac:dyDescent="0.35">
      <c r="A26" s="56">
        <v>2008</v>
      </c>
      <c r="B26" s="62">
        <v>209.8</v>
      </c>
      <c r="C26" s="62">
        <v>211.4</v>
      </c>
      <c r="D26" s="62">
        <v>212.1</v>
      </c>
      <c r="E26" s="62">
        <v>214</v>
      </c>
      <c r="F26" s="62">
        <v>215.1</v>
      </c>
      <c r="G26" s="62">
        <v>216.8</v>
      </c>
      <c r="H26" s="62">
        <v>216.5</v>
      </c>
      <c r="I26" s="62">
        <v>217.2</v>
      </c>
      <c r="J26" s="62">
        <v>218.4</v>
      </c>
      <c r="K26" s="62">
        <v>217.7</v>
      </c>
      <c r="L26" s="62">
        <v>216</v>
      </c>
      <c r="M26" s="62">
        <v>212.9</v>
      </c>
    </row>
    <row r="27" spans="1:13" x14ac:dyDescent="0.35">
      <c r="A27" s="56">
        <v>2009</v>
      </c>
      <c r="B27" s="62">
        <v>210.1</v>
      </c>
      <c r="C27" s="62">
        <v>211.4</v>
      </c>
      <c r="D27" s="62">
        <v>211.3</v>
      </c>
      <c r="E27" s="62">
        <v>211.5</v>
      </c>
      <c r="F27" s="62">
        <v>212.8</v>
      </c>
      <c r="G27" s="62">
        <v>213.4</v>
      </c>
      <c r="H27" s="62">
        <v>213.4</v>
      </c>
      <c r="I27" s="62">
        <v>214.4</v>
      </c>
      <c r="J27" s="62">
        <v>215.3</v>
      </c>
      <c r="K27" s="62">
        <v>216</v>
      </c>
      <c r="L27" s="62">
        <v>216.6</v>
      </c>
      <c r="M27" s="62">
        <v>218</v>
      </c>
    </row>
    <row r="28" spans="1:13" x14ac:dyDescent="0.35">
      <c r="A28" s="56">
        <v>2010</v>
      </c>
      <c r="B28" s="62">
        <v>217.9</v>
      </c>
      <c r="C28" s="62">
        <v>219.2</v>
      </c>
      <c r="D28" s="62">
        <v>220.7</v>
      </c>
      <c r="E28" s="62">
        <v>222.8</v>
      </c>
      <c r="F28" s="62">
        <v>223.6</v>
      </c>
      <c r="G28" s="62">
        <v>224.1</v>
      </c>
      <c r="H28" s="62">
        <v>223.6</v>
      </c>
      <c r="I28" s="62">
        <v>224.5</v>
      </c>
      <c r="J28" s="62">
        <v>225.3</v>
      </c>
      <c r="K28" s="62">
        <v>225.8</v>
      </c>
      <c r="L28" s="62">
        <v>226.8</v>
      </c>
      <c r="M28" s="62">
        <v>228.4</v>
      </c>
    </row>
    <row r="29" spans="1:13" x14ac:dyDescent="0.35">
      <c r="A29" s="56">
        <v>2011</v>
      </c>
      <c r="B29" s="62">
        <v>229</v>
      </c>
      <c r="C29" s="62">
        <v>231.3</v>
      </c>
      <c r="D29" s="62">
        <v>232.5</v>
      </c>
      <c r="E29" s="62">
        <v>234.4</v>
      </c>
      <c r="F29" s="62">
        <v>235.2</v>
      </c>
      <c r="G29" s="62">
        <v>235.2</v>
      </c>
      <c r="H29" s="62">
        <v>234.7</v>
      </c>
      <c r="I29" s="62">
        <v>236.1</v>
      </c>
      <c r="J29" s="62">
        <v>237.9</v>
      </c>
      <c r="K29" s="62">
        <v>238</v>
      </c>
      <c r="L29" s="62">
        <v>238.5</v>
      </c>
      <c r="M29" s="62">
        <v>239.4</v>
      </c>
    </row>
    <row r="30" spans="1:13" x14ac:dyDescent="0.35">
      <c r="A30" s="56">
        <v>2012</v>
      </c>
      <c r="B30" s="62">
        <v>238</v>
      </c>
      <c r="C30" s="62">
        <v>239.9</v>
      </c>
      <c r="D30" s="62">
        <v>240.8</v>
      </c>
      <c r="E30" s="62">
        <v>242.5</v>
      </c>
      <c r="F30" s="62">
        <v>242.4</v>
      </c>
      <c r="G30" s="62">
        <v>241.8</v>
      </c>
      <c r="H30" s="62">
        <v>242.1</v>
      </c>
      <c r="I30" s="62">
        <v>243</v>
      </c>
      <c r="J30" s="62">
        <v>244.2</v>
      </c>
      <c r="K30" s="62">
        <v>245.6</v>
      </c>
      <c r="L30" s="62">
        <v>245.6</v>
      </c>
      <c r="M30" s="62">
        <v>246.8</v>
      </c>
    </row>
    <row r="31" spans="1:13" x14ac:dyDescent="0.35">
      <c r="A31" s="56">
        <v>2013</v>
      </c>
      <c r="B31" s="62">
        <v>245.8</v>
      </c>
      <c r="C31" s="62">
        <v>247.6</v>
      </c>
      <c r="D31" s="62">
        <v>248.7</v>
      </c>
      <c r="E31" s="62">
        <v>249.5</v>
      </c>
      <c r="F31" s="62">
        <v>250</v>
      </c>
      <c r="G31" s="62">
        <v>249.7</v>
      </c>
      <c r="H31" s="62">
        <v>249.7</v>
      </c>
      <c r="I31" s="62">
        <v>251</v>
      </c>
      <c r="J31" s="62">
        <v>251.9</v>
      </c>
      <c r="K31" s="62">
        <v>251.9</v>
      </c>
      <c r="L31" s="62">
        <v>252.1</v>
      </c>
      <c r="M31" s="62">
        <v>253.4</v>
      </c>
    </row>
    <row r="32" spans="1:13" x14ac:dyDescent="0.35">
      <c r="A32" s="56">
        <v>2014</v>
      </c>
      <c r="B32" s="62">
        <v>252.6</v>
      </c>
      <c r="C32" s="62">
        <v>254.2</v>
      </c>
      <c r="D32" s="62">
        <v>254.8</v>
      </c>
      <c r="E32" s="62">
        <v>255.7</v>
      </c>
      <c r="F32" s="62">
        <v>255.9</v>
      </c>
      <c r="G32" s="62">
        <v>256.3</v>
      </c>
      <c r="H32" s="62">
        <v>256</v>
      </c>
      <c r="I32" s="62">
        <v>257</v>
      </c>
      <c r="J32" s="62">
        <v>257.60000000000002</v>
      </c>
      <c r="K32" s="62">
        <v>257.7</v>
      </c>
      <c r="L32" s="62">
        <v>257.10000000000002</v>
      </c>
      <c r="M32" s="62">
        <v>257.5</v>
      </c>
    </row>
  </sheetData>
  <pageMargins left="0.7" right="0.7" top="0.75" bottom="0.75" header="0.3" footer="0.3"/>
  <pageSetup orientation="landscape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ED616-5D90-4EC2-93EC-AF4703405289}">
  <dimension ref="A1:P7"/>
  <sheetViews>
    <sheetView zoomScale="110" zoomScaleNormal="110" workbookViewId="0">
      <selection activeCell="L12" sqref="L12"/>
    </sheetView>
  </sheetViews>
  <sheetFormatPr defaultRowHeight="15.5" x14ac:dyDescent="0.35"/>
  <cols>
    <col min="1" max="1" width="8.7265625" style="39"/>
    <col min="2" max="2" width="10.26953125" style="39" customWidth="1"/>
    <col min="3" max="3" width="18.7265625" style="39" customWidth="1"/>
    <col min="4" max="4" width="8.7265625" style="39"/>
    <col min="5" max="5" width="6.08984375" style="39" bestFit="1" customWidth="1"/>
    <col min="6" max="6" width="10.7265625" style="39" customWidth="1"/>
    <col min="7" max="7" width="11.26953125" style="39" bestFit="1" customWidth="1"/>
    <col min="8" max="8" width="7.7265625" style="39" customWidth="1"/>
    <col min="9" max="9" width="16.1796875" style="39" customWidth="1"/>
    <col min="10" max="10" width="12.26953125" style="39" customWidth="1"/>
    <col min="11" max="11" width="8.7265625" style="39"/>
    <col min="12" max="12" width="12" style="39" bestFit="1" customWidth="1"/>
    <col min="13" max="13" width="3.81640625" style="39" customWidth="1"/>
    <col min="14" max="14" width="11.54296875" style="39" customWidth="1"/>
    <col min="15" max="15" width="3.08984375" style="39" customWidth="1"/>
    <col min="16" max="16" width="12.453125" style="39" customWidth="1"/>
    <col min="17" max="16384" width="8.7265625" style="39"/>
  </cols>
  <sheetData>
    <row r="1" spans="1:16" x14ac:dyDescent="0.35">
      <c r="A1" s="51" t="s">
        <v>67</v>
      </c>
    </row>
    <row r="2" spans="1:16" x14ac:dyDescent="0.35">
      <c r="A2" s="39" t="s">
        <v>47</v>
      </c>
    </row>
    <row r="3" spans="1:16" x14ac:dyDescent="0.35">
      <c r="F3" s="40" t="s">
        <v>48</v>
      </c>
      <c r="G3" s="41">
        <f>SUM(G6:G7)</f>
        <v>0</v>
      </c>
      <c r="I3" s="42" t="s">
        <v>48</v>
      </c>
      <c r="J3" s="43">
        <f>SUM(J6:J7)</f>
        <v>-9.6790449219952279E-6</v>
      </c>
    </row>
    <row r="4" spans="1:16" ht="16" thickBot="1" x14ac:dyDescent="0.4">
      <c r="A4" s="44" t="s">
        <v>10</v>
      </c>
      <c r="B4" s="45" t="s">
        <v>11</v>
      </c>
      <c r="C4" s="44" t="s">
        <v>12</v>
      </c>
      <c r="E4" s="45" t="s">
        <v>49</v>
      </c>
      <c r="F4" s="45" t="s">
        <v>50</v>
      </c>
      <c r="G4" s="45" t="s">
        <v>51</v>
      </c>
      <c r="H4" s="45" t="s">
        <v>52</v>
      </c>
      <c r="I4" s="45" t="s">
        <v>53</v>
      </c>
      <c r="J4" s="45" t="s">
        <v>51</v>
      </c>
      <c r="L4" s="52" t="s">
        <v>53</v>
      </c>
      <c r="M4" s="53" t="s">
        <v>54</v>
      </c>
      <c r="N4" s="53" t="s">
        <v>50</v>
      </c>
      <c r="O4" s="53" t="s">
        <v>55</v>
      </c>
      <c r="P4" s="68" t="s">
        <v>56</v>
      </c>
    </row>
    <row r="5" spans="1:16" ht="16" thickBot="1" x14ac:dyDescent="0.4">
      <c r="A5" s="39" t="s">
        <v>57</v>
      </c>
      <c r="B5" s="46">
        <v>0.1</v>
      </c>
      <c r="C5" s="39" t="s">
        <v>58</v>
      </c>
      <c r="E5" s="47"/>
      <c r="F5" s="47"/>
      <c r="G5" s="47" t="s">
        <v>59</v>
      </c>
      <c r="H5" s="47"/>
      <c r="I5" s="47" t="s">
        <v>60</v>
      </c>
      <c r="J5" s="47" t="s">
        <v>61</v>
      </c>
      <c r="L5" s="52"/>
      <c r="M5" s="54"/>
      <c r="N5" s="53"/>
      <c r="O5" s="53"/>
      <c r="P5" s="69" t="s">
        <v>62</v>
      </c>
    </row>
    <row r="6" spans="1:16" x14ac:dyDescent="0.35">
      <c r="A6" s="39" t="s">
        <v>63</v>
      </c>
      <c r="B6" s="46">
        <v>6.79612684169945E-2</v>
      </c>
      <c r="C6" s="39" t="s">
        <v>64</v>
      </c>
      <c r="E6" s="48">
        <v>0</v>
      </c>
      <c r="F6" s="39">
        <v>-100</v>
      </c>
      <c r="G6" s="49">
        <f>F6*(1+i_money)^-E6</f>
        <v>-100</v>
      </c>
      <c r="H6" s="39">
        <v>100</v>
      </c>
      <c r="I6" s="49">
        <f>F6*($H$6/H6)</f>
        <v>-100</v>
      </c>
      <c r="J6" s="49">
        <f>I6*(1+i_real)^-E6</f>
        <v>-100</v>
      </c>
    </row>
    <row r="7" spans="1:16" x14ac:dyDescent="0.35">
      <c r="A7" s="39" t="s">
        <v>65</v>
      </c>
      <c r="B7" s="50">
        <v>0.03</v>
      </c>
      <c r="C7" s="39" t="s">
        <v>66</v>
      </c>
      <c r="E7" s="48">
        <v>1</v>
      </c>
      <c r="F7" s="39">
        <v>110</v>
      </c>
      <c r="G7" s="49">
        <f>F7*(1+i_money)^-E7</f>
        <v>100</v>
      </c>
      <c r="H7" s="39">
        <f>H6*(1+RPI_Inc)</f>
        <v>103</v>
      </c>
      <c r="I7" s="49">
        <f>F7*($H$6/H7)</f>
        <v>106.79611650485437</v>
      </c>
      <c r="J7" s="49">
        <f>I7*(1+i_real)^-E7</f>
        <v>99.999990320955078</v>
      </c>
    </row>
  </sheetData>
  <mergeCells count="4">
    <mergeCell ref="L4:L5"/>
    <mergeCell ref="M4:M5"/>
    <mergeCell ref="N4:N5"/>
    <mergeCell ref="O4:O5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9C725-53B7-42AB-B783-BEDE8316F9B3}">
  <dimension ref="A1:P8"/>
  <sheetViews>
    <sheetView zoomScale="110" zoomScaleNormal="110" workbookViewId="0"/>
  </sheetViews>
  <sheetFormatPr defaultRowHeight="15.5" x14ac:dyDescent="0.35"/>
  <cols>
    <col min="1" max="1" width="8.7265625" style="39"/>
    <col min="2" max="2" width="10.81640625" style="39" customWidth="1"/>
    <col min="3" max="3" width="18.7265625" style="39" customWidth="1"/>
    <col min="4" max="4" width="8.7265625" style="39"/>
    <col min="5" max="5" width="8.7265625" style="39" customWidth="1"/>
    <col min="6" max="6" width="10.7265625" style="39" bestFit="1" customWidth="1"/>
    <col min="7" max="7" width="14.1796875" style="39" customWidth="1"/>
    <col min="8" max="8" width="8.7265625" style="39"/>
    <col min="9" max="9" width="16.1796875" style="39" bestFit="1" customWidth="1"/>
    <col min="10" max="10" width="13.81640625" style="39" customWidth="1"/>
    <col min="11" max="11" width="8.7265625" style="39"/>
    <col min="12" max="12" width="12" style="39" bestFit="1" customWidth="1"/>
    <col min="13" max="13" width="8.7265625" style="39"/>
    <col min="14" max="14" width="10.08984375" style="39" bestFit="1" customWidth="1"/>
    <col min="15" max="15" width="4.1796875" style="39" customWidth="1"/>
    <col min="16" max="16" width="12.7265625" style="39" customWidth="1"/>
    <col min="17" max="16384" width="8.7265625" style="39"/>
  </cols>
  <sheetData>
    <row r="1" spans="1:16" x14ac:dyDescent="0.35">
      <c r="A1" s="51" t="s">
        <v>68</v>
      </c>
    </row>
    <row r="3" spans="1:16" x14ac:dyDescent="0.35">
      <c r="F3" s="40" t="s">
        <v>48</v>
      </c>
      <c r="G3" s="41">
        <f>SUM(G6:G8)</f>
        <v>1.0122797377221104E-5</v>
      </c>
      <c r="I3" s="42" t="s">
        <v>48</v>
      </c>
      <c r="J3" s="43">
        <f>SUM(J6:J8)</f>
        <v>-3.0695402131186711E-6</v>
      </c>
    </row>
    <row r="4" spans="1:16" ht="16" thickBot="1" x14ac:dyDescent="0.4">
      <c r="A4" s="44" t="s">
        <v>10</v>
      </c>
      <c r="B4" s="45" t="s">
        <v>11</v>
      </c>
      <c r="C4" s="44" t="s">
        <v>12</v>
      </c>
      <c r="E4" s="45" t="s">
        <v>49</v>
      </c>
      <c r="F4" s="45" t="s">
        <v>50</v>
      </c>
      <c r="G4" s="45" t="s">
        <v>51</v>
      </c>
      <c r="H4" s="45" t="s">
        <v>52</v>
      </c>
      <c r="I4" s="45" t="s">
        <v>53</v>
      </c>
      <c r="J4" s="45" t="s">
        <v>51</v>
      </c>
      <c r="L4" s="52" t="s">
        <v>53</v>
      </c>
      <c r="M4" s="53" t="s">
        <v>54</v>
      </c>
      <c r="N4" s="53" t="s">
        <v>50</v>
      </c>
      <c r="O4" s="53" t="s">
        <v>55</v>
      </c>
      <c r="P4" s="68" t="s">
        <v>56</v>
      </c>
    </row>
    <row r="5" spans="1:16" ht="16" thickBot="1" x14ac:dyDescent="0.4">
      <c r="A5" s="39" t="s">
        <v>57</v>
      </c>
      <c r="B5" s="46">
        <v>6.394095941470701E-2</v>
      </c>
      <c r="C5" s="39" t="s">
        <v>58</v>
      </c>
      <c r="E5" s="47"/>
      <c r="F5" s="47"/>
      <c r="G5" s="47" t="s">
        <v>59</v>
      </c>
      <c r="H5" s="47"/>
      <c r="I5" s="47" t="s">
        <v>60</v>
      </c>
      <c r="J5" s="47" t="s">
        <v>61</v>
      </c>
      <c r="L5" s="52"/>
      <c r="M5" s="54"/>
      <c r="N5" s="53"/>
      <c r="O5" s="53"/>
      <c r="P5" s="69" t="s">
        <v>62</v>
      </c>
    </row>
    <row r="6" spans="1:16" x14ac:dyDescent="0.35">
      <c r="A6" s="39" t="s">
        <v>63</v>
      </c>
      <c r="B6" s="46">
        <v>1.0773530406278882E-2</v>
      </c>
      <c r="C6" s="39" t="s">
        <v>64</v>
      </c>
      <c r="E6" s="48">
        <v>0</v>
      </c>
      <c r="F6" s="39">
        <v>-100</v>
      </c>
      <c r="G6" s="49">
        <f>F6*(1+i_money)^-E6</f>
        <v>-100</v>
      </c>
      <c r="H6" s="39">
        <v>100</v>
      </c>
      <c r="I6" s="49">
        <f>F6*($H$6/H6)</f>
        <v>-100</v>
      </c>
      <c r="J6" s="49">
        <f>I6*(1+i_real)^-E6</f>
        <v>-100</v>
      </c>
    </row>
    <row r="7" spans="1:16" x14ac:dyDescent="0.35">
      <c r="B7" s="50"/>
      <c r="E7" s="48">
        <v>1</v>
      </c>
      <c r="F7" s="39">
        <v>50</v>
      </c>
      <c r="G7" s="49">
        <f>F7*(1+i_money)^-E7</f>
        <v>46.995088926274533</v>
      </c>
      <c r="H7" s="39">
        <v>104</v>
      </c>
      <c r="I7" s="49">
        <f t="shared" ref="I7:I8" si="0">F7*($H$6/H7)</f>
        <v>48.07692307692308</v>
      </c>
      <c r="J7" s="49">
        <f>I7*(1+i_real)^-E7</f>
        <v>47.564485644572265</v>
      </c>
    </row>
    <row r="8" spans="1:16" x14ac:dyDescent="0.35">
      <c r="E8" s="48">
        <v>2</v>
      </c>
      <c r="F8" s="39">
        <v>60</v>
      </c>
      <c r="G8" s="49">
        <f>F8*(1+i_money)^-E8</f>
        <v>53.004921196522844</v>
      </c>
      <c r="H8" s="39">
        <v>112</v>
      </c>
      <c r="I8" s="49">
        <f t="shared" si="0"/>
        <v>53.571428571428577</v>
      </c>
      <c r="J8" s="49">
        <f>I8*(1+i_real)^-E8</f>
        <v>52.435511285887522</v>
      </c>
    </row>
  </sheetData>
  <mergeCells count="4">
    <mergeCell ref="L4:L5"/>
    <mergeCell ref="M4:M5"/>
    <mergeCell ref="N4:N5"/>
    <mergeCell ref="O4:O5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17</vt:i4>
      </vt:variant>
    </vt:vector>
  </HeadingPairs>
  <TitlesOfParts>
    <vt:vector size="23" baseType="lpstr">
      <vt:lpstr>Q1</vt:lpstr>
      <vt:lpstr>Q2</vt:lpstr>
      <vt:lpstr>Q3</vt:lpstr>
      <vt:lpstr>Q4</vt:lpstr>
      <vt:lpstr>Q5</vt:lpstr>
      <vt:lpstr>Q6</vt:lpstr>
      <vt:lpstr>'Q1'!cashflow</vt:lpstr>
      <vt:lpstr>'Q1'!delta</vt:lpstr>
      <vt:lpstr>'Q3'!delta_1</vt:lpstr>
      <vt:lpstr>'Q3'!delta_2</vt:lpstr>
      <vt:lpstr>'Q2'!delta_monthly</vt:lpstr>
      <vt:lpstr>'Q3'!deposit</vt:lpstr>
      <vt:lpstr>'Q3'!disc_delta_1</vt:lpstr>
      <vt:lpstr>'Q3'!disc_delta_2</vt:lpstr>
      <vt:lpstr>'Q5'!i_money</vt:lpstr>
      <vt:lpstr>'Q6'!i_money</vt:lpstr>
      <vt:lpstr>'Q5'!i_real</vt:lpstr>
      <vt:lpstr>'Q6'!i_real</vt:lpstr>
      <vt:lpstr>'Q2'!ini_pmt</vt:lpstr>
      <vt:lpstr>'Q2'!pmt_inc_monthly</vt:lpstr>
      <vt:lpstr>'Q5'!RPI_Inc</vt:lpstr>
      <vt:lpstr>'Q6'!RPI_Inc</vt:lpstr>
      <vt:lpstr>'Q3'!switchtime</vt:lpstr>
    </vt:vector>
  </TitlesOfParts>
  <Company>Heriot-Watt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Karamjeet Singh</dc:creator>
  <cp:lastModifiedBy>K.Ranthir Singh, Karamjeet Singh</cp:lastModifiedBy>
  <cp:lastPrinted>2019-03-13T00:45:43Z</cp:lastPrinted>
  <dcterms:created xsi:type="dcterms:W3CDTF">2012-01-09T11:05:29Z</dcterms:created>
  <dcterms:modified xsi:type="dcterms:W3CDTF">2026-02-16T03:25:26Z</dcterms:modified>
</cp:coreProperties>
</file>