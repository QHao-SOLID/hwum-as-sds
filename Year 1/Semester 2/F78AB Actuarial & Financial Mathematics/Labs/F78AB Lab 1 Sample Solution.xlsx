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k43\Documents\Y1S2 F78AB Actuarial and Financial Mathematics 2025-26\Excel Labs\F78AB Excel Lab 1\"/>
    </mc:Choice>
  </mc:AlternateContent>
  <xr:revisionPtr revIDLastSave="0" documentId="13_ncr:1_{9DB622CD-A66F-4840-8894-EFAF6D85D075}" xr6:coauthVersionLast="47" xr6:coauthVersionMax="47" xr10:uidLastSave="{00000000-0000-0000-0000-000000000000}"/>
  <bookViews>
    <workbookView xWindow="28680" yWindow="-120" windowWidth="38640" windowHeight="15720" tabRatio="701" activeTab="3" xr2:uid="{00000000-000D-0000-FFFF-FFFF00000000}"/>
  </bookViews>
  <sheets>
    <sheet name="Example 3.2.1 (i)" sheetId="3" r:id="rId1"/>
    <sheet name="Example 3.2.1 (ii)" sheetId="6" r:id="rId2"/>
    <sheet name="Example 3.2.1 (iii)" sheetId="7" r:id="rId3"/>
    <sheet name="Example 3.6.1" sheetId="11" r:id="rId4"/>
    <sheet name="Example 3.7.2" sheetId="12" r:id="rId5"/>
    <sheet name="Example 3.7.4" sheetId="13" r:id="rId6"/>
    <sheet name="Tut_2 Q_13(a)" sheetId="14" r:id="rId7"/>
    <sheet name="Tut_2 Q_13(b)" sheetId="15" r:id="rId8"/>
  </sheets>
  <definedNames>
    <definedName name="i" localSheetId="1">'Example 3.2.1 (ii)'!$B$6</definedName>
    <definedName name="i" localSheetId="2">'Example 3.2.1 (iii)'!$B$6</definedName>
    <definedName name="i" localSheetId="3">'Example 3.6.1'!$B$6</definedName>
    <definedName name="i" localSheetId="4">'Example 3.7.2'!$B$7</definedName>
    <definedName name="i" localSheetId="5">'Example 3.7.4'!$B$7</definedName>
    <definedName name="i" localSheetId="6">'Tut_2 Q_13(a)'!$B$7</definedName>
    <definedName name="i" localSheetId="7">'Tut_2 Q_13(b)'!$B$8</definedName>
    <definedName name="i">'Example 3.2.1 (i)'!$B$6</definedName>
    <definedName name="Inc_P" localSheetId="4">'Example 3.7.2'!$G$6</definedName>
    <definedName name="j" localSheetId="2">'Example 3.2.1 (iii)'!$B$7</definedName>
    <definedName name="Lvl_P" localSheetId="4">'Example 3.7.2'!$G$5</definedName>
    <definedName name="m" localSheetId="6">'Tut_2 Q_13(a)'!$B$9</definedName>
    <definedName name="m" localSheetId="7">'Tut_2 Q_13(b)'!$B$10</definedName>
    <definedName name="n" localSheetId="1">'Example 3.2.1 (ii)'!$B$7</definedName>
    <definedName name="n" localSheetId="2">'Example 3.2.1 (iii)'!$B$8</definedName>
    <definedName name="n" localSheetId="3">'Example 3.6.1'!$B$7</definedName>
    <definedName name="n" localSheetId="4">'Example 3.7.2'!$B$8</definedName>
    <definedName name="n" localSheetId="6">'Tut_2 Q_13(a)'!$B$8</definedName>
    <definedName name="n" localSheetId="7">'Tut_2 Q_13(b)'!$B$9</definedName>
    <definedName name="n">'Example 3.2.1 (i)'!$B$7</definedName>
    <definedName name="X" localSheetId="1">'Example 3.2.1 (ii)'!$B$5</definedName>
    <definedName name="X" localSheetId="2">'Example 3.2.1 (iii)'!$B$5</definedName>
    <definedName name="X" localSheetId="3">'Example 3.6.1'!$B$5</definedName>
    <definedName name="X" localSheetId="4">'Example 3.7.2'!$B$5</definedName>
    <definedName name="X" localSheetId="5">'Example 3.7.4'!$B$5</definedName>
    <definedName name="X" localSheetId="6">'Tut_2 Q_13(a)'!$B$5</definedName>
    <definedName name="X" localSheetId="7">'Tut_2 Q_13(b)'!$B$5</definedName>
    <definedName name="X">'Example 3.2.1 (i)'!$B$5</definedName>
    <definedName name="Y" localSheetId="4">'Example 3.7.2'!$B$6</definedName>
    <definedName name="Y" localSheetId="5">'Example 3.7.4'!$B$6</definedName>
    <definedName name="Y" localSheetId="6">'Tut_2 Q_13(a)'!$B$6</definedName>
    <definedName name="Y" localSheetId="7">'Tut_2 Q_13(b)'!$B$6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3" i="15" l="1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8" i="15"/>
  <c r="C74" i="15" s="1"/>
  <c r="A14" i="14"/>
  <c r="B14" i="14" s="1"/>
  <c r="C14" i="14" s="1"/>
  <c r="B13" i="14"/>
  <c r="C13" i="14" s="1"/>
  <c r="C27" i="15" l="1"/>
  <c r="C15" i="15"/>
  <c r="C50" i="15"/>
  <c r="C51" i="15"/>
  <c r="C28" i="15"/>
  <c r="C40" i="15"/>
  <c r="C52" i="15"/>
  <c r="C64" i="15"/>
  <c r="C33" i="15"/>
  <c r="C39" i="15"/>
  <c r="C29" i="15"/>
  <c r="C41" i="15"/>
  <c r="C53" i="15"/>
  <c r="C65" i="15"/>
  <c r="C38" i="15"/>
  <c r="C63" i="15"/>
  <c r="C18" i="15"/>
  <c r="C30" i="15"/>
  <c r="C42" i="15"/>
  <c r="C54" i="15"/>
  <c r="C21" i="15"/>
  <c r="C62" i="15"/>
  <c r="C17" i="15"/>
  <c r="C19" i="15"/>
  <c r="C31" i="15"/>
  <c r="C43" i="15"/>
  <c r="C55" i="15"/>
  <c r="C67" i="15"/>
  <c r="C66" i="15"/>
  <c r="C22" i="15"/>
  <c r="C44" i="15"/>
  <c r="C56" i="15"/>
  <c r="C68" i="15"/>
  <c r="C23" i="15"/>
  <c r="C45" i="15"/>
  <c r="C57" i="15"/>
  <c r="C69" i="15"/>
  <c r="C14" i="15"/>
  <c r="C70" i="15"/>
  <c r="C25" i="15"/>
  <c r="C35" i="15"/>
  <c r="C47" i="15"/>
  <c r="C59" i="15"/>
  <c r="C71" i="15"/>
  <c r="C34" i="15"/>
  <c r="C58" i="15"/>
  <c r="C36" i="15"/>
  <c r="C48" i="15"/>
  <c r="C60" i="15"/>
  <c r="C72" i="15"/>
  <c r="C24" i="15"/>
  <c r="C46" i="15"/>
  <c r="C16" i="15"/>
  <c r="C37" i="15"/>
  <c r="C49" i="15"/>
  <c r="C61" i="15"/>
  <c r="C73" i="15"/>
  <c r="C20" i="15"/>
  <c r="C26" i="15"/>
  <c r="C32" i="15"/>
  <c r="A15" i="14"/>
  <c r="C76" i="15" l="1"/>
  <c r="B15" i="14"/>
  <c r="C15" i="14" s="1"/>
  <c r="A16" i="14"/>
  <c r="B16" i="14" l="1"/>
  <c r="C16" i="14" s="1"/>
  <c r="A17" i="14"/>
  <c r="B17" i="14" l="1"/>
  <c r="C17" i="14" s="1"/>
  <c r="A18" i="14"/>
  <c r="A19" i="14" l="1"/>
  <c r="B18" i="14"/>
  <c r="C18" i="14" s="1"/>
  <c r="A20" i="14" l="1"/>
  <c r="B19" i="14"/>
  <c r="C19" i="14" s="1"/>
  <c r="A21" i="14" l="1"/>
  <c r="B20" i="14"/>
  <c r="C20" i="14" s="1"/>
  <c r="A22" i="14" l="1"/>
  <c r="B21" i="14"/>
  <c r="C21" i="14" s="1"/>
  <c r="A23" i="14" l="1"/>
  <c r="B22" i="14"/>
  <c r="C22" i="14" s="1"/>
  <c r="A24" i="14" l="1"/>
  <c r="B23" i="14"/>
  <c r="C23" i="14" s="1"/>
  <c r="B24" i="14" l="1"/>
  <c r="C24" i="14" s="1"/>
  <c r="A25" i="14"/>
  <c r="B25" i="14" l="1"/>
  <c r="C25" i="14" s="1"/>
  <c r="A26" i="14"/>
  <c r="A27" i="14" l="1"/>
  <c r="B26" i="14"/>
  <c r="C26" i="14" s="1"/>
  <c r="B27" i="14" l="1"/>
  <c r="C27" i="14" s="1"/>
  <c r="A28" i="14"/>
  <c r="A29" i="14" l="1"/>
  <c r="B28" i="14"/>
  <c r="C28" i="14" s="1"/>
  <c r="B29" i="14" l="1"/>
  <c r="C29" i="14" s="1"/>
  <c r="A30" i="14"/>
  <c r="A31" i="14" l="1"/>
  <c r="B30" i="14"/>
  <c r="C30" i="14" s="1"/>
  <c r="B31" i="14" l="1"/>
  <c r="C31" i="14" s="1"/>
  <c r="A32" i="14"/>
  <c r="B32" i="14" l="1"/>
  <c r="C32" i="14" s="1"/>
  <c r="A33" i="14"/>
  <c r="A34" i="14" l="1"/>
  <c r="B33" i="14"/>
  <c r="C33" i="14" s="1"/>
  <c r="B34" i="14" l="1"/>
  <c r="C34" i="14" s="1"/>
  <c r="A35" i="14"/>
  <c r="B35" i="14" l="1"/>
  <c r="C35" i="14" s="1"/>
  <c r="A36" i="14"/>
  <c r="A37" i="14" l="1"/>
  <c r="B36" i="14"/>
  <c r="C36" i="14" s="1"/>
  <c r="B37" i="14" l="1"/>
  <c r="C37" i="14" s="1"/>
  <c r="A38" i="14"/>
  <c r="A39" i="14" l="1"/>
  <c r="B38" i="14"/>
  <c r="C38" i="14" s="1"/>
  <c r="A40" i="14" l="1"/>
  <c r="B39" i="14"/>
  <c r="C39" i="14" s="1"/>
  <c r="A41" i="14" l="1"/>
  <c r="B40" i="14"/>
  <c r="C40" i="14" s="1"/>
  <c r="B41" i="14" l="1"/>
  <c r="C41" i="14" s="1"/>
  <c r="A42" i="14"/>
  <c r="A43" i="14" l="1"/>
  <c r="B42" i="14"/>
  <c r="C42" i="14" s="1"/>
  <c r="B43" i="14" l="1"/>
  <c r="C43" i="14" s="1"/>
  <c r="A44" i="14"/>
  <c r="A45" i="14" l="1"/>
  <c r="B44" i="14"/>
  <c r="C44" i="14" s="1"/>
  <c r="B45" i="14" l="1"/>
  <c r="C45" i="14" s="1"/>
  <c r="A46" i="14"/>
  <c r="A47" i="14" l="1"/>
  <c r="B46" i="14"/>
  <c r="C46" i="14" s="1"/>
  <c r="B47" i="14" l="1"/>
  <c r="C47" i="14" s="1"/>
  <c r="A48" i="14"/>
  <c r="A49" i="14" l="1"/>
  <c r="B48" i="14"/>
  <c r="C48" i="14" s="1"/>
  <c r="B49" i="14" l="1"/>
  <c r="C49" i="14" s="1"/>
  <c r="A50" i="14"/>
  <c r="B50" i="14" l="1"/>
  <c r="C50" i="14" s="1"/>
  <c r="A51" i="14"/>
  <c r="A52" i="14" l="1"/>
  <c r="B51" i="14"/>
  <c r="C51" i="14" s="1"/>
  <c r="A53" i="14" l="1"/>
  <c r="B52" i="14"/>
  <c r="C52" i="14" s="1"/>
  <c r="B53" i="14" l="1"/>
  <c r="C53" i="14" s="1"/>
  <c r="A54" i="14"/>
  <c r="A55" i="14" l="1"/>
  <c r="B54" i="14"/>
  <c r="C54" i="14" s="1"/>
  <c r="A56" i="14" l="1"/>
  <c r="B55" i="14"/>
  <c r="C55" i="14" s="1"/>
  <c r="A57" i="14" l="1"/>
  <c r="B56" i="14"/>
  <c r="C56" i="14" s="1"/>
  <c r="B57" i="14" l="1"/>
  <c r="C57" i="14" s="1"/>
  <c r="A58" i="14"/>
  <c r="A59" i="14" l="1"/>
  <c r="B58" i="14"/>
  <c r="C58" i="14" s="1"/>
  <c r="A60" i="14" l="1"/>
  <c r="B59" i="14"/>
  <c r="C59" i="14" s="1"/>
  <c r="A61" i="14" l="1"/>
  <c r="B60" i="14"/>
  <c r="C60" i="14" s="1"/>
  <c r="B61" i="14" l="1"/>
  <c r="C61" i="14" s="1"/>
  <c r="A62" i="14"/>
  <c r="A63" i="14" l="1"/>
  <c r="B62" i="14"/>
  <c r="C62" i="14" s="1"/>
  <c r="A64" i="14" l="1"/>
  <c r="B63" i="14"/>
  <c r="C63" i="14" s="1"/>
  <c r="A65" i="14" l="1"/>
  <c r="B64" i="14"/>
  <c r="C64" i="14" s="1"/>
  <c r="B65" i="14" l="1"/>
  <c r="C65" i="14" s="1"/>
  <c r="A66" i="14"/>
  <c r="B66" i="14" l="1"/>
  <c r="C66" i="14" s="1"/>
  <c r="A67" i="14"/>
  <c r="B67" i="14" l="1"/>
  <c r="C67" i="14" s="1"/>
  <c r="A68" i="14"/>
  <c r="A69" i="14" l="1"/>
  <c r="B68" i="14"/>
  <c r="C68" i="14" s="1"/>
  <c r="B69" i="14" l="1"/>
  <c r="C69" i="14" s="1"/>
  <c r="A70" i="14"/>
  <c r="A71" i="14" l="1"/>
  <c r="B70" i="14"/>
  <c r="C70" i="14" s="1"/>
  <c r="A72" i="14" l="1"/>
  <c r="B71" i="14"/>
  <c r="C71" i="14" s="1"/>
  <c r="A73" i="14" l="1"/>
  <c r="C73" i="14" s="1"/>
  <c r="B72" i="14"/>
  <c r="C72" i="14" s="1"/>
  <c r="C75" i="14" l="1"/>
  <c r="A13" i="13" l="1"/>
  <c r="A14" i="13" s="1"/>
  <c r="B12" i="13"/>
  <c r="D12" i="13" s="1"/>
  <c r="J12" i="12"/>
  <c r="J25" i="12"/>
  <c r="I13" i="12"/>
  <c r="I14" i="12"/>
  <c r="J14" i="12" s="1"/>
  <c r="I15" i="12"/>
  <c r="J15" i="12" s="1"/>
  <c r="I16" i="12"/>
  <c r="J16" i="12" s="1"/>
  <c r="I17" i="12"/>
  <c r="J17" i="12" s="1"/>
  <c r="I18" i="12"/>
  <c r="J18" i="12" s="1"/>
  <c r="I19" i="12"/>
  <c r="J19" i="12" s="1"/>
  <c r="I20" i="12"/>
  <c r="J20" i="12" s="1"/>
  <c r="I21" i="12"/>
  <c r="J21" i="12" s="1"/>
  <c r="I22" i="12"/>
  <c r="J22" i="12" s="1"/>
  <c r="I23" i="12"/>
  <c r="J23" i="12" s="1"/>
  <c r="I24" i="12"/>
  <c r="J24" i="12" s="1"/>
  <c r="I25" i="12"/>
  <c r="I26" i="12"/>
  <c r="J26" i="12" s="1"/>
  <c r="I27" i="12"/>
  <c r="J27" i="12" s="1"/>
  <c r="I28" i="12"/>
  <c r="J28" i="12" s="1"/>
  <c r="I29" i="12"/>
  <c r="J29" i="12" s="1"/>
  <c r="I30" i="12"/>
  <c r="J30" i="12" s="1"/>
  <c r="I31" i="12"/>
  <c r="J31" i="12" s="1"/>
  <c r="I32" i="12"/>
  <c r="J32" i="12" s="1"/>
  <c r="I12" i="12"/>
  <c r="J13" i="12"/>
  <c r="H12" i="12"/>
  <c r="H13" i="12"/>
  <c r="G14" i="12"/>
  <c r="H14" i="12" s="1"/>
  <c r="G15" i="12"/>
  <c r="H15" i="12" s="1"/>
  <c r="G16" i="12"/>
  <c r="H16" i="12" s="1"/>
  <c r="G17" i="12"/>
  <c r="H17" i="12" s="1"/>
  <c r="G18" i="12"/>
  <c r="H18" i="12" s="1"/>
  <c r="K18" i="12" s="1"/>
  <c r="G19" i="12"/>
  <c r="H19" i="12" s="1"/>
  <c r="G20" i="12"/>
  <c r="H20" i="12" s="1"/>
  <c r="K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K30" i="12" s="1"/>
  <c r="G31" i="12"/>
  <c r="H31" i="12" s="1"/>
  <c r="K31" i="12" s="1"/>
  <c r="G32" i="12"/>
  <c r="H32" i="12" s="1"/>
  <c r="G13" i="12"/>
  <c r="G8" i="12"/>
  <c r="G7" i="12"/>
  <c r="B32" i="12"/>
  <c r="C32" i="12" s="1"/>
  <c r="B31" i="12"/>
  <c r="C31" i="12" s="1"/>
  <c r="B30" i="12"/>
  <c r="C30" i="12" s="1"/>
  <c r="B29" i="12"/>
  <c r="C29" i="12" s="1"/>
  <c r="B28" i="12"/>
  <c r="C28" i="12" s="1"/>
  <c r="B27" i="12"/>
  <c r="C27" i="12" s="1"/>
  <c r="B26" i="12"/>
  <c r="C26" i="12" s="1"/>
  <c r="B25" i="12"/>
  <c r="C25" i="12" s="1"/>
  <c r="B24" i="12"/>
  <c r="C24" i="12" s="1"/>
  <c r="B23" i="12"/>
  <c r="C23" i="12" s="1"/>
  <c r="B22" i="12"/>
  <c r="C22" i="12" s="1"/>
  <c r="B21" i="12"/>
  <c r="C21" i="12" s="1"/>
  <c r="B20" i="12"/>
  <c r="C20" i="12" s="1"/>
  <c r="B19" i="12"/>
  <c r="C19" i="12" s="1"/>
  <c r="B18" i="12"/>
  <c r="C18" i="12" s="1"/>
  <c r="B17" i="12"/>
  <c r="C17" i="12" s="1"/>
  <c r="B16" i="12"/>
  <c r="C16" i="12" s="1"/>
  <c r="B15" i="12"/>
  <c r="C15" i="12" s="1"/>
  <c r="B14" i="12"/>
  <c r="C14" i="12" s="1"/>
  <c r="B13" i="12"/>
  <c r="C13" i="12" s="1"/>
  <c r="C12" i="12"/>
  <c r="B32" i="11" a="1"/>
  <c r="B32" i="11" s="1"/>
  <c r="C32" i="11" s="1"/>
  <c r="B31" i="11" a="1"/>
  <c r="B31" i="11" s="1"/>
  <c r="C31" i="11" s="1"/>
  <c r="B30" i="11" a="1"/>
  <c r="B30" i="11" s="1"/>
  <c r="C30" i="11" s="1"/>
  <c r="B29" i="11" a="1"/>
  <c r="B29" i="11" s="1"/>
  <c r="C29" i="11" s="1"/>
  <c r="B28" i="11" a="1"/>
  <c r="B28" i="11" s="1"/>
  <c r="C28" i="11" s="1"/>
  <c r="B27" i="11" a="1"/>
  <c r="B27" i="11" s="1"/>
  <c r="C27" i="11" s="1"/>
  <c r="B26" i="11" a="1"/>
  <c r="B26" i="11" s="1"/>
  <c r="C26" i="11" s="1"/>
  <c r="B25" i="11" a="1"/>
  <c r="B25" i="11" s="1"/>
  <c r="C25" i="11" s="1"/>
  <c r="B24" i="11" a="1"/>
  <c r="B24" i="11" s="1"/>
  <c r="C24" i="11" s="1"/>
  <c r="B23" i="11" a="1"/>
  <c r="B23" i="11" s="1"/>
  <c r="C23" i="11" s="1"/>
  <c r="B22" i="11" a="1"/>
  <c r="B22" i="11" s="1"/>
  <c r="C22" i="11" s="1"/>
  <c r="B21" i="11" a="1"/>
  <c r="B21" i="11" s="1"/>
  <c r="C21" i="11" s="1"/>
  <c r="B20" i="11" a="1"/>
  <c r="B20" i="11" s="1"/>
  <c r="C20" i="11" s="1"/>
  <c r="B19" i="11" a="1"/>
  <c r="B19" i="11" s="1"/>
  <c r="C19" i="11" s="1"/>
  <c r="B18" i="11" a="1"/>
  <c r="B18" i="11" s="1"/>
  <c r="C18" i="11" s="1"/>
  <c r="B17" i="11" a="1"/>
  <c r="B17" i="11" s="1"/>
  <c r="C17" i="11" s="1"/>
  <c r="B16" i="11" a="1"/>
  <c r="B16" i="11" s="1"/>
  <c r="C16" i="11" s="1"/>
  <c r="B15" i="11" a="1"/>
  <c r="B15" i="11" s="1"/>
  <c r="C15" i="11" s="1"/>
  <c r="B14" i="11" a="1"/>
  <c r="B14" i="11" s="1"/>
  <c r="C14" i="11" s="1"/>
  <c r="B13" i="11" a="1"/>
  <c r="B13" i="11" s="1"/>
  <c r="C13" i="11" s="1"/>
  <c r="B12" i="11" a="1"/>
  <c r="B12" i="11" s="1"/>
  <c r="C12" i="11" s="1"/>
  <c r="K27" i="12" l="1"/>
  <c r="K23" i="12"/>
  <c r="K21" i="12"/>
  <c r="K19" i="12"/>
  <c r="K12" i="12"/>
  <c r="K15" i="12"/>
  <c r="K26" i="12"/>
  <c r="K14" i="12"/>
  <c r="K25" i="12"/>
  <c r="K13" i="12"/>
  <c r="K24" i="12"/>
  <c r="K22" i="12"/>
  <c r="K17" i="12"/>
  <c r="K29" i="12"/>
  <c r="A15" i="13"/>
  <c r="B14" i="13"/>
  <c r="C14" i="13" s="1"/>
  <c r="D14" i="13" s="1"/>
  <c r="K16" i="12"/>
  <c r="K28" i="12"/>
  <c r="K32" i="12"/>
  <c r="B13" i="13"/>
  <c r="C13" i="13" s="1"/>
  <c r="D13" i="13" s="1"/>
  <c r="J34" i="12"/>
  <c r="H34" i="12"/>
  <c r="C34" i="12"/>
  <c r="C34" i="11"/>
  <c r="K34" i="12" l="1"/>
  <c r="A16" i="13"/>
  <c r="B15" i="13"/>
  <c r="C15" i="13" s="1"/>
  <c r="D15" i="13" s="1"/>
  <c r="A17" i="13" l="1"/>
  <c r="B16" i="13"/>
  <c r="C16" i="13" s="1"/>
  <c r="D16" i="13" s="1"/>
  <c r="A18" i="13" l="1"/>
  <c r="B17" i="13"/>
  <c r="C17" i="13" s="1"/>
  <c r="D17" i="13" s="1"/>
  <c r="A19" i="13" l="1"/>
  <c r="B18" i="13"/>
  <c r="C18" i="13" s="1"/>
  <c r="D18" i="13" s="1"/>
  <c r="A20" i="13" l="1"/>
  <c r="B19" i="13"/>
  <c r="C19" i="13" s="1"/>
  <c r="D19" i="13" s="1"/>
  <c r="A21" i="13" l="1"/>
  <c r="B20" i="13"/>
  <c r="C20" i="13" s="1"/>
  <c r="D20" i="13" s="1"/>
  <c r="A22" i="13" l="1"/>
  <c r="B21" i="13"/>
  <c r="C21" i="13" s="1"/>
  <c r="D21" i="13" s="1"/>
  <c r="A23" i="13" l="1"/>
  <c r="B22" i="13"/>
  <c r="C22" i="13" s="1"/>
  <c r="D22" i="13" s="1"/>
  <c r="A24" i="13" l="1"/>
  <c r="B23" i="13"/>
  <c r="C23" i="13" s="1"/>
  <c r="D23" i="13" s="1"/>
  <c r="A25" i="13" l="1"/>
  <c r="B24" i="13"/>
  <c r="C24" i="13" s="1"/>
  <c r="D24" i="13" s="1"/>
  <c r="A26" i="13" l="1"/>
  <c r="B25" i="13"/>
  <c r="C25" i="13" s="1"/>
  <c r="D25" i="13" s="1"/>
  <c r="A27" i="13" l="1"/>
  <c r="B26" i="13"/>
  <c r="C26" i="13" s="1"/>
  <c r="D26" i="13" s="1"/>
  <c r="A28" i="13" l="1"/>
  <c r="B27" i="13"/>
  <c r="C27" i="13" s="1"/>
  <c r="D27" i="13" s="1"/>
  <c r="A29" i="13" l="1"/>
  <c r="B28" i="13"/>
  <c r="C28" i="13" s="1"/>
  <c r="D28" i="13" s="1"/>
  <c r="A30" i="13" l="1"/>
  <c r="B29" i="13"/>
  <c r="C29" i="13" s="1"/>
  <c r="D29" i="13" s="1"/>
  <c r="A31" i="13" l="1"/>
  <c r="B30" i="13"/>
  <c r="C30" i="13" s="1"/>
  <c r="D30" i="13" s="1"/>
  <c r="A32" i="13" l="1"/>
  <c r="B31" i="13"/>
  <c r="C31" i="13" s="1"/>
  <c r="D31" i="13" s="1"/>
  <c r="A33" i="13" l="1"/>
  <c r="B32" i="13"/>
  <c r="C32" i="13" s="1"/>
  <c r="D32" i="13" s="1"/>
  <c r="A34" i="13" l="1"/>
  <c r="B33" i="13"/>
  <c r="C33" i="13" s="1"/>
  <c r="D33" i="13" s="1"/>
  <c r="A35" i="13" l="1"/>
  <c r="B34" i="13"/>
  <c r="C34" i="13" s="1"/>
  <c r="D34" i="13" s="1"/>
  <c r="A36" i="13" l="1"/>
  <c r="B35" i="13"/>
  <c r="C35" i="13" s="1"/>
  <c r="D35" i="13" s="1"/>
  <c r="A37" i="13" l="1"/>
  <c r="B36" i="13"/>
  <c r="C36" i="13" s="1"/>
  <c r="D36" i="13" s="1"/>
  <c r="A38" i="13" l="1"/>
  <c r="B37" i="13"/>
  <c r="C37" i="13" s="1"/>
  <c r="D37" i="13" s="1"/>
  <c r="A39" i="13" l="1"/>
  <c r="B38" i="13"/>
  <c r="C38" i="13" s="1"/>
  <c r="D38" i="13" s="1"/>
  <c r="A40" i="13" l="1"/>
  <c r="B39" i="13"/>
  <c r="C39" i="13" s="1"/>
  <c r="D39" i="13" s="1"/>
  <c r="A41" i="13" l="1"/>
  <c r="B40" i="13"/>
  <c r="C40" i="13" s="1"/>
  <c r="D40" i="13" s="1"/>
  <c r="A42" i="13" l="1"/>
  <c r="B41" i="13"/>
  <c r="C41" i="13" s="1"/>
  <c r="D41" i="13" s="1"/>
  <c r="A43" i="13" l="1"/>
  <c r="B42" i="13"/>
  <c r="C42" i="13" s="1"/>
  <c r="D42" i="13" s="1"/>
  <c r="A44" i="13" l="1"/>
  <c r="B43" i="13"/>
  <c r="C43" i="13" s="1"/>
  <c r="D43" i="13" s="1"/>
  <c r="A45" i="13" l="1"/>
  <c r="B44" i="13"/>
  <c r="C44" i="13" s="1"/>
  <c r="D44" i="13" s="1"/>
  <c r="A46" i="13" l="1"/>
  <c r="B45" i="13"/>
  <c r="C45" i="13" s="1"/>
  <c r="D45" i="13" s="1"/>
  <c r="A47" i="13" l="1"/>
  <c r="B47" i="13" s="1"/>
  <c r="C47" i="13" s="1"/>
  <c r="D47" i="13" s="1"/>
  <c r="B46" i="13"/>
  <c r="C46" i="13" s="1"/>
  <c r="D46" i="13" s="1"/>
  <c r="D49" i="13" l="1"/>
  <c r="B7" i="7" l="1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10" i="3"/>
  <c r="H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10" i="3"/>
  <c r="C10" i="3" s="1"/>
  <c r="C17" i="7" l="1"/>
  <c r="C21" i="7"/>
  <c r="C13" i="7"/>
  <c r="C11" i="7"/>
  <c r="C15" i="7"/>
  <c r="C19" i="7"/>
  <c r="C23" i="7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C12" i="7"/>
  <c r="C14" i="7"/>
  <c r="C16" i="7"/>
  <c r="C18" i="7"/>
  <c r="C20" i="7"/>
  <c r="C22" i="7"/>
  <c r="C24" i="7"/>
  <c r="C26" i="6"/>
  <c r="C30" i="3"/>
  <c r="C26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<sst xmlns="http://schemas.openxmlformats.org/spreadsheetml/2006/main" count="173" uniqueCount="57">
  <si>
    <t>Time (years)</t>
  </si>
  <si>
    <t>Years</t>
  </si>
  <si>
    <t>Level Payment</t>
  </si>
  <si>
    <t>Value at the end of year 20</t>
  </si>
  <si>
    <t>Name</t>
  </si>
  <si>
    <t>Value</t>
  </si>
  <si>
    <t>Description</t>
  </si>
  <si>
    <t>X</t>
  </si>
  <si>
    <t>i</t>
  </si>
  <si>
    <t>n</t>
  </si>
  <si>
    <t xml:space="preserve">TOTAL </t>
  </si>
  <si>
    <t>Level payments (p.a.)</t>
  </si>
  <si>
    <t>Interest Rate, i (p.a.)</t>
  </si>
  <si>
    <t>Value at time 0</t>
  </si>
  <si>
    <t>Interest Rate, j (per half-year)</t>
  </si>
  <si>
    <t>j</t>
  </si>
  <si>
    <t>Half-years</t>
  </si>
  <si>
    <r>
      <t xml:space="preserve">Accumulated Value (at time </t>
    </r>
    <r>
      <rPr>
        <b/>
        <i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>)</t>
    </r>
  </si>
  <si>
    <r>
      <t xml:space="preserve">Time, </t>
    </r>
    <r>
      <rPr>
        <b/>
        <i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>, (years)</t>
    </r>
  </si>
  <si>
    <t>Time 
(half-years)</t>
  </si>
  <si>
    <t xml:space="preserve">Example 3.2.1 (i):
</t>
  </si>
  <si>
    <t>Example 3.2.1 (ii):</t>
  </si>
  <si>
    <r>
      <t xml:space="preserve">Cells highlighted in </t>
    </r>
    <r>
      <rPr>
        <b/>
        <sz val="12"/>
        <color rgb="FF00B0F0"/>
        <rFont val="Arial"/>
        <family val="2"/>
      </rPr>
      <t>BLUE</t>
    </r>
    <r>
      <rPr>
        <sz val="12"/>
        <color theme="1"/>
        <rFont val="Arial"/>
        <family val="2"/>
      </rPr>
      <t xml:space="preserve"> can be changed.</t>
    </r>
  </si>
  <si>
    <t xml:space="preserve">Example 3.2.1 (iii):
</t>
  </si>
  <si>
    <t>m</t>
  </si>
  <si>
    <t>Time</t>
  </si>
  <si>
    <t>Payment</t>
  </si>
  <si>
    <t>(years)</t>
  </si>
  <si>
    <r>
      <t>(</t>
    </r>
    <r>
      <rPr>
        <b/>
        <sz val="12"/>
        <color theme="1"/>
        <rFont val="Calibri"/>
        <family val="2"/>
      </rPr>
      <t>£</t>
    </r>
    <r>
      <rPr>
        <b/>
        <sz val="12"/>
        <color theme="1"/>
        <rFont val="Arial"/>
        <family val="2"/>
      </rPr>
      <t>)</t>
    </r>
  </si>
  <si>
    <t>(£)</t>
  </si>
  <si>
    <t>Example 3.6.1:</t>
  </si>
  <si>
    <t>Years (Term)</t>
  </si>
  <si>
    <t>Years (Deferred Period)</t>
  </si>
  <si>
    <t>First payment</t>
  </si>
  <si>
    <t>Y</t>
  </si>
  <si>
    <t>Increments (p.a.)</t>
  </si>
  <si>
    <t>Example 3.7.2:</t>
  </si>
  <si>
    <t>Payment
(Level)</t>
  </si>
  <si>
    <t>Payment
(Increasing)</t>
  </si>
  <si>
    <t>Level payments</t>
  </si>
  <si>
    <t>Lvl_P</t>
  </si>
  <si>
    <t>Inc_P</t>
  </si>
  <si>
    <t>Value of total payments  at time 0</t>
  </si>
  <si>
    <t>First pension payment (p.a.)</t>
  </si>
  <si>
    <t>Growth rate of pension payments (per annum)</t>
  </si>
  <si>
    <t>Interest Rate, (effective per annum)</t>
  </si>
  <si>
    <t>Age</t>
  </si>
  <si>
    <t>Pension Payment</t>
  </si>
  <si>
    <t>Example 3.7.4:</t>
  </si>
  <si>
    <t>Tutorial 2 Question 13</t>
  </si>
  <si>
    <t>Level payments (first 5 years)</t>
  </si>
  <si>
    <t>Level payments (next 10 years)</t>
  </si>
  <si>
    <t>Effective Interest Rate per year</t>
  </si>
  <si>
    <t>Term of annuity (cashflow 250)</t>
  </si>
  <si>
    <t>Term of annuity (cashflow 375)</t>
  </si>
  <si>
    <t>Tutorial 2 Question 13 (a)</t>
  </si>
  <si>
    <t>Effective Interest Rate per quarter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</si>
</sst>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£-809]#,##0.00"/>
    <numFmt numFmtId="165" formatCode="0.0000%"/>
    <numFmt numFmtId="166" formatCode="&quot;£&quot;#,##0.00"/>
    <numFmt numFmtId="167" formatCode="[$£-809]#,##0.0000"/>
    <numFmt numFmtId="168" formatCode="#,##0.000000"/>
    <numFmt numFmtId="169" formatCode="0.0%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Calibri"/>
      <family val="2"/>
      <scheme val="minor"/>
    </font>
    <font>
      <u/>
      <sz val="12"/>
      <color theme="1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Calibri"/>
      <family val="2"/>
    </font>
    <font>
      <b/>
      <sz val="12"/>
      <color rgb="FF7030A0"/>
      <name val="Arial"/>
      <family val="2"/>
    </font>
    <font>
      <b/>
      <sz val="12"/>
      <color theme="7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CC3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8" fillId="0" borderId="0"/>
  </cellStyleXfs>
  <cellXfs count="55">
    <xf numFmtId="0" fontId="0" fillId="0" borderId="0" xfId="0"/>
    <xf numFmtId="0" fontId="3" fillId="0" borderId="0" xfId="0" applyFont="1"/>
    <xf numFmtId="164" fontId="4" fillId="2" borderId="0" xfId="0" applyNumberFormat="1" applyFont="1" applyFill="1"/>
    <xf numFmtId="9" fontId="4" fillId="2" borderId="0" xfId="0" applyNumberFormat="1" applyFont="1" applyFill="1"/>
    <xf numFmtId="0" fontId="5" fillId="0" borderId="0" xfId="0" applyFont="1" applyAlignment="1">
      <alignment horizontal="center" vertical="center"/>
    </xf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165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5" fillId="0" borderId="0" xfId="2" applyFont="1" applyAlignment="1">
      <alignment horizontal="left" vertical="center" wrapText="1"/>
    </xf>
    <xf numFmtId="0" fontId="2" fillId="0" borderId="0" xfId="2" applyFont="1"/>
    <xf numFmtId="0" fontId="2" fillId="0" borderId="0" xfId="2" applyFont="1" applyAlignment="1">
      <alignment horizontal="left" vertical="center" wrapText="1"/>
    </xf>
    <xf numFmtId="0" fontId="5" fillId="0" borderId="0" xfId="2" applyFont="1"/>
    <xf numFmtId="164" fontId="4" fillId="3" borderId="0" xfId="2" applyNumberFormat="1" applyFont="1" applyFill="1"/>
    <xf numFmtId="9" fontId="4" fillId="3" borderId="0" xfId="2" applyNumberFormat="1" applyFont="1" applyFill="1"/>
    <xf numFmtId="0" fontId="4" fillId="3" borderId="0" xfId="2" applyFont="1" applyFill="1"/>
    <xf numFmtId="0" fontId="5" fillId="0" borderId="0" xfId="2" applyFont="1" applyAlignment="1">
      <alignment horizontal="center" vertical="center"/>
    </xf>
    <xf numFmtId="0" fontId="4" fillId="0" borderId="0" xfId="2" applyFont="1"/>
    <xf numFmtId="0" fontId="9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10" fontId="4" fillId="3" borderId="0" xfId="2" applyNumberFormat="1" applyFont="1" applyFill="1"/>
    <xf numFmtId="0" fontId="12" fillId="0" borderId="0" xfId="2" applyFont="1"/>
    <xf numFmtId="169" fontId="4" fillId="3" borderId="0" xfId="1" applyNumberFormat="1" applyFont="1" applyFill="1"/>
    <xf numFmtId="0" fontId="13" fillId="0" borderId="0" xfId="2" applyFont="1"/>
    <xf numFmtId="165" fontId="4" fillId="0" borderId="0" xfId="2" applyNumberFormat="1" applyFont="1"/>
    <xf numFmtId="9" fontId="4" fillId="0" borderId="0" xfId="2" applyNumberFormat="1" applyFon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164" fontId="6" fillId="0" borderId="1" xfId="0" applyNumberFormat="1" applyFont="1" applyBorder="1"/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  <xf numFmtId="0" fontId="6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164" fontId="2" fillId="0" borderId="1" xfId="2" applyNumberFormat="1" applyFont="1" applyBorder="1"/>
    <xf numFmtId="0" fontId="2" fillId="0" borderId="1" xfId="2" applyFont="1" applyBorder="1" applyAlignment="1">
      <alignment horizontal="center"/>
    </xf>
    <xf numFmtId="0" fontId="6" fillId="0" borderId="0" xfId="2" applyFont="1" applyAlignment="1">
      <alignment horizontal="center"/>
    </xf>
    <xf numFmtId="164" fontId="6" fillId="0" borderId="2" xfId="2" applyNumberFormat="1" applyFont="1" applyBorder="1"/>
    <xf numFmtId="166" fontId="2" fillId="0" borderId="1" xfId="2" applyNumberFormat="1" applyFont="1" applyBorder="1" applyAlignment="1">
      <alignment horizontal="right" vertical="center" wrapText="1"/>
    </xf>
    <xf numFmtId="164" fontId="6" fillId="0" borderId="0" xfId="2" applyNumberFormat="1" applyFont="1"/>
    <xf numFmtId="0" fontId="5" fillId="0" borderId="1" xfId="2" applyFont="1" applyBorder="1" applyAlignment="1">
      <alignment horizontal="center" vertical="center" wrapText="1"/>
    </xf>
    <xf numFmtId="167" fontId="2" fillId="0" borderId="1" xfId="2" applyNumberFormat="1" applyFont="1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/>
    <xf numFmtId="168" fontId="2" fillId="0" borderId="1" xfId="2" applyNumberFormat="1" applyFont="1" applyBorder="1"/>
    <xf numFmtId="2" fontId="2" fillId="0" borderId="1" xfId="2" applyNumberFormat="1" applyFont="1" applyBorder="1" applyAlignment="1">
      <alignment horizontal="center"/>
    </xf>
    <xf numFmtId="168" fontId="6" fillId="0" borderId="2" xfId="2" applyNumberFormat="1" applyFont="1" applyBorder="1"/>
    <xf numFmtId="0" fontId="5" fillId="0" borderId="0" xfId="0" applyFont="1" applyAlignment="1">
      <alignment horizontal="left" vertical="top" wrapText="1"/>
    </xf>
    <xf numFmtId="0" fontId="5" fillId="0" borderId="0" xfId="2" applyFont="1" applyAlignment="1">
      <alignment horizontal="left" vertical="center" wrapText="1"/>
    </xf>
  </cellXfs>
  <cellStyles count="3">
    <cellStyle name="Normal" xfId="0" builtinId="0"/>
    <cellStyle name="Normal 2" xfId="2" xr:uid="{49FC056E-9414-4128-8FCD-9C647AD20E5E}"/>
    <cellStyle name="Percent" xfId="1" builtinId="5"/>
  </cellStyles>
  <dxfs count="0"/>
  <tableStyles count="0" defaultTableStyle="TableStyleMedium2" defaultPivotStyle="PivotStyleLight16"/>
  <colors>
    <mruColors>
      <color rgb="FFC5E0B2"/>
      <color rgb="FF9CC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opLeftCell="A5" zoomScaleNormal="100" workbookViewId="0">
      <selection activeCell="I30" sqref="I30"/>
    </sheetView>
  </sheetViews>
  <sheetFormatPr defaultColWidth="9.08984375" defaultRowHeight="15.5" x14ac:dyDescent="0.35"/>
  <cols>
    <col min="1" max="1" width="10.6328125" style="1" customWidth="1"/>
    <col min="2" max="2" width="15.6328125" style="1" customWidth="1"/>
    <col min="3" max="3" width="23.6328125" style="1" customWidth="1"/>
    <col min="4" max="5" width="9.08984375" style="1"/>
    <col min="6" max="6" width="10.6328125" style="1" customWidth="1"/>
    <col min="7" max="7" width="15.6328125" style="1" customWidth="1"/>
    <col min="8" max="8" width="23.6328125" style="1" customWidth="1"/>
    <col min="9" max="9" width="13.54296875" style="1" customWidth="1"/>
    <col min="10" max="10" width="9.08984375" style="1"/>
    <col min="11" max="11" width="10.6328125" style="1" customWidth="1"/>
    <col min="12" max="12" width="15.6328125" style="1" customWidth="1"/>
    <col min="13" max="13" width="20.6328125" style="1" customWidth="1"/>
    <col min="14" max="16384" width="9.08984375" style="1"/>
  </cols>
  <sheetData>
    <row r="1" spans="1:13" x14ac:dyDescent="0.35">
      <c r="A1" s="53" t="s">
        <v>20</v>
      </c>
      <c r="B1" s="53"/>
      <c r="C1" s="53"/>
      <c r="D1" s="53"/>
      <c r="E1" s="53"/>
      <c r="F1" s="53"/>
      <c r="G1" s="53"/>
      <c r="H1" s="53"/>
      <c r="I1" s="53"/>
      <c r="J1" s="7"/>
      <c r="K1" s="7"/>
      <c r="L1" s="7"/>
      <c r="M1" s="7"/>
    </row>
    <row r="2" spans="1:13" s="11" customFormat="1" x14ac:dyDescent="0.35">
      <c r="A2" s="11" t="s">
        <v>22</v>
      </c>
      <c r="B2" s="12"/>
      <c r="C2" s="12"/>
      <c r="D2" s="12"/>
      <c r="E2" s="12"/>
      <c r="F2" s="12"/>
      <c r="G2" s="12"/>
      <c r="H2" s="12"/>
      <c r="I2" s="12"/>
      <c r="J2" s="13"/>
      <c r="K2" s="13"/>
      <c r="L2" s="13"/>
      <c r="M2" s="13"/>
    </row>
    <row r="3" spans="1:13" s="11" customFormat="1" x14ac:dyDescent="0.35">
      <c r="A3"/>
      <c r="B3" s="12"/>
      <c r="C3" s="12"/>
      <c r="D3" s="12"/>
      <c r="E3" s="12"/>
      <c r="F3" s="12"/>
      <c r="G3" s="12"/>
      <c r="H3" s="12"/>
      <c r="I3" s="12"/>
      <c r="J3" s="13"/>
      <c r="K3" s="13"/>
      <c r="L3" s="13"/>
      <c r="M3" s="13"/>
    </row>
    <row r="4" spans="1:13" ht="15.5" customHeight="1" x14ac:dyDescent="0.35">
      <c r="A4" s="8" t="s">
        <v>4</v>
      </c>
      <c r="B4" s="9" t="s">
        <v>5</v>
      </c>
      <c r="C4" s="9" t="s">
        <v>6</v>
      </c>
    </row>
    <row r="5" spans="1:13" ht="15.9" customHeight="1" x14ac:dyDescent="0.35">
      <c r="A5" s="1" t="s">
        <v>7</v>
      </c>
      <c r="B5" s="2">
        <v>1000</v>
      </c>
      <c r="C5" s="1" t="s">
        <v>11</v>
      </c>
    </row>
    <row r="6" spans="1:13" ht="15.9" customHeight="1" x14ac:dyDescent="0.35">
      <c r="A6" s="1" t="s">
        <v>8</v>
      </c>
      <c r="B6" s="3">
        <v>0.12</v>
      </c>
      <c r="C6" s="1" t="s">
        <v>12</v>
      </c>
    </row>
    <row r="7" spans="1:13" ht="15.9" customHeight="1" x14ac:dyDescent="0.35">
      <c r="A7" s="1" t="s">
        <v>9</v>
      </c>
      <c r="B7" s="5">
        <v>20</v>
      </c>
      <c r="C7" s="1" t="s">
        <v>1</v>
      </c>
    </row>
    <row r="8" spans="1:13" ht="15.9" customHeight="1" x14ac:dyDescent="0.35">
      <c r="B8" s="6"/>
    </row>
    <row r="9" spans="1:13" s="4" customFormat="1" ht="39.9" customHeight="1" x14ac:dyDescent="0.35">
      <c r="A9" s="31" t="s">
        <v>0</v>
      </c>
      <c r="B9" s="31" t="s">
        <v>2</v>
      </c>
      <c r="C9" s="31" t="s">
        <v>3</v>
      </c>
      <c r="F9" s="31" t="s">
        <v>18</v>
      </c>
      <c r="G9" s="31" t="s">
        <v>2</v>
      </c>
      <c r="H9" s="31" t="s">
        <v>17</v>
      </c>
    </row>
    <row r="10" spans="1:13" ht="15.9" customHeight="1" x14ac:dyDescent="0.35">
      <c r="A10" s="32">
        <v>1</v>
      </c>
      <c r="B10" s="33">
        <f t="shared" ref="B10:B29" si="0">X</f>
        <v>1000</v>
      </c>
      <c r="C10" s="33">
        <f t="shared" ref="C10:C29" si="1">B10*(1+i)^(n-A10)</f>
        <v>8612.7616904240604</v>
      </c>
      <c r="F10" s="32">
        <v>1</v>
      </c>
      <c r="G10" s="33">
        <f t="shared" ref="G10:G29" si="2">X</f>
        <v>1000</v>
      </c>
      <c r="H10" s="33">
        <f>G10</f>
        <v>1000</v>
      </c>
    </row>
    <row r="11" spans="1:13" ht="15.9" customHeight="1" x14ac:dyDescent="0.35">
      <c r="A11" s="32">
        <v>2</v>
      </c>
      <c r="B11" s="33">
        <f t="shared" si="0"/>
        <v>1000</v>
      </c>
      <c r="C11" s="33">
        <f t="shared" si="1"/>
        <v>7689.9657950214814</v>
      </c>
      <c r="F11" s="32">
        <v>2</v>
      </c>
      <c r="G11" s="33">
        <f t="shared" si="2"/>
        <v>1000</v>
      </c>
      <c r="H11" s="33">
        <f t="shared" ref="H11:H29" si="3">H10*(1+i)+G11</f>
        <v>2120</v>
      </c>
    </row>
    <row r="12" spans="1:13" ht="15.9" customHeight="1" x14ac:dyDescent="0.35">
      <c r="A12" s="32">
        <v>3</v>
      </c>
      <c r="B12" s="33">
        <f t="shared" si="0"/>
        <v>1000</v>
      </c>
      <c r="C12" s="33">
        <f t="shared" si="1"/>
        <v>6866.0408884120361</v>
      </c>
      <c r="F12" s="32">
        <v>3</v>
      </c>
      <c r="G12" s="33">
        <f t="shared" si="2"/>
        <v>1000</v>
      </c>
      <c r="H12" s="33">
        <f t="shared" si="3"/>
        <v>3374.4</v>
      </c>
    </row>
    <row r="13" spans="1:13" ht="15.9" customHeight="1" x14ac:dyDescent="0.35">
      <c r="A13" s="32">
        <v>4</v>
      </c>
      <c r="B13" s="33">
        <f t="shared" si="0"/>
        <v>1000</v>
      </c>
      <c r="C13" s="33">
        <f t="shared" si="1"/>
        <v>6130.3936503678888</v>
      </c>
      <c r="F13" s="32">
        <v>4</v>
      </c>
      <c r="G13" s="33">
        <f t="shared" si="2"/>
        <v>1000</v>
      </c>
      <c r="H13" s="33">
        <f t="shared" si="3"/>
        <v>4779.3280000000004</v>
      </c>
    </row>
    <row r="14" spans="1:13" ht="15.9" customHeight="1" x14ac:dyDescent="0.35">
      <c r="A14" s="32">
        <v>5</v>
      </c>
      <c r="B14" s="33">
        <f t="shared" si="0"/>
        <v>1000</v>
      </c>
      <c r="C14" s="33">
        <f t="shared" si="1"/>
        <v>5473.5657592570424</v>
      </c>
      <c r="F14" s="32">
        <v>5</v>
      </c>
      <c r="G14" s="33">
        <f t="shared" si="2"/>
        <v>1000</v>
      </c>
      <c r="H14" s="33">
        <f t="shared" si="3"/>
        <v>6352.8473600000007</v>
      </c>
    </row>
    <row r="15" spans="1:13" ht="15.9" customHeight="1" x14ac:dyDescent="0.35">
      <c r="A15" s="32">
        <v>6</v>
      </c>
      <c r="B15" s="33">
        <f t="shared" si="0"/>
        <v>1000</v>
      </c>
      <c r="C15" s="33">
        <f t="shared" si="1"/>
        <v>4887.1122850509319</v>
      </c>
      <c r="F15" s="32">
        <v>6</v>
      </c>
      <c r="G15" s="33">
        <f t="shared" si="2"/>
        <v>1000</v>
      </c>
      <c r="H15" s="33">
        <f t="shared" si="3"/>
        <v>8115.1890432000018</v>
      </c>
    </row>
    <row r="16" spans="1:13" ht="15.9" customHeight="1" x14ac:dyDescent="0.35">
      <c r="A16" s="32">
        <v>7</v>
      </c>
      <c r="B16" s="33">
        <f t="shared" si="0"/>
        <v>1000</v>
      </c>
      <c r="C16" s="33">
        <f t="shared" si="1"/>
        <v>4363.4931116526168</v>
      </c>
      <c r="F16" s="32">
        <v>7</v>
      </c>
      <c r="G16" s="33">
        <f t="shared" si="2"/>
        <v>1000</v>
      </c>
      <c r="H16" s="33">
        <f t="shared" si="3"/>
        <v>10089.011728384003</v>
      </c>
    </row>
    <row r="17" spans="1:9" ht="15.9" customHeight="1" x14ac:dyDescent="0.35">
      <c r="A17" s="32">
        <v>8</v>
      </c>
      <c r="B17" s="33">
        <f t="shared" si="0"/>
        <v>1000</v>
      </c>
      <c r="C17" s="33">
        <f t="shared" si="1"/>
        <v>3895.9759925469789</v>
      </c>
      <c r="F17" s="32">
        <v>8</v>
      </c>
      <c r="G17" s="33">
        <f t="shared" si="2"/>
        <v>1000</v>
      </c>
      <c r="H17" s="33">
        <f t="shared" si="3"/>
        <v>12299.693135790085</v>
      </c>
    </row>
    <row r="18" spans="1:9" ht="15.9" customHeight="1" x14ac:dyDescent="0.35">
      <c r="A18" s="32">
        <v>9</v>
      </c>
      <c r="B18" s="33">
        <f t="shared" si="0"/>
        <v>1000</v>
      </c>
      <c r="C18" s="33">
        <f t="shared" si="1"/>
        <v>3478.5499933455171</v>
      </c>
      <c r="F18" s="32">
        <v>9</v>
      </c>
      <c r="G18" s="33">
        <f t="shared" si="2"/>
        <v>1000</v>
      </c>
      <c r="H18" s="33">
        <f t="shared" si="3"/>
        <v>14775.656312084897</v>
      </c>
    </row>
    <row r="19" spans="1:9" ht="15.9" customHeight="1" x14ac:dyDescent="0.35">
      <c r="A19" s="32">
        <v>10</v>
      </c>
      <c r="B19" s="33">
        <f t="shared" si="0"/>
        <v>1000</v>
      </c>
      <c r="C19" s="33">
        <f t="shared" si="1"/>
        <v>3105.8482083442113</v>
      </c>
      <c r="F19" s="32">
        <v>10</v>
      </c>
      <c r="G19" s="33">
        <f t="shared" si="2"/>
        <v>1000</v>
      </c>
      <c r="H19" s="33">
        <f t="shared" si="3"/>
        <v>17548.735069535087</v>
      </c>
    </row>
    <row r="20" spans="1:9" ht="15.9" customHeight="1" x14ac:dyDescent="0.35">
      <c r="A20" s="32">
        <v>11</v>
      </c>
      <c r="B20" s="33">
        <f t="shared" si="0"/>
        <v>1000</v>
      </c>
      <c r="C20" s="33">
        <f t="shared" si="1"/>
        <v>2773.0787574501883</v>
      </c>
      <c r="F20" s="32">
        <v>11</v>
      </c>
      <c r="G20" s="33">
        <f t="shared" si="2"/>
        <v>1000</v>
      </c>
      <c r="H20" s="33">
        <f t="shared" si="3"/>
        <v>20654.583277879301</v>
      </c>
    </row>
    <row r="21" spans="1:9" ht="15.9" customHeight="1" x14ac:dyDescent="0.35">
      <c r="A21" s="32">
        <v>12</v>
      </c>
      <c r="B21" s="33">
        <f t="shared" si="0"/>
        <v>1000</v>
      </c>
      <c r="C21" s="33">
        <f t="shared" si="1"/>
        <v>2475.9631762948111</v>
      </c>
      <c r="F21" s="32">
        <v>12</v>
      </c>
      <c r="G21" s="33">
        <f t="shared" si="2"/>
        <v>1000</v>
      </c>
      <c r="H21" s="33">
        <f t="shared" si="3"/>
        <v>24133.133271224819</v>
      </c>
    </row>
    <row r="22" spans="1:9" ht="15.9" customHeight="1" x14ac:dyDescent="0.35">
      <c r="A22" s="32">
        <v>13</v>
      </c>
      <c r="B22" s="33">
        <f t="shared" si="0"/>
        <v>1000</v>
      </c>
      <c r="C22" s="33">
        <f t="shared" si="1"/>
        <v>2210.6814074060808</v>
      </c>
      <c r="F22" s="32">
        <v>13</v>
      </c>
      <c r="G22" s="33">
        <f t="shared" si="2"/>
        <v>1000</v>
      </c>
      <c r="H22" s="33">
        <f t="shared" si="3"/>
        <v>28029.109263771799</v>
      </c>
    </row>
    <row r="23" spans="1:9" ht="15.9" customHeight="1" x14ac:dyDescent="0.35">
      <c r="A23" s="32">
        <v>14</v>
      </c>
      <c r="B23" s="33">
        <f t="shared" si="0"/>
        <v>1000</v>
      </c>
      <c r="C23" s="33">
        <f t="shared" si="1"/>
        <v>1973.8226851840009</v>
      </c>
      <c r="F23" s="32">
        <v>14</v>
      </c>
      <c r="G23" s="33">
        <f t="shared" si="2"/>
        <v>1000</v>
      </c>
      <c r="H23" s="33">
        <f t="shared" si="3"/>
        <v>32392.60237542442</v>
      </c>
    </row>
    <row r="24" spans="1:9" ht="15.9" customHeight="1" x14ac:dyDescent="0.35">
      <c r="A24" s="32">
        <v>15</v>
      </c>
      <c r="B24" s="33">
        <f t="shared" si="0"/>
        <v>1000</v>
      </c>
      <c r="C24" s="33">
        <f t="shared" si="1"/>
        <v>1762.3416832000005</v>
      </c>
      <c r="F24" s="32">
        <v>15</v>
      </c>
      <c r="G24" s="33">
        <f t="shared" si="2"/>
        <v>1000</v>
      </c>
      <c r="H24" s="33">
        <f t="shared" si="3"/>
        <v>37279.714660475351</v>
      </c>
    </row>
    <row r="25" spans="1:9" ht="15.9" customHeight="1" x14ac:dyDescent="0.35">
      <c r="A25" s="32">
        <v>16</v>
      </c>
      <c r="B25" s="33">
        <f t="shared" si="0"/>
        <v>1000</v>
      </c>
      <c r="C25" s="33">
        <f t="shared" si="1"/>
        <v>1573.5193600000005</v>
      </c>
      <c r="F25" s="32">
        <v>16</v>
      </c>
      <c r="G25" s="33">
        <f t="shared" si="2"/>
        <v>1000</v>
      </c>
      <c r="H25" s="33">
        <f t="shared" si="3"/>
        <v>42753.2804197324</v>
      </c>
    </row>
    <row r="26" spans="1:9" ht="15.9" customHeight="1" x14ac:dyDescent="0.35">
      <c r="A26" s="32">
        <v>17</v>
      </c>
      <c r="B26" s="33">
        <f t="shared" si="0"/>
        <v>1000</v>
      </c>
      <c r="C26" s="33">
        <f t="shared" si="1"/>
        <v>1404.9280000000003</v>
      </c>
      <c r="F26" s="32">
        <v>17</v>
      </c>
      <c r="G26" s="33">
        <f t="shared" si="2"/>
        <v>1000</v>
      </c>
      <c r="H26" s="33">
        <f t="shared" si="3"/>
        <v>48883.674070100293</v>
      </c>
    </row>
    <row r="27" spans="1:9" ht="15.9" customHeight="1" x14ac:dyDescent="0.35">
      <c r="A27" s="32">
        <v>18</v>
      </c>
      <c r="B27" s="33">
        <f t="shared" si="0"/>
        <v>1000</v>
      </c>
      <c r="C27" s="33">
        <f t="shared" si="1"/>
        <v>1254.4000000000001</v>
      </c>
      <c r="F27" s="32">
        <v>18</v>
      </c>
      <c r="G27" s="33">
        <f t="shared" si="2"/>
        <v>1000</v>
      </c>
      <c r="H27" s="33">
        <f t="shared" si="3"/>
        <v>55749.714958512333</v>
      </c>
    </row>
    <row r="28" spans="1:9" ht="15.9" customHeight="1" x14ac:dyDescent="0.35">
      <c r="A28" s="32">
        <v>19</v>
      </c>
      <c r="B28" s="33">
        <f t="shared" si="0"/>
        <v>1000</v>
      </c>
      <c r="C28" s="33">
        <f t="shared" si="1"/>
        <v>1120</v>
      </c>
      <c r="F28" s="32">
        <v>19</v>
      </c>
      <c r="G28" s="33">
        <f t="shared" si="2"/>
        <v>1000</v>
      </c>
      <c r="H28" s="33">
        <f t="shared" si="3"/>
        <v>63439.680753533816</v>
      </c>
    </row>
    <row r="29" spans="1:9" ht="15.9" customHeight="1" x14ac:dyDescent="0.35">
      <c r="A29" s="32">
        <v>20</v>
      </c>
      <c r="B29" s="33">
        <f t="shared" si="0"/>
        <v>1000</v>
      </c>
      <c r="C29" s="33">
        <f t="shared" si="1"/>
        <v>1000</v>
      </c>
      <c r="F29" s="32">
        <v>20</v>
      </c>
      <c r="G29" s="33">
        <f t="shared" si="2"/>
        <v>1000</v>
      </c>
      <c r="H29" s="34">
        <f t="shared" si="3"/>
        <v>72052.442443957887</v>
      </c>
      <c r="I29" s="35" t="s">
        <v>10</v>
      </c>
    </row>
    <row r="30" spans="1:9" ht="15.9" customHeight="1" thickBot="1" x14ac:dyDescent="0.4">
      <c r="B30" s="35" t="s">
        <v>10</v>
      </c>
      <c r="C30" s="36">
        <f>SUM(C10:C29)</f>
        <v>72052.442443957858</v>
      </c>
      <c r="H30" s="37"/>
    </row>
    <row r="31" spans="1:9" ht="15" customHeight="1" thickTop="1" x14ac:dyDescent="0.35"/>
  </sheetData>
  <mergeCells count="1">
    <mergeCell ref="A1:I1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activeCell="A9" sqref="A9:C27"/>
    </sheetView>
  </sheetViews>
  <sheetFormatPr defaultColWidth="9.08984375" defaultRowHeight="15.5" x14ac:dyDescent="0.35"/>
  <cols>
    <col min="1" max="1" width="10.6328125" style="1" customWidth="1"/>
    <col min="2" max="2" width="15.6328125" style="1" customWidth="1"/>
    <col min="3" max="3" width="22.90625" style="1" bestFit="1" customWidth="1"/>
    <col min="4" max="5" width="9.08984375" style="1"/>
    <col min="6" max="6" width="14.08984375" style="1" customWidth="1"/>
    <col min="7" max="7" width="13.453125" style="1" customWidth="1"/>
    <col min="8" max="16384" width="9.08984375" style="1"/>
  </cols>
  <sheetData>
    <row r="1" spans="1:7" x14ac:dyDescent="0.35">
      <c r="A1" s="53" t="s">
        <v>21</v>
      </c>
      <c r="B1" s="53"/>
      <c r="C1" s="53"/>
      <c r="D1" s="53"/>
      <c r="E1" s="53"/>
      <c r="F1" s="53"/>
      <c r="G1" s="53"/>
    </row>
    <row r="2" spans="1:7" s="11" customFormat="1" x14ac:dyDescent="0.35">
      <c r="A2" s="11" t="s">
        <v>22</v>
      </c>
      <c r="B2" s="12"/>
      <c r="C2" s="12"/>
      <c r="D2" s="12"/>
      <c r="E2" s="12"/>
      <c r="F2" s="12"/>
      <c r="G2" s="12"/>
    </row>
    <row r="3" spans="1:7" s="11" customFormat="1" x14ac:dyDescent="0.35">
      <c r="A3" s="12"/>
      <c r="B3" s="12"/>
      <c r="C3" s="12"/>
      <c r="D3" s="12"/>
      <c r="E3" s="12"/>
      <c r="F3" s="12"/>
      <c r="G3" s="12"/>
    </row>
    <row r="4" spans="1:7" ht="15.9" customHeight="1" x14ac:dyDescent="0.35">
      <c r="A4" s="8" t="s">
        <v>4</v>
      </c>
      <c r="B4" s="9" t="s">
        <v>5</v>
      </c>
      <c r="C4" s="9" t="s">
        <v>6</v>
      </c>
    </row>
    <row r="5" spans="1:7" ht="15.9" customHeight="1" x14ac:dyDescent="0.35">
      <c r="A5" s="1" t="s">
        <v>7</v>
      </c>
      <c r="B5" s="2">
        <v>7000</v>
      </c>
      <c r="C5" s="1" t="s">
        <v>11</v>
      </c>
    </row>
    <row r="6" spans="1:7" ht="15.9" customHeight="1" x14ac:dyDescent="0.35">
      <c r="A6" s="1" t="s">
        <v>8</v>
      </c>
      <c r="B6" s="3">
        <v>0.12</v>
      </c>
      <c r="C6" s="1" t="s">
        <v>12</v>
      </c>
    </row>
    <row r="7" spans="1:7" ht="15.9" customHeight="1" x14ac:dyDescent="0.35">
      <c r="A7" s="1" t="s">
        <v>9</v>
      </c>
      <c r="B7" s="5">
        <v>15</v>
      </c>
      <c r="C7" s="1" t="s">
        <v>1</v>
      </c>
    </row>
    <row r="8" spans="1:7" ht="15.9" customHeight="1" x14ac:dyDescent="0.35">
      <c r="A8" s="4"/>
      <c r="B8" s="4"/>
      <c r="C8" s="4"/>
      <c r="F8" s="6"/>
    </row>
    <row r="9" spans="1:7" s="4" customFormat="1" ht="39.9" customHeight="1" x14ac:dyDescent="0.35">
      <c r="A9" s="31" t="s">
        <v>0</v>
      </c>
      <c r="B9" s="31" t="s">
        <v>2</v>
      </c>
      <c r="C9" s="31" t="s">
        <v>13</v>
      </c>
    </row>
    <row r="10" spans="1:7" ht="15.9" customHeight="1" x14ac:dyDescent="0.35">
      <c r="A10" s="32">
        <v>1</v>
      </c>
      <c r="B10" s="33">
        <f t="shared" ref="B10:B24" si="0">X</f>
        <v>7000</v>
      </c>
      <c r="C10" s="33">
        <f t="shared" ref="C10:C24" si="1">B10*(1+i)^(-A10)</f>
        <v>6250</v>
      </c>
    </row>
    <row r="11" spans="1:7" ht="15.9" customHeight="1" x14ac:dyDescent="0.35">
      <c r="A11" s="32">
        <v>2</v>
      </c>
      <c r="B11" s="33">
        <f t="shared" si="0"/>
        <v>7000</v>
      </c>
      <c r="C11" s="33">
        <f t="shared" si="1"/>
        <v>5580.3571428571422</v>
      </c>
    </row>
    <row r="12" spans="1:7" ht="15.9" customHeight="1" x14ac:dyDescent="0.35">
      <c r="A12" s="32">
        <v>3</v>
      </c>
      <c r="B12" s="33">
        <f t="shared" si="0"/>
        <v>7000</v>
      </c>
      <c r="C12" s="33">
        <f t="shared" si="1"/>
        <v>4982.4617346938758</v>
      </c>
    </row>
    <row r="13" spans="1:7" ht="15.9" customHeight="1" x14ac:dyDescent="0.35">
      <c r="A13" s="32">
        <v>4</v>
      </c>
      <c r="B13" s="33">
        <f t="shared" si="0"/>
        <v>7000</v>
      </c>
      <c r="C13" s="33">
        <f t="shared" si="1"/>
        <v>4448.6265488338186</v>
      </c>
    </row>
    <row r="14" spans="1:7" ht="15.9" customHeight="1" x14ac:dyDescent="0.35">
      <c r="A14" s="32">
        <v>5</v>
      </c>
      <c r="B14" s="33">
        <f t="shared" si="0"/>
        <v>7000</v>
      </c>
      <c r="C14" s="33">
        <f t="shared" si="1"/>
        <v>3971.9879900301944</v>
      </c>
    </row>
    <row r="15" spans="1:7" ht="15.9" customHeight="1" x14ac:dyDescent="0.35">
      <c r="A15" s="32">
        <v>6</v>
      </c>
      <c r="B15" s="33">
        <f t="shared" si="0"/>
        <v>7000</v>
      </c>
      <c r="C15" s="33">
        <f t="shared" si="1"/>
        <v>3546.4178482412449</v>
      </c>
    </row>
    <row r="16" spans="1:7" ht="15.9" customHeight="1" x14ac:dyDescent="0.35">
      <c r="A16" s="32">
        <v>7</v>
      </c>
      <c r="B16" s="33">
        <f t="shared" si="0"/>
        <v>7000</v>
      </c>
      <c r="C16" s="33">
        <f t="shared" si="1"/>
        <v>3166.4445073582542</v>
      </c>
    </row>
    <row r="17" spans="1:3" ht="15.9" customHeight="1" x14ac:dyDescent="0.35">
      <c r="A17" s="32">
        <v>8</v>
      </c>
      <c r="B17" s="33">
        <f t="shared" si="0"/>
        <v>7000</v>
      </c>
      <c r="C17" s="33">
        <f t="shared" si="1"/>
        <v>2827.1825958555837</v>
      </c>
    </row>
    <row r="18" spans="1:3" ht="15.9" customHeight="1" x14ac:dyDescent="0.35">
      <c r="A18" s="32">
        <v>9</v>
      </c>
      <c r="B18" s="33">
        <f t="shared" si="0"/>
        <v>7000</v>
      </c>
      <c r="C18" s="33">
        <f t="shared" si="1"/>
        <v>2524.270174871057</v>
      </c>
    </row>
    <row r="19" spans="1:3" ht="15.9" customHeight="1" x14ac:dyDescent="0.35">
      <c r="A19" s="32">
        <v>10</v>
      </c>
      <c r="B19" s="33">
        <f t="shared" si="0"/>
        <v>7000</v>
      </c>
      <c r="C19" s="33">
        <f t="shared" si="1"/>
        <v>2253.8126561348718</v>
      </c>
    </row>
    <row r="20" spans="1:3" ht="15.9" customHeight="1" x14ac:dyDescent="0.35">
      <c r="A20" s="32">
        <v>11</v>
      </c>
      <c r="B20" s="33">
        <f t="shared" si="0"/>
        <v>7000</v>
      </c>
      <c r="C20" s="33">
        <f t="shared" si="1"/>
        <v>2012.3327286918498</v>
      </c>
    </row>
    <row r="21" spans="1:3" ht="15.9" customHeight="1" x14ac:dyDescent="0.35">
      <c r="A21" s="32">
        <v>12</v>
      </c>
      <c r="B21" s="33">
        <f t="shared" si="0"/>
        <v>7000</v>
      </c>
      <c r="C21" s="33">
        <f t="shared" si="1"/>
        <v>1796.7256506177232</v>
      </c>
    </row>
    <row r="22" spans="1:3" ht="15.9" customHeight="1" x14ac:dyDescent="0.35">
      <c r="A22" s="32">
        <v>13</v>
      </c>
      <c r="B22" s="33">
        <f t="shared" si="0"/>
        <v>7000</v>
      </c>
      <c r="C22" s="33">
        <f t="shared" si="1"/>
        <v>1604.2193309086811</v>
      </c>
    </row>
    <row r="23" spans="1:3" ht="15.9" customHeight="1" x14ac:dyDescent="0.35">
      <c r="A23" s="32">
        <v>14</v>
      </c>
      <c r="B23" s="33">
        <f t="shared" si="0"/>
        <v>7000</v>
      </c>
      <c r="C23" s="33">
        <f t="shared" si="1"/>
        <v>1432.3386883113221</v>
      </c>
    </row>
    <row r="24" spans="1:3" ht="15.9" customHeight="1" x14ac:dyDescent="0.35">
      <c r="A24" s="32">
        <v>15</v>
      </c>
      <c r="B24" s="33">
        <f t="shared" si="0"/>
        <v>7000</v>
      </c>
      <c r="C24" s="33">
        <f t="shared" si="1"/>
        <v>1278.8738288493948</v>
      </c>
    </row>
    <row r="25" spans="1:3" ht="15.9" customHeight="1" x14ac:dyDescent="0.35"/>
    <row r="26" spans="1:3" ht="15.9" customHeight="1" thickBot="1" x14ac:dyDescent="0.4">
      <c r="B26" s="35" t="s">
        <v>10</v>
      </c>
      <c r="C26" s="36">
        <f>SUM(C10:C24)</f>
        <v>47676.051426255006</v>
      </c>
    </row>
    <row r="27" spans="1:3" ht="15" customHeight="1" thickTop="1" x14ac:dyDescent="0.35"/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A10" sqref="A10:C26"/>
    </sheetView>
  </sheetViews>
  <sheetFormatPr defaultColWidth="9.08984375" defaultRowHeight="15.5" x14ac:dyDescent="0.35"/>
  <cols>
    <col min="1" max="1" width="13.08984375" style="1" customWidth="1"/>
    <col min="2" max="2" width="15.6328125" style="1" customWidth="1"/>
    <col min="3" max="3" width="17.08984375" style="1" customWidth="1"/>
    <col min="4" max="5" width="9.08984375" style="1"/>
    <col min="6" max="6" width="14.08984375" style="1" customWidth="1"/>
    <col min="7" max="7" width="16.6328125" style="1" customWidth="1"/>
    <col min="8" max="16384" width="9.08984375" style="1"/>
  </cols>
  <sheetData>
    <row r="1" spans="1:7" x14ac:dyDescent="0.35">
      <c r="A1" s="53" t="s">
        <v>23</v>
      </c>
      <c r="B1" s="53"/>
      <c r="C1" s="53"/>
      <c r="D1" s="53"/>
      <c r="E1" s="53"/>
      <c r="F1" s="53"/>
      <c r="G1" s="53"/>
    </row>
    <row r="2" spans="1:7" s="11" customFormat="1" x14ac:dyDescent="0.35">
      <c r="A2" s="11" t="s">
        <v>22</v>
      </c>
      <c r="B2" s="12"/>
      <c r="C2" s="12"/>
      <c r="D2" s="12"/>
      <c r="E2" s="12"/>
      <c r="F2" s="12"/>
      <c r="G2" s="12"/>
    </row>
    <row r="3" spans="1:7" s="11" customFormat="1" x14ac:dyDescent="0.35">
      <c r="A3" s="12"/>
      <c r="B3" s="12"/>
      <c r="C3" s="12"/>
      <c r="D3" s="12"/>
      <c r="E3" s="12"/>
      <c r="F3" s="12"/>
      <c r="G3" s="12"/>
    </row>
    <row r="4" spans="1:7" ht="15.9" customHeight="1" x14ac:dyDescent="0.35">
      <c r="A4" s="8" t="s">
        <v>4</v>
      </c>
      <c r="B4" s="9" t="s">
        <v>5</v>
      </c>
      <c r="C4" s="9" t="s">
        <v>6</v>
      </c>
    </row>
    <row r="5" spans="1:7" ht="15.9" customHeight="1" x14ac:dyDescent="0.35">
      <c r="A5" s="1" t="s">
        <v>7</v>
      </c>
      <c r="B5" s="2">
        <v>500</v>
      </c>
      <c r="C5" s="1" t="s">
        <v>11</v>
      </c>
    </row>
    <row r="6" spans="1:7" ht="15.9" customHeight="1" x14ac:dyDescent="0.35">
      <c r="A6" s="1" t="s">
        <v>8</v>
      </c>
      <c r="B6" s="3">
        <v>0.12</v>
      </c>
      <c r="C6" s="1" t="s">
        <v>12</v>
      </c>
    </row>
    <row r="7" spans="1:7" ht="15.9" customHeight="1" x14ac:dyDescent="0.35">
      <c r="A7" s="1" t="s">
        <v>15</v>
      </c>
      <c r="B7" s="10">
        <f>SQRT(1+i) - 1</f>
        <v>5.8300524425836331E-2</v>
      </c>
      <c r="C7" s="1" t="s">
        <v>14</v>
      </c>
    </row>
    <row r="8" spans="1:7" ht="15.9" customHeight="1" x14ac:dyDescent="0.35">
      <c r="A8" s="1" t="s">
        <v>9</v>
      </c>
      <c r="B8" s="5">
        <v>14</v>
      </c>
      <c r="C8" s="1" t="s">
        <v>16</v>
      </c>
    </row>
    <row r="9" spans="1:7" ht="15.9" customHeight="1" x14ac:dyDescent="0.35">
      <c r="A9" s="4"/>
      <c r="B9" s="4"/>
      <c r="C9" s="4"/>
      <c r="F9" s="6"/>
    </row>
    <row r="10" spans="1:7" s="4" customFormat="1" ht="39.9" customHeight="1" x14ac:dyDescent="0.35">
      <c r="A10" s="31" t="s">
        <v>19</v>
      </c>
      <c r="B10" s="31" t="s">
        <v>2</v>
      </c>
      <c r="C10" s="31" t="s">
        <v>13</v>
      </c>
    </row>
    <row r="11" spans="1:7" ht="15.9" customHeight="1" x14ac:dyDescent="0.35">
      <c r="A11" s="32">
        <v>1</v>
      </c>
      <c r="B11" s="33">
        <f t="shared" ref="B11:B24" si="0">X</f>
        <v>500</v>
      </c>
      <c r="C11" s="33">
        <f t="shared" ref="C11:C24" si="1">B11*(1+j)^(-A11)</f>
        <v>472.45559126153398</v>
      </c>
    </row>
    <row r="12" spans="1:7" ht="15.9" customHeight="1" x14ac:dyDescent="0.35">
      <c r="A12" s="32">
        <v>2</v>
      </c>
      <c r="B12" s="33">
        <f t="shared" si="0"/>
        <v>500</v>
      </c>
      <c r="C12" s="33">
        <f t="shared" si="1"/>
        <v>446.42857142857139</v>
      </c>
    </row>
    <row r="13" spans="1:7" ht="15.9" customHeight="1" x14ac:dyDescent="0.35">
      <c r="A13" s="32">
        <v>3</v>
      </c>
      <c r="B13" s="33">
        <f t="shared" si="0"/>
        <v>500</v>
      </c>
      <c r="C13" s="33">
        <f t="shared" si="1"/>
        <v>421.83534934065528</v>
      </c>
    </row>
    <row r="14" spans="1:7" ht="15.9" customHeight="1" x14ac:dyDescent="0.35">
      <c r="A14" s="32">
        <v>4</v>
      </c>
      <c r="B14" s="33">
        <f t="shared" si="0"/>
        <v>500</v>
      </c>
      <c r="C14" s="33">
        <f t="shared" si="1"/>
        <v>398.59693877551018</v>
      </c>
    </row>
    <row r="15" spans="1:7" ht="15.9" customHeight="1" x14ac:dyDescent="0.35">
      <c r="A15" s="32">
        <v>5</v>
      </c>
      <c r="B15" s="33">
        <f t="shared" si="0"/>
        <v>500</v>
      </c>
      <c r="C15" s="33">
        <f t="shared" si="1"/>
        <v>376.63870476844227</v>
      </c>
    </row>
    <row r="16" spans="1:7" ht="15.9" customHeight="1" x14ac:dyDescent="0.35">
      <c r="A16" s="32">
        <v>6</v>
      </c>
      <c r="B16" s="33">
        <f t="shared" si="0"/>
        <v>500</v>
      </c>
      <c r="C16" s="33">
        <f t="shared" si="1"/>
        <v>355.89012390670541</v>
      </c>
    </row>
    <row r="17" spans="1:3" ht="15.9" customHeight="1" x14ac:dyDescent="0.35">
      <c r="A17" s="32">
        <v>7</v>
      </c>
      <c r="B17" s="33">
        <f t="shared" si="0"/>
        <v>500</v>
      </c>
      <c r="C17" s="33">
        <f t="shared" si="1"/>
        <v>336.28455782896623</v>
      </c>
    </row>
    <row r="18" spans="1:3" ht="15.9" customHeight="1" x14ac:dyDescent="0.35">
      <c r="A18" s="32">
        <v>8</v>
      </c>
      <c r="B18" s="33">
        <f t="shared" si="0"/>
        <v>500</v>
      </c>
      <c r="C18" s="33">
        <f t="shared" si="1"/>
        <v>317.75903920241558</v>
      </c>
    </row>
    <row r="19" spans="1:3" ht="15.9" customHeight="1" x14ac:dyDescent="0.35">
      <c r="A19" s="32">
        <v>9</v>
      </c>
      <c r="B19" s="33">
        <f t="shared" si="0"/>
        <v>500</v>
      </c>
      <c r="C19" s="33">
        <f t="shared" si="1"/>
        <v>300.25406949014842</v>
      </c>
    </row>
    <row r="20" spans="1:3" ht="15.9" customHeight="1" x14ac:dyDescent="0.35">
      <c r="A20" s="32">
        <v>10</v>
      </c>
      <c r="B20" s="33">
        <f t="shared" si="0"/>
        <v>500</v>
      </c>
      <c r="C20" s="33">
        <f t="shared" si="1"/>
        <v>283.7134278592996</v>
      </c>
    </row>
    <row r="21" spans="1:3" ht="15.9" customHeight="1" x14ac:dyDescent="0.35">
      <c r="A21" s="32">
        <v>11</v>
      </c>
      <c r="B21" s="33">
        <f t="shared" si="0"/>
        <v>500</v>
      </c>
      <c r="C21" s="33">
        <f t="shared" si="1"/>
        <v>268.08399061620395</v>
      </c>
    </row>
    <row r="22" spans="1:3" ht="15.9" customHeight="1" x14ac:dyDescent="0.35">
      <c r="A22" s="32">
        <v>12</v>
      </c>
      <c r="B22" s="33">
        <f t="shared" si="0"/>
        <v>500</v>
      </c>
      <c r="C22" s="33">
        <f t="shared" si="1"/>
        <v>253.31556058866033</v>
      </c>
    </row>
    <row r="23" spans="1:3" ht="15.9" customHeight="1" x14ac:dyDescent="0.35">
      <c r="A23" s="32">
        <v>13</v>
      </c>
      <c r="B23" s="33">
        <f t="shared" si="0"/>
        <v>500</v>
      </c>
      <c r="C23" s="33">
        <f t="shared" si="1"/>
        <v>239.36070590732493</v>
      </c>
    </row>
    <row r="24" spans="1:3" ht="15.9" customHeight="1" x14ac:dyDescent="0.35">
      <c r="A24" s="32">
        <v>14</v>
      </c>
      <c r="B24" s="33">
        <f t="shared" si="0"/>
        <v>500</v>
      </c>
      <c r="C24" s="33">
        <f t="shared" si="1"/>
        <v>226.17460766844673</v>
      </c>
    </row>
    <row r="25" spans="1:3" ht="15.9" customHeight="1" x14ac:dyDescent="0.35"/>
    <row r="26" spans="1:3" ht="15.9" customHeight="1" thickBot="1" x14ac:dyDescent="0.4">
      <c r="B26" s="35" t="s">
        <v>10</v>
      </c>
      <c r="C26" s="36">
        <f>SUM(C11:C24)</f>
        <v>4696.7912386428843</v>
      </c>
    </row>
    <row r="27" spans="1:3" ht="15" customHeight="1" thickTop="1" x14ac:dyDescent="0.35"/>
  </sheetData>
  <mergeCells count="1">
    <mergeCell ref="A1:G1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02AF-2F2D-4819-A5C7-0A975D0F9E43}">
  <dimension ref="A1:F37"/>
  <sheetViews>
    <sheetView tabSelected="1" topLeftCell="A6" workbookViewId="0">
      <selection activeCell="G33" sqref="G33"/>
    </sheetView>
  </sheetViews>
  <sheetFormatPr defaultColWidth="9.81640625" defaultRowHeight="15.5" x14ac:dyDescent="0.35"/>
  <cols>
    <col min="1" max="1" width="10.54296875" style="15" customWidth="1"/>
    <col min="2" max="2" width="13.81640625" style="15" customWidth="1"/>
    <col min="3" max="3" width="22.54296875" style="15" customWidth="1"/>
    <col min="4" max="6" width="12.7265625" style="15" customWidth="1"/>
    <col min="7" max="16384" width="9.81640625" style="15"/>
  </cols>
  <sheetData>
    <row r="1" spans="1:6" ht="15.5" customHeight="1" x14ac:dyDescent="0.35">
      <c r="A1" s="54" t="s">
        <v>30</v>
      </c>
      <c r="B1" s="54"/>
      <c r="C1" s="54"/>
      <c r="D1" s="54"/>
      <c r="E1" s="54"/>
      <c r="F1" s="54"/>
    </row>
    <row r="2" spans="1:6" ht="15.5" customHeight="1" x14ac:dyDescent="0.35">
      <c r="A2" s="11" t="s">
        <v>22</v>
      </c>
      <c r="B2" s="16"/>
      <c r="C2" s="16"/>
      <c r="D2" s="16"/>
    </row>
    <row r="3" spans="1:6" ht="15.5" customHeight="1" x14ac:dyDescent="0.35">
      <c r="A3" s="16"/>
      <c r="B3" s="16"/>
      <c r="C3" s="16"/>
      <c r="D3" s="16"/>
    </row>
    <row r="4" spans="1:6" ht="15.5" customHeight="1" x14ac:dyDescent="0.35">
      <c r="A4" s="14" t="s">
        <v>4</v>
      </c>
      <c r="B4" s="17" t="s">
        <v>5</v>
      </c>
      <c r="C4" s="17" t="s">
        <v>6</v>
      </c>
    </row>
    <row r="5" spans="1:6" ht="15.5" customHeight="1" x14ac:dyDescent="0.35">
      <c r="A5" s="15" t="s">
        <v>7</v>
      </c>
      <c r="B5" s="18">
        <v>100</v>
      </c>
      <c r="C5" s="15" t="s">
        <v>11</v>
      </c>
    </row>
    <row r="6" spans="1:6" ht="15.5" customHeight="1" x14ac:dyDescent="0.35">
      <c r="A6" s="15" t="s">
        <v>8</v>
      </c>
      <c r="B6" s="19">
        <v>0.1</v>
      </c>
      <c r="C6" s="15" t="s">
        <v>12</v>
      </c>
    </row>
    <row r="7" spans="1:6" ht="15.5" customHeight="1" x14ac:dyDescent="0.35">
      <c r="A7" s="15" t="s">
        <v>9</v>
      </c>
      <c r="B7" s="20">
        <v>10</v>
      </c>
      <c r="C7" s="15" t="s">
        <v>31</v>
      </c>
    </row>
    <row r="8" spans="1:6" ht="15.5" customHeight="1" x14ac:dyDescent="0.35">
      <c r="A8" s="15" t="s">
        <v>24</v>
      </c>
      <c r="B8" s="20">
        <v>10</v>
      </c>
      <c r="C8" s="15" t="s">
        <v>32</v>
      </c>
    </row>
    <row r="9" spans="1:6" ht="15.5" customHeight="1" x14ac:dyDescent="0.35">
      <c r="A9" s="21"/>
      <c r="B9" s="21"/>
      <c r="C9" s="21"/>
      <c r="E9" s="22"/>
    </row>
    <row r="10" spans="1:6" s="21" customFormat="1" ht="15.5" customHeight="1" x14ac:dyDescent="0.35">
      <c r="A10" s="38" t="s">
        <v>25</v>
      </c>
      <c r="B10" s="38" t="s">
        <v>26</v>
      </c>
      <c r="C10" s="38" t="s">
        <v>13</v>
      </c>
    </row>
    <row r="11" spans="1:6" s="21" customFormat="1" ht="15.5" customHeight="1" x14ac:dyDescent="0.35">
      <c r="A11" s="38" t="s">
        <v>27</v>
      </c>
      <c r="B11" s="38" t="s">
        <v>28</v>
      </c>
      <c r="C11" s="38" t="s">
        <v>29</v>
      </c>
    </row>
    <row r="12" spans="1:6" s="23" customFormat="1" ht="15.5" customHeight="1" x14ac:dyDescent="0.35">
      <c r="A12" s="39">
        <v>0</v>
      </c>
      <c r="B12" s="40" cm="1">
        <f t="array" ref="B12">_xlfn.IFS(A12&lt;=$B$8,0,A12&lt;=20,X)</f>
        <v>0</v>
      </c>
      <c r="C12" s="40">
        <f t="shared" ref="C12" si="0">B12*(1+i)^(-A12)</f>
        <v>0</v>
      </c>
      <c r="E12" s="24"/>
    </row>
    <row r="13" spans="1:6" ht="15.5" customHeight="1" x14ac:dyDescent="0.35">
      <c r="A13" s="41">
        <v>1</v>
      </c>
      <c r="B13" s="40" cm="1">
        <f t="array" ref="B13">_xlfn.IFS(A13&lt;=$B$8,0,A13&lt;=20,X)</f>
        <v>0</v>
      </c>
      <c r="C13" s="40">
        <f t="shared" ref="C13" si="1">B13*(1+i)^(-A13)</f>
        <v>0</v>
      </c>
      <c r="E13" s="24"/>
    </row>
    <row r="14" spans="1:6" ht="15.5" customHeight="1" x14ac:dyDescent="0.35">
      <c r="A14" s="41">
        <v>2</v>
      </c>
      <c r="B14" s="40" cm="1">
        <f t="array" ref="B14">_xlfn.IFS(A14&lt;=$B$8,0,A14&lt;=20,X)</f>
        <v>0</v>
      </c>
      <c r="C14" s="40">
        <f t="shared" ref="C14" si="2">B14*(1+i)^(-A14)</f>
        <v>0</v>
      </c>
      <c r="E14" s="24"/>
    </row>
    <row r="15" spans="1:6" ht="15.5" customHeight="1" x14ac:dyDescent="0.35">
      <c r="A15" s="41">
        <v>3</v>
      </c>
      <c r="B15" s="40" cm="1">
        <f t="array" ref="B15">_xlfn.IFS(A15&lt;=$B$8,0,A15&lt;=20,X)</f>
        <v>0</v>
      </c>
      <c r="C15" s="40">
        <f t="shared" ref="C15" si="3">B15*(1+i)^(-A15)</f>
        <v>0</v>
      </c>
      <c r="E15" s="24"/>
    </row>
    <row r="16" spans="1:6" ht="15.5" customHeight="1" x14ac:dyDescent="0.35">
      <c r="A16" s="41">
        <v>4</v>
      </c>
      <c r="B16" s="40" cm="1">
        <f t="array" ref="B16">_xlfn.IFS(A16&lt;=$B$8,0,A16&lt;=20,X)</f>
        <v>0</v>
      </c>
      <c r="C16" s="40">
        <f t="shared" ref="C16" si="4">B16*(1+i)^(-A16)</f>
        <v>0</v>
      </c>
      <c r="E16" s="24"/>
    </row>
    <row r="17" spans="1:5" ht="15.5" customHeight="1" x14ac:dyDescent="0.35">
      <c r="A17" s="41">
        <v>5</v>
      </c>
      <c r="B17" s="40" cm="1">
        <f t="array" ref="B17">_xlfn.IFS(A17&lt;=$B$8,0,A17&lt;=20,X)</f>
        <v>0</v>
      </c>
      <c r="C17" s="40">
        <f t="shared" ref="C17" si="5">B17*(1+i)^(-A17)</f>
        <v>0</v>
      </c>
      <c r="E17" s="24"/>
    </row>
    <row r="18" spans="1:5" ht="15.5" customHeight="1" x14ac:dyDescent="0.35">
      <c r="A18" s="41">
        <v>6</v>
      </c>
      <c r="B18" s="40" cm="1">
        <f t="array" ref="B18">_xlfn.IFS(A18&lt;=$B$8,0,A18&lt;=20,X)</f>
        <v>0</v>
      </c>
      <c r="C18" s="40">
        <f t="shared" ref="C18" si="6">B18*(1+i)^(-A18)</f>
        <v>0</v>
      </c>
      <c r="E18" s="24"/>
    </row>
    <row r="19" spans="1:5" ht="15.5" customHeight="1" x14ac:dyDescent="0.35">
      <c r="A19" s="41">
        <v>7</v>
      </c>
      <c r="B19" s="40" cm="1">
        <f t="array" ref="B19">_xlfn.IFS(A19&lt;=$B$8,0,A19&lt;=20,X)</f>
        <v>0</v>
      </c>
      <c r="C19" s="40">
        <f t="shared" ref="C19" si="7">B19*(1+i)^(-A19)</f>
        <v>0</v>
      </c>
      <c r="E19" s="24"/>
    </row>
    <row r="20" spans="1:5" ht="15.5" customHeight="1" x14ac:dyDescent="0.35">
      <c r="A20" s="41">
        <v>8</v>
      </c>
      <c r="B20" s="40" cm="1">
        <f t="array" ref="B20">_xlfn.IFS(A20&lt;=$B$8,0,A20&lt;=20,X)</f>
        <v>0</v>
      </c>
      <c r="C20" s="40">
        <f t="shared" ref="C20" si="8">B20*(1+i)^(-A20)</f>
        <v>0</v>
      </c>
      <c r="E20" s="24"/>
    </row>
    <row r="21" spans="1:5" ht="15.5" customHeight="1" x14ac:dyDescent="0.35">
      <c r="A21" s="41">
        <v>9</v>
      </c>
      <c r="B21" s="40" cm="1">
        <f t="array" ref="B21">_xlfn.IFS(A21&lt;=$B$8,0,A21&lt;=20,X)</f>
        <v>0</v>
      </c>
      <c r="C21" s="40">
        <f t="shared" ref="C21" si="9">B21*(1+i)^(-A21)</f>
        <v>0</v>
      </c>
      <c r="E21" s="24"/>
    </row>
    <row r="22" spans="1:5" ht="15.5" customHeight="1" x14ac:dyDescent="0.35">
      <c r="A22" s="41">
        <v>10</v>
      </c>
      <c r="B22" s="40" cm="1">
        <f t="array" ref="B22">_xlfn.IFS(A22&lt;=$B$8,0,A22&lt;=20,X)</f>
        <v>0</v>
      </c>
      <c r="C22" s="40">
        <f t="shared" ref="C22" si="10">B22*(1+i)^(-A22)</f>
        <v>0</v>
      </c>
      <c r="E22" s="24"/>
    </row>
    <row r="23" spans="1:5" ht="15.5" customHeight="1" x14ac:dyDescent="0.35">
      <c r="A23" s="41">
        <v>11</v>
      </c>
      <c r="B23" s="40" cm="1">
        <f t="array" ref="B23">_xlfn.IFS(A23&lt;=$B$8,0,A23&lt;=20,X)</f>
        <v>100</v>
      </c>
      <c r="C23" s="40">
        <f t="shared" ref="C23" si="11">B23*(1+i)^(-A23)</f>
        <v>35.049389948139222</v>
      </c>
      <c r="E23" s="24"/>
    </row>
    <row r="24" spans="1:5" ht="15.5" customHeight="1" x14ac:dyDescent="0.35">
      <c r="A24" s="41">
        <v>12</v>
      </c>
      <c r="B24" s="40" cm="1">
        <f t="array" ref="B24">_xlfn.IFS(A24&lt;=$B$8,0,A24&lt;=20,X)</f>
        <v>100</v>
      </c>
      <c r="C24" s="40">
        <f t="shared" ref="C24" si="12">B24*(1+i)^(-A24)</f>
        <v>31.863081771035656</v>
      </c>
      <c r="E24" s="24"/>
    </row>
    <row r="25" spans="1:5" ht="15.5" customHeight="1" x14ac:dyDescent="0.35">
      <c r="A25" s="41">
        <v>13</v>
      </c>
      <c r="B25" s="40" cm="1">
        <f t="array" ref="B25">_xlfn.IFS(A25&lt;=$B$8,0,A25&lt;=20,X)</f>
        <v>100</v>
      </c>
      <c r="C25" s="40">
        <f t="shared" ref="C25" si="13">B25*(1+i)^(-A25)</f>
        <v>28.966437973668778</v>
      </c>
      <c r="E25" s="24"/>
    </row>
    <row r="26" spans="1:5" ht="15.5" customHeight="1" x14ac:dyDescent="0.35">
      <c r="A26" s="41">
        <v>14</v>
      </c>
      <c r="B26" s="40" cm="1">
        <f t="array" ref="B26">_xlfn.IFS(A26&lt;=$B$8,0,A26&lt;=20,X)</f>
        <v>100</v>
      </c>
      <c r="C26" s="40">
        <f t="shared" ref="C26" si="14">B26*(1+i)^(-A26)</f>
        <v>26.333125430607971</v>
      </c>
      <c r="E26" s="24"/>
    </row>
    <row r="27" spans="1:5" ht="15.5" customHeight="1" x14ac:dyDescent="0.35">
      <c r="A27" s="41">
        <v>15</v>
      </c>
      <c r="B27" s="40" cm="1">
        <f t="array" ref="B27">_xlfn.IFS(A27&lt;=$B$8,0,A27&lt;=20,X)</f>
        <v>100</v>
      </c>
      <c r="C27" s="40">
        <f t="shared" ref="C27" si="15">B27*(1+i)^(-A27)</f>
        <v>23.93920493691634</v>
      </c>
      <c r="E27" s="24"/>
    </row>
    <row r="28" spans="1:5" ht="15.5" customHeight="1" x14ac:dyDescent="0.35">
      <c r="A28" s="41">
        <v>16</v>
      </c>
      <c r="B28" s="40" cm="1">
        <f t="array" ref="B28">_xlfn.IFS(A28&lt;=$B$8,0,A28&lt;=20,X)</f>
        <v>100</v>
      </c>
      <c r="C28" s="40">
        <f t="shared" ref="C28" si="16">B28*(1+i)^(-A28)</f>
        <v>21.762913579014853</v>
      </c>
      <c r="E28" s="24"/>
    </row>
    <row r="29" spans="1:5" ht="15.5" customHeight="1" x14ac:dyDescent="0.35">
      <c r="A29" s="41">
        <v>17</v>
      </c>
      <c r="B29" s="40" cm="1">
        <f t="array" ref="B29">_xlfn.IFS(A29&lt;=$B$8,0,A29&lt;=20,X)</f>
        <v>100</v>
      </c>
      <c r="C29" s="40">
        <f t="shared" ref="C29" si="17">B29*(1+i)^(-A29)</f>
        <v>19.784466890013501</v>
      </c>
      <c r="E29" s="24"/>
    </row>
    <row r="30" spans="1:5" ht="15.5" customHeight="1" x14ac:dyDescent="0.35">
      <c r="A30" s="41">
        <v>18</v>
      </c>
      <c r="B30" s="40" cm="1">
        <f t="array" ref="B30">_xlfn.IFS(A30&lt;=$B$8,0,A30&lt;=20,X)</f>
        <v>100</v>
      </c>
      <c r="C30" s="40">
        <f t="shared" ref="C30" si="18">B30*(1+i)^(-A30)</f>
        <v>17.985878990921364</v>
      </c>
      <c r="E30" s="24"/>
    </row>
    <row r="31" spans="1:5" ht="15.5" customHeight="1" x14ac:dyDescent="0.35">
      <c r="A31" s="41">
        <v>19</v>
      </c>
      <c r="B31" s="40" cm="1">
        <f t="array" ref="B31">_xlfn.IFS(A31&lt;=$B$8,0,A31&lt;=20,X)</f>
        <v>100</v>
      </c>
      <c r="C31" s="40">
        <f t="shared" ref="C31" si="19">B31*(1+i)^(-A31)</f>
        <v>16.350799082655783</v>
      </c>
      <c r="E31" s="24"/>
    </row>
    <row r="32" spans="1:5" ht="15.5" customHeight="1" x14ac:dyDescent="0.35">
      <c r="A32" s="41">
        <v>20</v>
      </c>
      <c r="B32" s="40" cm="1">
        <f t="array" ref="B32">_xlfn.IFS(A32&lt;=$B$8,0,A32&lt;=20,X)</f>
        <v>100</v>
      </c>
      <c r="C32" s="40">
        <f t="shared" ref="C32" si="20">B32*(1+i)^(-A32)</f>
        <v>14.86436280241435</v>
      </c>
      <c r="E32" s="24"/>
    </row>
    <row r="33" spans="2:3" ht="15.5" customHeight="1" x14ac:dyDescent="0.35"/>
    <row r="34" spans="2:3" ht="15.5" customHeight="1" thickBot="1" x14ac:dyDescent="0.4">
      <c r="B34" s="42" t="s">
        <v>10</v>
      </c>
      <c r="C34" s="43">
        <f>SUM(C13:C32)</f>
        <v>236.8996614053878</v>
      </c>
    </row>
    <row r="35" spans="2:3" ht="15.5" customHeight="1" thickTop="1" x14ac:dyDescent="0.35"/>
    <row r="36" spans="2:3" ht="15.5" customHeight="1" x14ac:dyDescent="0.35"/>
    <row r="37" spans="2:3" ht="15.5" customHeight="1" x14ac:dyDescent="0.35"/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8C6D-FB31-4C4A-A912-A621A6FCCBD0}">
  <dimension ref="A1:K35"/>
  <sheetViews>
    <sheetView topLeftCell="A11" workbookViewId="0">
      <selection activeCell="A10" sqref="A10:K36"/>
    </sheetView>
  </sheetViews>
  <sheetFormatPr defaultColWidth="9.81640625" defaultRowHeight="15.5" x14ac:dyDescent="0.35"/>
  <cols>
    <col min="1" max="1" width="10.54296875" style="15" customWidth="1"/>
    <col min="2" max="2" width="13.81640625" style="15" customWidth="1"/>
    <col min="3" max="3" width="22.54296875" style="15" customWidth="1"/>
    <col min="4" max="5" width="12.7265625" style="15" customWidth="1"/>
    <col min="6" max="6" width="10.54296875" style="15" customWidth="1"/>
    <col min="7" max="7" width="13.81640625" style="15" customWidth="1"/>
    <col min="8" max="8" width="18.6328125" style="15" customWidth="1"/>
    <col min="9" max="9" width="13.453125" style="15" bestFit="1" customWidth="1"/>
    <col min="10" max="10" width="18.6328125" style="15" customWidth="1"/>
    <col min="11" max="11" width="23.81640625" style="15" customWidth="1"/>
    <col min="12" max="16384" width="9.81640625" style="15"/>
  </cols>
  <sheetData>
    <row r="1" spans="1:11" x14ac:dyDescent="0.35">
      <c r="A1" s="54" t="s">
        <v>36</v>
      </c>
      <c r="B1" s="54"/>
      <c r="C1" s="54"/>
      <c r="D1" s="54"/>
      <c r="E1" s="54"/>
      <c r="F1" s="54"/>
    </row>
    <row r="2" spans="1:11" x14ac:dyDescent="0.35">
      <c r="A2" s="11" t="s">
        <v>22</v>
      </c>
      <c r="B2" s="16"/>
      <c r="C2" s="16"/>
      <c r="D2" s="16"/>
    </row>
    <row r="3" spans="1:11" x14ac:dyDescent="0.35">
      <c r="A3" s="16"/>
      <c r="B3" s="16"/>
      <c r="C3" s="16"/>
      <c r="D3" s="16"/>
    </row>
    <row r="4" spans="1:11" ht="20.149999999999999" customHeight="1" x14ac:dyDescent="0.35">
      <c r="A4" s="14" t="s">
        <v>4</v>
      </c>
      <c r="B4" s="17" t="s">
        <v>5</v>
      </c>
      <c r="C4" s="17" t="s">
        <v>6</v>
      </c>
      <c r="F4" s="14" t="s">
        <v>4</v>
      </c>
      <c r="G4" s="17" t="s">
        <v>5</v>
      </c>
      <c r="H4" s="17" t="s">
        <v>6</v>
      </c>
    </row>
    <row r="5" spans="1:11" ht="20.149999999999999" customHeight="1" x14ac:dyDescent="0.35">
      <c r="A5" s="15" t="s">
        <v>7</v>
      </c>
      <c r="B5" s="18">
        <v>10000</v>
      </c>
      <c r="C5" s="15" t="s">
        <v>33</v>
      </c>
      <c r="F5" s="15" t="s">
        <v>40</v>
      </c>
      <c r="G5" s="18">
        <v>9000</v>
      </c>
      <c r="H5" s="15" t="s">
        <v>39</v>
      </c>
    </row>
    <row r="6" spans="1:11" ht="20.149999999999999" customHeight="1" x14ac:dyDescent="0.35">
      <c r="A6" s="15" t="s">
        <v>34</v>
      </c>
      <c r="B6" s="18">
        <v>1000</v>
      </c>
      <c r="C6" s="15" t="s">
        <v>35</v>
      </c>
      <c r="F6" s="15" t="s">
        <v>41</v>
      </c>
      <c r="G6" s="18">
        <v>1000</v>
      </c>
      <c r="H6" s="15" t="s">
        <v>35</v>
      </c>
    </row>
    <row r="7" spans="1:11" ht="20.149999999999999" customHeight="1" x14ac:dyDescent="0.35">
      <c r="A7" s="15" t="s">
        <v>8</v>
      </c>
      <c r="B7" s="19">
        <v>0.05</v>
      </c>
      <c r="C7" s="15" t="s">
        <v>12</v>
      </c>
      <c r="F7" s="15" t="s">
        <v>8</v>
      </c>
      <c r="G7" s="19">
        <f>i</f>
        <v>0.05</v>
      </c>
      <c r="H7" s="15" t="s">
        <v>12</v>
      </c>
    </row>
    <row r="8" spans="1:11" ht="20.149999999999999" customHeight="1" x14ac:dyDescent="0.35">
      <c r="A8" s="15" t="s">
        <v>9</v>
      </c>
      <c r="B8" s="20">
        <v>20</v>
      </c>
      <c r="C8" s="15" t="s">
        <v>1</v>
      </c>
      <c r="F8" s="15" t="s">
        <v>9</v>
      </c>
      <c r="G8" s="20">
        <f>n</f>
        <v>20</v>
      </c>
      <c r="H8" s="15" t="s">
        <v>1</v>
      </c>
    </row>
    <row r="9" spans="1:11" ht="20.149999999999999" customHeight="1" x14ac:dyDescent="0.35">
      <c r="A9" s="21"/>
      <c r="B9" s="21"/>
      <c r="C9" s="21"/>
      <c r="E9" s="22"/>
    </row>
    <row r="10" spans="1:11" s="21" customFormat="1" ht="46.5" x14ac:dyDescent="0.35">
      <c r="A10" s="38" t="s">
        <v>25</v>
      </c>
      <c r="B10" s="38" t="s">
        <v>26</v>
      </c>
      <c r="C10" s="38" t="s">
        <v>13</v>
      </c>
      <c r="F10" s="38" t="s">
        <v>25</v>
      </c>
      <c r="G10" s="38" t="s">
        <v>37</v>
      </c>
      <c r="H10" s="38" t="s">
        <v>13</v>
      </c>
      <c r="I10" s="38" t="s">
        <v>38</v>
      </c>
      <c r="J10" s="38" t="s">
        <v>13</v>
      </c>
      <c r="K10" s="38" t="s">
        <v>42</v>
      </c>
    </row>
    <row r="11" spans="1:11" s="21" customFormat="1" ht="25" customHeight="1" x14ac:dyDescent="0.35">
      <c r="A11" s="38" t="s">
        <v>27</v>
      </c>
      <c r="B11" s="38" t="s">
        <v>28</v>
      </c>
      <c r="C11" s="38" t="s">
        <v>29</v>
      </c>
      <c r="F11" s="38" t="s">
        <v>27</v>
      </c>
      <c r="G11" s="38" t="s">
        <v>28</v>
      </c>
      <c r="H11" s="38"/>
      <c r="I11" s="38"/>
      <c r="J11" s="38"/>
      <c r="K11" s="38" t="s">
        <v>29</v>
      </c>
    </row>
    <row r="12" spans="1:11" s="21" customFormat="1" ht="19.75" customHeight="1" x14ac:dyDescent="0.35">
      <c r="A12" s="39">
        <v>0</v>
      </c>
      <c r="B12" s="44">
        <v>0</v>
      </c>
      <c r="C12" s="40">
        <f t="shared" ref="C12:C32" si="0">B12*(1+i)^(-A12)</f>
        <v>0</v>
      </c>
      <c r="F12" s="39">
        <v>0</v>
      </c>
      <c r="G12" s="44">
        <v>0</v>
      </c>
      <c r="H12" s="40">
        <f t="shared" ref="H12:H32" si="1">G12*(1+i)^-F12</f>
        <v>0</v>
      </c>
      <c r="I12" s="44">
        <f t="shared" ref="I12:I32" si="2">F12*Inc_P</f>
        <v>0</v>
      </c>
      <c r="J12" s="40">
        <f t="shared" ref="J12:J32" si="3">I12*(1+i)^-F12</f>
        <v>0</v>
      </c>
      <c r="K12" s="40">
        <f>H12+J12</f>
        <v>0</v>
      </c>
    </row>
    <row r="13" spans="1:11" ht="20.149999999999999" customHeight="1" x14ac:dyDescent="0.35">
      <c r="A13" s="41">
        <v>1</v>
      </c>
      <c r="B13" s="40">
        <f t="shared" ref="B13:B32" si="4">X+(A13-1)*Y</f>
        <v>10000</v>
      </c>
      <c r="C13" s="40">
        <f t="shared" si="0"/>
        <v>9523.8095238095229</v>
      </c>
      <c r="F13" s="41">
        <v>1</v>
      </c>
      <c r="G13" s="40">
        <f t="shared" ref="G13:G32" si="5">Lvl_P</f>
        <v>9000</v>
      </c>
      <c r="H13" s="40">
        <f t="shared" si="1"/>
        <v>8571.4285714285706</v>
      </c>
      <c r="I13" s="44">
        <f t="shared" si="2"/>
        <v>1000</v>
      </c>
      <c r="J13" s="40">
        <f t="shared" si="3"/>
        <v>952.38095238095229</v>
      </c>
      <c r="K13" s="40">
        <f t="shared" ref="K13:K32" si="6">H13+J13</f>
        <v>9523.8095238095229</v>
      </c>
    </row>
    <row r="14" spans="1:11" ht="20.149999999999999" customHeight="1" x14ac:dyDescent="0.35">
      <c r="A14" s="41">
        <v>2</v>
      </c>
      <c r="B14" s="40">
        <f t="shared" si="4"/>
        <v>11000</v>
      </c>
      <c r="C14" s="40">
        <f t="shared" si="0"/>
        <v>9977.3242630385485</v>
      </c>
      <c r="F14" s="41">
        <v>2</v>
      </c>
      <c r="G14" s="40">
        <f t="shared" si="5"/>
        <v>9000</v>
      </c>
      <c r="H14" s="40">
        <f t="shared" si="1"/>
        <v>8163.2653061224482</v>
      </c>
      <c r="I14" s="44">
        <f t="shared" si="2"/>
        <v>2000</v>
      </c>
      <c r="J14" s="40">
        <f t="shared" si="3"/>
        <v>1814.0589569160995</v>
      </c>
      <c r="K14" s="40">
        <f t="shared" si="6"/>
        <v>9977.3242630385485</v>
      </c>
    </row>
    <row r="15" spans="1:11" ht="20.149999999999999" customHeight="1" x14ac:dyDescent="0.35">
      <c r="A15" s="41">
        <v>3</v>
      </c>
      <c r="B15" s="40">
        <f t="shared" si="4"/>
        <v>12000</v>
      </c>
      <c r="C15" s="40">
        <f t="shared" si="0"/>
        <v>10366.051182377712</v>
      </c>
      <c r="F15" s="41">
        <v>3</v>
      </c>
      <c r="G15" s="40">
        <f t="shared" si="5"/>
        <v>9000</v>
      </c>
      <c r="H15" s="40">
        <f t="shared" si="1"/>
        <v>7774.5383867832843</v>
      </c>
      <c r="I15" s="44">
        <f t="shared" si="2"/>
        <v>3000</v>
      </c>
      <c r="J15" s="40">
        <f t="shared" si="3"/>
        <v>2591.5127955944281</v>
      </c>
      <c r="K15" s="40">
        <f t="shared" si="6"/>
        <v>10366.051182377712</v>
      </c>
    </row>
    <row r="16" spans="1:11" ht="20.149999999999999" customHeight="1" x14ac:dyDescent="0.35">
      <c r="A16" s="41">
        <v>4</v>
      </c>
      <c r="B16" s="40">
        <f t="shared" si="4"/>
        <v>13000</v>
      </c>
      <c r="C16" s="40">
        <f t="shared" si="0"/>
        <v>10695.132172294465</v>
      </c>
      <c r="F16" s="41">
        <v>4</v>
      </c>
      <c r="G16" s="40">
        <f t="shared" si="5"/>
        <v>9000</v>
      </c>
      <c r="H16" s="40">
        <f t="shared" si="1"/>
        <v>7404.3222731269379</v>
      </c>
      <c r="I16" s="44">
        <f t="shared" si="2"/>
        <v>4000</v>
      </c>
      <c r="J16" s="40">
        <f t="shared" si="3"/>
        <v>3290.8098991675279</v>
      </c>
      <c r="K16" s="40">
        <f t="shared" si="6"/>
        <v>10695.132172294467</v>
      </c>
    </row>
    <row r="17" spans="1:11" ht="20.149999999999999" customHeight="1" x14ac:dyDescent="0.35">
      <c r="A17" s="41">
        <v>5</v>
      </c>
      <c r="B17" s="40">
        <f t="shared" si="4"/>
        <v>14000</v>
      </c>
      <c r="C17" s="40">
        <f t="shared" si="0"/>
        <v>10969.366330558425</v>
      </c>
      <c r="F17" s="41">
        <v>5</v>
      </c>
      <c r="G17" s="40">
        <f t="shared" si="5"/>
        <v>9000</v>
      </c>
      <c r="H17" s="40">
        <f t="shared" si="1"/>
        <v>7051.7354982161305</v>
      </c>
      <c r="I17" s="44">
        <f t="shared" si="2"/>
        <v>5000</v>
      </c>
      <c r="J17" s="40">
        <f t="shared" si="3"/>
        <v>3917.630832342295</v>
      </c>
      <c r="K17" s="40">
        <f t="shared" si="6"/>
        <v>10969.366330558425</v>
      </c>
    </row>
    <row r="18" spans="1:11" ht="20.149999999999999" customHeight="1" x14ac:dyDescent="0.35">
      <c r="A18" s="41">
        <v>6</v>
      </c>
      <c r="B18" s="40">
        <f t="shared" si="4"/>
        <v>15000</v>
      </c>
      <c r="C18" s="40">
        <f t="shared" si="0"/>
        <v>11193.230949549414</v>
      </c>
      <c r="F18" s="41">
        <v>6</v>
      </c>
      <c r="G18" s="40">
        <f t="shared" si="5"/>
        <v>9000</v>
      </c>
      <c r="H18" s="40">
        <f t="shared" si="1"/>
        <v>6715.9385697296484</v>
      </c>
      <c r="I18" s="44">
        <f t="shared" si="2"/>
        <v>6000</v>
      </c>
      <c r="J18" s="40">
        <f t="shared" si="3"/>
        <v>4477.2923798197653</v>
      </c>
      <c r="K18" s="40">
        <f t="shared" si="6"/>
        <v>11193.230949549414</v>
      </c>
    </row>
    <row r="19" spans="1:11" ht="20.149999999999999" customHeight="1" x14ac:dyDescent="0.35">
      <c r="A19" s="41">
        <v>7</v>
      </c>
      <c r="B19" s="40">
        <f t="shared" si="4"/>
        <v>16000</v>
      </c>
      <c r="C19" s="40">
        <f t="shared" si="0"/>
        <v>11370.901282081944</v>
      </c>
      <c r="F19" s="41">
        <v>7</v>
      </c>
      <c r="G19" s="40">
        <f t="shared" si="5"/>
        <v>9000</v>
      </c>
      <c r="H19" s="40">
        <f t="shared" si="1"/>
        <v>6396.131971171093</v>
      </c>
      <c r="I19" s="44">
        <f t="shared" si="2"/>
        <v>7000</v>
      </c>
      <c r="J19" s="40">
        <f t="shared" si="3"/>
        <v>4974.7693109108504</v>
      </c>
      <c r="K19" s="40">
        <f t="shared" si="6"/>
        <v>11370.901282081944</v>
      </c>
    </row>
    <row r="20" spans="1:11" ht="20.149999999999999" customHeight="1" x14ac:dyDescent="0.35">
      <c r="A20" s="41">
        <v>8</v>
      </c>
      <c r="B20" s="40">
        <f t="shared" si="4"/>
        <v>17000</v>
      </c>
      <c r="C20" s="40">
        <f t="shared" si="0"/>
        <v>11506.269154487683</v>
      </c>
      <c r="F20" s="41">
        <v>8</v>
      </c>
      <c r="G20" s="40">
        <f t="shared" si="5"/>
        <v>9000</v>
      </c>
      <c r="H20" s="40">
        <f t="shared" si="1"/>
        <v>6091.5542582581847</v>
      </c>
      <c r="I20" s="44">
        <f t="shared" si="2"/>
        <v>8000</v>
      </c>
      <c r="J20" s="40">
        <f t="shared" si="3"/>
        <v>5414.7148962294978</v>
      </c>
      <c r="K20" s="40">
        <f t="shared" si="6"/>
        <v>11506.269154487683</v>
      </c>
    </row>
    <row r="21" spans="1:11" ht="20.149999999999999" customHeight="1" x14ac:dyDescent="0.35">
      <c r="A21" s="41">
        <v>9</v>
      </c>
      <c r="B21" s="40">
        <f t="shared" si="4"/>
        <v>18000</v>
      </c>
      <c r="C21" s="40">
        <f t="shared" si="0"/>
        <v>11602.96049192035</v>
      </c>
      <c r="F21" s="41">
        <v>9</v>
      </c>
      <c r="G21" s="40">
        <f t="shared" si="5"/>
        <v>9000</v>
      </c>
      <c r="H21" s="40">
        <f t="shared" si="1"/>
        <v>5801.4802459601751</v>
      </c>
      <c r="I21" s="44">
        <f t="shared" si="2"/>
        <v>9000</v>
      </c>
      <c r="J21" s="40">
        <f t="shared" si="3"/>
        <v>5801.4802459601751</v>
      </c>
      <c r="K21" s="40">
        <f t="shared" si="6"/>
        <v>11602.96049192035</v>
      </c>
    </row>
    <row r="22" spans="1:11" ht="20.149999999999999" customHeight="1" x14ac:dyDescent="0.35">
      <c r="A22" s="41">
        <v>10</v>
      </c>
      <c r="B22" s="40">
        <f t="shared" si="4"/>
        <v>19000</v>
      </c>
      <c r="C22" s="40">
        <f t="shared" si="0"/>
        <v>11664.351817274426</v>
      </c>
      <c r="F22" s="41">
        <v>10</v>
      </c>
      <c r="G22" s="40">
        <f t="shared" si="5"/>
        <v>9000</v>
      </c>
      <c r="H22" s="40">
        <f t="shared" si="1"/>
        <v>5525.2192818668336</v>
      </c>
      <c r="I22" s="44">
        <f t="shared" si="2"/>
        <v>10000</v>
      </c>
      <c r="J22" s="40">
        <f t="shared" si="3"/>
        <v>6139.1325354075934</v>
      </c>
      <c r="K22" s="40">
        <f t="shared" si="6"/>
        <v>11664.351817274426</v>
      </c>
    </row>
    <row r="23" spans="1:11" ht="20.149999999999999" customHeight="1" x14ac:dyDescent="0.35">
      <c r="A23" s="41">
        <v>11</v>
      </c>
      <c r="B23" s="40">
        <f t="shared" si="4"/>
        <v>20000</v>
      </c>
      <c r="C23" s="40">
        <f t="shared" si="0"/>
        <v>11693.585781728749</v>
      </c>
      <c r="F23" s="41">
        <v>11</v>
      </c>
      <c r="G23" s="40">
        <f t="shared" si="5"/>
        <v>9000</v>
      </c>
      <c r="H23" s="40">
        <f t="shared" si="1"/>
        <v>5262.1136017779363</v>
      </c>
      <c r="I23" s="44">
        <f t="shared" si="2"/>
        <v>11000</v>
      </c>
      <c r="J23" s="40">
        <f t="shared" si="3"/>
        <v>6431.4721799508116</v>
      </c>
      <c r="K23" s="40">
        <f t="shared" si="6"/>
        <v>11693.585781728747</v>
      </c>
    </row>
    <row r="24" spans="1:11" ht="20.149999999999999" customHeight="1" x14ac:dyDescent="0.35">
      <c r="A24" s="41">
        <v>12</v>
      </c>
      <c r="B24" s="40">
        <f t="shared" si="4"/>
        <v>21000</v>
      </c>
      <c r="C24" s="40">
        <f t="shared" si="0"/>
        <v>11693.585781728749</v>
      </c>
      <c r="F24" s="41">
        <v>12</v>
      </c>
      <c r="G24" s="40">
        <f t="shared" si="5"/>
        <v>9000</v>
      </c>
      <c r="H24" s="40">
        <f t="shared" si="1"/>
        <v>5011.5367635980356</v>
      </c>
      <c r="I24" s="44">
        <f t="shared" si="2"/>
        <v>12000</v>
      </c>
      <c r="J24" s="40">
        <f t="shared" si="3"/>
        <v>6682.0490181307141</v>
      </c>
      <c r="K24" s="40">
        <f t="shared" si="6"/>
        <v>11693.585781728751</v>
      </c>
    </row>
    <row r="25" spans="1:11" ht="20.149999999999999" customHeight="1" x14ac:dyDescent="0.35">
      <c r="A25" s="41">
        <v>13</v>
      </c>
      <c r="B25" s="40">
        <f t="shared" si="4"/>
        <v>22000</v>
      </c>
      <c r="C25" s="40">
        <f t="shared" si="0"/>
        <v>11667.069714196481</v>
      </c>
      <c r="F25" s="41">
        <v>13</v>
      </c>
      <c r="G25" s="40">
        <f t="shared" si="5"/>
        <v>9000</v>
      </c>
      <c r="H25" s="40">
        <f t="shared" si="1"/>
        <v>4772.8921558076518</v>
      </c>
      <c r="I25" s="44">
        <f t="shared" si="2"/>
        <v>13000</v>
      </c>
      <c r="J25" s="40">
        <f t="shared" si="3"/>
        <v>6894.1775583888302</v>
      </c>
      <c r="K25" s="40">
        <f t="shared" si="6"/>
        <v>11667.069714196481</v>
      </c>
    </row>
    <row r="26" spans="1:11" ht="20.149999999999999" customHeight="1" x14ac:dyDescent="0.35">
      <c r="A26" s="41">
        <v>14</v>
      </c>
      <c r="B26" s="40">
        <f t="shared" si="4"/>
        <v>23000</v>
      </c>
      <c r="C26" s="40">
        <f t="shared" si="0"/>
        <v>11616.562918896934</v>
      </c>
      <c r="F26" s="41">
        <v>14</v>
      </c>
      <c r="G26" s="40">
        <f t="shared" si="5"/>
        <v>9000</v>
      </c>
      <c r="H26" s="40">
        <f t="shared" si="1"/>
        <v>4545.6115769596699</v>
      </c>
      <c r="I26" s="44">
        <f t="shared" si="2"/>
        <v>14000</v>
      </c>
      <c r="J26" s="40">
        <f t="shared" si="3"/>
        <v>7070.9513419372643</v>
      </c>
      <c r="K26" s="40">
        <f t="shared" si="6"/>
        <v>11616.562918896934</v>
      </c>
    </row>
    <row r="27" spans="1:11" ht="20.149999999999999" customHeight="1" x14ac:dyDescent="0.35">
      <c r="A27" s="41">
        <v>15</v>
      </c>
      <c r="B27" s="40">
        <f t="shared" si="4"/>
        <v>24000</v>
      </c>
      <c r="C27" s="40">
        <f t="shared" si="0"/>
        <v>11544.410354183285</v>
      </c>
      <c r="F27" s="41">
        <v>15</v>
      </c>
      <c r="G27" s="40">
        <f t="shared" si="5"/>
        <v>9000</v>
      </c>
      <c r="H27" s="40">
        <f t="shared" si="1"/>
        <v>4329.1538828187322</v>
      </c>
      <c r="I27" s="44">
        <f t="shared" si="2"/>
        <v>15000</v>
      </c>
      <c r="J27" s="40">
        <f t="shared" si="3"/>
        <v>7215.2564713645534</v>
      </c>
      <c r="K27" s="40">
        <f t="shared" si="6"/>
        <v>11544.410354183285</v>
      </c>
    </row>
    <row r="28" spans="1:11" ht="20.149999999999999" customHeight="1" x14ac:dyDescent="0.35">
      <c r="A28" s="41">
        <v>16</v>
      </c>
      <c r="B28" s="40">
        <f t="shared" si="4"/>
        <v>25000</v>
      </c>
      <c r="C28" s="40">
        <f t="shared" si="0"/>
        <v>11452.788049785006</v>
      </c>
      <c r="F28" s="41">
        <v>16</v>
      </c>
      <c r="G28" s="40">
        <f t="shared" si="5"/>
        <v>9000</v>
      </c>
      <c r="H28" s="40">
        <f t="shared" si="1"/>
        <v>4123.0036979226015</v>
      </c>
      <c r="I28" s="44">
        <f t="shared" si="2"/>
        <v>16000</v>
      </c>
      <c r="J28" s="40">
        <f t="shared" si="3"/>
        <v>7329.7843518624031</v>
      </c>
      <c r="K28" s="40">
        <f t="shared" si="6"/>
        <v>11452.788049785006</v>
      </c>
    </row>
    <row r="29" spans="1:11" ht="20.149999999999999" customHeight="1" x14ac:dyDescent="0.35">
      <c r="A29" s="41">
        <v>17</v>
      </c>
      <c r="B29" s="40">
        <f t="shared" si="4"/>
        <v>26000</v>
      </c>
      <c r="C29" s="40">
        <f t="shared" si="0"/>
        <v>11343.713877882288</v>
      </c>
      <c r="F29" s="41">
        <v>17</v>
      </c>
      <c r="G29" s="40">
        <f t="shared" si="5"/>
        <v>9000</v>
      </c>
      <c r="H29" s="40">
        <f t="shared" si="1"/>
        <v>3926.6701884977156</v>
      </c>
      <c r="I29" s="44">
        <f t="shared" si="2"/>
        <v>17000</v>
      </c>
      <c r="J29" s="40">
        <f t="shared" si="3"/>
        <v>7417.0436893845736</v>
      </c>
      <c r="K29" s="40">
        <f t="shared" si="6"/>
        <v>11343.713877882288</v>
      </c>
    </row>
    <row r="30" spans="1:11" ht="20.149999999999999" customHeight="1" x14ac:dyDescent="0.35">
      <c r="A30" s="41">
        <v>18</v>
      </c>
      <c r="B30" s="40">
        <f t="shared" si="4"/>
        <v>27000</v>
      </c>
      <c r="C30" s="40">
        <f t="shared" si="0"/>
        <v>11219.057681422044</v>
      </c>
      <c r="F30" s="41">
        <v>18</v>
      </c>
      <c r="G30" s="40">
        <f t="shared" si="5"/>
        <v>9000</v>
      </c>
      <c r="H30" s="40">
        <f t="shared" si="1"/>
        <v>3739.6858938073483</v>
      </c>
      <c r="I30" s="44">
        <f t="shared" si="2"/>
        <v>18000</v>
      </c>
      <c r="J30" s="40">
        <f t="shared" si="3"/>
        <v>7479.3717876146966</v>
      </c>
      <c r="K30" s="40">
        <f t="shared" si="6"/>
        <v>11219.057681422044</v>
      </c>
    </row>
    <row r="31" spans="1:11" ht="20.149999999999999" customHeight="1" x14ac:dyDescent="0.35">
      <c r="A31" s="41">
        <v>19</v>
      </c>
      <c r="B31" s="40">
        <f t="shared" si="4"/>
        <v>28000</v>
      </c>
      <c r="C31" s="40">
        <f t="shared" si="0"/>
        <v>11080.550796466217</v>
      </c>
      <c r="F31" s="41">
        <v>19</v>
      </c>
      <c r="G31" s="40">
        <f t="shared" si="5"/>
        <v>9000</v>
      </c>
      <c r="H31" s="40">
        <f t="shared" si="1"/>
        <v>3561.6056131498553</v>
      </c>
      <c r="I31" s="44">
        <f t="shared" si="2"/>
        <v>19000</v>
      </c>
      <c r="J31" s="40">
        <f t="shared" si="3"/>
        <v>7518.9451833163612</v>
      </c>
      <c r="K31" s="40">
        <f t="shared" si="6"/>
        <v>11080.550796466217</v>
      </c>
    </row>
    <row r="32" spans="1:11" ht="20.149999999999999" customHeight="1" x14ac:dyDescent="0.35">
      <c r="A32" s="41">
        <v>20</v>
      </c>
      <c r="B32" s="40">
        <f t="shared" si="4"/>
        <v>29000</v>
      </c>
      <c r="C32" s="40">
        <f t="shared" si="0"/>
        <v>10929.795003317018</v>
      </c>
      <c r="F32" s="41">
        <v>20</v>
      </c>
      <c r="G32" s="40">
        <f t="shared" si="5"/>
        <v>9000</v>
      </c>
      <c r="H32" s="40">
        <f t="shared" si="1"/>
        <v>3392.0053458570055</v>
      </c>
      <c r="I32" s="44">
        <f t="shared" si="2"/>
        <v>20000</v>
      </c>
      <c r="J32" s="40">
        <f t="shared" si="3"/>
        <v>7537.7896574600127</v>
      </c>
      <c r="K32" s="40">
        <f t="shared" si="6"/>
        <v>10929.795003317018</v>
      </c>
    </row>
    <row r="33" spans="2:11" ht="20.149999999999999" customHeight="1" x14ac:dyDescent="0.35"/>
    <row r="34" spans="2:11" ht="20.149999999999999" customHeight="1" thickBot="1" x14ac:dyDescent="0.4">
      <c r="B34" s="42" t="s">
        <v>10</v>
      </c>
      <c r="C34" s="43">
        <f>SUM(C13:C32)</f>
        <v>223110.51712699927</v>
      </c>
      <c r="G34" s="42" t="s">
        <v>10</v>
      </c>
      <c r="H34" s="43">
        <f t="shared" ref="H34:J34" si="7">SUM(H13:H32)</f>
        <v>112159.89308285984</v>
      </c>
      <c r="I34" s="45"/>
      <c r="J34" s="43">
        <f t="shared" si="7"/>
        <v>110950.62404413942</v>
      </c>
      <c r="K34" s="43">
        <f>SUM(K13:K32)</f>
        <v>223110.51712699927</v>
      </c>
    </row>
    <row r="35" spans="2:11" ht="15" customHeight="1" thickTop="1" x14ac:dyDescent="0.35"/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5286-1C41-49E7-8973-B3E0745569FC}">
  <dimension ref="A1:E50"/>
  <sheetViews>
    <sheetView workbookViewId="0">
      <selection activeCell="A10" sqref="A10:D50"/>
    </sheetView>
  </sheetViews>
  <sheetFormatPr defaultColWidth="9.81640625" defaultRowHeight="15.5" x14ac:dyDescent="0.35"/>
  <cols>
    <col min="1" max="1" width="10.54296875" style="15" customWidth="1"/>
    <col min="2" max="2" width="13.81640625" style="15" customWidth="1"/>
    <col min="3" max="4" width="22.54296875" style="15" customWidth="1"/>
    <col min="5" max="5" width="9.81640625" style="15" customWidth="1"/>
    <col min="6" max="16384" width="9.81640625" style="15"/>
  </cols>
  <sheetData>
    <row r="1" spans="1:5" x14ac:dyDescent="0.35">
      <c r="A1" s="54" t="s">
        <v>48</v>
      </c>
      <c r="B1" s="54"/>
      <c r="C1" s="54"/>
      <c r="D1" s="54"/>
      <c r="E1" s="54"/>
    </row>
    <row r="2" spans="1:5" ht="15.65" customHeight="1" x14ac:dyDescent="0.35">
      <c r="A2" s="11" t="s">
        <v>22</v>
      </c>
      <c r="B2" s="14"/>
      <c r="C2" s="14"/>
      <c r="D2" s="14"/>
      <c r="E2" s="14"/>
    </row>
    <row r="3" spans="1:5" ht="15.65" customHeight="1" x14ac:dyDescent="0.35">
      <c r="A3" s="14"/>
      <c r="B3" s="14"/>
      <c r="C3" s="14"/>
      <c r="D3" s="14"/>
      <c r="E3" s="14"/>
    </row>
    <row r="4" spans="1:5" ht="15.9" customHeight="1" x14ac:dyDescent="0.35">
      <c r="A4" s="14" t="s">
        <v>4</v>
      </c>
      <c r="B4" s="17" t="s">
        <v>5</v>
      </c>
      <c r="C4" s="17" t="s">
        <v>6</v>
      </c>
    </row>
    <row r="5" spans="1:5" ht="15.9" customHeight="1" x14ac:dyDescent="0.35">
      <c r="A5" s="15" t="s">
        <v>7</v>
      </c>
      <c r="B5" s="18">
        <v>1</v>
      </c>
      <c r="C5" s="15" t="s">
        <v>43</v>
      </c>
    </row>
    <row r="6" spans="1:5" ht="15.9" customHeight="1" x14ac:dyDescent="0.35">
      <c r="A6" s="15" t="s">
        <v>34</v>
      </c>
      <c r="B6" s="19">
        <v>0.05</v>
      </c>
      <c r="C6" s="15" t="s">
        <v>44</v>
      </c>
    </row>
    <row r="7" spans="1:5" ht="15.9" customHeight="1" x14ac:dyDescent="0.35">
      <c r="A7" s="15" t="s">
        <v>8</v>
      </c>
      <c r="B7" s="19">
        <v>7.0000000000000007E-2</v>
      </c>
      <c r="C7" s="15" t="s">
        <v>45</v>
      </c>
    </row>
    <row r="8" spans="1:5" ht="15.9" customHeight="1" x14ac:dyDescent="0.35">
      <c r="B8" s="30"/>
    </row>
    <row r="9" spans="1:5" ht="15.9" customHeight="1" x14ac:dyDescent="0.35">
      <c r="B9" s="22"/>
    </row>
    <row r="10" spans="1:5" s="21" customFormat="1" ht="15.5" customHeight="1" x14ac:dyDescent="0.35">
      <c r="A10" s="46" t="s">
        <v>46</v>
      </c>
      <c r="B10" s="38" t="s">
        <v>25</v>
      </c>
      <c r="C10" s="38" t="s">
        <v>47</v>
      </c>
      <c r="D10" s="38" t="s">
        <v>13</v>
      </c>
    </row>
    <row r="11" spans="1:5" s="21" customFormat="1" ht="15.5" customHeight="1" x14ac:dyDescent="0.35">
      <c r="A11" s="46" t="s">
        <v>27</v>
      </c>
      <c r="B11" s="38" t="s">
        <v>27</v>
      </c>
      <c r="C11" s="38" t="s">
        <v>28</v>
      </c>
      <c r="D11" s="38" t="s">
        <v>29</v>
      </c>
    </row>
    <row r="12" spans="1:5" ht="15.5" customHeight="1" x14ac:dyDescent="0.35">
      <c r="A12" s="41">
        <v>65</v>
      </c>
      <c r="B12" s="41">
        <f>A12-65</f>
        <v>0</v>
      </c>
      <c r="C12" s="47">
        <v>0</v>
      </c>
      <c r="D12" s="47">
        <f t="shared" ref="D12:D47" si="0">C12*(1+i)^(-B12)</f>
        <v>0</v>
      </c>
    </row>
    <row r="13" spans="1:5" ht="15.5" customHeight="1" x14ac:dyDescent="0.35">
      <c r="A13" s="41">
        <f>A12+1</f>
        <v>66</v>
      </c>
      <c r="B13" s="41">
        <f t="shared" ref="B13:B47" si="1">A13-65</f>
        <v>1</v>
      </c>
      <c r="C13" s="47">
        <f t="shared" ref="C13:C47" si="2">X*(1+Y)^(B13-1)</f>
        <v>1</v>
      </c>
      <c r="D13" s="47">
        <f t="shared" si="0"/>
        <v>0.93457943925233644</v>
      </c>
    </row>
    <row r="14" spans="1:5" ht="15.5" customHeight="1" x14ac:dyDescent="0.35">
      <c r="A14" s="41">
        <f t="shared" ref="A14:A47" si="3">A13+1</f>
        <v>67</v>
      </c>
      <c r="B14" s="41">
        <f t="shared" si="1"/>
        <v>2</v>
      </c>
      <c r="C14" s="47">
        <f t="shared" si="2"/>
        <v>1.05</v>
      </c>
      <c r="D14" s="47">
        <f t="shared" si="0"/>
        <v>0.91711066468687219</v>
      </c>
    </row>
    <row r="15" spans="1:5" ht="15.5" customHeight="1" x14ac:dyDescent="0.35">
      <c r="A15" s="41">
        <f t="shared" si="3"/>
        <v>68</v>
      </c>
      <c r="B15" s="41">
        <f t="shared" si="1"/>
        <v>3</v>
      </c>
      <c r="C15" s="47">
        <f t="shared" si="2"/>
        <v>1.1025</v>
      </c>
      <c r="D15" s="47">
        <f t="shared" si="0"/>
        <v>0.89996840927216426</v>
      </c>
    </row>
    <row r="16" spans="1:5" ht="15.5" customHeight="1" x14ac:dyDescent="0.35">
      <c r="A16" s="41">
        <f t="shared" si="3"/>
        <v>69</v>
      </c>
      <c r="B16" s="41">
        <f t="shared" si="1"/>
        <v>4</v>
      </c>
      <c r="C16" s="47">
        <f t="shared" si="2"/>
        <v>1.1576250000000001</v>
      </c>
      <c r="D16" s="47">
        <f t="shared" si="0"/>
        <v>0.8831465698465164</v>
      </c>
    </row>
    <row r="17" spans="1:4" ht="15.5" customHeight="1" x14ac:dyDescent="0.35">
      <c r="A17" s="41">
        <f t="shared" si="3"/>
        <v>70</v>
      </c>
      <c r="B17" s="41">
        <f t="shared" si="1"/>
        <v>5</v>
      </c>
      <c r="C17" s="47">
        <f t="shared" si="2"/>
        <v>1.21550625</v>
      </c>
      <c r="D17" s="47">
        <f t="shared" si="0"/>
        <v>0.8666391573260207</v>
      </c>
    </row>
    <row r="18" spans="1:4" ht="15.5" customHeight="1" x14ac:dyDescent="0.35">
      <c r="A18" s="41">
        <f t="shared" si="3"/>
        <v>71</v>
      </c>
      <c r="B18" s="41">
        <f t="shared" si="1"/>
        <v>6</v>
      </c>
      <c r="C18" s="47">
        <f t="shared" si="2"/>
        <v>1.2762815625000001</v>
      </c>
      <c r="D18" s="47">
        <f t="shared" si="0"/>
        <v>0.85044029457226344</v>
      </c>
    </row>
    <row r="19" spans="1:4" ht="15.5" customHeight="1" x14ac:dyDescent="0.35">
      <c r="A19" s="41">
        <f t="shared" si="3"/>
        <v>72</v>
      </c>
      <c r="B19" s="41">
        <f t="shared" si="1"/>
        <v>7</v>
      </c>
      <c r="C19" s="47">
        <f t="shared" si="2"/>
        <v>1.340095640625</v>
      </c>
      <c r="D19" s="47">
        <f t="shared" si="0"/>
        <v>0.83454421429988446</v>
      </c>
    </row>
    <row r="20" spans="1:4" ht="15.5" customHeight="1" x14ac:dyDescent="0.35">
      <c r="A20" s="41">
        <f t="shared" si="3"/>
        <v>73</v>
      </c>
      <c r="B20" s="41">
        <f t="shared" si="1"/>
        <v>8</v>
      </c>
      <c r="C20" s="47">
        <f t="shared" si="2"/>
        <v>1.4071004226562502</v>
      </c>
      <c r="D20" s="47">
        <f t="shared" si="0"/>
        <v>0.81894525702325127</v>
      </c>
    </row>
    <row r="21" spans="1:4" ht="15.5" customHeight="1" x14ac:dyDescent="0.35">
      <c r="A21" s="41">
        <f t="shared" si="3"/>
        <v>74</v>
      </c>
      <c r="B21" s="41">
        <f t="shared" si="1"/>
        <v>9</v>
      </c>
      <c r="C21" s="47">
        <f t="shared" si="2"/>
        <v>1.4774554437890626</v>
      </c>
      <c r="D21" s="47">
        <f t="shared" si="0"/>
        <v>0.80363786904150825</v>
      </c>
    </row>
    <row r="22" spans="1:4" ht="15.5" customHeight="1" x14ac:dyDescent="0.35">
      <c r="A22" s="41">
        <f t="shared" si="3"/>
        <v>75</v>
      </c>
      <c r="B22" s="41">
        <f t="shared" si="1"/>
        <v>10</v>
      </c>
      <c r="C22" s="47">
        <f t="shared" si="2"/>
        <v>1.5513282159785158</v>
      </c>
      <c r="D22" s="47">
        <f t="shared" si="0"/>
        <v>0.78861660046129312</v>
      </c>
    </row>
    <row r="23" spans="1:4" ht="15.5" customHeight="1" x14ac:dyDescent="0.35">
      <c r="A23" s="41">
        <f t="shared" si="3"/>
        <v>76</v>
      </c>
      <c r="B23" s="41">
        <f t="shared" si="1"/>
        <v>11</v>
      </c>
      <c r="C23" s="47">
        <f t="shared" si="2"/>
        <v>1.6288946267774416</v>
      </c>
      <c r="D23" s="47">
        <f t="shared" si="0"/>
        <v>0.77387610325640899</v>
      </c>
    </row>
    <row r="24" spans="1:4" ht="15.5" customHeight="1" x14ac:dyDescent="0.35">
      <c r="A24" s="41">
        <f t="shared" si="3"/>
        <v>77</v>
      </c>
      <c r="B24" s="41">
        <f t="shared" si="1"/>
        <v>12</v>
      </c>
      <c r="C24" s="47">
        <f t="shared" si="2"/>
        <v>1.7103393581163138</v>
      </c>
      <c r="D24" s="47">
        <f t="shared" si="0"/>
        <v>0.75941112936376609</v>
      </c>
    </row>
    <row r="25" spans="1:4" ht="15.5" customHeight="1" x14ac:dyDescent="0.35">
      <c r="A25" s="41">
        <f t="shared" si="3"/>
        <v>78</v>
      </c>
      <c r="B25" s="41">
        <f t="shared" si="1"/>
        <v>13</v>
      </c>
      <c r="C25" s="47">
        <f t="shared" si="2"/>
        <v>1.7958563260221292</v>
      </c>
      <c r="D25" s="47">
        <f t="shared" si="0"/>
        <v>0.74521652881491041</v>
      </c>
    </row>
    <row r="26" spans="1:4" ht="15.5" customHeight="1" x14ac:dyDescent="0.35">
      <c r="A26" s="41">
        <f t="shared" si="3"/>
        <v>79</v>
      </c>
      <c r="B26" s="41">
        <f t="shared" si="1"/>
        <v>14</v>
      </c>
      <c r="C26" s="47">
        <f t="shared" si="2"/>
        <v>1.885649142323236</v>
      </c>
      <c r="D26" s="47">
        <f t="shared" si="0"/>
        <v>0.73128724790248234</v>
      </c>
    </row>
    <row r="27" spans="1:4" ht="15.5" customHeight="1" x14ac:dyDescent="0.35">
      <c r="A27" s="41">
        <f t="shared" si="3"/>
        <v>80</v>
      </c>
      <c r="B27" s="41">
        <f t="shared" si="1"/>
        <v>15</v>
      </c>
      <c r="C27" s="47">
        <f t="shared" si="2"/>
        <v>1.9799315994393973</v>
      </c>
      <c r="D27" s="47">
        <f t="shared" si="0"/>
        <v>0.71761832738094045</v>
      </c>
    </row>
    <row r="28" spans="1:4" ht="15.5" customHeight="1" x14ac:dyDescent="0.35">
      <c r="A28" s="41">
        <f t="shared" si="3"/>
        <v>81</v>
      </c>
      <c r="B28" s="41">
        <f t="shared" si="1"/>
        <v>16</v>
      </c>
      <c r="C28" s="47">
        <f t="shared" si="2"/>
        <v>2.0789281794113679</v>
      </c>
      <c r="D28" s="47">
        <f t="shared" si="0"/>
        <v>0.70420490070092312</v>
      </c>
    </row>
    <row r="29" spans="1:4" ht="15.5" customHeight="1" x14ac:dyDescent="0.35">
      <c r="A29" s="41">
        <f t="shared" si="3"/>
        <v>82</v>
      </c>
      <c r="B29" s="41">
        <f t="shared" si="1"/>
        <v>17</v>
      </c>
      <c r="C29" s="47">
        <f t="shared" si="2"/>
        <v>2.182874588381936</v>
      </c>
      <c r="D29" s="47">
        <f t="shared" si="0"/>
        <v>0.69104219227660679</v>
      </c>
    </row>
    <row r="30" spans="1:4" ht="15.5" customHeight="1" x14ac:dyDescent="0.35">
      <c r="A30" s="41">
        <f t="shared" si="3"/>
        <v>83</v>
      </c>
      <c r="B30" s="41">
        <f t="shared" si="1"/>
        <v>18</v>
      </c>
      <c r="C30" s="47">
        <f t="shared" si="2"/>
        <v>2.2920183178010332</v>
      </c>
      <c r="D30" s="47">
        <f t="shared" si="0"/>
        <v>0.67812551578545521</v>
      </c>
    </row>
    <row r="31" spans="1:4" ht="15.5" customHeight="1" x14ac:dyDescent="0.35">
      <c r="A31" s="41">
        <f t="shared" si="3"/>
        <v>84</v>
      </c>
      <c r="B31" s="41">
        <f t="shared" si="1"/>
        <v>19</v>
      </c>
      <c r="C31" s="47">
        <f t="shared" si="2"/>
        <v>2.4066192336910848</v>
      </c>
      <c r="D31" s="47">
        <f t="shared" si="0"/>
        <v>0.66545027249974587</v>
      </c>
    </row>
    <row r="32" spans="1:4" ht="15.5" customHeight="1" x14ac:dyDescent="0.35">
      <c r="A32" s="41">
        <f t="shared" si="3"/>
        <v>85</v>
      </c>
      <c r="B32" s="41">
        <f t="shared" si="1"/>
        <v>20</v>
      </c>
      <c r="C32" s="47">
        <f t="shared" si="2"/>
        <v>2.526950195375639</v>
      </c>
      <c r="D32" s="47">
        <f t="shared" si="0"/>
        <v>0.65301194964928333</v>
      </c>
    </row>
    <row r="33" spans="1:4" ht="15.5" customHeight="1" x14ac:dyDescent="0.35">
      <c r="A33" s="41">
        <f t="shared" si="3"/>
        <v>86</v>
      </c>
      <c r="B33" s="41">
        <f t="shared" si="1"/>
        <v>21</v>
      </c>
      <c r="C33" s="47">
        <f t="shared" si="2"/>
        <v>2.6532977051444209</v>
      </c>
      <c r="D33" s="47">
        <f t="shared" si="0"/>
        <v>0.64080611881471727</v>
      </c>
    </row>
    <row r="34" spans="1:4" ht="15.5" customHeight="1" x14ac:dyDescent="0.35">
      <c r="A34" s="41">
        <f t="shared" si="3"/>
        <v>87</v>
      </c>
      <c r="B34" s="41">
        <f t="shared" si="1"/>
        <v>22</v>
      </c>
      <c r="C34" s="47">
        <f t="shared" si="2"/>
        <v>2.7859625904016418</v>
      </c>
      <c r="D34" s="47">
        <f t="shared" si="0"/>
        <v>0.62882843435089075</v>
      </c>
    </row>
    <row r="35" spans="1:4" ht="15.5" customHeight="1" x14ac:dyDescent="0.35">
      <c r="A35" s="41">
        <f t="shared" si="3"/>
        <v>88</v>
      </c>
      <c r="B35" s="41">
        <f t="shared" si="1"/>
        <v>23</v>
      </c>
      <c r="C35" s="47">
        <f t="shared" si="2"/>
        <v>2.9252607199217238</v>
      </c>
      <c r="D35" s="47">
        <f t="shared" si="0"/>
        <v>0.61707463183965905</v>
      </c>
    </row>
    <row r="36" spans="1:4" ht="15.5" customHeight="1" x14ac:dyDescent="0.35">
      <c r="A36" s="41">
        <f t="shared" si="3"/>
        <v>89</v>
      </c>
      <c r="B36" s="41">
        <f t="shared" si="1"/>
        <v>24</v>
      </c>
      <c r="C36" s="47">
        <f t="shared" si="2"/>
        <v>3.0715237559178106</v>
      </c>
      <c r="D36" s="47">
        <f t="shared" si="0"/>
        <v>0.60554052657162816</v>
      </c>
    </row>
    <row r="37" spans="1:4" ht="15.5" customHeight="1" x14ac:dyDescent="0.35">
      <c r="A37" s="41">
        <f t="shared" si="3"/>
        <v>90</v>
      </c>
      <c r="B37" s="41">
        <f t="shared" si="1"/>
        <v>25</v>
      </c>
      <c r="C37" s="47">
        <f t="shared" si="2"/>
        <v>3.2250999437137007</v>
      </c>
      <c r="D37" s="47">
        <f t="shared" si="0"/>
        <v>0.59422201205627045</v>
      </c>
    </row>
    <row r="38" spans="1:4" ht="15.5" customHeight="1" x14ac:dyDescent="0.35">
      <c r="A38" s="41">
        <f t="shared" si="3"/>
        <v>91</v>
      </c>
      <c r="B38" s="41">
        <f t="shared" si="1"/>
        <v>26</v>
      </c>
      <c r="C38" s="47">
        <f t="shared" si="2"/>
        <v>3.3863549408993858</v>
      </c>
      <c r="D38" s="47">
        <f t="shared" si="0"/>
        <v>0.58311505855989176</v>
      </c>
    </row>
    <row r="39" spans="1:4" ht="15.5" customHeight="1" x14ac:dyDescent="0.35">
      <c r="A39" s="41">
        <f t="shared" si="3"/>
        <v>92</v>
      </c>
      <c r="B39" s="41">
        <f t="shared" si="1"/>
        <v>27</v>
      </c>
      <c r="C39" s="47">
        <f t="shared" si="2"/>
        <v>3.5556726879443552</v>
      </c>
      <c r="D39" s="47">
        <f t="shared" si="0"/>
        <v>0.57221571167092167</v>
      </c>
    </row>
    <row r="40" spans="1:4" ht="15.5" customHeight="1" x14ac:dyDescent="0.35">
      <c r="A40" s="41">
        <f t="shared" si="3"/>
        <v>93</v>
      </c>
      <c r="B40" s="41">
        <f t="shared" si="1"/>
        <v>28</v>
      </c>
      <c r="C40" s="47">
        <f t="shared" si="2"/>
        <v>3.7334563223415733</v>
      </c>
      <c r="D40" s="47">
        <f t="shared" si="0"/>
        <v>0.56152009089202604</v>
      </c>
    </row>
    <row r="41" spans="1:4" ht="15.5" customHeight="1" x14ac:dyDescent="0.35">
      <c r="A41" s="41">
        <f t="shared" si="3"/>
        <v>94</v>
      </c>
      <c r="B41" s="41">
        <f t="shared" si="1"/>
        <v>29</v>
      </c>
      <c r="C41" s="47">
        <f t="shared" si="2"/>
        <v>3.9201291384586514</v>
      </c>
      <c r="D41" s="47">
        <f t="shared" si="0"/>
        <v>0.55102438825853017</v>
      </c>
    </row>
    <row r="42" spans="1:4" ht="15.5" customHeight="1" x14ac:dyDescent="0.35">
      <c r="A42" s="41">
        <f t="shared" si="3"/>
        <v>95</v>
      </c>
      <c r="B42" s="41">
        <f t="shared" si="1"/>
        <v>30</v>
      </c>
      <c r="C42" s="47">
        <f t="shared" si="2"/>
        <v>4.1161355953815848</v>
      </c>
      <c r="D42" s="47">
        <f t="shared" si="0"/>
        <v>0.54072486698266997</v>
      </c>
    </row>
    <row r="43" spans="1:4" ht="15.5" customHeight="1" x14ac:dyDescent="0.35">
      <c r="A43" s="41">
        <f t="shared" si="3"/>
        <v>96</v>
      </c>
      <c r="B43" s="41">
        <f t="shared" si="1"/>
        <v>31</v>
      </c>
      <c r="C43" s="47">
        <f t="shared" si="2"/>
        <v>4.3219423751506625</v>
      </c>
      <c r="D43" s="47">
        <f t="shared" si="0"/>
        <v>0.53061786012318046</v>
      </c>
    </row>
    <row r="44" spans="1:4" ht="15.5" customHeight="1" x14ac:dyDescent="0.35">
      <c r="A44" s="41">
        <f t="shared" si="3"/>
        <v>97</v>
      </c>
      <c r="B44" s="41">
        <f t="shared" si="1"/>
        <v>32</v>
      </c>
      <c r="C44" s="47">
        <f t="shared" si="2"/>
        <v>4.5380394939081974</v>
      </c>
      <c r="D44" s="47">
        <f t="shared" si="0"/>
        <v>0.52069976927975681</v>
      </c>
    </row>
    <row r="45" spans="1:4" ht="15.5" customHeight="1" x14ac:dyDescent="0.35">
      <c r="A45" s="41">
        <f t="shared" si="3"/>
        <v>98</v>
      </c>
      <c r="B45" s="41">
        <f t="shared" si="1"/>
        <v>33</v>
      </c>
      <c r="C45" s="47">
        <f t="shared" si="2"/>
        <v>4.7649414686036069</v>
      </c>
      <c r="D45" s="47">
        <f t="shared" si="0"/>
        <v>0.51096706331191089</v>
      </c>
    </row>
    <row r="46" spans="1:4" ht="15.5" customHeight="1" x14ac:dyDescent="0.35">
      <c r="A46" s="41">
        <f t="shared" si="3"/>
        <v>99</v>
      </c>
      <c r="B46" s="41">
        <f t="shared" si="1"/>
        <v>34</v>
      </c>
      <c r="C46" s="47">
        <f t="shared" si="2"/>
        <v>5.0031885420337874</v>
      </c>
      <c r="D46" s="47">
        <f t="shared" si="0"/>
        <v>0.50141627708178171</v>
      </c>
    </row>
    <row r="47" spans="1:4" ht="15.5" customHeight="1" x14ac:dyDescent="0.35">
      <c r="A47" s="41">
        <f t="shared" si="3"/>
        <v>100</v>
      </c>
      <c r="B47" s="41">
        <f t="shared" si="1"/>
        <v>35</v>
      </c>
      <c r="C47" s="47">
        <f t="shared" si="2"/>
        <v>5.2533479691354765</v>
      </c>
      <c r="D47" s="47">
        <f t="shared" si="0"/>
        <v>0.49204401022043986</v>
      </c>
    </row>
    <row r="48" spans="1:4" ht="15.5" customHeight="1" x14ac:dyDescent="0.35"/>
    <row r="49" spans="3:4" ht="15.5" customHeight="1" thickBot="1" x14ac:dyDescent="0.4">
      <c r="C49" s="42" t="s">
        <v>10</v>
      </c>
      <c r="D49" s="43">
        <f>SUM(D12:D47)</f>
        <v>24.167689463426896</v>
      </c>
    </row>
    <row r="50" spans="3:4" ht="15" customHeight="1" thickTop="1" x14ac:dyDescent="0.35"/>
  </sheetData>
  <mergeCells count="1">
    <mergeCell ref="A1:E1"/>
  </mergeCells>
  <pageMargins left="0.7" right="0.7" top="0.75" bottom="0.75" header="0.3" footer="0.3"/>
  <pageSetup paperSize="9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98F9-5E77-4F12-837F-90320EBE3E08}">
  <dimension ref="A1:E78"/>
  <sheetViews>
    <sheetView workbookViewId="0">
      <selection activeCell="A11" sqref="A11:C76"/>
    </sheetView>
  </sheetViews>
  <sheetFormatPr defaultColWidth="9.81640625" defaultRowHeight="15.5" x14ac:dyDescent="0.35"/>
  <cols>
    <col min="1" max="1" width="10.54296875" style="15" customWidth="1"/>
    <col min="2" max="2" width="13.81640625" style="15" customWidth="1"/>
    <col min="3" max="3" width="22.54296875" style="15" customWidth="1"/>
    <col min="4" max="5" width="12.7265625" style="15" customWidth="1"/>
    <col min="6" max="16384" width="9.81640625" style="15"/>
  </cols>
  <sheetData>
    <row r="1" spans="1:5" ht="15.5" customHeight="1" x14ac:dyDescent="0.35">
      <c r="A1" s="54" t="s">
        <v>55</v>
      </c>
      <c r="B1" s="54"/>
      <c r="C1" s="54"/>
      <c r="D1" s="54"/>
      <c r="E1" s="54"/>
    </row>
    <row r="2" spans="1:5" ht="15.5" customHeight="1" x14ac:dyDescent="0.35">
      <c r="A2" s="11" t="s">
        <v>22</v>
      </c>
      <c r="B2" s="16"/>
      <c r="C2" s="16"/>
      <c r="D2" s="16"/>
      <c r="E2" s="16"/>
    </row>
    <row r="3" spans="1:5" ht="15.5" customHeight="1" x14ac:dyDescent="0.35">
      <c r="A3" s="16"/>
      <c r="B3" s="16"/>
      <c r="C3" s="16"/>
      <c r="D3" s="16"/>
      <c r="E3" s="16"/>
    </row>
    <row r="4" spans="1:5" ht="15.5" customHeight="1" x14ac:dyDescent="0.35">
      <c r="A4" s="14" t="s">
        <v>4</v>
      </c>
      <c r="B4" s="17" t="s">
        <v>5</v>
      </c>
      <c r="C4" s="17" t="s">
        <v>6</v>
      </c>
    </row>
    <row r="5" spans="1:5" ht="15.5" customHeight="1" x14ac:dyDescent="0.35">
      <c r="A5" s="15" t="s">
        <v>7</v>
      </c>
      <c r="B5" s="20">
        <v>250</v>
      </c>
      <c r="C5" s="15" t="s">
        <v>50</v>
      </c>
    </row>
    <row r="6" spans="1:5" ht="15.5" customHeight="1" x14ac:dyDescent="0.35">
      <c r="A6" s="15" t="s">
        <v>34</v>
      </c>
      <c r="B6" s="20">
        <v>375</v>
      </c>
      <c r="C6" s="15" t="s">
        <v>51</v>
      </c>
    </row>
    <row r="7" spans="1:5" ht="15.5" customHeight="1" x14ac:dyDescent="0.35">
      <c r="A7" s="15" t="s">
        <v>8</v>
      </c>
      <c r="B7" s="25">
        <v>3.5000000000000003E-2</v>
      </c>
      <c r="C7" s="26" t="s">
        <v>52</v>
      </c>
    </row>
    <row r="8" spans="1:5" ht="15.5" customHeight="1" x14ac:dyDescent="0.35">
      <c r="A8" s="15" t="s">
        <v>9</v>
      </c>
      <c r="B8" s="20">
        <v>5</v>
      </c>
      <c r="C8" s="15" t="s">
        <v>53</v>
      </c>
    </row>
    <row r="9" spans="1:5" ht="15.5" customHeight="1" x14ac:dyDescent="0.35">
      <c r="A9" s="15" t="s">
        <v>24</v>
      </c>
      <c r="B9" s="20">
        <v>10</v>
      </c>
      <c r="C9" s="15" t="s">
        <v>54</v>
      </c>
    </row>
    <row r="10" spans="1:5" ht="15.5" customHeight="1" x14ac:dyDescent="0.35">
      <c r="A10" s="21"/>
      <c r="B10" s="21"/>
      <c r="C10" s="21"/>
      <c r="D10" s="22"/>
    </row>
    <row r="11" spans="1:5" s="21" customFormat="1" ht="15.5" customHeight="1" x14ac:dyDescent="0.35">
      <c r="A11" s="38" t="s">
        <v>25</v>
      </c>
      <c r="B11" s="38" t="s">
        <v>26</v>
      </c>
      <c r="C11" s="38" t="s">
        <v>13</v>
      </c>
    </row>
    <row r="12" spans="1:5" s="21" customFormat="1" ht="15.5" customHeight="1" x14ac:dyDescent="0.35">
      <c r="A12" s="38" t="s">
        <v>27</v>
      </c>
      <c r="B12" s="38"/>
      <c r="C12" s="38"/>
    </row>
    <row r="13" spans="1:5" s="23" customFormat="1" ht="15.5" customHeight="1" x14ac:dyDescent="0.35">
      <c r="A13" s="48">
        <v>0</v>
      </c>
      <c r="B13" s="49">
        <f t="shared" ref="B13:B44" si="0">IF(A13&lt;n,X,Y)</f>
        <v>250</v>
      </c>
      <c r="C13" s="50">
        <f t="shared" ref="C13:C44" si="1">B13*(1+i)^(-A13)</f>
        <v>250</v>
      </c>
    </row>
    <row r="14" spans="1:5" ht="15.5" customHeight="1" x14ac:dyDescent="0.35">
      <c r="A14" s="51">
        <f>A13+0.25</f>
        <v>0.25</v>
      </c>
      <c r="B14" s="49">
        <f t="shared" si="0"/>
        <v>250</v>
      </c>
      <c r="C14" s="50">
        <f t="shared" si="1"/>
        <v>247.85913014830379</v>
      </c>
    </row>
    <row r="15" spans="1:5" ht="15.5" customHeight="1" x14ac:dyDescent="0.35">
      <c r="A15" s="51">
        <f t="shared" ref="A15:A73" si="2">A14+0.25</f>
        <v>0.5</v>
      </c>
      <c r="B15" s="49">
        <f t="shared" si="0"/>
        <v>250</v>
      </c>
      <c r="C15" s="50">
        <f t="shared" si="1"/>
        <v>245.73659359149522</v>
      </c>
    </row>
    <row r="16" spans="1:5" ht="15.5" customHeight="1" x14ac:dyDescent="0.35">
      <c r="A16" s="51">
        <f t="shared" si="2"/>
        <v>0.75</v>
      </c>
      <c r="B16" s="49">
        <f t="shared" si="0"/>
        <v>250</v>
      </c>
      <c r="C16" s="50">
        <f t="shared" si="1"/>
        <v>243.632233332781</v>
      </c>
    </row>
    <row r="17" spans="1:3" ht="15.5" customHeight="1" x14ac:dyDescent="0.35">
      <c r="A17" s="51">
        <f t="shared" si="2"/>
        <v>1</v>
      </c>
      <c r="B17" s="49">
        <f t="shared" si="0"/>
        <v>250</v>
      </c>
      <c r="C17" s="50">
        <f t="shared" si="1"/>
        <v>241.54589371980677</v>
      </c>
    </row>
    <row r="18" spans="1:3" ht="15.5" customHeight="1" x14ac:dyDescent="0.35">
      <c r="A18" s="51">
        <f t="shared" si="2"/>
        <v>1.25</v>
      </c>
      <c r="B18" s="49">
        <f t="shared" si="0"/>
        <v>250</v>
      </c>
      <c r="C18" s="50">
        <f t="shared" si="1"/>
        <v>239.47742043314383</v>
      </c>
    </row>
    <row r="19" spans="1:3" ht="15.5" customHeight="1" x14ac:dyDescent="0.35">
      <c r="A19" s="51">
        <f t="shared" si="2"/>
        <v>1.5</v>
      </c>
      <c r="B19" s="49">
        <f t="shared" si="0"/>
        <v>250</v>
      </c>
      <c r="C19" s="50">
        <f t="shared" si="1"/>
        <v>237.42666047487464</v>
      </c>
    </row>
    <row r="20" spans="1:3" ht="15.5" customHeight="1" x14ac:dyDescent="0.35">
      <c r="A20" s="51">
        <f t="shared" si="2"/>
        <v>1.75</v>
      </c>
      <c r="B20" s="49">
        <f t="shared" si="0"/>
        <v>250</v>
      </c>
      <c r="C20" s="50">
        <f t="shared" si="1"/>
        <v>235.39346215727636</v>
      </c>
    </row>
    <row r="21" spans="1:3" ht="15.5" customHeight="1" x14ac:dyDescent="0.35">
      <c r="A21" s="51">
        <f t="shared" si="2"/>
        <v>2</v>
      </c>
      <c r="B21" s="49">
        <f t="shared" si="0"/>
        <v>250</v>
      </c>
      <c r="C21" s="50">
        <f t="shared" si="1"/>
        <v>233.37767509160076</v>
      </c>
    </row>
    <row r="22" spans="1:3" ht="15.5" customHeight="1" x14ac:dyDescent="0.35">
      <c r="A22" s="51">
        <f t="shared" si="2"/>
        <v>2.25</v>
      </c>
      <c r="B22" s="49">
        <f t="shared" si="0"/>
        <v>250</v>
      </c>
      <c r="C22" s="50">
        <f t="shared" si="1"/>
        <v>231.3791501769505</v>
      </c>
    </row>
    <row r="23" spans="1:3" ht="15.5" customHeight="1" x14ac:dyDescent="0.35">
      <c r="A23" s="51">
        <f t="shared" si="2"/>
        <v>2.5</v>
      </c>
      <c r="B23" s="49">
        <f t="shared" si="0"/>
        <v>250</v>
      </c>
      <c r="C23" s="50">
        <f t="shared" si="1"/>
        <v>229.39773958925088</v>
      </c>
    </row>
    <row r="24" spans="1:3" ht="15.5" customHeight="1" x14ac:dyDescent="0.35">
      <c r="A24" s="51">
        <f t="shared" si="2"/>
        <v>2.75</v>
      </c>
      <c r="B24" s="49">
        <f t="shared" si="0"/>
        <v>250</v>
      </c>
      <c r="C24" s="50">
        <f t="shared" si="1"/>
        <v>227.43329677031534</v>
      </c>
    </row>
    <row r="25" spans="1:3" ht="15.5" customHeight="1" x14ac:dyDescent="0.35">
      <c r="A25" s="51">
        <f t="shared" si="2"/>
        <v>3</v>
      </c>
      <c r="B25" s="49">
        <f t="shared" si="0"/>
        <v>250</v>
      </c>
      <c r="C25" s="50">
        <f t="shared" si="1"/>
        <v>225.48567641700561</v>
      </c>
    </row>
    <row r="26" spans="1:3" ht="15.5" customHeight="1" x14ac:dyDescent="0.35">
      <c r="A26" s="51">
        <f t="shared" si="2"/>
        <v>3.25</v>
      </c>
      <c r="B26" s="49">
        <f t="shared" si="0"/>
        <v>250</v>
      </c>
      <c r="C26" s="50">
        <f t="shared" si="1"/>
        <v>223.55473447048365</v>
      </c>
    </row>
    <row r="27" spans="1:3" ht="15.5" customHeight="1" x14ac:dyDescent="0.35">
      <c r="A27" s="51">
        <f t="shared" si="2"/>
        <v>3.5</v>
      </c>
      <c r="B27" s="49">
        <f t="shared" si="0"/>
        <v>250</v>
      </c>
      <c r="C27" s="50">
        <f t="shared" si="1"/>
        <v>221.64032810555642</v>
      </c>
    </row>
    <row r="28" spans="1:3" ht="15.5" customHeight="1" x14ac:dyDescent="0.35">
      <c r="A28" s="51">
        <f t="shared" si="2"/>
        <v>3.75</v>
      </c>
      <c r="B28" s="49">
        <f t="shared" si="0"/>
        <v>250</v>
      </c>
      <c r="C28" s="50">
        <f t="shared" si="1"/>
        <v>219.74231572011146</v>
      </c>
    </row>
    <row r="29" spans="1:3" ht="15.5" customHeight="1" x14ac:dyDescent="0.35">
      <c r="A29" s="51">
        <f t="shared" si="2"/>
        <v>4</v>
      </c>
      <c r="B29" s="49">
        <f t="shared" si="0"/>
        <v>250</v>
      </c>
      <c r="C29" s="50">
        <f t="shared" si="1"/>
        <v>217.86055692464311</v>
      </c>
    </row>
    <row r="30" spans="1:3" ht="15.5" customHeight="1" x14ac:dyDescent="0.35">
      <c r="A30" s="51">
        <f t="shared" si="2"/>
        <v>4.25</v>
      </c>
      <c r="B30" s="49">
        <f t="shared" si="0"/>
        <v>250</v>
      </c>
      <c r="C30" s="50">
        <f t="shared" si="1"/>
        <v>215.99491253186829</v>
      </c>
    </row>
    <row r="31" spans="1:3" ht="15.5" customHeight="1" x14ac:dyDescent="0.35">
      <c r="A31" s="51">
        <f t="shared" si="2"/>
        <v>4.5</v>
      </c>
      <c r="B31" s="49">
        <f t="shared" si="0"/>
        <v>250</v>
      </c>
      <c r="C31" s="50">
        <f t="shared" si="1"/>
        <v>214.14524454643134</v>
      </c>
    </row>
    <row r="32" spans="1:3" ht="15.5" customHeight="1" x14ac:dyDescent="0.35">
      <c r="A32" s="51">
        <f t="shared" si="2"/>
        <v>4.75</v>
      </c>
      <c r="B32" s="49">
        <f t="shared" si="0"/>
        <v>250</v>
      </c>
      <c r="C32" s="50">
        <f t="shared" si="1"/>
        <v>212.3114161546971</v>
      </c>
    </row>
    <row r="33" spans="1:3" ht="15.5" customHeight="1" x14ac:dyDescent="0.35">
      <c r="A33" s="51">
        <f t="shared" si="2"/>
        <v>5</v>
      </c>
      <c r="B33" s="49">
        <f t="shared" si="0"/>
        <v>375</v>
      </c>
      <c r="C33" s="50">
        <f t="shared" si="1"/>
        <v>315.7399375719466</v>
      </c>
    </row>
    <row r="34" spans="1:3" ht="15.5" customHeight="1" x14ac:dyDescent="0.35">
      <c r="A34" s="51">
        <f t="shared" si="2"/>
        <v>5.25</v>
      </c>
      <c r="B34" s="49">
        <f t="shared" si="0"/>
        <v>375</v>
      </c>
      <c r="C34" s="50">
        <f t="shared" si="1"/>
        <v>313.03610511864963</v>
      </c>
    </row>
    <row r="35" spans="1:3" ht="15.5" customHeight="1" x14ac:dyDescent="0.35">
      <c r="A35" s="51">
        <f t="shared" si="2"/>
        <v>5.5</v>
      </c>
      <c r="B35" s="49">
        <f t="shared" si="0"/>
        <v>375</v>
      </c>
      <c r="C35" s="50">
        <f t="shared" si="1"/>
        <v>310.35542687888602</v>
      </c>
    </row>
    <row r="36" spans="1:3" ht="15.5" customHeight="1" x14ac:dyDescent="0.35">
      <c r="A36" s="51">
        <f t="shared" si="2"/>
        <v>5.75</v>
      </c>
      <c r="B36" s="49">
        <f t="shared" si="0"/>
        <v>375</v>
      </c>
      <c r="C36" s="50">
        <f t="shared" si="1"/>
        <v>307.69770457202475</v>
      </c>
    </row>
    <row r="37" spans="1:3" ht="15.5" customHeight="1" x14ac:dyDescent="0.35">
      <c r="A37" s="51">
        <f t="shared" si="2"/>
        <v>6</v>
      </c>
      <c r="B37" s="49">
        <f t="shared" si="0"/>
        <v>375</v>
      </c>
      <c r="C37" s="50">
        <f t="shared" si="1"/>
        <v>305.06274161540733</v>
      </c>
    </row>
    <row r="38" spans="1:3" ht="15.5" customHeight="1" x14ac:dyDescent="0.35">
      <c r="A38" s="51">
        <f t="shared" si="2"/>
        <v>6.25</v>
      </c>
      <c r="B38" s="49">
        <f t="shared" si="0"/>
        <v>375</v>
      </c>
      <c r="C38" s="50">
        <f t="shared" si="1"/>
        <v>302.45034310980645</v>
      </c>
    </row>
    <row r="39" spans="1:3" ht="15.5" customHeight="1" x14ac:dyDescent="0.35">
      <c r="A39" s="51">
        <f t="shared" si="2"/>
        <v>6.5</v>
      </c>
      <c r="B39" s="49">
        <f t="shared" si="0"/>
        <v>375</v>
      </c>
      <c r="C39" s="50">
        <f t="shared" si="1"/>
        <v>299.86031582501067</v>
      </c>
    </row>
    <row r="40" spans="1:3" ht="15.5" customHeight="1" x14ac:dyDescent="0.35">
      <c r="A40" s="51">
        <f t="shared" si="2"/>
        <v>6.75</v>
      </c>
      <c r="B40" s="49">
        <f t="shared" si="0"/>
        <v>375</v>
      </c>
      <c r="C40" s="50">
        <f t="shared" si="1"/>
        <v>297.29246818553122</v>
      </c>
    </row>
    <row r="41" spans="1:3" ht="15.5" customHeight="1" x14ac:dyDescent="0.35">
      <c r="A41" s="51">
        <f t="shared" si="2"/>
        <v>7</v>
      </c>
      <c r="B41" s="49">
        <f t="shared" si="0"/>
        <v>375</v>
      </c>
      <c r="C41" s="50">
        <f t="shared" si="1"/>
        <v>294.74661025643218</v>
      </c>
    </row>
    <row r="42" spans="1:3" ht="15.5" customHeight="1" x14ac:dyDescent="0.35">
      <c r="A42" s="51">
        <f t="shared" si="2"/>
        <v>7.25</v>
      </c>
      <c r="B42" s="49">
        <f t="shared" si="0"/>
        <v>375</v>
      </c>
      <c r="C42" s="50">
        <f t="shared" si="1"/>
        <v>292.22255372928169</v>
      </c>
    </row>
    <row r="43" spans="1:3" ht="15.5" customHeight="1" x14ac:dyDescent="0.35">
      <c r="A43" s="51">
        <f t="shared" si="2"/>
        <v>7.5</v>
      </c>
      <c r="B43" s="49">
        <f t="shared" si="0"/>
        <v>375</v>
      </c>
      <c r="C43" s="50">
        <f t="shared" si="1"/>
        <v>289.72011190822286</v>
      </c>
    </row>
    <row r="44" spans="1:3" ht="15.5" customHeight="1" x14ac:dyDescent="0.35">
      <c r="A44" s="51">
        <f t="shared" si="2"/>
        <v>7.75</v>
      </c>
      <c r="B44" s="49">
        <f t="shared" si="0"/>
        <v>375</v>
      </c>
      <c r="C44" s="50">
        <f t="shared" si="1"/>
        <v>287.23909969616545</v>
      </c>
    </row>
    <row r="45" spans="1:3" ht="15.5" customHeight="1" x14ac:dyDescent="0.35">
      <c r="A45" s="51">
        <f t="shared" si="2"/>
        <v>8</v>
      </c>
      <c r="B45" s="49">
        <f t="shared" ref="B45:B72" si="3">IF(A45&lt;n,X,Y)</f>
        <v>375</v>
      </c>
      <c r="C45" s="50">
        <f t="shared" ref="C45:C73" si="4">B45*(1+i)^(-A45)</f>
        <v>284.77933358109397</v>
      </c>
    </row>
    <row r="46" spans="1:3" ht="15.5" customHeight="1" x14ac:dyDescent="0.35">
      <c r="A46" s="51">
        <f t="shared" si="2"/>
        <v>8.25</v>
      </c>
      <c r="B46" s="49">
        <f t="shared" si="3"/>
        <v>375</v>
      </c>
      <c r="C46" s="50">
        <f t="shared" si="4"/>
        <v>282.34063162249436</v>
      </c>
    </row>
    <row r="47" spans="1:3" ht="15.5" customHeight="1" x14ac:dyDescent="0.35">
      <c r="A47" s="51">
        <f t="shared" si="2"/>
        <v>8.5</v>
      </c>
      <c r="B47" s="49">
        <f t="shared" si="3"/>
        <v>375</v>
      </c>
      <c r="C47" s="50">
        <f t="shared" si="4"/>
        <v>279.92281343789654</v>
      </c>
    </row>
    <row r="48" spans="1:3" ht="15.5" customHeight="1" x14ac:dyDescent="0.35">
      <c r="A48" s="51">
        <f t="shared" si="2"/>
        <v>8.75</v>
      </c>
      <c r="B48" s="49">
        <f t="shared" si="3"/>
        <v>375</v>
      </c>
      <c r="C48" s="50">
        <f t="shared" si="4"/>
        <v>277.52570018953185</v>
      </c>
    </row>
    <row r="49" spans="1:3" ht="15.5" customHeight="1" x14ac:dyDescent="0.35">
      <c r="A49" s="51">
        <f t="shared" si="2"/>
        <v>9</v>
      </c>
      <c r="B49" s="49">
        <f t="shared" si="3"/>
        <v>375</v>
      </c>
      <c r="C49" s="50">
        <f t="shared" si="4"/>
        <v>275.14911457110532</v>
      </c>
    </row>
    <row r="50" spans="1:3" ht="15.5" customHeight="1" x14ac:dyDescent="0.35">
      <c r="A50" s="51">
        <f t="shared" si="2"/>
        <v>9.25</v>
      </c>
      <c r="B50" s="49">
        <f t="shared" si="3"/>
        <v>375</v>
      </c>
      <c r="C50" s="50">
        <f t="shared" si="4"/>
        <v>272.79288079468057</v>
      </c>
    </row>
    <row r="51" spans="1:3" ht="15.5" customHeight="1" x14ac:dyDescent="0.35">
      <c r="A51" s="51">
        <f t="shared" si="2"/>
        <v>9.5</v>
      </c>
      <c r="B51" s="49">
        <f t="shared" si="3"/>
        <v>375</v>
      </c>
      <c r="C51" s="50">
        <f t="shared" si="4"/>
        <v>270.45682457767782</v>
      </c>
    </row>
    <row r="52" spans="1:3" ht="15.5" customHeight="1" x14ac:dyDescent="0.35">
      <c r="A52" s="51">
        <f t="shared" si="2"/>
        <v>9.75</v>
      </c>
      <c r="B52" s="49">
        <f t="shared" si="3"/>
        <v>375</v>
      </c>
      <c r="C52" s="50">
        <f t="shared" si="4"/>
        <v>268.14077312998251</v>
      </c>
    </row>
    <row r="53" spans="1:3" ht="15.5" customHeight="1" x14ac:dyDescent="0.35">
      <c r="A53" s="51">
        <f t="shared" si="2"/>
        <v>10</v>
      </c>
      <c r="B53" s="49">
        <f t="shared" si="3"/>
        <v>375</v>
      </c>
      <c r="C53" s="50">
        <f t="shared" si="4"/>
        <v>265.84455514116456</v>
      </c>
    </row>
    <row r="54" spans="1:3" ht="15.5" customHeight="1" x14ac:dyDescent="0.35">
      <c r="A54" s="51">
        <f t="shared" si="2"/>
        <v>10.25</v>
      </c>
      <c r="B54" s="49">
        <f t="shared" si="3"/>
        <v>375</v>
      </c>
      <c r="C54" s="50">
        <f t="shared" si="4"/>
        <v>263.56800076780735</v>
      </c>
    </row>
    <row r="55" spans="1:3" ht="15.5" customHeight="1" x14ac:dyDescent="0.35">
      <c r="A55" s="51">
        <f t="shared" si="2"/>
        <v>10.5</v>
      </c>
      <c r="B55" s="49">
        <f t="shared" si="3"/>
        <v>375</v>
      </c>
      <c r="C55" s="50">
        <f t="shared" si="4"/>
        <v>261.31094162094479</v>
      </c>
    </row>
    <row r="56" spans="1:3" ht="15.5" customHeight="1" x14ac:dyDescent="0.35">
      <c r="A56" s="51">
        <f t="shared" si="2"/>
        <v>10.75</v>
      </c>
      <c r="B56" s="49">
        <f t="shared" si="3"/>
        <v>375</v>
      </c>
      <c r="C56" s="50">
        <f t="shared" si="4"/>
        <v>259.07321075360625</v>
      </c>
    </row>
    <row r="57" spans="1:3" ht="15.5" customHeight="1" x14ac:dyDescent="0.35">
      <c r="A57" s="51">
        <f t="shared" si="2"/>
        <v>11</v>
      </c>
      <c r="B57" s="49">
        <f t="shared" si="3"/>
        <v>375</v>
      </c>
      <c r="C57" s="50">
        <f t="shared" si="4"/>
        <v>256.8546426484682</v>
      </c>
    </row>
    <row r="58" spans="1:3" ht="15.5" customHeight="1" x14ac:dyDescent="0.35">
      <c r="A58" s="51">
        <f t="shared" si="2"/>
        <v>11.25</v>
      </c>
      <c r="B58" s="49">
        <f t="shared" si="3"/>
        <v>375</v>
      </c>
      <c r="C58" s="50">
        <f t="shared" si="4"/>
        <v>254.65507320561096</v>
      </c>
    </row>
    <row r="59" spans="1:3" ht="15.5" customHeight="1" x14ac:dyDescent="0.35">
      <c r="A59" s="51">
        <f t="shared" si="2"/>
        <v>11.5</v>
      </c>
      <c r="B59" s="49">
        <f t="shared" si="3"/>
        <v>375</v>
      </c>
      <c r="C59" s="50">
        <f t="shared" si="4"/>
        <v>252.47433973038144</v>
      </c>
    </row>
    <row r="60" spans="1:3" ht="15.5" customHeight="1" x14ac:dyDescent="0.35">
      <c r="A60" s="51">
        <f t="shared" si="2"/>
        <v>11.75</v>
      </c>
      <c r="B60" s="49">
        <f t="shared" si="3"/>
        <v>375</v>
      </c>
      <c r="C60" s="50">
        <f t="shared" si="4"/>
        <v>250.31228092135876</v>
      </c>
    </row>
    <row r="61" spans="1:3" ht="15.5" customHeight="1" x14ac:dyDescent="0.35">
      <c r="A61" s="51">
        <f t="shared" si="2"/>
        <v>12</v>
      </c>
      <c r="B61" s="49">
        <f t="shared" si="3"/>
        <v>375</v>
      </c>
      <c r="C61" s="50">
        <f t="shared" si="4"/>
        <v>248.16873685842336</v>
      </c>
    </row>
    <row r="62" spans="1:3" ht="15.5" customHeight="1" x14ac:dyDescent="0.35">
      <c r="A62" s="51">
        <f t="shared" si="2"/>
        <v>12.25</v>
      </c>
      <c r="B62" s="49">
        <f t="shared" si="3"/>
        <v>375</v>
      </c>
      <c r="C62" s="50">
        <f t="shared" si="4"/>
        <v>246.04354899092849</v>
      </c>
    </row>
    <row r="63" spans="1:3" ht="15.5" customHeight="1" x14ac:dyDescent="0.35">
      <c r="A63" s="51">
        <f t="shared" si="2"/>
        <v>12.5</v>
      </c>
      <c r="B63" s="49">
        <f t="shared" si="3"/>
        <v>375</v>
      </c>
      <c r="C63" s="50">
        <f t="shared" si="4"/>
        <v>243.93656012597248</v>
      </c>
    </row>
    <row r="64" spans="1:3" ht="15.5" customHeight="1" x14ac:dyDescent="0.35">
      <c r="A64" s="51">
        <f t="shared" si="2"/>
        <v>12.75</v>
      </c>
      <c r="B64" s="49">
        <f t="shared" si="3"/>
        <v>375</v>
      </c>
      <c r="C64" s="50">
        <f t="shared" si="4"/>
        <v>241.84761441677176</v>
      </c>
    </row>
    <row r="65" spans="1:3" ht="15.5" customHeight="1" x14ac:dyDescent="0.35">
      <c r="A65" s="51">
        <f t="shared" si="2"/>
        <v>13</v>
      </c>
      <c r="B65" s="49">
        <f t="shared" si="3"/>
        <v>375</v>
      </c>
      <c r="C65" s="50">
        <f t="shared" si="4"/>
        <v>239.77655735113376</v>
      </c>
    </row>
    <row r="66" spans="1:3" ht="15.5" customHeight="1" x14ac:dyDescent="0.35">
      <c r="A66" s="51">
        <f t="shared" si="2"/>
        <v>13.25</v>
      </c>
      <c r="B66" s="49">
        <f t="shared" si="3"/>
        <v>375</v>
      </c>
      <c r="C66" s="50">
        <f t="shared" si="4"/>
        <v>237.72323574002755</v>
      </c>
    </row>
    <row r="67" spans="1:3" ht="15.5" customHeight="1" x14ac:dyDescent="0.35">
      <c r="A67" s="51">
        <f t="shared" si="2"/>
        <v>13.5</v>
      </c>
      <c r="B67" s="49">
        <f t="shared" si="3"/>
        <v>375</v>
      </c>
      <c r="C67" s="50">
        <f t="shared" si="4"/>
        <v>235.68749770625357</v>
      </c>
    </row>
    <row r="68" spans="1:3" ht="15.5" customHeight="1" x14ac:dyDescent="0.35">
      <c r="A68" s="51">
        <f t="shared" si="2"/>
        <v>13.75</v>
      </c>
      <c r="B68" s="49">
        <f t="shared" si="3"/>
        <v>375</v>
      </c>
      <c r="C68" s="50">
        <f t="shared" si="4"/>
        <v>233.66919267320947</v>
      </c>
    </row>
    <row r="69" spans="1:3" ht="15.5" customHeight="1" x14ac:dyDescent="0.35">
      <c r="A69" s="51">
        <f t="shared" si="2"/>
        <v>14</v>
      </c>
      <c r="B69" s="49">
        <f t="shared" si="3"/>
        <v>375</v>
      </c>
      <c r="C69" s="50">
        <f t="shared" si="4"/>
        <v>231.66817135375237</v>
      </c>
    </row>
    <row r="70" spans="1:3" ht="15.5" customHeight="1" x14ac:dyDescent="0.35">
      <c r="A70" s="51">
        <f t="shared" si="2"/>
        <v>14.25</v>
      </c>
      <c r="B70" s="49">
        <f t="shared" si="3"/>
        <v>375</v>
      </c>
      <c r="C70" s="50">
        <f t="shared" si="4"/>
        <v>229.68428573915708</v>
      </c>
    </row>
    <row r="71" spans="1:3" ht="15.5" customHeight="1" x14ac:dyDescent="0.35">
      <c r="A71" s="51">
        <f t="shared" si="2"/>
        <v>14.5</v>
      </c>
      <c r="B71" s="49">
        <f t="shared" si="3"/>
        <v>375</v>
      </c>
      <c r="C71" s="50">
        <f t="shared" si="4"/>
        <v>227.71738908816775</v>
      </c>
    </row>
    <row r="72" spans="1:3" ht="15.5" customHeight="1" x14ac:dyDescent="0.35">
      <c r="A72" s="51">
        <f t="shared" si="2"/>
        <v>14.75</v>
      </c>
      <c r="B72" s="49">
        <f t="shared" si="3"/>
        <v>375</v>
      </c>
      <c r="C72" s="50">
        <f t="shared" si="4"/>
        <v>225.76733591614439</v>
      </c>
    </row>
    <row r="73" spans="1:3" ht="15.5" customHeight="1" x14ac:dyDescent="0.35">
      <c r="A73" s="51">
        <f t="shared" si="2"/>
        <v>15</v>
      </c>
      <c r="B73" s="49">
        <v>0</v>
      </c>
      <c r="C73" s="50">
        <f t="shared" si="4"/>
        <v>0</v>
      </c>
    </row>
    <row r="74" spans="1:3" ht="15.5" customHeight="1" x14ac:dyDescent="0.35"/>
    <row r="75" spans="1:3" ht="15.5" customHeight="1" thickBot="1" x14ac:dyDescent="0.4">
      <c r="B75" s="42" t="s">
        <v>10</v>
      </c>
      <c r="C75" s="52">
        <f>SUM(C13:C73)</f>
        <v>15345.709101477707</v>
      </c>
    </row>
    <row r="76" spans="1:3" ht="15.5" customHeight="1" thickTop="1" x14ac:dyDescent="0.35"/>
    <row r="77" spans="1:3" ht="15.5" customHeight="1" x14ac:dyDescent="0.35"/>
    <row r="78" spans="1:3" ht="15.5" customHeight="1" x14ac:dyDescent="0.35"/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791B-E176-442D-BEDA-E38C81C28834}">
  <dimension ref="A1:E79"/>
  <sheetViews>
    <sheetView workbookViewId="0">
      <selection activeCell="B34" sqref="B34"/>
    </sheetView>
  </sheetViews>
  <sheetFormatPr defaultColWidth="9.81640625" defaultRowHeight="15.5" x14ac:dyDescent="0.35"/>
  <cols>
    <col min="1" max="1" width="10.54296875" style="15" customWidth="1"/>
    <col min="2" max="2" width="13.81640625" style="15" customWidth="1"/>
    <col min="3" max="3" width="22.54296875" style="15" customWidth="1"/>
    <col min="4" max="5" width="12.7265625" style="15" customWidth="1"/>
    <col min="6" max="16384" width="9.81640625" style="15"/>
  </cols>
  <sheetData>
    <row r="1" spans="1:5" ht="15.5" customHeight="1" x14ac:dyDescent="0.35">
      <c r="A1" s="54" t="s">
        <v>49</v>
      </c>
      <c r="B1" s="54"/>
      <c r="C1" s="54"/>
      <c r="D1" s="54"/>
      <c r="E1" s="54"/>
    </row>
    <row r="2" spans="1:5" ht="15.5" customHeight="1" x14ac:dyDescent="0.35">
      <c r="A2" s="11" t="s">
        <v>22</v>
      </c>
      <c r="B2" s="16"/>
      <c r="C2" s="16"/>
      <c r="D2" s="16"/>
      <c r="E2" s="16"/>
    </row>
    <row r="3" spans="1:5" ht="15.5" customHeight="1" x14ac:dyDescent="0.35">
      <c r="A3" s="16"/>
      <c r="B3" s="16"/>
      <c r="C3" s="16"/>
      <c r="D3" s="16"/>
      <c r="E3" s="16"/>
    </row>
    <row r="4" spans="1:5" ht="15.5" customHeight="1" x14ac:dyDescent="0.35">
      <c r="A4" s="14" t="s">
        <v>4</v>
      </c>
      <c r="B4" s="17" t="s">
        <v>5</v>
      </c>
      <c r="C4" s="17" t="s">
        <v>6</v>
      </c>
    </row>
    <row r="5" spans="1:5" ht="15.5" customHeight="1" x14ac:dyDescent="0.35">
      <c r="A5" s="15" t="s">
        <v>7</v>
      </c>
      <c r="B5" s="20">
        <v>250</v>
      </c>
      <c r="C5" s="15" t="s">
        <v>50</v>
      </c>
    </row>
    <row r="6" spans="1:5" ht="15.5" customHeight="1" x14ac:dyDescent="0.35">
      <c r="A6" s="15" t="s">
        <v>34</v>
      </c>
      <c r="B6" s="20">
        <v>375</v>
      </c>
      <c r="C6" s="15" t="s">
        <v>51</v>
      </c>
    </row>
    <row r="7" spans="1:5" ht="15.5" customHeight="1" x14ac:dyDescent="0.35">
      <c r="B7" s="27">
        <v>3.5000000000000003E-2</v>
      </c>
      <c r="C7" s="28" t="s">
        <v>52</v>
      </c>
    </row>
    <row r="8" spans="1:5" ht="15.5" customHeight="1" x14ac:dyDescent="0.35">
      <c r="A8" s="15" t="s">
        <v>8</v>
      </c>
      <c r="B8" s="29">
        <f>(1+B7)^0.25 - 1</f>
        <v>8.6374459977134332E-3</v>
      </c>
      <c r="C8" s="26" t="s">
        <v>56</v>
      </c>
    </row>
    <row r="9" spans="1:5" ht="15.5" customHeight="1" x14ac:dyDescent="0.35">
      <c r="A9" s="15" t="s">
        <v>9</v>
      </c>
      <c r="B9" s="20">
        <v>20</v>
      </c>
      <c r="C9" s="15" t="s">
        <v>53</v>
      </c>
    </row>
    <row r="10" spans="1:5" ht="15.5" customHeight="1" x14ac:dyDescent="0.35">
      <c r="A10" s="15" t="s">
        <v>24</v>
      </c>
      <c r="B10" s="20">
        <v>60</v>
      </c>
      <c r="C10" s="15" t="s">
        <v>54</v>
      </c>
    </row>
    <row r="11" spans="1:5" ht="15.5" customHeight="1" x14ac:dyDescent="0.35">
      <c r="A11" s="21"/>
      <c r="B11" s="21"/>
      <c r="C11" s="21"/>
      <c r="D11" s="22"/>
    </row>
    <row r="12" spans="1:5" s="21" customFormat="1" ht="15.5" customHeight="1" x14ac:dyDescent="0.35">
      <c r="A12" s="38" t="s">
        <v>25</v>
      </c>
      <c r="B12" s="38" t="s">
        <v>26</v>
      </c>
      <c r="C12" s="38" t="s">
        <v>13</v>
      </c>
    </row>
    <row r="13" spans="1:5" s="21" customFormat="1" ht="15.5" customHeight="1" x14ac:dyDescent="0.35">
      <c r="A13" s="38" t="s">
        <v>27</v>
      </c>
      <c r="B13" s="38"/>
      <c r="C13" s="38"/>
    </row>
    <row r="14" spans="1:5" s="23" customFormat="1" ht="15.5" customHeight="1" x14ac:dyDescent="0.35">
      <c r="A14" s="39">
        <v>0</v>
      </c>
      <c r="B14" s="49">
        <f t="shared" ref="B14:B45" si="0">IF(A14&lt;n,X,Y)</f>
        <v>250</v>
      </c>
      <c r="C14" s="50">
        <f t="shared" ref="C14:C45" si="1">B14*(1+i)^(-A14)</f>
        <v>250</v>
      </c>
    </row>
    <row r="15" spans="1:5" ht="15.5" customHeight="1" x14ac:dyDescent="0.35">
      <c r="A15" s="41">
        <v>1</v>
      </c>
      <c r="B15" s="49">
        <f t="shared" si="0"/>
        <v>250</v>
      </c>
      <c r="C15" s="50">
        <f t="shared" si="1"/>
        <v>247.85913014830379</v>
      </c>
    </row>
    <row r="16" spans="1:5" ht="15.5" customHeight="1" x14ac:dyDescent="0.35">
      <c r="A16" s="39">
        <v>2</v>
      </c>
      <c r="B16" s="49">
        <f t="shared" si="0"/>
        <v>250</v>
      </c>
      <c r="C16" s="50">
        <f t="shared" si="1"/>
        <v>245.73659359149522</v>
      </c>
    </row>
    <row r="17" spans="1:3" ht="15.5" customHeight="1" x14ac:dyDescent="0.35">
      <c r="A17" s="41">
        <v>3</v>
      </c>
      <c r="B17" s="49">
        <f t="shared" si="0"/>
        <v>250</v>
      </c>
      <c r="C17" s="50">
        <f t="shared" si="1"/>
        <v>243.632233332781</v>
      </c>
    </row>
    <row r="18" spans="1:3" ht="15.5" customHeight="1" x14ac:dyDescent="0.35">
      <c r="A18" s="39">
        <v>4</v>
      </c>
      <c r="B18" s="49">
        <f t="shared" si="0"/>
        <v>250</v>
      </c>
      <c r="C18" s="50">
        <f t="shared" si="1"/>
        <v>241.54589371980677</v>
      </c>
    </row>
    <row r="19" spans="1:3" ht="15.5" customHeight="1" x14ac:dyDescent="0.35">
      <c r="A19" s="41">
        <v>5</v>
      </c>
      <c r="B19" s="49">
        <f t="shared" si="0"/>
        <v>250</v>
      </c>
      <c r="C19" s="50">
        <f t="shared" si="1"/>
        <v>239.47742043314378</v>
      </c>
    </row>
    <row r="20" spans="1:3" ht="15.5" customHeight="1" x14ac:dyDescent="0.35">
      <c r="A20" s="39">
        <v>6</v>
      </c>
      <c r="B20" s="49">
        <f t="shared" si="0"/>
        <v>250</v>
      </c>
      <c r="C20" s="50">
        <f t="shared" si="1"/>
        <v>237.42666047487464</v>
      </c>
    </row>
    <row r="21" spans="1:3" ht="15.5" customHeight="1" x14ac:dyDescent="0.35">
      <c r="A21" s="41">
        <v>7</v>
      </c>
      <c r="B21" s="49">
        <f t="shared" si="0"/>
        <v>250</v>
      </c>
      <c r="C21" s="50">
        <f t="shared" si="1"/>
        <v>235.39346215727636</v>
      </c>
    </row>
    <row r="22" spans="1:3" ht="15.5" customHeight="1" x14ac:dyDescent="0.35">
      <c r="A22" s="39">
        <v>8</v>
      </c>
      <c r="B22" s="49">
        <f t="shared" si="0"/>
        <v>250</v>
      </c>
      <c r="C22" s="50">
        <f t="shared" si="1"/>
        <v>233.37767509160076</v>
      </c>
    </row>
    <row r="23" spans="1:3" ht="15.5" customHeight="1" x14ac:dyDescent="0.35">
      <c r="A23" s="41">
        <v>9</v>
      </c>
      <c r="B23" s="49">
        <f t="shared" si="0"/>
        <v>250</v>
      </c>
      <c r="C23" s="50">
        <f t="shared" si="1"/>
        <v>231.3791501769505</v>
      </c>
    </row>
    <row r="24" spans="1:3" ht="15.5" customHeight="1" x14ac:dyDescent="0.35">
      <c r="A24" s="39">
        <v>10</v>
      </c>
      <c r="B24" s="49">
        <f t="shared" si="0"/>
        <v>250</v>
      </c>
      <c r="C24" s="50">
        <f t="shared" si="1"/>
        <v>229.39773958925082</v>
      </c>
    </row>
    <row r="25" spans="1:3" ht="15.5" customHeight="1" x14ac:dyDescent="0.35">
      <c r="A25" s="41">
        <v>11</v>
      </c>
      <c r="B25" s="49">
        <f t="shared" si="0"/>
        <v>250</v>
      </c>
      <c r="C25" s="50">
        <f t="shared" si="1"/>
        <v>227.43329677031534</v>
      </c>
    </row>
    <row r="26" spans="1:3" ht="15.5" customHeight="1" x14ac:dyDescent="0.35">
      <c r="A26" s="39">
        <v>12</v>
      </c>
      <c r="B26" s="49">
        <f t="shared" si="0"/>
        <v>250</v>
      </c>
      <c r="C26" s="50">
        <f t="shared" si="1"/>
        <v>225.48567641700561</v>
      </c>
    </row>
    <row r="27" spans="1:3" ht="15.5" customHeight="1" x14ac:dyDescent="0.35">
      <c r="A27" s="41">
        <v>13</v>
      </c>
      <c r="B27" s="49">
        <f t="shared" si="0"/>
        <v>250</v>
      </c>
      <c r="C27" s="50">
        <f t="shared" si="1"/>
        <v>223.5547344704836</v>
      </c>
    </row>
    <row r="28" spans="1:3" ht="15.5" customHeight="1" x14ac:dyDescent="0.35">
      <c r="A28" s="39">
        <v>14</v>
      </c>
      <c r="B28" s="49">
        <f t="shared" si="0"/>
        <v>250</v>
      </c>
      <c r="C28" s="50">
        <f t="shared" si="1"/>
        <v>221.64032810555642</v>
      </c>
    </row>
    <row r="29" spans="1:3" ht="15.5" customHeight="1" x14ac:dyDescent="0.35">
      <c r="A29" s="41">
        <v>15</v>
      </c>
      <c r="B29" s="49">
        <f t="shared" si="0"/>
        <v>250</v>
      </c>
      <c r="C29" s="50">
        <f t="shared" si="1"/>
        <v>219.74231572011146</v>
      </c>
    </row>
    <row r="30" spans="1:3" ht="15.5" customHeight="1" x14ac:dyDescent="0.35">
      <c r="A30" s="39">
        <v>16</v>
      </c>
      <c r="B30" s="49">
        <f t="shared" si="0"/>
        <v>250</v>
      </c>
      <c r="C30" s="50">
        <f t="shared" si="1"/>
        <v>217.86055692464311</v>
      </c>
    </row>
    <row r="31" spans="1:3" ht="15.5" customHeight="1" x14ac:dyDescent="0.35">
      <c r="A31" s="41">
        <v>17</v>
      </c>
      <c r="B31" s="49">
        <f t="shared" si="0"/>
        <v>250</v>
      </c>
      <c r="C31" s="50">
        <f t="shared" si="1"/>
        <v>215.99491253186827</v>
      </c>
    </row>
    <row r="32" spans="1:3" ht="15.5" customHeight="1" x14ac:dyDescent="0.35">
      <c r="A32" s="39">
        <v>18</v>
      </c>
      <c r="B32" s="49">
        <f t="shared" si="0"/>
        <v>250</v>
      </c>
      <c r="C32" s="50">
        <f t="shared" si="1"/>
        <v>214.14524454643134</v>
      </c>
    </row>
    <row r="33" spans="1:3" ht="15.5" customHeight="1" x14ac:dyDescent="0.35">
      <c r="A33" s="41">
        <v>19</v>
      </c>
      <c r="B33" s="49">
        <f t="shared" si="0"/>
        <v>250</v>
      </c>
      <c r="C33" s="50">
        <f t="shared" si="1"/>
        <v>212.31141615469707</v>
      </c>
    </row>
    <row r="34" spans="1:3" ht="15.5" customHeight="1" x14ac:dyDescent="0.35">
      <c r="A34" s="39">
        <v>20</v>
      </c>
      <c r="B34" s="49">
        <f t="shared" si="0"/>
        <v>375</v>
      </c>
      <c r="C34" s="50">
        <f t="shared" si="1"/>
        <v>315.7399375719466</v>
      </c>
    </row>
    <row r="35" spans="1:3" ht="15.5" customHeight="1" x14ac:dyDescent="0.35">
      <c r="A35" s="41">
        <v>21</v>
      </c>
      <c r="B35" s="49">
        <f t="shared" si="0"/>
        <v>375</v>
      </c>
      <c r="C35" s="50">
        <f t="shared" si="1"/>
        <v>313.03610511864963</v>
      </c>
    </row>
    <row r="36" spans="1:3" ht="15.5" customHeight="1" x14ac:dyDescent="0.35">
      <c r="A36" s="39">
        <v>22</v>
      </c>
      <c r="B36" s="49">
        <f t="shared" si="0"/>
        <v>375</v>
      </c>
      <c r="C36" s="50">
        <f t="shared" si="1"/>
        <v>310.35542687888596</v>
      </c>
    </row>
    <row r="37" spans="1:3" ht="15.5" customHeight="1" x14ac:dyDescent="0.35">
      <c r="A37" s="41">
        <v>23</v>
      </c>
      <c r="B37" s="49">
        <f t="shared" si="0"/>
        <v>375</v>
      </c>
      <c r="C37" s="50">
        <f t="shared" si="1"/>
        <v>307.69770457202475</v>
      </c>
    </row>
    <row r="38" spans="1:3" ht="15.5" customHeight="1" x14ac:dyDescent="0.35">
      <c r="A38" s="39">
        <v>24</v>
      </c>
      <c r="B38" s="49">
        <f t="shared" si="0"/>
        <v>375</v>
      </c>
      <c r="C38" s="50">
        <f t="shared" si="1"/>
        <v>305.06274161540733</v>
      </c>
    </row>
    <row r="39" spans="1:3" ht="15.5" customHeight="1" x14ac:dyDescent="0.35">
      <c r="A39" s="41">
        <v>25</v>
      </c>
      <c r="B39" s="49">
        <f t="shared" si="0"/>
        <v>375</v>
      </c>
      <c r="C39" s="50">
        <f t="shared" si="1"/>
        <v>302.45034310980645</v>
      </c>
    </row>
    <row r="40" spans="1:3" ht="15.5" customHeight="1" x14ac:dyDescent="0.35">
      <c r="A40" s="39">
        <v>26</v>
      </c>
      <c r="B40" s="49">
        <f t="shared" si="0"/>
        <v>375</v>
      </c>
      <c r="C40" s="50">
        <f t="shared" si="1"/>
        <v>299.86031582501062</v>
      </c>
    </row>
    <row r="41" spans="1:3" ht="15.5" customHeight="1" x14ac:dyDescent="0.35">
      <c r="A41" s="41">
        <v>27</v>
      </c>
      <c r="B41" s="49">
        <f t="shared" si="0"/>
        <v>375</v>
      </c>
      <c r="C41" s="50">
        <f t="shared" si="1"/>
        <v>297.29246818553122</v>
      </c>
    </row>
    <row r="42" spans="1:3" ht="15.5" customHeight="1" x14ac:dyDescent="0.35">
      <c r="A42" s="39">
        <v>28</v>
      </c>
      <c r="B42" s="49">
        <f t="shared" si="0"/>
        <v>375</v>
      </c>
      <c r="C42" s="50">
        <f t="shared" si="1"/>
        <v>294.74661025643218</v>
      </c>
    </row>
    <row r="43" spans="1:3" ht="15.5" customHeight="1" x14ac:dyDescent="0.35">
      <c r="A43" s="41">
        <v>29</v>
      </c>
      <c r="B43" s="49">
        <f t="shared" si="0"/>
        <v>375</v>
      </c>
      <c r="C43" s="50">
        <f t="shared" si="1"/>
        <v>292.22255372928157</v>
      </c>
    </row>
    <row r="44" spans="1:3" ht="15.5" customHeight="1" x14ac:dyDescent="0.35">
      <c r="A44" s="39">
        <v>30</v>
      </c>
      <c r="B44" s="49">
        <f t="shared" si="0"/>
        <v>375</v>
      </c>
      <c r="C44" s="50">
        <f t="shared" si="1"/>
        <v>289.72011190822286</v>
      </c>
    </row>
    <row r="45" spans="1:3" ht="15.5" customHeight="1" x14ac:dyDescent="0.35">
      <c r="A45" s="41">
        <v>31</v>
      </c>
      <c r="B45" s="49">
        <f t="shared" si="0"/>
        <v>375</v>
      </c>
      <c r="C45" s="50">
        <f t="shared" si="1"/>
        <v>287.2390996961654</v>
      </c>
    </row>
    <row r="46" spans="1:3" ht="15.5" customHeight="1" x14ac:dyDescent="0.35">
      <c r="A46" s="39">
        <v>32</v>
      </c>
      <c r="B46" s="49">
        <f t="shared" ref="B46:B73" si="2">IF(A46&lt;n,X,Y)</f>
        <v>375</v>
      </c>
      <c r="C46" s="50">
        <f t="shared" ref="C46:C74" si="3">B46*(1+i)^(-A46)</f>
        <v>284.77933358109397</v>
      </c>
    </row>
    <row r="47" spans="1:3" ht="15.5" customHeight="1" x14ac:dyDescent="0.35">
      <c r="A47" s="41">
        <v>33</v>
      </c>
      <c r="B47" s="49">
        <f t="shared" si="2"/>
        <v>375</v>
      </c>
      <c r="C47" s="50">
        <f t="shared" si="3"/>
        <v>282.34063162249436</v>
      </c>
    </row>
    <row r="48" spans="1:3" ht="15.5" customHeight="1" x14ac:dyDescent="0.35">
      <c r="A48" s="39">
        <v>34</v>
      </c>
      <c r="B48" s="49">
        <f t="shared" si="2"/>
        <v>375</v>
      </c>
      <c r="C48" s="50">
        <f t="shared" si="3"/>
        <v>279.92281343789654</v>
      </c>
    </row>
    <row r="49" spans="1:3" ht="15.5" customHeight="1" x14ac:dyDescent="0.35">
      <c r="A49" s="41">
        <v>35</v>
      </c>
      <c r="B49" s="49">
        <f t="shared" si="2"/>
        <v>375</v>
      </c>
      <c r="C49" s="50">
        <f t="shared" si="3"/>
        <v>277.52570018953185</v>
      </c>
    </row>
    <row r="50" spans="1:3" ht="15.5" customHeight="1" x14ac:dyDescent="0.35">
      <c r="A50" s="39">
        <v>36</v>
      </c>
      <c r="B50" s="49">
        <f t="shared" si="2"/>
        <v>375</v>
      </c>
      <c r="C50" s="50">
        <f t="shared" si="3"/>
        <v>275.14911457110532</v>
      </c>
    </row>
    <row r="51" spans="1:3" ht="15.5" customHeight="1" x14ac:dyDescent="0.35">
      <c r="A51" s="41">
        <v>37</v>
      </c>
      <c r="B51" s="49">
        <f t="shared" si="2"/>
        <v>375</v>
      </c>
      <c r="C51" s="50">
        <f t="shared" si="3"/>
        <v>272.79288079468057</v>
      </c>
    </row>
    <row r="52" spans="1:3" ht="15.5" customHeight="1" x14ac:dyDescent="0.35">
      <c r="A52" s="39">
        <v>38</v>
      </c>
      <c r="B52" s="49">
        <f t="shared" si="2"/>
        <v>375</v>
      </c>
      <c r="C52" s="50">
        <f t="shared" si="3"/>
        <v>270.45682457767782</v>
      </c>
    </row>
    <row r="53" spans="1:3" ht="15.5" customHeight="1" x14ac:dyDescent="0.35">
      <c r="A53" s="41">
        <v>39</v>
      </c>
      <c r="B53" s="49">
        <f t="shared" si="2"/>
        <v>375</v>
      </c>
      <c r="C53" s="50">
        <f t="shared" si="3"/>
        <v>268.14077312998245</v>
      </c>
    </row>
    <row r="54" spans="1:3" ht="15.5" customHeight="1" x14ac:dyDescent="0.35">
      <c r="A54" s="39">
        <v>40</v>
      </c>
      <c r="B54" s="49">
        <f t="shared" si="2"/>
        <v>375</v>
      </c>
      <c r="C54" s="50">
        <f t="shared" si="3"/>
        <v>265.84455514116456</v>
      </c>
    </row>
    <row r="55" spans="1:3" ht="15.5" customHeight="1" x14ac:dyDescent="0.35">
      <c r="A55" s="41">
        <v>41</v>
      </c>
      <c r="B55" s="49">
        <f t="shared" si="2"/>
        <v>375</v>
      </c>
      <c r="C55" s="50">
        <f t="shared" si="3"/>
        <v>263.56800076780735</v>
      </c>
    </row>
    <row r="56" spans="1:3" ht="15.5" customHeight="1" x14ac:dyDescent="0.35">
      <c r="A56" s="39">
        <v>42</v>
      </c>
      <c r="B56" s="49">
        <f t="shared" si="2"/>
        <v>375</v>
      </c>
      <c r="C56" s="50">
        <f t="shared" si="3"/>
        <v>261.31094162094479</v>
      </c>
    </row>
    <row r="57" spans="1:3" ht="15.5" customHeight="1" x14ac:dyDescent="0.35">
      <c r="A57" s="41">
        <v>43</v>
      </c>
      <c r="B57" s="49">
        <f t="shared" si="2"/>
        <v>375</v>
      </c>
      <c r="C57" s="50">
        <f t="shared" si="3"/>
        <v>259.07321075360625</v>
      </c>
    </row>
    <row r="58" spans="1:3" ht="15.5" customHeight="1" x14ac:dyDescent="0.35">
      <c r="A58" s="39">
        <v>44</v>
      </c>
      <c r="B58" s="49">
        <f t="shared" si="2"/>
        <v>375</v>
      </c>
      <c r="C58" s="50">
        <f t="shared" si="3"/>
        <v>256.8546426484682</v>
      </c>
    </row>
    <row r="59" spans="1:3" ht="15.5" customHeight="1" x14ac:dyDescent="0.35">
      <c r="A59" s="41">
        <v>45</v>
      </c>
      <c r="B59" s="49">
        <f t="shared" si="2"/>
        <v>375</v>
      </c>
      <c r="C59" s="50">
        <f t="shared" si="3"/>
        <v>254.6550732056109</v>
      </c>
    </row>
    <row r="60" spans="1:3" ht="15.5" customHeight="1" x14ac:dyDescent="0.35">
      <c r="A60" s="39">
        <v>46</v>
      </c>
      <c r="B60" s="49">
        <f t="shared" si="2"/>
        <v>375</v>
      </c>
      <c r="C60" s="50">
        <f t="shared" si="3"/>
        <v>252.47433973038144</v>
      </c>
    </row>
    <row r="61" spans="1:3" ht="15.5" customHeight="1" x14ac:dyDescent="0.35">
      <c r="A61" s="41">
        <v>47</v>
      </c>
      <c r="B61" s="49">
        <f t="shared" si="2"/>
        <v>375</v>
      </c>
      <c r="C61" s="50">
        <f t="shared" si="3"/>
        <v>250.31228092135876</v>
      </c>
    </row>
    <row r="62" spans="1:3" ht="15.5" customHeight="1" x14ac:dyDescent="0.35">
      <c r="A62" s="39">
        <v>48</v>
      </c>
      <c r="B62" s="49">
        <f t="shared" si="2"/>
        <v>375</v>
      </c>
      <c r="C62" s="50">
        <f t="shared" si="3"/>
        <v>248.16873685842336</v>
      </c>
    </row>
    <row r="63" spans="1:3" ht="15.5" customHeight="1" x14ac:dyDescent="0.35">
      <c r="A63" s="41">
        <v>49</v>
      </c>
      <c r="B63" s="49">
        <f t="shared" si="2"/>
        <v>375</v>
      </c>
      <c r="C63" s="50">
        <f t="shared" si="3"/>
        <v>246.04354899092849</v>
      </c>
    </row>
    <row r="64" spans="1:3" ht="15.5" customHeight="1" x14ac:dyDescent="0.35">
      <c r="A64" s="39">
        <v>50</v>
      </c>
      <c r="B64" s="49">
        <f t="shared" si="2"/>
        <v>375</v>
      </c>
      <c r="C64" s="50">
        <f t="shared" si="3"/>
        <v>243.93656012597242</v>
      </c>
    </row>
    <row r="65" spans="1:3" ht="15.5" customHeight="1" x14ac:dyDescent="0.35">
      <c r="A65" s="41">
        <v>51</v>
      </c>
      <c r="B65" s="49">
        <f t="shared" si="2"/>
        <v>375</v>
      </c>
      <c r="C65" s="50">
        <f t="shared" si="3"/>
        <v>241.84761441677176</v>
      </c>
    </row>
    <row r="66" spans="1:3" ht="15.5" customHeight="1" x14ac:dyDescent="0.35">
      <c r="A66" s="39">
        <v>52</v>
      </c>
      <c r="B66" s="49">
        <f t="shared" si="2"/>
        <v>375</v>
      </c>
      <c r="C66" s="50">
        <f t="shared" si="3"/>
        <v>239.77655735113376</v>
      </c>
    </row>
    <row r="67" spans="1:3" ht="15.5" customHeight="1" x14ac:dyDescent="0.35">
      <c r="A67" s="41">
        <v>53</v>
      </c>
      <c r="B67" s="49">
        <f t="shared" si="2"/>
        <v>375</v>
      </c>
      <c r="C67" s="50">
        <f t="shared" si="3"/>
        <v>237.72323574002755</v>
      </c>
    </row>
    <row r="68" spans="1:3" ht="15.5" customHeight="1" x14ac:dyDescent="0.35">
      <c r="A68" s="39">
        <v>54</v>
      </c>
      <c r="B68" s="49">
        <f t="shared" si="2"/>
        <v>375</v>
      </c>
      <c r="C68" s="50">
        <f t="shared" si="3"/>
        <v>235.68749770625354</v>
      </c>
    </row>
    <row r="69" spans="1:3" ht="15.5" customHeight="1" x14ac:dyDescent="0.35">
      <c r="A69" s="41">
        <v>55</v>
      </c>
      <c r="B69" s="49">
        <f t="shared" si="2"/>
        <v>375</v>
      </c>
      <c r="C69" s="50">
        <f t="shared" si="3"/>
        <v>233.66919267320947</v>
      </c>
    </row>
    <row r="70" spans="1:3" ht="15.5" customHeight="1" x14ac:dyDescent="0.35">
      <c r="A70" s="39">
        <v>56</v>
      </c>
      <c r="B70" s="49">
        <f t="shared" si="2"/>
        <v>375</v>
      </c>
      <c r="C70" s="50">
        <f t="shared" si="3"/>
        <v>231.66817135375237</v>
      </c>
    </row>
    <row r="71" spans="1:3" ht="15.5" customHeight="1" x14ac:dyDescent="0.35">
      <c r="A71" s="41">
        <v>57</v>
      </c>
      <c r="B71" s="49">
        <f t="shared" si="2"/>
        <v>375</v>
      </c>
      <c r="C71" s="50">
        <f t="shared" si="3"/>
        <v>229.68428573915702</v>
      </c>
    </row>
    <row r="72" spans="1:3" ht="15.5" customHeight="1" x14ac:dyDescent="0.35">
      <c r="A72" s="39">
        <v>58</v>
      </c>
      <c r="B72" s="49">
        <f t="shared" si="2"/>
        <v>375</v>
      </c>
      <c r="C72" s="50">
        <f t="shared" si="3"/>
        <v>227.71738908816772</v>
      </c>
    </row>
    <row r="73" spans="1:3" ht="15.5" customHeight="1" x14ac:dyDescent="0.35">
      <c r="A73" s="41">
        <v>59</v>
      </c>
      <c r="B73" s="49">
        <f t="shared" si="2"/>
        <v>375</v>
      </c>
      <c r="C73" s="50">
        <f t="shared" si="3"/>
        <v>225.76733591614439</v>
      </c>
    </row>
    <row r="74" spans="1:3" ht="15.5" customHeight="1" x14ac:dyDescent="0.35">
      <c r="A74" s="39">
        <v>60</v>
      </c>
      <c r="B74" s="49">
        <v>0</v>
      </c>
      <c r="C74" s="50">
        <f t="shared" si="3"/>
        <v>0</v>
      </c>
    </row>
    <row r="75" spans="1:3" ht="15.5" customHeight="1" x14ac:dyDescent="0.35"/>
    <row r="76" spans="1:3" ht="15.5" customHeight="1" thickBot="1" x14ac:dyDescent="0.4">
      <c r="B76" s="42" t="s">
        <v>10</v>
      </c>
      <c r="C76" s="52">
        <f>SUM(C14:C74)</f>
        <v>15345.709101477707</v>
      </c>
    </row>
    <row r="77" spans="1:3" ht="15.5" customHeight="1" thickTop="1" x14ac:dyDescent="0.35"/>
    <row r="78" spans="1:3" ht="15.5" customHeight="1" x14ac:dyDescent="0.35"/>
    <row r="79" spans="1:3" ht="15.5" customHeight="1" x14ac:dyDescent="0.35"/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32</vt:i4>
      </vt:variant>
    </vt:vector>
  </HeadingPairs>
  <TitlesOfParts>
    <vt:vector size="40" baseType="lpstr">
      <vt:lpstr>Example 3.2.1 (i)</vt:lpstr>
      <vt:lpstr>Example 3.2.1 (ii)</vt:lpstr>
      <vt:lpstr>Example 3.2.1 (iii)</vt:lpstr>
      <vt:lpstr>Example 3.6.1</vt:lpstr>
      <vt:lpstr>Example 3.7.2</vt:lpstr>
      <vt:lpstr>Example 3.7.4</vt:lpstr>
      <vt:lpstr>Tut_2 Q_13(a)</vt:lpstr>
      <vt:lpstr>Tut_2 Q_13(b)</vt:lpstr>
      <vt:lpstr>'Example 3.2.1 (ii)'!i</vt:lpstr>
      <vt:lpstr>'Example 3.2.1 (iii)'!i</vt:lpstr>
      <vt:lpstr>'Example 3.6.1'!i</vt:lpstr>
      <vt:lpstr>'Example 3.7.2'!i</vt:lpstr>
      <vt:lpstr>'Example 3.7.4'!i</vt:lpstr>
      <vt:lpstr>'Tut_2 Q_13(a)'!i</vt:lpstr>
      <vt:lpstr>'Tut_2 Q_13(b)'!i</vt:lpstr>
      <vt:lpstr>i</vt:lpstr>
      <vt:lpstr>'Example 3.7.2'!Inc_P</vt:lpstr>
      <vt:lpstr>'Example 3.2.1 (iii)'!j</vt:lpstr>
      <vt:lpstr>'Example 3.7.2'!Lvl_P</vt:lpstr>
      <vt:lpstr>'Tut_2 Q_13(a)'!m</vt:lpstr>
      <vt:lpstr>'Tut_2 Q_13(b)'!m</vt:lpstr>
      <vt:lpstr>'Example 3.2.1 (ii)'!n</vt:lpstr>
      <vt:lpstr>'Example 3.2.1 (iii)'!n</vt:lpstr>
      <vt:lpstr>'Example 3.6.1'!n</vt:lpstr>
      <vt:lpstr>'Example 3.7.2'!n</vt:lpstr>
      <vt:lpstr>'Tut_2 Q_13(a)'!n</vt:lpstr>
      <vt:lpstr>'Tut_2 Q_13(b)'!n</vt:lpstr>
      <vt:lpstr>n</vt:lpstr>
      <vt:lpstr>'Example 3.2.1 (ii)'!X</vt:lpstr>
      <vt:lpstr>'Example 3.2.1 (iii)'!X</vt:lpstr>
      <vt:lpstr>'Example 3.6.1'!X</vt:lpstr>
      <vt:lpstr>'Example 3.7.2'!X</vt:lpstr>
      <vt:lpstr>'Example 3.7.4'!X</vt:lpstr>
      <vt:lpstr>'Tut_2 Q_13(a)'!X</vt:lpstr>
      <vt:lpstr>'Tut_2 Q_13(b)'!X</vt:lpstr>
      <vt:lpstr>X</vt:lpstr>
      <vt:lpstr>'Example 3.7.2'!Y</vt:lpstr>
      <vt:lpstr>'Example 3.7.4'!Y</vt:lpstr>
      <vt:lpstr>'Tut_2 Q_13(a)'!Y</vt:lpstr>
      <vt:lpstr>'Tut_2 Q_13(b)'!Y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Karamjeet Singh</dc:creator>
  <cp:lastModifiedBy>K.Ranthir Singh, Karamjeet Singh</cp:lastModifiedBy>
  <cp:lastPrinted>2019-09-17T01:41:29Z</cp:lastPrinted>
  <dcterms:created xsi:type="dcterms:W3CDTF">2017-09-18T05:06:44Z</dcterms:created>
  <dcterms:modified xsi:type="dcterms:W3CDTF">2026-01-30T10:22:19Z</dcterms:modified>
</cp:coreProperties>
</file>