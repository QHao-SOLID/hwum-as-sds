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8595" windowHeight="7995"/>
  </bookViews>
  <sheets>
    <sheet name="Cell names" sheetId="1" r:id="rId1"/>
    <sheet name="Calculations" sheetId="2" r:id="rId2"/>
  </sheets>
  <definedNames>
    <definedName name="calcdate">'Cell names'!$B$4</definedName>
    <definedName name="coupon">'Cell names'!$B$16</definedName>
    <definedName name="daysinyear">'Cell names'!$B$14</definedName>
    <definedName name="money_yield">'Cell names'!$B$19</definedName>
    <definedName name="q">'Cell names'!$B$13</definedName>
    <definedName name="redemption">'Cell names'!$B$17</definedName>
    <definedName name="redemptionfloor">'Cell names'!$B$18</definedName>
    <definedName name="RPIbase">'Cell names'!$B$5</definedName>
    <definedName name="RPIcalcdate">'Cell names'!$B$11</definedName>
    <definedName name="RPIlag">'Cell names'!$B$9</definedName>
    <definedName name="RPIlast">'Cell names'!$B$6</definedName>
    <definedName name="RPIlastmonth">'Cell names'!$B$8</definedName>
    <definedName name="RPIlastyear">'Cell names'!$B$7</definedName>
    <definedName name="RPInextcoupon">'Cell names'!$B$10</definedName>
    <definedName name="threename">#REF!</definedName>
  </definedNames>
  <calcPr calcId="145621"/>
</workbook>
</file>

<file path=xl/calcChain.xml><?xml version="1.0" encoding="utf-8"?>
<calcChain xmlns="http://schemas.openxmlformats.org/spreadsheetml/2006/main">
  <c r="E15" i="2" l="1"/>
  <c r="C48" i="2" l="1"/>
  <c r="A15" i="2"/>
  <c r="A16" i="2" s="1"/>
  <c r="B4" i="1"/>
  <c r="L14" i="2"/>
  <c r="M14" i="2" s="1"/>
  <c r="B16" i="1"/>
  <c r="B48" i="2" s="1"/>
  <c r="G14" i="2"/>
  <c r="D14" i="2"/>
  <c r="E14" i="2" s="1"/>
  <c r="F14" i="2" s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42" i="2" l="1"/>
  <c r="B40" i="2"/>
  <c r="B38" i="2"/>
  <c r="B36" i="2"/>
  <c r="B34" i="2"/>
  <c r="B32" i="2"/>
  <c r="B30" i="2"/>
  <c r="B45" i="2"/>
  <c r="B46" i="2"/>
  <c r="B47" i="2"/>
  <c r="B43" i="2"/>
  <c r="B41" i="2"/>
  <c r="B39" i="2"/>
  <c r="B37" i="2"/>
  <c r="B35" i="2"/>
  <c r="B33" i="2"/>
  <c r="B31" i="2"/>
  <c r="B29" i="2"/>
  <c r="B44" i="2"/>
  <c r="H14" i="2"/>
  <c r="I14" i="2" s="1"/>
  <c r="J14" i="2" s="1"/>
  <c r="N14" i="2" s="1"/>
  <c r="A17" i="2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D16" i="2"/>
  <c r="E16" i="2" s="1"/>
  <c r="F16" i="2" s="1"/>
  <c r="H16" i="2" s="1"/>
  <c r="I16" i="2" s="1"/>
  <c r="J16" i="2" s="1"/>
  <c r="O14" i="2"/>
  <c r="D15" i="2"/>
  <c r="F15" i="2" s="1"/>
  <c r="H15" i="2" s="1"/>
  <c r="I15" i="2" s="1"/>
  <c r="J15" i="2" s="1"/>
  <c r="L16" i="2"/>
  <c r="M16" i="2" s="1"/>
  <c r="L15" i="2"/>
  <c r="M15" i="2" s="1"/>
  <c r="D17" i="2"/>
  <c r="E17" i="2" s="1"/>
  <c r="F17" i="2" s="1"/>
  <c r="H17" i="2" s="1"/>
  <c r="I17" i="2" s="1"/>
  <c r="J17" i="2" s="1"/>
  <c r="L29" i="2" l="1"/>
  <c r="D29" i="2"/>
  <c r="E29" i="2" s="1"/>
  <c r="F29" i="2" s="1"/>
  <c r="H29" i="2" s="1"/>
  <c r="I29" i="2" s="1"/>
  <c r="J29" i="2" s="1"/>
  <c r="A30" i="2"/>
  <c r="P14" i="2"/>
  <c r="N16" i="2"/>
  <c r="O16" i="2"/>
  <c r="N15" i="2"/>
  <c r="O15" i="2"/>
  <c r="L17" i="2"/>
  <c r="M17" i="2" s="1"/>
  <c r="M29" i="2" l="1"/>
  <c r="O29" i="2" s="1"/>
  <c r="D30" i="2"/>
  <c r="E30" i="2" s="1"/>
  <c r="F30" i="2" s="1"/>
  <c r="H30" i="2" s="1"/>
  <c r="I30" i="2" s="1"/>
  <c r="J30" i="2" s="1"/>
  <c r="L30" i="2"/>
  <c r="A31" i="2"/>
  <c r="P15" i="2"/>
  <c r="P16" i="2"/>
  <c r="N17" i="2"/>
  <c r="O17" i="2"/>
  <c r="D18" i="2"/>
  <c r="E18" i="2" s="1"/>
  <c r="F18" i="2" s="1"/>
  <c r="H18" i="2" s="1"/>
  <c r="I18" i="2" s="1"/>
  <c r="J18" i="2" s="1"/>
  <c r="L18" i="2"/>
  <c r="M18" i="2" s="1"/>
  <c r="N29" i="2" l="1"/>
  <c r="P29" i="2" s="1"/>
  <c r="M30" i="2"/>
  <c r="O30" i="2" s="1"/>
  <c r="L31" i="2"/>
  <c r="M31" i="2" s="1"/>
  <c r="D31" i="2"/>
  <c r="E31" i="2" s="1"/>
  <c r="F31" i="2" s="1"/>
  <c r="H31" i="2" s="1"/>
  <c r="I31" i="2" s="1"/>
  <c r="J31" i="2" s="1"/>
  <c r="A32" i="2"/>
  <c r="P17" i="2"/>
  <c r="N18" i="2"/>
  <c r="O18" i="2"/>
  <c r="D19" i="2"/>
  <c r="E19" i="2" s="1"/>
  <c r="F19" i="2" s="1"/>
  <c r="H19" i="2" s="1"/>
  <c r="I19" i="2" s="1"/>
  <c r="J19" i="2" s="1"/>
  <c r="L19" i="2"/>
  <c r="M19" i="2" s="1"/>
  <c r="N30" i="2" l="1"/>
  <c r="P30" i="2" s="1"/>
  <c r="D32" i="2"/>
  <c r="E32" i="2" s="1"/>
  <c r="F32" i="2" s="1"/>
  <c r="H32" i="2" s="1"/>
  <c r="I32" i="2" s="1"/>
  <c r="J32" i="2" s="1"/>
  <c r="A33" i="2"/>
  <c r="L32" i="2"/>
  <c r="M32" i="2" s="1"/>
  <c r="N31" i="2"/>
  <c r="P18" i="2"/>
  <c r="N19" i="2"/>
  <c r="O19" i="2"/>
  <c r="D20" i="2"/>
  <c r="E20" i="2" s="1"/>
  <c r="F20" i="2" s="1"/>
  <c r="H20" i="2" s="1"/>
  <c r="I20" i="2" s="1"/>
  <c r="J20" i="2" s="1"/>
  <c r="L20" i="2"/>
  <c r="M20" i="2" s="1"/>
  <c r="O32" i="2" l="1"/>
  <c r="O31" i="2"/>
  <c r="P31" i="2" s="1"/>
  <c r="A34" i="2"/>
  <c r="L33" i="2"/>
  <c r="M33" i="2" s="1"/>
  <c r="D33" i="2"/>
  <c r="E33" i="2" s="1"/>
  <c r="F33" i="2" s="1"/>
  <c r="H33" i="2" s="1"/>
  <c r="I33" i="2" s="1"/>
  <c r="J33" i="2" s="1"/>
  <c r="P19" i="2"/>
  <c r="N20" i="2"/>
  <c r="O20" i="2"/>
  <c r="D21" i="2"/>
  <c r="E21" i="2" s="1"/>
  <c r="F21" i="2" s="1"/>
  <c r="H21" i="2" s="1"/>
  <c r="I21" i="2" s="1"/>
  <c r="J21" i="2" s="1"/>
  <c r="L21" i="2"/>
  <c r="M21" i="2" s="1"/>
  <c r="N32" i="2" l="1"/>
  <c r="P32" i="2" s="1"/>
  <c r="L34" i="2"/>
  <c r="M34" i="2" s="1"/>
  <c r="D34" i="2"/>
  <c r="E34" i="2" s="1"/>
  <c r="F34" i="2" s="1"/>
  <c r="H34" i="2" s="1"/>
  <c r="I34" i="2" s="1"/>
  <c r="J34" i="2" s="1"/>
  <c r="A35" i="2"/>
  <c r="N33" i="2"/>
  <c r="P20" i="2"/>
  <c r="N21" i="2"/>
  <c r="O21" i="2"/>
  <c r="D22" i="2"/>
  <c r="E22" i="2" s="1"/>
  <c r="F22" i="2" s="1"/>
  <c r="H22" i="2" s="1"/>
  <c r="I22" i="2" s="1"/>
  <c r="J22" i="2" s="1"/>
  <c r="L22" i="2"/>
  <c r="M22" i="2" s="1"/>
  <c r="O33" i="2" l="1"/>
  <c r="P33" i="2" s="1"/>
  <c r="L35" i="2"/>
  <c r="M35" i="2" s="1"/>
  <c r="D35" i="2"/>
  <c r="E35" i="2" s="1"/>
  <c r="F35" i="2" s="1"/>
  <c r="H35" i="2" s="1"/>
  <c r="I35" i="2" s="1"/>
  <c r="J35" i="2" s="1"/>
  <c r="A36" i="2"/>
  <c r="N34" i="2"/>
  <c r="P21" i="2"/>
  <c r="N22" i="2"/>
  <c r="O22" i="2"/>
  <c r="D23" i="2"/>
  <c r="E23" i="2" s="1"/>
  <c r="F23" i="2" s="1"/>
  <c r="H23" i="2" s="1"/>
  <c r="I23" i="2" s="1"/>
  <c r="J23" i="2" s="1"/>
  <c r="L23" i="2"/>
  <c r="M23" i="2" s="1"/>
  <c r="O34" i="2" l="1"/>
  <c r="P34" i="2" s="1"/>
  <c r="D36" i="2"/>
  <c r="E36" i="2" s="1"/>
  <c r="F36" i="2" s="1"/>
  <c r="H36" i="2" s="1"/>
  <c r="I36" i="2" s="1"/>
  <c r="J36" i="2" s="1"/>
  <c r="A37" i="2"/>
  <c r="L36" i="2"/>
  <c r="M36" i="2" s="1"/>
  <c r="O35" i="2"/>
  <c r="P22" i="2"/>
  <c r="N23" i="2"/>
  <c r="O23" i="2"/>
  <c r="D24" i="2"/>
  <c r="E24" i="2" s="1"/>
  <c r="F24" i="2" s="1"/>
  <c r="H24" i="2" s="1"/>
  <c r="I24" i="2" s="1"/>
  <c r="J24" i="2" s="1"/>
  <c r="L24" i="2"/>
  <c r="M24" i="2" s="1"/>
  <c r="N35" i="2" l="1"/>
  <c r="P35" i="2" s="1"/>
  <c r="A38" i="2"/>
  <c r="L37" i="2"/>
  <c r="M37" i="2" s="1"/>
  <c r="D37" i="2"/>
  <c r="E37" i="2" s="1"/>
  <c r="F37" i="2" s="1"/>
  <c r="H37" i="2" s="1"/>
  <c r="I37" i="2" s="1"/>
  <c r="J37" i="2" s="1"/>
  <c r="N36" i="2"/>
  <c r="P23" i="2"/>
  <c r="N24" i="2"/>
  <c r="O24" i="2"/>
  <c r="D25" i="2"/>
  <c r="E25" i="2" s="1"/>
  <c r="F25" i="2" s="1"/>
  <c r="H25" i="2" s="1"/>
  <c r="I25" i="2" s="1"/>
  <c r="J25" i="2" s="1"/>
  <c r="L25" i="2"/>
  <c r="M25" i="2" s="1"/>
  <c r="O36" i="2" l="1"/>
  <c r="P36" i="2" s="1"/>
  <c r="N37" i="2"/>
  <c r="D38" i="2"/>
  <c r="E38" i="2" s="1"/>
  <c r="F38" i="2" s="1"/>
  <c r="H38" i="2" s="1"/>
  <c r="I38" i="2" s="1"/>
  <c r="J38" i="2" s="1"/>
  <c r="A39" i="2"/>
  <c r="L38" i="2"/>
  <c r="M38" i="2" s="1"/>
  <c r="P24" i="2"/>
  <c r="N25" i="2"/>
  <c r="O25" i="2"/>
  <c r="D26" i="2"/>
  <c r="E26" i="2" s="1"/>
  <c r="F26" i="2" s="1"/>
  <c r="H26" i="2" s="1"/>
  <c r="I26" i="2" s="1"/>
  <c r="J26" i="2" s="1"/>
  <c r="L26" i="2"/>
  <c r="M26" i="2" s="1"/>
  <c r="O38" i="2" l="1"/>
  <c r="O37" i="2"/>
  <c r="P37" i="2" s="1"/>
  <c r="L39" i="2"/>
  <c r="M39" i="2" s="1"/>
  <c r="D39" i="2"/>
  <c r="E39" i="2" s="1"/>
  <c r="F39" i="2" s="1"/>
  <c r="H39" i="2" s="1"/>
  <c r="I39" i="2" s="1"/>
  <c r="J39" i="2" s="1"/>
  <c r="A40" i="2"/>
  <c r="P25" i="2"/>
  <c r="N26" i="2"/>
  <c r="O26" i="2"/>
  <c r="D27" i="2"/>
  <c r="E27" i="2" s="1"/>
  <c r="F27" i="2" s="1"/>
  <c r="H27" i="2" s="1"/>
  <c r="I27" i="2" s="1"/>
  <c r="J27" i="2" s="1"/>
  <c r="L27" i="2"/>
  <c r="M27" i="2" s="1"/>
  <c r="L40" i="2" l="1"/>
  <c r="M40" i="2" s="1"/>
  <c r="D40" i="2"/>
  <c r="E40" i="2" s="1"/>
  <c r="F40" i="2" s="1"/>
  <c r="H40" i="2" s="1"/>
  <c r="I40" i="2" s="1"/>
  <c r="J40" i="2" s="1"/>
  <c r="A41" i="2"/>
  <c r="N39" i="2"/>
  <c r="N38" i="2"/>
  <c r="P38" i="2" s="1"/>
  <c r="P26" i="2"/>
  <c r="N27" i="2"/>
  <c r="O27" i="2"/>
  <c r="D28" i="2"/>
  <c r="E28" i="2" s="1"/>
  <c r="F28" i="2" s="1"/>
  <c r="H28" i="2" s="1"/>
  <c r="I28" i="2" s="1"/>
  <c r="J28" i="2" s="1"/>
  <c r="L28" i="2"/>
  <c r="M28" i="2" s="1"/>
  <c r="O39" i="2" l="1"/>
  <c r="P39" i="2" s="1"/>
  <c r="A42" i="2"/>
  <c r="L41" i="2"/>
  <c r="M41" i="2" s="1"/>
  <c r="D41" i="2"/>
  <c r="E41" i="2" s="1"/>
  <c r="F41" i="2" s="1"/>
  <c r="H41" i="2" s="1"/>
  <c r="I41" i="2" s="1"/>
  <c r="J41" i="2" s="1"/>
  <c r="O40" i="2"/>
  <c r="P27" i="2"/>
  <c r="N28" i="2"/>
  <c r="O28" i="2"/>
  <c r="D42" i="2" l="1"/>
  <c r="E42" i="2" s="1"/>
  <c r="F42" i="2" s="1"/>
  <c r="H42" i="2" s="1"/>
  <c r="I42" i="2" s="1"/>
  <c r="J42" i="2" s="1"/>
  <c r="A43" i="2"/>
  <c r="L42" i="2"/>
  <c r="M42" i="2" s="1"/>
  <c r="N40" i="2"/>
  <c r="P40" i="2" s="1"/>
  <c r="N41" i="2"/>
  <c r="P28" i="2"/>
  <c r="O41" i="2" l="1"/>
  <c r="P41" i="2" s="1"/>
  <c r="O42" i="2"/>
  <c r="A44" i="2"/>
  <c r="D43" i="2"/>
  <c r="E43" i="2" s="1"/>
  <c r="F43" i="2" s="1"/>
  <c r="H43" i="2" s="1"/>
  <c r="I43" i="2" s="1"/>
  <c r="J43" i="2" s="1"/>
  <c r="L43" i="2"/>
  <c r="M43" i="2" s="1"/>
  <c r="L44" i="2" l="1"/>
  <c r="M44" i="2" s="1"/>
  <c r="D44" i="2"/>
  <c r="E44" i="2" s="1"/>
  <c r="F44" i="2" s="1"/>
  <c r="H44" i="2" s="1"/>
  <c r="I44" i="2" s="1"/>
  <c r="J44" i="2" s="1"/>
  <c r="A45" i="2"/>
  <c r="N42" i="2"/>
  <c r="P42" i="2" s="1"/>
  <c r="N43" i="2"/>
  <c r="O43" i="2" l="1"/>
  <c r="P43" i="2" s="1"/>
  <c r="L45" i="2"/>
  <c r="M45" i="2" s="1"/>
  <c r="A46" i="2"/>
  <c r="D45" i="2"/>
  <c r="E45" i="2" s="1"/>
  <c r="F45" i="2" s="1"/>
  <c r="H45" i="2" s="1"/>
  <c r="I45" i="2" s="1"/>
  <c r="J45" i="2" s="1"/>
  <c r="N44" i="2"/>
  <c r="N45" i="2" l="1"/>
  <c r="O44" i="2"/>
  <c r="P44" i="2" s="1"/>
  <c r="L46" i="2"/>
  <c r="A47" i="2"/>
  <c r="D46" i="2"/>
  <c r="E46" i="2" s="1"/>
  <c r="F46" i="2" s="1"/>
  <c r="H46" i="2" s="1"/>
  <c r="I46" i="2" s="1"/>
  <c r="J46" i="2" s="1"/>
  <c r="M46" i="2" l="1"/>
  <c r="O46" i="2" s="1"/>
  <c r="O45" i="2"/>
  <c r="P45" i="2" s="1"/>
  <c r="L47" i="2"/>
  <c r="M47" i="2" s="1"/>
  <c r="A48" i="2"/>
  <c r="D47" i="2"/>
  <c r="E47" i="2" s="1"/>
  <c r="F47" i="2" s="1"/>
  <c r="H47" i="2" s="1"/>
  <c r="I47" i="2" s="1"/>
  <c r="J47" i="2" s="1"/>
  <c r="N46" i="2" l="1"/>
  <c r="P46" i="2" s="1"/>
  <c r="N47" i="2"/>
  <c r="L48" i="2"/>
  <c r="M48" i="2" s="1"/>
  <c r="D48" i="2"/>
  <c r="E48" i="2" s="1"/>
  <c r="F48" i="2" s="1"/>
  <c r="H48" i="2" s="1"/>
  <c r="I48" i="2" s="1"/>
  <c r="O47" i="2" l="1"/>
  <c r="P47" i="2" s="1"/>
  <c r="J48" i="2"/>
  <c r="N48" i="2" s="1"/>
  <c r="K48" i="2"/>
  <c r="O48" i="2" s="1"/>
  <c r="P48" i="2" l="1"/>
  <c r="P50" i="2" s="1"/>
</calcChain>
</file>

<file path=xl/sharedStrings.xml><?xml version="1.0" encoding="utf-8"?>
<sst xmlns="http://schemas.openxmlformats.org/spreadsheetml/2006/main" count="118" uniqueCount="76">
  <si>
    <t>Name</t>
  </si>
  <si>
    <t>Value</t>
  </si>
  <si>
    <t>Description</t>
  </si>
  <si>
    <t>lastRPI</t>
  </si>
  <si>
    <t>q</t>
  </si>
  <si>
    <t>Constant rate of inflation</t>
  </si>
  <si>
    <t>Time</t>
  </si>
  <si>
    <t>daysinyear</t>
  </si>
  <si>
    <t>number of days in a year</t>
  </si>
  <si>
    <t>Year of last published RPI</t>
  </si>
  <si>
    <t>Month of last published RPI</t>
  </si>
  <si>
    <t>(years)</t>
  </si>
  <si>
    <t>dd/mm/yyyy</t>
  </si>
  <si>
    <t>coupon</t>
  </si>
  <si>
    <t>redemption</t>
  </si>
  <si>
    <t>Unindexed coupon paid semi-annually in arrears</t>
  </si>
  <si>
    <t>Unindexed redemption payment</t>
  </si>
  <si>
    <t>Projected</t>
  </si>
  <si>
    <t>RPI</t>
  </si>
  <si>
    <t>last</t>
  </si>
  <si>
    <t>published</t>
  </si>
  <si>
    <t>(1)</t>
  </si>
  <si>
    <t>(2)</t>
  </si>
  <si>
    <t>(3)</t>
  </si>
  <si>
    <t>(4)</t>
  </si>
  <si>
    <t>(5)</t>
  </si>
  <si>
    <t>(6)</t>
  </si>
  <si>
    <t>=</t>
  </si>
  <si>
    <t>*(1+q)^[(5)]</t>
  </si>
  <si>
    <t>(7)</t>
  </si>
  <si>
    <t>(8)</t>
  </si>
  <si>
    <t>Unindexed</t>
  </si>
  <si>
    <t>increase</t>
  </si>
  <si>
    <t>factor</t>
  </si>
  <si>
    <t>at</t>
  </si>
  <si>
    <t>indexation</t>
  </si>
  <si>
    <t>RPIlag</t>
  </si>
  <si>
    <t>Time lag in months for RPI indexation</t>
  </si>
  <si>
    <t>RPIbase</t>
  </si>
  <si>
    <t>RPIlast</t>
  </si>
  <si>
    <t>RPIlastyear</t>
  </si>
  <si>
    <t>RPIlastmonth</t>
  </si>
  <si>
    <t>RPInextcoupon</t>
  </si>
  <si>
    <t>calcdate</t>
  </si>
  <si>
    <t>Calculation date</t>
  </si>
  <si>
    <t>(9)</t>
  </si>
  <si>
    <t>Known</t>
  </si>
  <si>
    <t>(10)</t>
  </si>
  <si>
    <t>(11)</t>
  </si>
  <si>
    <t>(12)</t>
  </si>
  <si>
    <t>from</t>
  </si>
  <si>
    <t>date</t>
  </si>
  <si>
    <t>to</t>
  </si>
  <si>
    <t>Indexation</t>
  </si>
  <si>
    <t>discounted</t>
  </si>
  <si>
    <t>(13)</t>
  </si>
  <si>
    <t>(14)</t>
  </si>
  <si>
    <t>(15)</t>
  </si>
  <si>
    <t>payment</t>
  </si>
  <si>
    <t>(16)</t>
  </si>
  <si>
    <t>4.125% Index-linked Treasury Gilt 2030</t>
  </si>
  <si>
    <t>October 1991 RPI</t>
  </si>
  <si>
    <t>Last published RPI value</t>
  </si>
  <si>
    <t>November 2012 RPI value</t>
  </si>
  <si>
    <t>Total</t>
  </si>
  <si>
    <t>Discounted</t>
  </si>
  <si>
    <t>Discount</t>
  </si>
  <si>
    <t>money</t>
  </si>
  <si>
    <t>Coupon</t>
  </si>
  <si>
    <t>Redemption</t>
  </si>
  <si>
    <t>Payment</t>
  </si>
  <si>
    <t>(per £100 nom.)</t>
  </si>
  <si>
    <t>money_yield</t>
  </si>
  <si>
    <t>Money yield (effective annual rate of interest)</t>
  </si>
  <si>
    <t>Spreadsheet names</t>
  </si>
  <si>
    <t>[note: this is calculated, at the end, using GOAL SEEK]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</si>
</sst>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71" formatCode="0.00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35" sqref="C35"/>
    </sheetView>
  </sheetViews>
  <sheetFormatPr defaultRowHeight="15" x14ac:dyDescent="0.25"/>
  <cols>
    <col min="1" max="1" width="16" bestFit="1" customWidth="1"/>
    <col min="2" max="2" width="10.7109375" style="6" bestFit="1" customWidth="1"/>
    <col min="3" max="3" width="44.85546875" bestFit="1" customWidth="1"/>
    <col min="6" max="6" width="16" bestFit="1" customWidth="1"/>
    <col min="7" max="7" width="13.85546875" bestFit="1" customWidth="1"/>
  </cols>
  <sheetData>
    <row r="1" spans="1:3" x14ac:dyDescent="0.25">
      <c r="A1" s="2" t="s">
        <v>74</v>
      </c>
    </row>
    <row r="3" spans="1:3" x14ac:dyDescent="0.25">
      <c r="A3" s="1" t="s">
        <v>0</v>
      </c>
      <c r="B3" s="7" t="s">
        <v>1</v>
      </c>
      <c r="C3" s="1" t="s">
        <v>2</v>
      </c>
    </row>
    <row r="4" spans="1:3" x14ac:dyDescent="0.25">
      <c r="A4" t="s">
        <v>43</v>
      </c>
      <c r="B4" s="9">
        <f>DATE(2013,1,22)</f>
        <v>41296</v>
      </c>
      <c r="C4" t="s">
        <v>44</v>
      </c>
    </row>
    <row r="5" spans="1:3" x14ac:dyDescent="0.25">
      <c r="A5" t="s">
        <v>38</v>
      </c>
      <c r="B5" s="10">
        <v>135.1</v>
      </c>
      <c r="C5" t="s">
        <v>61</v>
      </c>
    </row>
    <row r="6" spans="1:3" x14ac:dyDescent="0.25">
      <c r="A6" t="s">
        <v>39</v>
      </c>
      <c r="B6" s="10">
        <v>246.8</v>
      </c>
      <c r="C6" t="s">
        <v>62</v>
      </c>
    </row>
    <row r="7" spans="1:3" x14ac:dyDescent="0.25">
      <c r="A7" t="s">
        <v>40</v>
      </c>
      <c r="B7" s="6">
        <v>2012</v>
      </c>
      <c r="C7" t="s">
        <v>9</v>
      </c>
    </row>
    <row r="8" spans="1:3" x14ac:dyDescent="0.25">
      <c r="A8" t="s">
        <v>41</v>
      </c>
      <c r="B8" s="6">
        <v>12</v>
      </c>
      <c r="C8" t="s">
        <v>10</v>
      </c>
    </row>
    <row r="9" spans="1:3" x14ac:dyDescent="0.25">
      <c r="A9" t="s">
        <v>36</v>
      </c>
      <c r="B9" s="6">
        <v>8</v>
      </c>
      <c r="C9" t="s">
        <v>37</v>
      </c>
    </row>
    <row r="10" spans="1:3" x14ac:dyDescent="0.25">
      <c r="A10" t="s">
        <v>42</v>
      </c>
      <c r="B10" s="10">
        <v>245.6</v>
      </c>
      <c r="C10" t="s">
        <v>63</v>
      </c>
    </row>
    <row r="11" spans="1:3" x14ac:dyDescent="0.25">
      <c r="B11" s="10"/>
    </row>
    <row r="12" spans="1:3" x14ac:dyDescent="0.25">
      <c r="B12" s="10"/>
    </row>
    <row r="13" spans="1:3" x14ac:dyDescent="0.25">
      <c r="A13" t="s">
        <v>4</v>
      </c>
      <c r="B13" s="11">
        <v>2.5000000000000001E-2</v>
      </c>
      <c r="C13" t="s">
        <v>5</v>
      </c>
    </row>
    <row r="14" spans="1:3" x14ac:dyDescent="0.25">
      <c r="A14" t="s">
        <v>7</v>
      </c>
      <c r="B14" s="6">
        <v>365.25</v>
      </c>
      <c r="C14" t="s">
        <v>8</v>
      </c>
    </row>
    <row r="16" spans="1:3" x14ac:dyDescent="0.25">
      <c r="A16" t="s">
        <v>13</v>
      </c>
      <c r="B16" s="6">
        <f>4+1/8</f>
        <v>4.125</v>
      </c>
      <c r="C16" t="s">
        <v>15</v>
      </c>
    </row>
    <row r="17" spans="1:3" x14ac:dyDescent="0.25">
      <c r="A17" t="s">
        <v>14</v>
      </c>
      <c r="B17" s="6">
        <v>100</v>
      </c>
      <c r="C17" t="s">
        <v>16</v>
      </c>
    </row>
    <row r="19" spans="1:3" x14ac:dyDescent="0.25">
      <c r="A19" t="s">
        <v>72</v>
      </c>
      <c r="B19" s="12">
        <v>2.1880271306288439E-2</v>
      </c>
      <c r="C19" t="s">
        <v>73</v>
      </c>
    </row>
    <row r="20" spans="1:3" x14ac:dyDescent="0.25">
      <c r="C20" s="13" t="s">
        <v>75</v>
      </c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C32" sqref="C32"/>
    </sheetView>
  </sheetViews>
  <sheetFormatPr defaultRowHeight="15" x14ac:dyDescent="0.25"/>
  <cols>
    <col min="1" max="1" width="12.42578125" bestFit="1" customWidth="1"/>
    <col min="2" max="3" width="15" bestFit="1" customWidth="1"/>
    <col min="4" max="4" width="12.42578125" bestFit="1" customWidth="1"/>
    <col min="5" max="6" width="12" bestFit="1" customWidth="1"/>
    <col min="7" max="7" width="10.5703125" bestFit="1" customWidth="1"/>
    <col min="8" max="8" width="12" bestFit="1" customWidth="1"/>
    <col min="10" max="11" width="15" bestFit="1" customWidth="1"/>
    <col min="12" max="12" width="10.7109375" bestFit="1" customWidth="1"/>
    <col min="14" max="16" width="15" bestFit="1" customWidth="1"/>
  </cols>
  <sheetData>
    <row r="1" spans="1:16" x14ac:dyDescent="0.25">
      <c r="A1" s="2" t="s">
        <v>60</v>
      </c>
    </row>
    <row r="2" spans="1:16" x14ac:dyDescent="0.25">
      <c r="A2" s="2"/>
    </row>
    <row r="3" spans="1:16" x14ac:dyDescent="0.25">
      <c r="E3" s="7" t="s">
        <v>6</v>
      </c>
      <c r="L3" s="2"/>
    </row>
    <row r="4" spans="1:16" x14ac:dyDescent="0.25">
      <c r="E4" s="7" t="s">
        <v>52</v>
      </c>
      <c r="L4" s="2"/>
    </row>
    <row r="5" spans="1:16" x14ac:dyDescent="0.25">
      <c r="E5" s="7" t="s">
        <v>35</v>
      </c>
      <c r="F5" s="7" t="s">
        <v>17</v>
      </c>
      <c r="L5" s="2"/>
    </row>
    <row r="6" spans="1:16" x14ac:dyDescent="0.25">
      <c r="A6" s="6"/>
      <c r="B6" s="6"/>
      <c r="C6" s="6"/>
      <c r="D6" s="6"/>
      <c r="E6" s="7" t="s">
        <v>51</v>
      </c>
      <c r="F6" s="7" t="s">
        <v>18</v>
      </c>
      <c r="L6" s="5"/>
    </row>
    <row r="7" spans="1:16" x14ac:dyDescent="0.25">
      <c r="A7" s="7"/>
      <c r="B7" s="7"/>
      <c r="C7" s="7"/>
      <c r="D7" s="7"/>
      <c r="E7" s="7" t="s">
        <v>50</v>
      </c>
      <c r="F7" s="7" t="s">
        <v>34</v>
      </c>
      <c r="L7" s="7"/>
    </row>
    <row r="8" spans="1:16" x14ac:dyDescent="0.25">
      <c r="A8" s="7"/>
      <c r="B8" s="7"/>
      <c r="C8" s="7"/>
      <c r="D8" s="7"/>
      <c r="E8" s="7" t="s">
        <v>19</v>
      </c>
      <c r="F8" s="7" t="s">
        <v>35</v>
      </c>
      <c r="G8" s="7" t="s">
        <v>46</v>
      </c>
      <c r="L8" s="7" t="s">
        <v>6</v>
      </c>
      <c r="N8" s="7" t="s">
        <v>65</v>
      </c>
      <c r="O8" s="7" t="s">
        <v>65</v>
      </c>
      <c r="P8" s="7" t="s">
        <v>64</v>
      </c>
    </row>
    <row r="9" spans="1:16" x14ac:dyDescent="0.25">
      <c r="A9" s="7"/>
      <c r="B9" s="7"/>
      <c r="C9" s="7"/>
      <c r="D9" s="7"/>
      <c r="E9" s="7" t="s">
        <v>20</v>
      </c>
      <c r="F9" s="7" t="s">
        <v>51</v>
      </c>
      <c r="G9" s="7" t="s">
        <v>18</v>
      </c>
      <c r="H9" s="7" t="s">
        <v>18</v>
      </c>
      <c r="J9" s="7" t="s">
        <v>68</v>
      </c>
      <c r="K9" s="7" t="s">
        <v>69</v>
      </c>
      <c r="L9" s="7" t="s">
        <v>52</v>
      </c>
      <c r="N9" s="7" t="s">
        <v>13</v>
      </c>
      <c r="O9" s="7" t="s">
        <v>14</v>
      </c>
      <c r="P9" s="7" t="s">
        <v>54</v>
      </c>
    </row>
    <row r="10" spans="1:16" x14ac:dyDescent="0.25">
      <c r="A10" s="7" t="s">
        <v>70</v>
      </c>
      <c r="B10" s="7" t="s">
        <v>31</v>
      </c>
      <c r="C10" s="7" t="s">
        <v>31</v>
      </c>
      <c r="D10" s="7" t="s">
        <v>53</v>
      </c>
      <c r="E10" s="7" t="s">
        <v>18</v>
      </c>
      <c r="F10" s="8" t="s">
        <v>27</v>
      </c>
      <c r="G10" s="7" t="s">
        <v>34</v>
      </c>
      <c r="H10" s="7" t="s">
        <v>34</v>
      </c>
      <c r="I10" s="7" t="s">
        <v>18</v>
      </c>
      <c r="J10" s="7" t="s">
        <v>67</v>
      </c>
      <c r="K10" s="7" t="s">
        <v>67</v>
      </c>
      <c r="L10" s="7" t="s">
        <v>58</v>
      </c>
      <c r="N10" s="7" t="s">
        <v>67</v>
      </c>
      <c r="O10" s="7" t="s">
        <v>67</v>
      </c>
      <c r="P10" s="7" t="s">
        <v>67</v>
      </c>
    </row>
    <row r="11" spans="1:16" x14ac:dyDescent="0.25">
      <c r="A11" s="7" t="s">
        <v>51</v>
      </c>
      <c r="B11" s="7" t="s">
        <v>13</v>
      </c>
      <c r="C11" s="7" t="s">
        <v>14</v>
      </c>
      <c r="D11" s="7" t="s">
        <v>51</v>
      </c>
      <c r="E11" s="7" t="s">
        <v>51</v>
      </c>
      <c r="F11" s="7" t="s">
        <v>3</v>
      </c>
      <c r="G11" s="7" t="s">
        <v>35</v>
      </c>
      <c r="H11" s="7" t="s">
        <v>35</v>
      </c>
      <c r="I11" s="7" t="s">
        <v>32</v>
      </c>
      <c r="J11" s="7" t="s">
        <v>58</v>
      </c>
      <c r="K11" s="7" t="s">
        <v>58</v>
      </c>
      <c r="L11" s="7" t="s">
        <v>51</v>
      </c>
      <c r="M11" s="7" t="s">
        <v>66</v>
      </c>
      <c r="N11" s="7" t="s">
        <v>58</v>
      </c>
      <c r="O11" s="7" t="s">
        <v>58</v>
      </c>
      <c r="P11" s="7" t="s">
        <v>58</v>
      </c>
    </row>
    <row r="12" spans="1:16" x14ac:dyDescent="0.25">
      <c r="A12" s="7" t="s">
        <v>12</v>
      </c>
      <c r="B12" s="7" t="s">
        <v>71</v>
      </c>
      <c r="C12" s="7" t="s">
        <v>71</v>
      </c>
      <c r="D12" s="7" t="s">
        <v>12</v>
      </c>
      <c r="E12" s="7" t="s">
        <v>11</v>
      </c>
      <c r="F12" s="7" t="s">
        <v>28</v>
      </c>
      <c r="G12" s="7" t="s">
        <v>51</v>
      </c>
      <c r="H12" s="7" t="s">
        <v>51</v>
      </c>
      <c r="I12" s="7" t="s">
        <v>33</v>
      </c>
      <c r="J12" s="7" t="s">
        <v>71</v>
      </c>
      <c r="K12" s="7" t="s">
        <v>71</v>
      </c>
      <c r="L12" s="7" t="s">
        <v>11</v>
      </c>
      <c r="M12" s="7" t="s">
        <v>33</v>
      </c>
      <c r="N12" s="7" t="s">
        <v>71</v>
      </c>
      <c r="O12" s="7" t="s">
        <v>71</v>
      </c>
      <c r="P12" s="7" t="s">
        <v>71</v>
      </c>
    </row>
    <row r="13" spans="1:16" x14ac:dyDescent="0.25">
      <c r="A13" s="8" t="s">
        <v>21</v>
      </c>
      <c r="B13" s="8" t="s">
        <v>22</v>
      </c>
      <c r="C13" s="8" t="s">
        <v>23</v>
      </c>
      <c r="D13" s="8" t="s">
        <v>24</v>
      </c>
      <c r="E13" s="8" t="s">
        <v>25</v>
      </c>
      <c r="F13" s="8" t="s">
        <v>26</v>
      </c>
      <c r="G13" s="8" t="s">
        <v>29</v>
      </c>
      <c r="H13" s="8" t="s">
        <v>30</v>
      </c>
      <c r="I13" s="8" t="s">
        <v>45</v>
      </c>
      <c r="J13" s="8" t="s">
        <v>47</v>
      </c>
      <c r="K13" s="8" t="s">
        <v>48</v>
      </c>
      <c r="L13" s="8" t="s">
        <v>49</v>
      </c>
      <c r="M13" s="8" t="s">
        <v>55</v>
      </c>
      <c r="N13" s="8" t="s">
        <v>56</v>
      </c>
      <c r="O13" s="8" t="s">
        <v>57</v>
      </c>
      <c r="P13" s="8" t="s">
        <v>59</v>
      </c>
    </row>
    <row r="14" spans="1:16" x14ac:dyDescent="0.25">
      <c r="A14" s="3">
        <v>41477</v>
      </c>
      <c r="B14">
        <f t="shared" ref="B14:B48" si="0">coupon/2</f>
        <v>2.0625</v>
      </c>
      <c r="D14" s="3">
        <f t="shared" ref="D14:D48" si="1">DATE(YEAR(A14),MONTH(A14)-RPIlag,DAY(A14))</f>
        <v>41235</v>
      </c>
      <c r="E14">
        <f t="shared" ref="E14:E48" si="2">(YEAR(D14)*12+MONTH(D14)-RPIlastyear*12-RPIlastmonth)/12</f>
        <v>-8.3333333333333329E-2</v>
      </c>
      <c r="F14">
        <f t="shared" ref="F14:F48" si="3">IF(E14&lt;0,0,RPIlast*(1+q)^E14)</f>
        <v>0</v>
      </c>
      <c r="G14">
        <f>RPInextcoupon</f>
        <v>245.6</v>
      </c>
      <c r="H14">
        <f>MAX(F14,G14)</f>
        <v>245.6</v>
      </c>
      <c r="I14">
        <f t="shared" ref="I14:I48" si="4">H14/RPIbase</f>
        <v>1.8179126572908957</v>
      </c>
      <c r="J14">
        <f>B14*$I14</f>
        <v>3.7494448556624724</v>
      </c>
      <c r="L14" s="4">
        <f t="shared" ref="L14:L48" si="5">(A14-calcdate)/daysinyear</f>
        <v>0.49555099247091033</v>
      </c>
      <c r="M14">
        <f>(1+money_yield)^(-1*L14)</f>
        <v>0.9893314460713919</v>
      </c>
      <c r="N14">
        <f>J14*$M14</f>
        <v>3.709443701017495</v>
      </c>
      <c r="O14">
        <f>K14*$M14</f>
        <v>0</v>
      </c>
      <c r="P14">
        <f>N14+O14</f>
        <v>3.709443701017495</v>
      </c>
    </row>
    <row r="15" spans="1:16" x14ac:dyDescent="0.25">
      <c r="A15" s="3">
        <f>DATE(YEAR(A14),MONTH(A14)+6,DAY(A14))</f>
        <v>41661</v>
      </c>
      <c r="B15">
        <f t="shared" si="0"/>
        <v>2.0625</v>
      </c>
      <c r="D15" s="3">
        <f t="shared" si="1"/>
        <v>41416</v>
      </c>
      <c r="E15">
        <f>(YEAR(D15)*12+MONTH(D15)-RPIlastyear*12-RPIlastmonth)/12</f>
        <v>0.41666666666666669</v>
      </c>
      <c r="F15">
        <f t="shared" si="3"/>
        <v>249.35233108889992</v>
      </c>
      <c r="H15">
        <f t="shared" ref="H15:H28" si="6">MAX(F15,G15)</f>
        <v>249.35233108889992</v>
      </c>
      <c r="I15">
        <f t="shared" si="4"/>
        <v>1.8456871287113243</v>
      </c>
      <c r="J15">
        <f t="shared" ref="J15:J28" si="7">B15*$I15</f>
        <v>3.8067297029671066</v>
      </c>
      <c r="L15" s="4">
        <f t="shared" si="5"/>
        <v>0.99931553730321698</v>
      </c>
      <c r="M15">
        <f t="shared" ref="M15:M48" si="8">(1+money_yield)^(-1*L15)</f>
        <v>0.97860272179471319</v>
      </c>
      <c r="N15">
        <f t="shared" ref="N15:N28" si="9">J15*$M15</f>
        <v>3.7252760484603904</v>
      </c>
      <c r="O15">
        <f t="shared" ref="O15:O28" si="10">K15*$M15</f>
        <v>0</v>
      </c>
      <c r="P15">
        <f t="shared" ref="P15:P28" si="11">N15+O15</f>
        <v>3.7252760484603904</v>
      </c>
    </row>
    <row r="16" spans="1:16" x14ac:dyDescent="0.25">
      <c r="A16" s="3">
        <f t="shared" ref="A16:A28" si="12">DATE(YEAR(A15),MONTH(A15)+6,DAY(A15))</f>
        <v>41842</v>
      </c>
      <c r="B16">
        <f t="shared" si="0"/>
        <v>2.0625</v>
      </c>
      <c r="D16" s="3">
        <f t="shared" si="1"/>
        <v>41600</v>
      </c>
      <c r="E16">
        <f t="shared" si="2"/>
        <v>0.91666666666666663</v>
      </c>
      <c r="F16">
        <f t="shared" si="3"/>
        <v>252.44999434532588</v>
      </c>
      <c r="H16">
        <f t="shared" si="6"/>
        <v>252.44999434532588</v>
      </c>
      <c r="I16">
        <f t="shared" si="4"/>
        <v>1.8686157982629599</v>
      </c>
      <c r="J16">
        <f t="shared" si="7"/>
        <v>3.8540200839173546</v>
      </c>
      <c r="L16" s="4">
        <f t="shared" si="5"/>
        <v>1.4948665297741273</v>
      </c>
      <c r="M16">
        <f t="shared" si="8"/>
        <v>0.96816244588256362</v>
      </c>
      <c r="N16">
        <f t="shared" si="9"/>
        <v>3.7313175109259493</v>
      </c>
      <c r="O16">
        <f t="shared" si="10"/>
        <v>0</v>
      </c>
      <c r="P16">
        <f t="shared" si="11"/>
        <v>3.7313175109259493</v>
      </c>
    </row>
    <row r="17" spans="1:16" x14ac:dyDescent="0.25">
      <c r="A17" s="3">
        <f t="shared" si="12"/>
        <v>42026</v>
      </c>
      <c r="B17">
        <f t="shared" si="0"/>
        <v>2.0625</v>
      </c>
      <c r="D17" s="3">
        <f t="shared" si="1"/>
        <v>41781</v>
      </c>
      <c r="E17">
        <f t="shared" si="2"/>
        <v>1.4166666666666667</v>
      </c>
      <c r="F17">
        <f t="shared" si="3"/>
        <v>255.58613936612241</v>
      </c>
      <c r="H17">
        <f t="shared" si="6"/>
        <v>255.58613936612241</v>
      </c>
      <c r="I17">
        <f t="shared" si="4"/>
        <v>1.8918293069291074</v>
      </c>
      <c r="J17">
        <f t="shared" si="7"/>
        <v>3.9018979455412843</v>
      </c>
      <c r="L17" s="4">
        <f t="shared" si="5"/>
        <v>1.998631074606434</v>
      </c>
      <c r="M17">
        <f t="shared" si="8"/>
        <v>0.95766328710402115</v>
      </c>
      <c r="N17">
        <f t="shared" si="9"/>
        <v>3.7367044124714934</v>
      </c>
      <c r="O17">
        <f t="shared" si="10"/>
        <v>0</v>
      </c>
      <c r="P17">
        <f t="shared" si="11"/>
        <v>3.7367044124714934</v>
      </c>
    </row>
    <row r="18" spans="1:16" x14ac:dyDescent="0.25">
      <c r="A18" s="3">
        <f t="shared" si="12"/>
        <v>42207</v>
      </c>
      <c r="B18">
        <f t="shared" si="0"/>
        <v>2.0625</v>
      </c>
      <c r="D18" s="3">
        <f t="shared" si="1"/>
        <v>41965</v>
      </c>
      <c r="E18">
        <f t="shared" si="2"/>
        <v>1.9166666666666667</v>
      </c>
      <c r="F18">
        <f t="shared" si="3"/>
        <v>258.761244203959</v>
      </c>
      <c r="H18">
        <f t="shared" si="6"/>
        <v>258.761244203959</v>
      </c>
      <c r="I18">
        <f t="shared" si="4"/>
        <v>1.9153311932195338</v>
      </c>
      <c r="J18">
        <f t="shared" si="7"/>
        <v>3.9503705860152887</v>
      </c>
      <c r="L18" s="4">
        <f t="shared" si="5"/>
        <v>2.4941820670773445</v>
      </c>
      <c r="M18">
        <f t="shared" si="8"/>
        <v>0.94744640468010344</v>
      </c>
      <c r="N18">
        <f t="shared" si="9"/>
        <v>3.7427644088742187</v>
      </c>
      <c r="O18">
        <f t="shared" si="10"/>
        <v>0</v>
      </c>
      <c r="P18">
        <f t="shared" si="11"/>
        <v>3.7427644088742187</v>
      </c>
    </row>
    <row r="19" spans="1:16" x14ac:dyDescent="0.25">
      <c r="A19" s="3">
        <f t="shared" si="12"/>
        <v>42391</v>
      </c>
      <c r="B19">
        <f t="shared" si="0"/>
        <v>2.0625</v>
      </c>
      <c r="D19" s="3">
        <f t="shared" si="1"/>
        <v>42146</v>
      </c>
      <c r="E19">
        <f t="shared" si="2"/>
        <v>2.4166666666666665</v>
      </c>
      <c r="F19">
        <f t="shared" si="3"/>
        <v>261.97579285027547</v>
      </c>
      <c r="H19">
        <f t="shared" si="6"/>
        <v>261.97579285027547</v>
      </c>
      <c r="I19">
        <f t="shared" si="4"/>
        <v>1.9391250396023352</v>
      </c>
      <c r="J19">
        <f t="shared" si="7"/>
        <v>3.9994453941798165</v>
      </c>
      <c r="L19" s="4">
        <f t="shared" si="5"/>
        <v>2.9979466119096507</v>
      </c>
      <c r="M19">
        <f t="shared" si="8"/>
        <v>0.93717189932286693</v>
      </c>
      <c r="N19">
        <f t="shared" si="9"/>
        <v>3.7481678363015907</v>
      </c>
      <c r="O19">
        <f t="shared" si="10"/>
        <v>0</v>
      </c>
      <c r="P19">
        <f t="shared" si="11"/>
        <v>3.7481678363015907</v>
      </c>
    </row>
    <row r="20" spans="1:16" x14ac:dyDescent="0.25">
      <c r="A20" s="3">
        <f>DATE(YEAR(A19),MONTH(A19)+6,DAY(A19))</f>
        <v>42573</v>
      </c>
      <c r="B20">
        <f t="shared" si="0"/>
        <v>2.0625</v>
      </c>
      <c r="D20" s="3">
        <f t="shared" si="1"/>
        <v>42330</v>
      </c>
      <c r="E20">
        <f t="shared" si="2"/>
        <v>2.9166666666666665</v>
      </c>
      <c r="F20">
        <f t="shared" si="3"/>
        <v>265.23027530905796</v>
      </c>
      <c r="H20">
        <f t="shared" si="6"/>
        <v>265.23027530905796</v>
      </c>
      <c r="I20">
        <f t="shared" si="4"/>
        <v>1.9632144730500221</v>
      </c>
      <c r="J20">
        <f t="shared" si="7"/>
        <v>4.0491298506656701</v>
      </c>
      <c r="L20" s="4">
        <f t="shared" si="5"/>
        <v>3.4962354551676933</v>
      </c>
      <c r="M20">
        <f t="shared" si="8"/>
        <v>0.92711868866142311</v>
      </c>
      <c r="N20">
        <f t="shared" si="9"/>
        <v>3.7540239573689802</v>
      </c>
      <c r="O20">
        <f t="shared" si="10"/>
        <v>0</v>
      </c>
      <c r="P20">
        <f t="shared" si="11"/>
        <v>3.7540239573689802</v>
      </c>
    </row>
    <row r="21" spans="1:16" x14ac:dyDescent="0.25">
      <c r="A21" s="3">
        <f t="shared" si="12"/>
        <v>42757</v>
      </c>
      <c r="B21">
        <f t="shared" si="0"/>
        <v>2.0625</v>
      </c>
      <c r="D21" s="3">
        <f t="shared" si="1"/>
        <v>42512</v>
      </c>
      <c r="E21">
        <f t="shared" si="2"/>
        <v>3.4166666666666665</v>
      </c>
      <c r="F21">
        <f t="shared" si="3"/>
        <v>268.52518767153231</v>
      </c>
      <c r="H21">
        <f t="shared" si="6"/>
        <v>268.52518767153231</v>
      </c>
      <c r="I21">
        <f t="shared" si="4"/>
        <v>1.9876031655923931</v>
      </c>
      <c r="J21">
        <f t="shared" si="7"/>
        <v>4.0994315290343106</v>
      </c>
      <c r="L21" s="4">
        <f t="shared" si="5"/>
        <v>4</v>
      </c>
      <c r="M21">
        <f t="shared" si="8"/>
        <v>0.91706462556466961</v>
      </c>
      <c r="N21">
        <f t="shared" si="9"/>
        <v>3.7594436402018512</v>
      </c>
      <c r="O21">
        <f t="shared" si="10"/>
        <v>0</v>
      </c>
      <c r="P21">
        <f t="shared" si="11"/>
        <v>3.7594436402018512</v>
      </c>
    </row>
    <row r="22" spans="1:16" x14ac:dyDescent="0.25">
      <c r="A22" s="3">
        <f t="shared" si="12"/>
        <v>42938</v>
      </c>
      <c r="B22">
        <f t="shared" si="0"/>
        <v>2.0625</v>
      </c>
      <c r="D22" s="3">
        <f t="shared" si="1"/>
        <v>42696</v>
      </c>
      <c r="E22">
        <f t="shared" si="2"/>
        <v>3.9166666666666665</v>
      </c>
      <c r="F22">
        <f t="shared" si="3"/>
        <v>271.86103219178437</v>
      </c>
      <c r="H22">
        <f t="shared" si="6"/>
        <v>271.86103219178437</v>
      </c>
      <c r="I22">
        <f t="shared" si="4"/>
        <v>2.0122948348762724</v>
      </c>
      <c r="J22">
        <f t="shared" si="7"/>
        <v>4.1503580969323117</v>
      </c>
      <c r="L22" s="4">
        <f t="shared" si="5"/>
        <v>4.4955509924709105</v>
      </c>
      <c r="M22">
        <f t="shared" si="8"/>
        <v>0.9072808721508141</v>
      </c>
      <c r="N22">
        <f t="shared" si="9"/>
        <v>3.7655405139229408</v>
      </c>
      <c r="O22">
        <f t="shared" si="10"/>
        <v>0</v>
      </c>
      <c r="P22">
        <f t="shared" si="11"/>
        <v>3.7655405139229408</v>
      </c>
    </row>
    <row r="23" spans="1:16" x14ac:dyDescent="0.25">
      <c r="A23" s="3">
        <f t="shared" si="12"/>
        <v>43122</v>
      </c>
      <c r="B23">
        <f t="shared" si="0"/>
        <v>2.0625</v>
      </c>
      <c r="D23" s="3">
        <f t="shared" si="1"/>
        <v>42877</v>
      </c>
      <c r="E23">
        <f t="shared" si="2"/>
        <v>4.416666666666667</v>
      </c>
      <c r="F23">
        <f t="shared" si="3"/>
        <v>275.23831736332056</v>
      </c>
      <c r="H23">
        <f t="shared" si="6"/>
        <v>275.23831736332056</v>
      </c>
      <c r="I23">
        <f t="shared" si="4"/>
        <v>2.0372932447322025</v>
      </c>
      <c r="J23">
        <f t="shared" si="7"/>
        <v>4.2019173172601674</v>
      </c>
      <c r="L23" s="4">
        <f t="shared" si="5"/>
        <v>4.9993155373032172</v>
      </c>
      <c r="M23">
        <f t="shared" si="8"/>
        <v>0.89744193863923527</v>
      </c>
      <c r="N23">
        <f t="shared" si="9"/>
        <v>3.7709768232037391</v>
      </c>
      <c r="O23">
        <f t="shared" si="10"/>
        <v>0</v>
      </c>
      <c r="P23">
        <f t="shared" si="11"/>
        <v>3.7709768232037391</v>
      </c>
    </row>
    <row r="24" spans="1:16" x14ac:dyDescent="0.25">
      <c r="A24" s="3">
        <f t="shared" si="12"/>
        <v>43303</v>
      </c>
      <c r="B24">
        <f t="shared" si="0"/>
        <v>2.0625</v>
      </c>
      <c r="D24" s="3">
        <f t="shared" si="1"/>
        <v>43061</v>
      </c>
      <c r="E24">
        <f t="shared" si="2"/>
        <v>4.916666666666667</v>
      </c>
      <c r="F24">
        <f t="shared" si="3"/>
        <v>278.65755799657893</v>
      </c>
      <c r="H24">
        <f t="shared" si="6"/>
        <v>278.65755799657893</v>
      </c>
      <c r="I24">
        <f t="shared" si="4"/>
        <v>2.0626022057481785</v>
      </c>
      <c r="J24">
        <f t="shared" si="7"/>
        <v>4.2541170493556182</v>
      </c>
      <c r="L24" s="4">
        <f t="shared" si="5"/>
        <v>5.4948665297741277</v>
      </c>
      <c r="M24">
        <f t="shared" si="8"/>
        <v>0.88786753091906789</v>
      </c>
      <c r="N24">
        <f t="shared" si="9"/>
        <v>3.7770924008520832</v>
      </c>
      <c r="O24">
        <f t="shared" si="10"/>
        <v>0</v>
      </c>
      <c r="P24">
        <f t="shared" si="11"/>
        <v>3.7770924008520832</v>
      </c>
    </row>
    <row r="25" spans="1:16" x14ac:dyDescent="0.25">
      <c r="A25" s="3">
        <f>DATE(YEAR(A24),MONTH(A24)+6,DAY(A24))</f>
        <v>43487</v>
      </c>
      <c r="B25">
        <f t="shared" si="0"/>
        <v>2.0625</v>
      </c>
      <c r="D25" s="3">
        <f t="shared" si="1"/>
        <v>43242</v>
      </c>
      <c r="E25">
        <f t="shared" si="2"/>
        <v>5.416666666666667</v>
      </c>
      <c r="F25">
        <f t="shared" si="3"/>
        <v>282.11927529740353</v>
      </c>
      <c r="H25">
        <f t="shared" si="6"/>
        <v>282.11927529740353</v>
      </c>
      <c r="I25">
        <f t="shared" si="4"/>
        <v>2.0882255758505073</v>
      </c>
      <c r="J25">
        <f t="shared" si="7"/>
        <v>4.3069652501916709</v>
      </c>
      <c r="L25" s="4">
        <f t="shared" si="5"/>
        <v>5.9986310746064335</v>
      </c>
      <c r="M25">
        <f t="shared" si="8"/>
        <v>0.87823912380507974</v>
      </c>
      <c r="N25">
        <f t="shared" si="9"/>
        <v>3.782545387587259</v>
      </c>
      <c r="O25">
        <f t="shared" si="10"/>
        <v>0</v>
      </c>
      <c r="P25">
        <f t="shared" si="11"/>
        <v>3.782545387587259</v>
      </c>
    </row>
    <row r="26" spans="1:16" x14ac:dyDescent="0.25">
      <c r="A26" s="3">
        <f t="shared" si="12"/>
        <v>43668</v>
      </c>
      <c r="B26">
        <f t="shared" si="0"/>
        <v>2.0625</v>
      </c>
      <c r="D26" s="3">
        <f t="shared" si="1"/>
        <v>43426</v>
      </c>
      <c r="E26">
        <f t="shared" si="2"/>
        <v>5.916666666666667</v>
      </c>
      <c r="F26">
        <f t="shared" si="3"/>
        <v>285.62399694649343</v>
      </c>
      <c r="H26">
        <f t="shared" si="6"/>
        <v>285.62399694649343</v>
      </c>
      <c r="I26">
        <f t="shared" si="4"/>
        <v>2.1141672608918833</v>
      </c>
      <c r="J26">
        <f t="shared" si="7"/>
        <v>4.3604699755895098</v>
      </c>
      <c r="L26" s="4">
        <f t="shared" si="5"/>
        <v>6.494182067077344</v>
      </c>
      <c r="M26">
        <f t="shared" si="8"/>
        <v>0.86886958235055167</v>
      </c>
      <c r="N26">
        <f t="shared" si="9"/>
        <v>3.7886797265425778</v>
      </c>
      <c r="O26">
        <f t="shared" si="10"/>
        <v>0</v>
      </c>
      <c r="P26">
        <f t="shared" si="11"/>
        <v>3.7886797265425778</v>
      </c>
    </row>
    <row r="27" spans="1:16" x14ac:dyDescent="0.25">
      <c r="A27" s="3">
        <f>DATE(YEAR(A26),MONTH(A26)+6,DAY(A26))</f>
        <v>43852</v>
      </c>
      <c r="B27">
        <f t="shared" si="0"/>
        <v>2.0625</v>
      </c>
      <c r="D27" s="3">
        <f t="shared" si="1"/>
        <v>43607</v>
      </c>
      <c r="E27">
        <f t="shared" si="2"/>
        <v>6.416666666666667</v>
      </c>
      <c r="F27">
        <f t="shared" si="3"/>
        <v>289.1722571798386</v>
      </c>
      <c r="H27">
        <f t="shared" si="6"/>
        <v>289.1722571798386</v>
      </c>
      <c r="I27">
        <f t="shared" si="4"/>
        <v>2.1404312152467697</v>
      </c>
      <c r="J27">
        <f t="shared" si="7"/>
        <v>4.4146393814464622</v>
      </c>
      <c r="L27" s="4">
        <f t="shared" si="5"/>
        <v>6.9979466119096507</v>
      </c>
      <c r="M27">
        <f t="shared" si="8"/>
        <v>0.85944719694225524</v>
      </c>
      <c r="N27">
        <f t="shared" si="9"/>
        <v>3.7941494418950534</v>
      </c>
      <c r="O27">
        <f t="shared" si="10"/>
        <v>0</v>
      </c>
      <c r="P27">
        <f t="shared" si="11"/>
        <v>3.7941494418950534</v>
      </c>
    </row>
    <row r="28" spans="1:16" x14ac:dyDescent="0.25">
      <c r="A28" s="3">
        <f t="shared" si="12"/>
        <v>44034</v>
      </c>
      <c r="B28">
        <f t="shared" si="0"/>
        <v>2.0625</v>
      </c>
      <c r="D28" s="3">
        <f t="shared" si="1"/>
        <v>43791</v>
      </c>
      <c r="E28">
        <f t="shared" si="2"/>
        <v>6.916666666666667</v>
      </c>
      <c r="F28">
        <f t="shared" si="3"/>
        <v>292.76459687015569</v>
      </c>
      <c r="H28">
        <f t="shared" si="6"/>
        <v>292.76459687015569</v>
      </c>
      <c r="I28">
        <f t="shared" si="4"/>
        <v>2.16702144241418</v>
      </c>
      <c r="J28">
        <f t="shared" si="7"/>
        <v>4.4694817249792465</v>
      </c>
      <c r="L28" s="4">
        <f t="shared" si="5"/>
        <v>7.4962354551676933</v>
      </c>
      <c r="M28">
        <f t="shared" si="8"/>
        <v>0.8502277530712955</v>
      </c>
      <c r="N28">
        <f t="shared" si="9"/>
        <v>3.8000774044223227</v>
      </c>
      <c r="O28">
        <f t="shared" si="10"/>
        <v>0</v>
      </c>
      <c r="P28">
        <f t="shared" si="11"/>
        <v>3.8000774044223227</v>
      </c>
    </row>
    <row r="29" spans="1:16" x14ac:dyDescent="0.25">
      <c r="A29" s="3">
        <f t="shared" ref="A29:A44" si="13">DATE(YEAR(A28),MONTH(A28)+6,DAY(A28))</f>
        <v>44218</v>
      </c>
      <c r="B29">
        <f t="shared" si="0"/>
        <v>2.0625</v>
      </c>
      <c r="D29" s="3">
        <f t="shared" si="1"/>
        <v>43973</v>
      </c>
      <c r="E29">
        <f t="shared" si="2"/>
        <v>7.416666666666667</v>
      </c>
      <c r="F29">
        <f t="shared" si="3"/>
        <v>296.40156360933452</v>
      </c>
      <c r="H29">
        <f t="shared" ref="H29:H44" si="14">MAX(F29,G29)</f>
        <v>296.40156360933452</v>
      </c>
      <c r="I29">
        <f t="shared" si="4"/>
        <v>2.1939419956279389</v>
      </c>
      <c r="J29">
        <f t="shared" ref="J29:J44" si="15">B29*$I29</f>
        <v>4.5250053659826239</v>
      </c>
      <c r="L29" s="4">
        <f t="shared" si="5"/>
        <v>8</v>
      </c>
      <c r="M29">
        <f t="shared" si="8"/>
        <v>0.84100752746206775</v>
      </c>
      <c r="N29">
        <f t="shared" ref="N29:N44" si="16">J29*$M29</f>
        <v>3.8055635745976355</v>
      </c>
      <c r="O29">
        <f t="shared" ref="O29:O44" si="17">K29*$M29</f>
        <v>0</v>
      </c>
      <c r="P29">
        <f t="shared" ref="P29:P44" si="18">N29+O29</f>
        <v>3.8055635745976355</v>
      </c>
    </row>
    <row r="30" spans="1:16" x14ac:dyDescent="0.25">
      <c r="A30" s="3">
        <f t="shared" si="13"/>
        <v>44399</v>
      </c>
      <c r="B30">
        <f t="shared" si="0"/>
        <v>2.0625</v>
      </c>
      <c r="D30" s="3">
        <f t="shared" si="1"/>
        <v>44157</v>
      </c>
      <c r="E30">
        <f t="shared" si="2"/>
        <v>7.916666666666667</v>
      </c>
      <c r="F30">
        <f t="shared" si="3"/>
        <v>300.08371179190959</v>
      </c>
      <c r="H30">
        <f t="shared" si="14"/>
        <v>300.08371179190959</v>
      </c>
      <c r="I30">
        <f t="shared" si="4"/>
        <v>2.2211969784745347</v>
      </c>
      <c r="J30">
        <f t="shared" si="15"/>
        <v>4.581218768103728</v>
      </c>
      <c r="L30" s="4">
        <f t="shared" si="5"/>
        <v>8.4955509924709105</v>
      </c>
      <c r="M30">
        <f t="shared" si="8"/>
        <v>0.83203519330097309</v>
      </c>
      <c r="N30">
        <f t="shared" si="16"/>
        <v>3.811735243273231</v>
      </c>
      <c r="O30">
        <f t="shared" si="17"/>
        <v>0</v>
      </c>
      <c r="P30">
        <f t="shared" si="18"/>
        <v>3.811735243273231</v>
      </c>
    </row>
    <row r="31" spans="1:16" x14ac:dyDescent="0.25">
      <c r="A31" s="3">
        <f t="shared" si="13"/>
        <v>44583</v>
      </c>
      <c r="B31">
        <f t="shared" si="0"/>
        <v>2.0625</v>
      </c>
      <c r="D31" s="3">
        <f t="shared" si="1"/>
        <v>44338</v>
      </c>
      <c r="E31">
        <f t="shared" si="2"/>
        <v>8.4166666666666661</v>
      </c>
      <c r="F31">
        <f t="shared" si="3"/>
        <v>303.81160269956791</v>
      </c>
      <c r="H31">
        <f t="shared" si="14"/>
        <v>303.81160269956791</v>
      </c>
      <c r="I31">
        <f t="shared" si="4"/>
        <v>2.2487905455186374</v>
      </c>
      <c r="J31">
        <f t="shared" si="15"/>
        <v>4.6381305001321893</v>
      </c>
      <c r="L31" s="4">
        <f t="shared" si="5"/>
        <v>8.9993155373032163</v>
      </c>
      <c r="M31">
        <f t="shared" si="8"/>
        <v>0.82301225542422152</v>
      </c>
      <c r="N31">
        <f t="shared" si="16"/>
        <v>3.8172382438656656</v>
      </c>
      <c r="O31">
        <f t="shared" si="17"/>
        <v>0</v>
      </c>
      <c r="P31">
        <f t="shared" si="18"/>
        <v>3.8172382438656656</v>
      </c>
    </row>
    <row r="32" spans="1:16" x14ac:dyDescent="0.25">
      <c r="A32" s="3">
        <f t="shared" si="13"/>
        <v>44764</v>
      </c>
      <c r="B32">
        <f t="shared" si="0"/>
        <v>2.0625</v>
      </c>
      <c r="D32" s="3">
        <f t="shared" si="1"/>
        <v>44522</v>
      </c>
      <c r="E32">
        <f t="shared" si="2"/>
        <v>8.9166666666666661</v>
      </c>
      <c r="F32">
        <f t="shared" si="3"/>
        <v>307.5858045867073</v>
      </c>
      <c r="H32">
        <f t="shared" si="14"/>
        <v>307.5858045867073</v>
      </c>
      <c r="I32">
        <f t="shared" si="4"/>
        <v>2.2767269029363977</v>
      </c>
      <c r="J32">
        <f t="shared" si="15"/>
        <v>4.6957492373063205</v>
      </c>
      <c r="L32" s="4">
        <f t="shared" si="5"/>
        <v>9.4948665297741268</v>
      </c>
      <c r="M32">
        <f t="shared" si="8"/>
        <v>0.81423190479332264</v>
      </c>
      <c r="N32">
        <f t="shared" si="16"/>
        <v>3.8234288459237176</v>
      </c>
      <c r="O32">
        <f t="shared" si="17"/>
        <v>0</v>
      </c>
      <c r="P32">
        <f t="shared" si="18"/>
        <v>3.8234288459237176</v>
      </c>
    </row>
    <row r="33" spans="1:16" x14ac:dyDescent="0.25">
      <c r="A33" s="3">
        <f t="shared" si="13"/>
        <v>44948</v>
      </c>
      <c r="B33">
        <f t="shared" si="0"/>
        <v>2.0625</v>
      </c>
      <c r="D33" s="3">
        <f t="shared" si="1"/>
        <v>44703</v>
      </c>
      <c r="E33">
        <f t="shared" si="2"/>
        <v>9.4166666666666661</v>
      </c>
      <c r="F33">
        <f t="shared" si="3"/>
        <v>311.40689276705706</v>
      </c>
      <c r="H33">
        <f t="shared" si="14"/>
        <v>311.40689276705706</v>
      </c>
      <c r="I33">
        <f t="shared" si="4"/>
        <v>2.3050103091566032</v>
      </c>
      <c r="J33">
        <f t="shared" si="15"/>
        <v>4.7540837626354939</v>
      </c>
      <c r="L33" s="4">
        <f t="shared" si="5"/>
        <v>9.9986310746064344</v>
      </c>
      <c r="M33">
        <f t="shared" si="8"/>
        <v>0.80540203322854886</v>
      </c>
      <c r="N33">
        <f t="shared" si="16"/>
        <v>3.8289487285654569</v>
      </c>
      <c r="O33">
        <f t="shared" si="17"/>
        <v>0</v>
      </c>
      <c r="P33">
        <f t="shared" si="18"/>
        <v>3.8289487285654569</v>
      </c>
    </row>
    <row r="34" spans="1:16" x14ac:dyDescent="0.25">
      <c r="A34" s="3">
        <f t="shared" si="13"/>
        <v>45129</v>
      </c>
      <c r="B34">
        <f t="shared" si="0"/>
        <v>2.0625</v>
      </c>
      <c r="D34" s="3">
        <f t="shared" si="1"/>
        <v>44887</v>
      </c>
      <c r="E34">
        <f t="shared" si="2"/>
        <v>9.9166666666666661</v>
      </c>
      <c r="F34">
        <f t="shared" si="3"/>
        <v>315.27544970137495</v>
      </c>
      <c r="H34">
        <f t="shared" si="14"/>
        <v>315.27544970137495</v>
      </c>
      <c r="I34">
        <f t="shared" si="4"/>
        <v>2.3336450755098075</v>
      </c>
      <c r="J34">
        <f t="shared" si="15"/>
        <v>4.8131429682389779</v>
      </c>
      <c r="L34" s="4">
        <f t="shared" si="5"/>
        <v>10.494182067077345</v>
      </c>
      <c r="M34">
        <f t="shared" si="8"/>
        <v>0.7968095582028395</v>
      </c>
      <c r="N34">
        <f t="shared" si="16"/>
        <v>3.8351583220896037</v>
      </c>
      <c r="O34">
        <f t="shared" si="17"/>
        <v>0</v>
      </c>
      <c r="P34">
        <f t="shared" si="18"/>
        <v>3.8351583220896037</v>
      </c>
    </row>
    <row r="35" spans="1:16" x14ac:dyDescent="0.25">
      <c r="A35" s="3">
        <f t="shared" si="13"/>
        <v>45313</v>
      </c>
      <c r="B35">
        <f t="shared" si="0"/>
        <v>2.0625</v>
      </c>
      <c r="D35" s="3">
        <f t="shared" si="1"/>
        <v>45068</v>
      </c>
      <c r="E35">
        <f t="shared" si="2"/>
        <v>10.416666666666666</v>
      </c>
      <c r="F35">
        <f t="shared" si="3"/>
        <v>319.19206508623347</v>
      </c>
      <c r="H35">
        <f t="shared" si="14"/>
        <v>319.19206508623347</v>
      </c>
      <c r="I35">
        <f t="shared" si="4"/>
        <v>2.3626355668855181</v>
      </c>
      <c r="J35">
        <f t="shared" si="15"/>
        <v>4.872935856701381</v>
      </c>
      <c r="L35" s="4">
        <f t="shared" si="5"/>
        <v>10.997946611909651</v>
      </c>
      <c r="M35">
        <f t="shared" si="8"/>
        <v>0.78816862185645409</v>
      </c>
      <c r="N35">
        <f t="shared" si="16"/>
        <v>3.8406951385712267</v>
      </c>
      <c r="O35">
        <f t="shared" si="17"/>
        <v>0</v>
      </c>
      <c r="P35">
        <f t="shared" si="18"/>
        <v>3.8406951385712267</v>
      </c>
    </row>
    <row r="36" spans="1:16" x14ac:dyDescent="0.25">
      <c r="A36" s="3">
        <f t="shared" si="13"/>
        <v>45495</v>
      </c>
      <c r="B36">
        <f t="shared" si="0"/>
        <v>2.0625</v>
      </c>
      <c r="D36" s="3">
        <f t="shared" si="1"/>
        <v>45252</v>
      </c>
      <c r="E36">
        <f t="shared" si="2"/>
        <v>10.916666666666666</v>
      </c>
      <c r="F36">
        <f t="shared" si="3"/>
        <v>323.15733594390929</v>
      </c>
      <c r="H36">
        <f t="shared" si="14"/>
        <v>323.15733594390929</v>
      </c>
      <c r="I36">
        <f t="shared" si="4"/>
        <v>2.3919862023975522</v>
      </c>
      <c r="J36">
        <f t="shared" si="15"/>
        <v>4.9334715424449511</v>
      </c>
      <c r="L36" s="4">
        <f t="shared" si="5"/>
        <v>11.496235455167694</v>
      </c>
      <c r="M36">
        <f t="shared" si="8"/>
        <v>0.77971379601501789</v>
      </c>
      <c r="N36">
        <f t="shared" si="16"/>
        <v>3.8466958238918183</v>
      </c>
      <c r="O36">
        <f t="shared" si="17"/>
        <v>0</v>
      </c>
      <c r="P36">
        <f t="shared" si="18"/>
        <v>3.8466958238918183</v>
      </c>
    </row>
    <row r="37" spans="1:16" x14ac:dyDescent="0.25">
      <c r="A37" s="3">
        <f t="shared" si="13"/>
        <v>45679</v>
      </c>
      <c r="B37">
        <f t="shared" si="0"/>
        <v>2.0625</v>
      </c>
      <c r="D37" s="3">
        <f t="shared" si="1"/>
        <v>45434</v>
      </c>
      <c r="E37">
        <f t="shared" si="2"/>
        <v>11.416666666666666</v>
      </c>
      <c r="F37">
        <f t="shared" si="3"/>
        <v>327.17186671338931</v>
      </c>
      <c r="H37">
        <f t="shared" si="14"/>
        <v>327.17186671338931</v>
      </c>
      <c r="I37">
        <f t="shared" si="4"/>
        <v>2.4217014560576557</v>
      </c>
      <c r="J37">
        <f t="shared" si="15"/>
        <v>4.9947592531189153</v>
      </c>
      <c r="L37" s="4">
        <f t="shared" si="5"/>
        <v>12</v>
      </c>
      <c r="M37">
        <f t="shared" si="8"/>
        <v>0.77125825326906983</v>
      </c>
      <c r="N37">
        <f t="shared" si="16"/>
        <v>3.8522492970600184</v>
      </c>
      <c r="O37">
        <f t="shared" si="17"/>
        <v>0</v>
      </c>
      <c r="P37">
        <f t="shared" si="18"/>
        <v>3.8522492970600184</v>
      </c>
    </row>
    <row r="38" spans="1:16" x14ac:dyDescent="0.25">
      <c r="A38" s="3">
        <f t="shared" si="13"/>
        <v>45860</v>
      </c>
      <c r="B38">
        <f t="shared" si="0"/>
        <v>2.0625</v>
      </c>
      <c r="D38" s="3">
        <f t="shared" si="1"/>
        <v>45618</v>
      </c>
      <c r="E38">
        <f t="shared" si="2"/>
        <v>11.916666666666666</v>
      </c>
      <c r="F38">
        <f t="shared" si="3"/>
        <v>331.236269342507</v>
      </c>
      <c r="H38">
        <f t="shared" si="14"/>
        <v>331.236269342507</v>
      </c>
      <c r="I38">
        <f t="shared" si="4"/>
        <v>2.4517858574574909</v>
      </c>
      <c r="J38">
        <f t="shared" si="15"/>
        <v>5.0568083310060752</v>
      </c>
      <c r="L38" s="4">
        <f t="shared" si="5"/>
        <v>12.495550992470911</v>
      </c>
      <c r="M38">
        <f t="shared" si="8"/>
        <v>0.76303004300118427</v>
      </c>
      <c r="N38">
        <f t="shared" si="16"/>
        <v>3.8584966782563126</v>
      </c>
      <c r="O38">
        <f t="shared" si="17"/>
        <v>0</v>
      </c>
      <c r="P38">
        <f t="shared" si="18"/>
        <v>3.8584966782563126</v>
      </c>
    </row>
    <row r="39" spans="1:16" x14ac:dyDescent="0.25">
      <c r="A39" s="3">
        <f t="shared" si="13"/>
        <v>46044</v>
      </c>
      <c r="B39">
        <f t="shared" si="0"/>
        <v>2.0625</v>
      </c>
      <c r="D39" s="3">
        <f t="shared" si="1"/>
        <v>45799</v>
      </c>
      <c r="E39">
        <f t="shared" si="2"/>
        <v>12.416666666666666</v>
      </c>
      <c r="F39">
        <f t="shared" si="3"/>
        <v>335.35116338122396</v>
      </c>
      <c r="H39">
        <f t="shared" si="14"/>
        <v>335.35116338122396</v>
      </c>
      <c r="I39">
        <f t="shared" si="4"/>
        <v>2.4822439924590967</v>
      </c>
      <c r="J39">
        <f t="shared" si="15"/>
        <v>5.1196282344468873</v>
      </c>
      <c r="L39" s="4">
        <f t="shared" si="5"/>
        <v>12.999315537303216</v>
      </c>
      <c r="M39">
        <f t="shared" si="8"/>
        <v>0.75475542585574773</v>
      </c>
      <c r="N39">
        <f t="shared" si="16"/>
        <v>3.8640671883130704</v>
      </c>
      <c r="O39">
        <f t="shared" si="17"/>
        <v>0</v>
      </c>
      <c r="P39">
        <f t="shared" si="18"/>
        <v>3.8640671883130704</v>
      </c>
    </row>
    <row r="40" spans="1:16" x14ac:dyDescent="0.25">
      <c r="A40" s="3">
        <f t="shared" si="13"/>
        <v>46225</v>
      </c>
      <c r="B40">
        <f t="shared" si="0"/>
        <v>2.0625</v>
      </c>
      <c r="D40" s="3">
        <f t="shared" si="1"/>
        <v>45983</v>
      </c>
      <c r="E40">
        <f t="shared" si="2"/>
        <v>12.916666666666666</v>
      </c>
      <c r="F40">
        <f t="shared" si="3"/>
        <v>339.51717607606969</v>
      </c>
      <c r="H40">
        <f t="shared" si="14"/>
        <v>339.51717607606969</v>
      </c>
      <c r="I40">
        <f t="shared" si="4"/>
        <v>2.5130805038939283</v>
      </c>
      <c r="J40">
        <f t="shared" si="15"/>
        <v>5.1832285392812274</v>
      </c>
      <c r="L40" s="4">
        <f t="shared" si="5"/>
        <v>13.494866529774127</v>
      </c>
      <c r="M40">
        <f t="shared" si="8"/>
        <v>0.74670327689209615</v>
      </c>
      <c r="N40">
        <f t="shared" si="16"/>
        <v>3.8703337351619256</v>
      </c>
      <c r="O40">
        <f t="shared" si="17"/>
        <v>0</v>
      </c>
      <c r="P40">
        <f t="shared" si="18"/>
        <v>3.8703337351619256</v>
      </c>
    </row>
    <row r="41" spans="1:16" x14ac:dyDescent="0.25">
      <c r="A41" s="3">
        <f t="shared" si="13"/>
        <v>46409</v>
      </c>
      <c r="B41">
        <f t="shared" si="0"/>
        <v>2.0625</v>
      </c>
      <c r="D41" s="3">
        <f t="shared" si="1"/>
        <v>46164</v>
      </c>
      <c r="E41">
        <f t="shared" si="2"/>
        <v>13.416666666666666</v>
      </c>
      <c r="F41">
        <f t="shared" si="3"/>
        <v>343.73494246575456</v>
      </c>
      <c r="H41">
        <f t="shared" si="14"/>
        <v>343.73494246575456</v>
      </c>
      <c r="I41">
        <f t="shared" si="4"/>
        <v>2.5443000922705741</v>
      </c>
      <c r="J41">
        <f t="shared" si="15"/>
        <v>5.2476189403080591</v>
      </c>
      <c r="L41" s="4">
        <f t="shared" si="5"/>
        <v>13.998631074606434</v>
      </c>
      <c r="M41">
        <f t="shared" si="8"/>
        <v>0.73860571403176278</v>
      </c>
      <c r="N41">
        <f t="shared" si="16"/>
        <v>3.8759213343728365</v>
      </c>
      <c r="O41">
        <f t="shared" si="17"/>
        <v>0</v>
      </c>
      <c r="P41">
        <f t="shared" si="18"/>
        <v>3.8759213343728365</v>
      </c>
    </row>
    <row r="42" spans="1:16" x14ac:dyDescent="0.25">
      <c r="A42" s="3">
        <f t="shared" si="13"/>
        <v>46590</v>
      </c>
      <c r="B42">
        <f t="shared" si="0"/>
        <v>2.0625</v>
      </c>
      <c r="D42" s="3">
        <f t="shared" si="1"/>
        <v>46348</v>
      </c>
      <c r="E42">
        <f t="shared" si="2"/>
        <v>13.916666666666666</v>
      </c>
      <c r="F42">
        <f t="shared" si="3"/>
        <v>348.00510547797137</v>
      </c>
      <c r="H42">
        <f t="shared" si="14"/>
        <v>348.00510547797137</v>
      </c>
      <c r="I42">
        <f t="shared" si="4"/>
        <v>2.5759075164912759</v>
      </c>
      <c r="J42">
        <f t="shared" si="15"/>
        <v>5.3128092527632562</v>
      </c>
      <c r="L42" s="4">
        <f t="shared" si="5"/>
        <v>14.494182067077345</v>
      </c>
      <c r="M42">
        <f t="shared" si="8"/>
        <v>0.73072585913963672</v>
      </c>
      <c r="N42">
        <f t="shared" si="16"/>
        <v>3.8822071056704419</v>
      </c>
      <c r="O42">
        <f t="shared" si="17"/>
        <v>0</v>
      </c>
      <c r="P42">
        <f t="shared" si="18"/>
        <v>3.8822071056704419</v>
      </c>
    </row>
    <row r="43" spans="1:16" x14ac:dyDescent="0.25">
      <c r="A43" s="3">
        <f t="shared" si="13"/>
        <v>46774</v>
      </c>
      <c r="B43">
        <f t="shared" si="0"/>
        <v>2.0625</v>
      </c>
      <c r="D43" s="3">
        <f t="shared" si="1"/>
        <v>46529</v>
      </c>
      <c r="E43">
        <f t="shared" si="2"/>
        <v>14.416666666666666</v>
      </c>
      <c r="F43">
        <f t="shared" si="3"/>
        <v>352.32831602739839</v>
      </c>
      <c r="H43">
        <f t="shared" si="14"/>
        <v>352.32831602739839</v>
      </c>
      <c r="I43">
        <f t="shared" si="4"/>
        <v>2.6079075945773385</v>
      </c>
      <c r="J43">
        <f t="shared" si="15"/>
        <v>5.3788094138157607</v>
      </c>
      <c r="L43" s="4">
        <f t="shared" si="5"/>
        <v>14.997946611909651</v>
      </c>
      <c r="M43">
        <f t="shared" si="8"/>
        <v>0.72280156208461077</v>
      </c>
      <c r="N43">
        <f t="shared" si="16"/>
        <v>3.8878118464614415</v>
      </c>
      <c r="O43">
        <f t="shared" si="17"/>
        <v>0</v>
      </c>
      <c r="P43">
        <f t="shared" si="18"/>
        <v>3.8878118464614415</v>
      </c>
    </row>
    <row r="44" spans="1:16" x14ac:dyDescent="0.25">
      <c r="A44" s="3">
        <f t="shared" si="13"/>
        <v>46956</v>
      </c>
      <c r="B44">
        <f t="shared" si="0"/>
        <v>2.0625</v>
      </c>
      <c r="D44" s="3">
        <f t="shared" si="1"/>
        <v>46713</v>
      </c>
      <c r="E44">
        <f t="shared" si="2"/>
        <v>14.916666666666666</v>
      </c>
      <c r="F44">
        <f t="shared" si="3"/>
        <v>356.70523311492059</v>
      </c>
      <c r="H44">
        <f t="shared" si="14"/>
        <v>356.70523311492059</v>
      </c>
      <c r="I44">
        <f t="shared" si="4"/>
        <v>2.6403052044035573</v>
      </c>
      <c r="J44">
        <f t="shared" si="15"/>
        <v>5.4456294840823372</v>
      </c>
      <c r="L44" s="4">
        <f t="shared" si="5"/>
        <v>15.496235455167694</v>
      </c>
      <c r="M44">
        <f t="shared" si="8"/>
        <v>0.71504794039011943</v>
      </c>
      <c r="N44">
        <f t="shared" si="16"/>
        <v>3.8938861467207837</v>
      </c>
      <c r="O44">
        <f t="shared" si="17"/>
        <v>0</v>
      </c>
      <c r="P44">
        <f t="shared" si="18"/>
        <v>3.8938861467207837</v>
      </c>
    </row>
    <row r="45" spans="1:16" x14ac:dyDescent="0.25">
      <c r="A45" s="3">
        <f t="shared" ref="A45:A48" si="19">DATE(YEAR(A44),MONTH(A44)+6,DAY(A44))</f>
        <v>47140</v>
      </c>
      <c r="B45">
        <f t="shared" si="0"/>
        <v>2.0625</v>
      </c>
      <c r="D45" s="3">
        <f t="shared" si="1"/>
        <v>46895</v>
      </c>
      <c r="E45">
        <f t="shared" si="2"/>
        <v>15.416666666666666</v>
      </c>
      <c r="F45">
        <f t="shared" si="3"/>
        <v>361.13652392808331</v>
      </c>
      <c r="H45">
        <f t="shared" ref="H45:H48" si="20">MAX(F45,G45)</f>
        <v>361.13652392808331</v>
      </c>
      <c r="I45">
        <f t="shared" si="4"/>
        <v>2.6731052844417715</v>
      </c>
      <c r="J45">
        <f t="shared" ref="J45:K48" si="21">B45*$I45</f>
        <v>5.513279649161154</v>
      </c>
      <c r="L45" s="4">
        <f t="shared" si="5"/>
        <v>16</v>
      </c>
      <c r="M45">
        <f t="shared" si="8"/>
        <v>0.70729366124786075</v>
      </c>
      <c r="N45">
        <f t="shared" ref="N45:N48" si="22">J45*$M45</f>
        <v>3.8995077485385137</v>
      </c>
      <c r="O45">
        <f t="shared" ref="O45:O48" si="23">K45*$M45</f>
        <v>0</v>
      </c>
      <c r="P45">
        <f t="shared" ref="P45:P48" si="24">N45+O45</f>
        <v>3.8995077485385137</v>
      </c>
    </row>
    <row r="46" spans="1:16" x14ac:dyDescent="0.25">
      <c r="A46" s="3">
        <f t="shared" si="19"/>
        <v>47321</v>
      </c>
      <c r="B46">
        <f t="shared" si="0"/>
        <v>2.0625</v>
      </c>
      <c r="D46" s="3">
        <f t="shared" si="1"/>
        <v>47079</v>
      </c>
      <c r="E46">
        <f t="shared" si="2"/>
        <v>15.916666666666666</v>
      </c>
      <c r="F46">
        <f t="shared" si="3"/>
        <v>365.62286394279357</v>
      </c>
      <c r="H46">
        <f t="shared" si="20"/>
        <v>365.62286394279357</v>
      </c>
      <c r="I46">
        <f t="shared" si="4"/>
        <v>2.7063128345136462</v>
      </c>
      <c r="J46">
        <f t="shared" si="21"/>
        <v>5.5817702211843958</v>
      </c>
      <c r="L46" s="4">
        <f t="shared" si="5"/>
        <v>16.495550992470911</v>
      </c>
      <c r="M46">
        <f t="shared" si="8"/>
        <v>0.69974786067947492</v>
      </c>
      <c r="N46">
        <f t="shared" si="22"/>
        <v>3.9058317710781805</v>
      </c>
      <c r="O46">
        <f t="shared" si="23"/>
        <v>0</v>
      </c>
      <c r="P46">
        <f t="shared" si="24"/>
        <v>3.9058317710781805</v>
      </c>
    </row>
    <row r="47" spans="1:16" x14ac:dyDescent="0.25">
      <c r="A47" s="3">
        <f t="shared" si="19"/>
        <v>47505</v>
      </c>
      <c r="B47">
        <f t="shared" si="0"/>
        <v>2.0625</v>
      </c>
      <c r="D47" s="3">
        <f t="shared" si="1"/>
        <v>47260</v>
      </c>
      <c r="E47">
        <f t="shared" si="2"/>
        <v>16.416666666666668</v>
      </c>
      <c r="F47">
        <f t="shared" si="3"/>
        <v>370.16493702628537</v>
      </c>
      <c r="H47">
        <f t="shared" si="20"/>
        <v>370.16493702628537</v>
      </c>
      <c r="I47">
        <f t="shared" si="4"/>
        <v>2.7399329165528155</v>
      </c>
      <c r="J47">
        <f t="shared" si="21"/>
        <v>5.651111640390182</v>
      </c>
      <c r="L47" s="4">
        <f t="shared" si="5"/>
        <v>16.999315537303218</v>
      </c>
      <c r="M47">
        <f t="shared" si="8"/>
        <v>0.69215950200530407</v>
      </c>
      <c r="N47">
        <f t="shared" si="22"/>
        <v>3.9114706187888455</v>
      </c>
      <c r="O47">
        <f t="shared" si="23"/>
        <v>0</v>
      </c>
      <c r="P47">
        <f t="shared" si="24"/>
        <v>3.9114706187888455</v>
      </c>
    </row>
    <row r="48" spans="1:16" x14ac:dyDescent="0.25">
      <c r="A48" s="3">
        <f t="shared" si="19"/>
        <v>47686</v>
      </c>
      <c r="B48">
        <f t="shared" si="0"/>
        <v>2.0625</v>
      </c>
      <c r="C48">
        <f>redemption</f>
        <v>100</v>
      </c>
      <c r="D48" s="3">
        <f t="shared" si="1"/>
        <v>47444</v>
      </c>
      <c r="E48">
        <f t="shared" si="2"/>
        <v>16.916666666666668</v>
      </c>
      <c r="F48">
        <f t="shared" si="3"/>
        <v>374.76343554136338</v>
      </c>
      <c r="H48">
        <f t="shared" si="20"/>
        <v>374.76343554136338</v>
      </c>
      <c r="I48">
        <f t="shared" si="4"/>
        <v>2.7739706553764871</v>
      </c>
      <c r="J48">
        <f t="shared" si="21"/>
        <v>5.7213144767140047</v>
      </c>
      <c r="K48">
        <f t="shared" si="21"/>
        <v>277.3970655376487</v>
      </c>
      <c r="L48" s="4">
        <f t="shared" si="5"/>
        <v>17.494866529774129</v>
      </c>
      <c r="M48">
        <f t="shared" si="8"/>
        <v>0.68477516103096192</v>
      </c>
      <c r="N48">
        <f t="shared" si="22"/>
        <v>3.917814042100606</v>
      </c>
      <c r="O48">
        <f t="shared" si="23"/>
        <v>189.95462022305969</v>
      </c>
      <c r="P48">
        <f t="shared" si="24"/>
        <v>193.87243426516031</v>
      </c>
    </row>
    <row r="50" spans="16:16" x14ac:dyDescent="0.25">
      <c r="P50" s="1">
        <f>SUM(P14:P48)</f>
        <v>323.56988487040894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Cell names</vt:lpstr>
      <vt:lpstr>Calculations</vt:lpstr>
      <vt:lpstr>calcdate</vt:lpstr>
      <vt:lpstr>coupon</vt:lpstr>
      <vt:lpstr>daysinyear</vt:lpstr>
      <vt:lpstr>money_yield</vt:lpstr>
      <vt:lpstr>q</vt:lpstr>
      <vt:lpstr>redemption</vt:lpstr>
      <vt:lpstr>redemptionfloor</vt:lpstr>
      <vt:lpstr>RPIbase</vt:lpstr>
      <vt:lpstr>RPIcalcdate</vt:lpstr>
      <vt:lpstr>RPIlag</vt:lpstr>
      <vt:lpstr>RPIlast</vt:lpstr>
      <vt:lpstr>RPIlastmonth</vt:lpstr>
      <vt:lpstr>RPIlastyear</vt:lpstr>
      <vt:lpstr>RPInextcoupon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Donnelly</dc:creator>
  <cp:lastModifiedBy>Peter John Guy Ridges</cp:lastModifiedBy>
  <dcterms:created xsi:type="dcterms:W3CDTF">2014-01-10T09:12:04Z</dcterms:created>
  <dcterms:modified xsi:type="dcterms:W3CDTF">2017-01-31T14:21:34Z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b7a7fa4d-c8fd-48d4-b0a0-14d24b86934c</vt:lpwstr>
  </property>
</Properties>
</file>