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4780" windowHeight="12405"/>
  </bookViews>
  <sheets>
    <sheet name="Q1" sheetId="3" r:id="rId1"/>
    <sheet name="Q2" sheetId="2" r:id="rId2"/>
    <sheet name="Q3" sheetId="4" r:id="rId3"/>
  </sheets>
  <definedNames>
    <definedName name="delta">'Q1'!$B$5</definedName>
    <definedName name="delta_1">'Q3'!$B$4</definedName>
    <definedName name="delta_2">'Q3'!$B$5</definedName>
    <definedName name="delta_monthly">'Q2'!$B$6</definedName>
    <definedName name="pay_inc_monthly">'Q2'!$B$5</definedName>
    <definedName name="switchtime">'Q3'!$B$6</definedName>
  </definedNames>
  <calcPr calcId="145621"/>
</workbook>
</file>

<file path=xl/calcChain.xml><?xml version="1.0" encoding="utf-8"?>
<calcChain xmlns="http://schemas.openxmlformats.org/spreadsheetml/2006/main">
  <c r="D15" i="2" l="1"/>
  <c r="D13" i="3"/>
  <c r="F5" i="4" l="1"/>
  <c r="F4" i="4"/>
  <c r="C14" i="4" s="1"/>
  <c r="D14" i="4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20" i="2"/>
  <c r="C5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E14" i="4" l="1"/>
  <c r="A15" i="4"/>
  <c r="C15" i="4" s="1"/>
  <c r="D15" i="4" s="1"/>
  <c r="D19" i="2"/>
  <c r="A20" i="2"/>
  <c r="A21" i="2" s="1"/>
  <c r="C18" i="3"/>
  <c r="D18" i="3" s="1"/>
  <c r="A19" i="3"/>
  <c r="C19" i="3" s="1"/>
  <c r="D19" i="3" s="1"/>
  <c r="E15" i="4" l="1"/>
  <c r="A20" i="3"/>
  <c r="D20" i="2"/>
  <c r="A16" i="4"/>
  <c r="C16" i="4" s="1"/>
  <c r="D16" i="4" s="1"/>
  <c r="A22" i="2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D17" i="4" l="1"/>
  <c r="C20" i="3"/>
  <c r="D20" i="3" s="1"/>
  <c r="A21" i="3"/>
  <c r="A17" i="4"/>
  <c r="C17" i="4" s="1"/>
  <c r="D21" i="2"/>
  <c r="E16" i="4" l="1"/>
  <c r="A18" i="4"/>
  <c r="E17" i="4"/>
  <c r="A22" i="3"/>
  <c r="C21" i="3"/>
  <c r="D21" i="3" s="1"/>
  <c r="D22" i="2"/>
  <c r="A19" i="4" l="1"/>
  <c r="C18" i="4"/>
  <c r="D18" i="4" s="1"/>
  <c r="A23" i="3"/>
  <c r="C22" i="3"/>
  <c r="D22" i="3" s="1"/>
  <c r="D23" i="2"/>
  <c r="A20" i="4" l="1"/>
  <c r="C19" i="4"/>
  <c r="D19" i="4" s="1"/>
  <c r="E18" i="4"/>
  <c r="A24" i="3"/>
  <c r="C23" i="3"/>
  <c r="D23" i="3" s="1"/>
  <c r="D24" i="2"/>
  <c r="E19" i="4" l="1"/>
  <c r="A21" i="4"/>
  <c r="C20" i="4"/>
  <c r="D20" i="4" s="1"/>
  <c r="A25" i="3"/>
  <c r="C24" i="3"/>
  <c r="D24" i="3" s="1"/>
  <c r="D25" i="2"/>
  <c r="E20" i="4" l="1"/>
  <c r="A22" i="4"/>
  <c r="C21" i="4"/>
  <c r="D21" i="4" s="1"/>
  <c r="A26" i="3"/>
  <c r="C25" i="3"/>
  <c r="D25" i="3" s="1"/>
  <c r="D26" i="2"/>
  <c r="E21" i="4" l="1"/>
  <c r="A23" i="4"/>
  <c r="C22" i="4"/>
  <c r="D22" i="4" s="1"/>
  <c r="A27" i="3"/>
  <c r="C27" i="3" s="1"/>
  <c r="D27" i="3" s="1"/>
  <c r="C26" i="3"/>
  <c r="D26" i="3" s="1"/>
  <c r="D27" i="2"/>
  <c r="E22" i="4" l="1"/>
  <c r="A24" i="4"/>
  <c r="C23" i="4"/>
  <c r="D23" i="4" s="1"/>
  <c r="D28" i="2"/>
  <c r="E23" i="4" l="1"/>
  <c r="A25" i="4"/>
  <c r="C24" i="4"/>
  <c r="D24" i="4" s="1"/>
  <c r="D29" i="2"/>
  <c r="E24" i="4" l="1"/>
  <c r="A26" i="4"/>
  <c r="C25" i="4"/>
  <c r="D25" i="4" s="1"/>
  <c r="D30" i="2"/>
  <c r="E25" i="4" l="1"/>
  <c r="A27" i="4"/>
  <c r="C26" i="4"/>
  <c r="D26" i="4" s="1"/>
  <c r="D31" i="2"/>
  <c r="E26" i="4" l="1"/>
  <c r="A28" i="4"/>
  <c r="C27" i="4"/>
  <c r="D27" i="4" s="1"/>
  <c r="D33" i="2"/>
  <c r="D32" i="2"/>
  <c r="E27" i="4" l="1"/>
  <c r="A29" i="4"/>
  <c r="C28" i="4"/>
  <c r="D28" i="4" s="1"/>
  <c r="E28" i="4" l="1"/>
  <c r="A30" i="4"/>
  <c r="C29" i="4"/>
  <c r="D29" i="4" s="1"/>
  <c r="E29" i="4" l="1"/>
  <c r="A31" i="4"/>
  <c r="C30" i="4"/>
  <c r="D30" i="4" s="1"/>
  <c r="E30" i="4" l="1"/>
  <c r="A32" i="4"/>
  <c r="C31" i="4"/>
  <c r="D31" i="4" s="1"/>
  <c r="E31" i="4" l="1"/>
  <c r="A33" i="4"/>
  <c r="C33" i="4" s="1"/>
  <c r="C32" i="4"/>
  <c r="D32" i="4" s="1"/>
  <c r="D33" i="4" l="1"/>
  <c r="E33" i="4" s="1"/>
  <c r="E9" i="4" s="1"/>
  <c r="E32" i="4"/>
</calcChain>
</file>

<file path=xl/sharedStrings.xml><?xml version="1.0" encoding="utf-8"?>
<sst xmlns="http://schemas.openxmlformats.org/spreadsheetml/2006/main" count="42" uniqueCount="33">
  <si>
    <t>delta</t>
  </si>
  <si>
    <t>Total</t>
  </si>
  <si>
    <t>Annual force of interest</t>
  </si>
  <si>
    <t>Monthly force of interest</t>
  </si>
  <si>
    <t>delta_monthly</t>
  </si>
  <si>
    <t>pay_inc_monthly</t>
  </si>
  <si>
    <t>Monthly increase to payments</t>
  </si>
  <si>
    <t>delta_1</t>
  </si>
  <si>
    <t>delta_2</t>
  </si>
  <si>
    <t>Annual force of interest up to time 4</t>
  </si>
  <si>
    <t>Annual force of interest from time 4</t>
  </si>
  <si>
    <t>Name</t>
  </si>
  <si>
    <t>Value</t>
  </si>
  <si>
    <t>Description</t>
  </si>
  <si>
    <t>Question 1</t>
  </si>
  <si>
    <t>Question 2</t>
  </si>
  <si>
    <t>Question 3</t>
  </si>
  <si>
    <t>switchtime</t>
  </si>
  <si>
    <t>Time at which force of interest switches</t>
  </si>
  <si>
    <r>
      <t>e</t>
    </r>
    <r>
      <rPr>
        <b/>
        <vertAlign val="superscript"/>
        <sz val="11"/>
        <color theme="1"/>
        <rFont val="Calibri"/>
        <family val="2"/>
        <scheme val="minor"/>
      </rPr>
      <t>-</t>
    </r>
    <r>
      <rPr>
        <b/>
        <vertAlign val="superscript"/>
        <sz val="11"/>
        <color theme="1"/>
        <rFont val="Calibri"/>
        <family val="2"/>
      </rPr>
      <t>δ</t>
    </r>
  </si>
  <si>
    <t>Time in years</t>
  </si>
  <si>
    <t>Payment at time</t>
  </si>
  <si>
    <t>Discount factor for payment at time</t>
  </si>
  <si>
    <t>Discounted payment</t>
  </si>
  <si>
    <t>Time in months</t>
  </si>
  <si>
    <t>Payment at start of month (£m)</t>
  </si>
  <si>
    <t>Discounted payment (£m)</t>
  </si>
  <si>
    <t xml:space="preserve">Discount factor for payment at start of month </t>
  </si>
  <si>
    <t>Time t</t>
  </si>
  <si>
    <t>Payment at time t</t>
  </si>
  <si>
    <t>Discount factor for previous year</t>
  </si>
  <si>
    <t>Discount factor from  t=0</t>
  </si>
  <si>
    <t>Note that each formula is the same all the way down the column.  This makes it easier to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</si>
</sst>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0"/>
    <numFmt numFmtId="165" formatCode="0.00000"/>
    <numFmt numFmtId="167" formatCode="&quot;£&quot;#,##0.00"/>
    <numFmt numFmtId="169" formatCode="&quot;£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0" xfId="0" applyNumberFormat="1"/>
    <xf numFmtId="4" fontId="1" fillId="0" borderId="0" xfId="0" applyNumberFormat="1" applyFont="1"/>
    <xf numFmtId="0" fontId="1" fillId="0" borderId="0" xfId="0" quotePrefix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/>
    <xf numFmtId="165" fontId="0" fillId="0" borderId="0" xfId="0" applyNumberFormat="1"/>
    <xf numFmtId="164" fontId="1" fillId="0" borderId="0" xfId="0" applyNumberFormat="1" applyFont="1"/>
    <xf numFmtId="0" fontId="0" fillId="0" borderId="0" xfId="0" quotePrefix="1" applyFont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7" fontId="0" fillId="0" borderId="0" xfId="0" applyNumberFormat="1"/>
    <xf numFmtId="169" fontId="0" fillId="2" borderId="0" xfId="0" applyNumberFormat="1" applyFill="1"/>
    <xf numFmtId="169" fontId="1" fillId="0" borderId="2" xfId="0" applyNumberFormat="1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169" fontId="1" fillId="0" borderId="0" xfId="0" applyNumberFormat="1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 applyAlignment="1">
      <alignment horizontal="right"/>
    </xf>
    <xf numFmtId="0" fontId="0" fillId="0" borderId="6" xfId="0" applyFont="1" applyBorder="1"/>
    <xf numFmtId="0" fontId="1" fillId="2" borderId="0" xfId="0" applyFont="1" applyFill="1" applyBorder="1" applyAlignment="1">
      <alignment horizontal="center"/>
    </xf>
    <xf numFmtId="0" fontId="0" fillId="0" borderId="0" xfId="0" applyFont="1" applyBorder="1"/>
    <xf numFmtId="164" fontId="0" fillId="0" borderId="7" xfId="0" applyNumberFormat="1" applyBorder="1"/>
    <xf numFmtId="0" fontId="0" fillId="0" borderId="8" xfId="0" applyFont="1" applyBorder="1"/>
    <xf numFmtId="0" fontId="1" fillId="2" borderId="9" xfId="0" applyFont="1" applyFill="1" applyBorder="1" applyAlignment="1">
      <alignment horizontal="center"/>
    </xf>
    <xf numFmtId="0" fontId="0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wrapText="1"/>
    </xf>
    <xf numFmtId="167" fontId="1" fillId="0" borderId="0" xfId="0" applyNumberFormat="1" applyFont="1"/>
    <xf numFmtId="167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D25" sqref="D25"/>
    </sheetView>
  </sheetViews>
  <sheetFormatPr defaultRowHeight="15" x14ac:dyDescent="0.25"/>
  <cols>
    <col min="3" max="3" width="14.140625" customWidth="1"/>
    <col min="4" max="4" width="12" bestFit="1" customWidth="1"/>
    <col min="5" max="5" width="12.140625" bestFit="1" customWidth="1"/>
  </cols>
  <sheetData>
    <row r="1" spans="1:5" x14ac:dyDescent="0.25">
      <c r="A1" s="10" t="s">
        <v>14</v>
      </c>
    </row>
    <row r="4" spans="1:5" x14ac:dyDescent="0.25">
      <c r="A4" s="1" t="s">
        <v>11</v>
      </c>
      <c r="B4" s="2" t="s">
        <v>12</v>
      </c>
      <c r="C4" s="1" t="s">
        <v>13</v>
      </c>
    </row>
    <row r="5" spans="1:5" x14ac:dyDescent="0.25">
      <c r="A5" s="8" t="s">
        <v>0</v>
      </c>
      <c r="B5" s="14">
        <v>0.04</v>
      </c>
      <c r="C5" s="8" t="s">
        <v>2</v>
      </c>
    </row>
    <row r="6" spans="1:5" x14ac:dyDescent="0.25">
      <c r="A6" s="8"/>
      <c r="B6" s="9"/>
      <c r="C6" s="8"/>
    </row>
    <row r="7" spans="1:5" x14ac:dyDescent="0.25">
      <c r="A7" s="8"/>
      <c r="B7" s="9"/>
      <c r="C7" s="8"/>
    </row>
    <row r="8" spans="1:5" x14ac:dyDescent="0.25">
      <c r="A8" s="8"/>
      <c r="B8" s="9"/>
      <c r="C8" s="8"/>
    </row>
    <row r="10" spans="1:5" x14ac:dyDescent="0.25">
      <c r="E10" s="2"/>
    </row>
    <row r="11" spans="1:5" x14ac:dyDescent="0.25">
      <c r="C11" s="2"/>
      <c r="E11" s="2"/>
    </row>
    <row r="12" spans="1:5" s="3" customFormat="1" ht="15.75" thickBot="1" x14ac:dyDescent="0.3">
      <c r="A12" s="2"/>
      <c r="B12" s="2"/>
      <c r="C12" s="2"/>
      <c r="E12" s="2"/>
    </row>
    <row r="13" spans="1:5" s="3" customFormat="1" ht="15.75" thickBot="1" x14ac:dyDescent="0.3">
      <c r="A13" s="2"/>
      <c r="B13" s="2"/>
      <c r="C13" s="17" t="s">
        <v>1</v>
      </c>
      <c r="D13" s="18">
        <f>SUM(D18:D60)</f>
        <v>16156.5155520059</v>
      </c>
      <c r="E13" s="2"/>
    </row>
    <row r="14" spans="1:5" s="3" customFormat="1" x14ac:dyDescent="0.25">
      <c r="A14" s="2"/>
      <c r="B14" s="2"/>
      <c r="C14" s="2"/>
      <c r="D14" s="2"/>
      <c r="E14" s="2"/>
    </row>
    <row r="15" spans="1:5" s="3" customFormat="1" x14ac:dyDescent="0.25">
      <c r="A15" s="2"/>
      <c r="B15" s="2"/>
      <c r="C15" s="2"/>
      <c r="D15" s="2"/>
      <c r="E15" s="2"/>
    </row>
    <row r="16" spans="1:5" s="3" customFormat="1" ht="60" x14ac:dyDescent="0.25">
      <c r="A16" s="16" t="s">
        <v>20</v>
      </c>
      <c r="B16" s="16" t="s">
        <v>21</v>
      </c>
      <c r="C16" s="16" t="s">
        <v>22</v>
      </c>
      <c r="D16" s="16" t="s">
        <v>23</v>
      </c>
      <c r="E16" s="2"/>
    </row>
    <row r="17" spans="1:5" s="3" customFormat="1" x14ac:dyDescent="0.25">
      <c r="A17" s="7"/>
      <c r="B17" s="7"/>
      <c r="C17" s="7"/>
      <c r="D17" s="7"/>
      <c r="E17" s="7"/>
    </row>
    <row r="18" spans="1:5" x14ac:dyDescent="0.25">
      <c r="A18" s="3">
        <v>1</v>
      </c>
      <c r="B18" s="20">
        <v>2000</v>
      </c>
      <c r="C18" s="4">
        <f t="shared" ref="C18:C27" si="0">EXP(-delta*A18)</f>
        <v>0.96078943915232318</v>
      </c>
      <c r="D18" s="19">
        <f>B18*C18</f>
        <v>1921.5788783046464</v>
      </c>
      <c r="E18" s="5"/>
    </row>
    <row r="19" spans="1:5" x14ac:dyDescent="0.25">
      <c r="A19" s="3">
        <f>A18+1</f>
        <v>2</v>
      </c>
      <c r="B19" s="20">
        <v>2000</v>
      </c>
      <c r="C19" s="4">
        <f t="shared" si="0"/>
        <v>0.92311634638663576</v>
      </c>
      <c r="D19" s="19">
        <f t="shared" ref="D19:D27" si="1">B19*C19</f>
        <v>1846.2326927732715</v>
      </c>
      <c r="E19" s="5"/>
    </row>
    <row r="20" spans="1:5" x14ac:dyDescent="0.25">
      <c r="A20" s="3">
        <f t="shared" ref="A20:A27" si="2">A19+1</f>
        <v>3</v>
      </c>
      <c r="B20" s="20">
        <v>2000</v>
      </c>
      <c r="C20" s="4">
        <f t="shared" si="0"/>
        <v>0.88692043671715748</v>
      </c>
      <c r="D20" s="19">
        <f t="shared" si="1"/>
        <v>1773.840873434315</v>
      </c>
      <c r="E20" s="5"/>
    </row>
    <row r="21" spans="1:5" x14ac:dyDescent="0.25">
      <c r="A21" s="3">
        <f t="shared" si="2"/>
        <v>4</v>
      </c>
      <c r="B21" s="20">
        <v>2000</v>
      </c>
      <c r="C21" s="4">
        <f t="shared" si="0"/>
        <v>0.85214378896621135</v>
      </c>
      <c r="D21" s="19">
        <f t="shared" si="1"/>
        <v>1704.2875779324227</v>
      </c>
      <c r="E21" s="5"/>
    </row>
    <row r="22" spans="1:5" x14ac:dyDescent="0.25">
      <c r="A22" s="3">
        <f t="shared" si="2"/>
        <v>5</v>
      </c>
      <c r="B22" s="20">
        <v>2000</v>
      </c>
      <c r="C22" s="4">
        <f t="shared" si="0"/>
        <v>0.81873075307798182</v>
      </c>
      <c r="D22" s="19">
        <f t="shared" si="1"/>
        <v>1637.4615061559637</v>
      </c>
      <c r="E22" s="5"/>
    </row>
    <row r="23" spans="1:5" x14ac:dyDescent="0.25">
      <c r="A23" s="3">
        <f t="shared" si="2"/>
        <v>6</v>
      </c>
      <c r="B23" s="20">
        <v>2000</v>
      </c>
      <c r="C23" s="4">
        <f t="shared" si="0"/>
        <v>0.78662786106655347</v>
      </c>
      <c r="D23" s="19">
        <f t="shared" si="1"/>
        <v>1573.2557221331069</v>
      </c>
      <c r="E23" s="5"/>
    </row>
    <row r="24" spans="1:5" x14ac:dyDescent="0.25">
      <c r="A24" s="3">
        <f t="shared" si="2"/>
        <v>7</v>
      </c>
      <c r="B24" s="20">
        <v>2000</v>
      </c>
      <c r="C24" s="4">
        <f t="shared" si="0"/>
        <v>0.75578374145572547</v>
      </c>
      <c r="D24" s="19">
        <f t="shared" si="1"/>
        <v>1511.567482911451</v>
      </c>
      <c r="E24" s="5"/>
    </row>
    <row r="25" spans="1:5" x14ac:dyDescent="0.25">
      <c r="A25" s="3">
        <f t="shared" si="2"/>
        <v>8</v>
      </c>
      <c r="B25" s="20">
        <v>2000</v>
      </c>
      <c r="C25" s="4">
        <f t="shared" si="0"/>
        <v>0.72614903707369094</v>
      </c>
      <c r="D25" s="19">
        <f t="shared" si="1"/>
        <v>1452.2980741473818</v>
      </c>
      <c r="E25" s="5"/>
    </row>
    <row r="26" spans="1:5" x14ac:dyDescent="0.25">
      <c r="A26" s="3">
        <f t="shared" si="2"/>
        <v>9</v>
      </c>
      <c r="B26" s="20">
        <v>2000</v>
      </c>
      <c r="C26" s="4">
        <f t="shared" si="0"/>
        <v>0.69767632607103103</v>
      </c>
      <c r="D26" s="19">
        <f t="shared" si="1"/>
        <v>1395.352652142062</v>
      </c>
      <c r="E26" s="5"/>
    </row>
    <row r="27" spans="1:5" x14ac:dyDescent="0.25">
      <c r="A27" s="3">
        <f t="shared" si="2"/>
        <v>10</v>
      </c>
      <c r="B27" s="20">
        <v>2000</v>
      </c>
      <c r="C27" s="4">
        <f t="shared" si="0"/>
        <v>0.67032004603563933</v>
      </c>
      <c r="D27" s="19">
        <f t="shared" si="1"/>
        <v>1340.6400920712786</v>
      </c>
      <c r="E27" s="5"/>
    </row>
    <row r="28" spans="1:5" x14ac:dyDescent="0.25">
      <c r="D28" s="5"/>
    </row>
    <row r="29" spans="1:5" x14ac:dyDescent="0.25">
      <c r="A29" s="2"/>
      <c r="B29" s="1"/>
      <c r="C29" s="1"/>
      <c r="D29" s="6"/>
      <c r="E2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G7" sqref="G7"/>
    </sheetView>
  </sheetViews>
  <sheetFormatPr defaultRowHeight="15" x14ac:dyDescent="0.25"/>
  <cols>
    <col min="1" max="1" width="16.28515625" bestFit="1" customWidth="1"/>
    <col min="2" max="2" width="13.7109375" customWidth="1"/>
    <col min="3" max="3" width="17" customWidth="1"/>
    <col min="4" max="4" width="14.85546875" bestFit="1" customWidth="1"/>
    <col min="5" max="5" width="11" bestFit="1" customWidth="1"/>
  </cols>
  <sheetData>
    <row r="1" spans="1:5" x14ac:dyDescent="0.25">
      <c r="A1" s="10" t="s">
        <v>15</v>
      </c>
    </row>
    <row r="4" spans="1:5" x14ac:dyDescent="0.25">
      <c r="A4" s="1" t="s">
        <v>11</v>
      </c>
      <c r="B4" s="2" t="s">
        <v>12</v>
      </c>
      <c r="C4" s="1"/>
      <c r="D4" s="1" t="s">
        <v>13</v>
      </c>
    </row>
    <row r="5" spans="1:5" x14ac:dyDescent="0.25">
      <c r="A5" s="8" t="s">
        <v>5</v>
      </c>
      <c r="B5" s="15">
        <v>0.03</v>
      </c>
      <c r="C5" s="8">
        <f>1+pay_inc_monthly</f>
        <v>1.03</v>
      </c>
      <c r="D5" s="8" t="s">
        <v>6</v>
      </c>
    </row>
    <row r="6" spans="1:5" x14ac:dyDescent="0.25">
      <c r="A6" s="8" t="s">
        <v>4</v>
      </c>
      <c r="B6" s="15">
        <v>0.01</v>
      </c>
      <c r="C6" s="8"/>
      <c r="D6" s="8" t="s">
        <v>3</v>
      </c>
    </row>
    <row r="10" spans="1:5" x14ac:dyDescent="0.25">
      <c r="B10" s="22"/>
      <c r="C10" s="23"/>
      <c r="D10" s="22"/>
      <c r="E10" s="22"/>
    </row>
    <row r="11" spans="1:5" x14ac:dyDescent="0.25">
      <c r="B11" s="22"/>
      <c r="C11" s="23"/>
      <c r="D11" s="24"/>
      <c r="E11" s="23"/>
    </row>
    <row r="12" spans="1:5" x14ac:dyDescent="0.25">
      <c r="B12" s="23"/>
      <c r="C12" s="23"/>
      <c r="D12" s="22"/>
      <c r="E12" s="23"/>
    </row>
    <row r="13" spans="1:5" x14ac:dyDescent="0.25">
      <c r="A13" s="2"/>
      <c r="B13" s="2"/>
      <c r="C13" s="2"/>
      <c r="D13" s="2"/>
      <c r="E13" s="2"/>
    </row>
    <row r="14" spans="1:5" ht="15.75" thickBot="1" x14ac:dyDescent="0.3">
      <c r="A14" s="2"/>
      <c r="B14" s="2"/>
      <c r="C14" s="2"/>
      <c r="D14" s="2"/>
      <c r="E14" s="2"/>
    </row>
    <row r="15" spans="1:5" ht="15.75" thickBot="1" x14ac:dyDescent="0.3">
      <c r="A15" s="2"/>
      <c r="B15" s="2"/>
      <c r="C15" s="17" t="s">
        <v>1</v>
      </c>
      <c r="D15" s="21">
        <f>SUM($D$19:$D$179)*1000000</f>
        <v>69049528.078485668</v>
      </c>
      <c r="E15" s="2"/>
    </row>
    <row r="16" spans="1:5" x14ac:dyDescent="0.25">
      <c r="A16" s="2"/>
      <c r="B16" s="2"/>
      <c r="C16" s="2"/>
      <c r="D16" s="2"/>
      <c r="E16" s="2"/>
    </row>
    <row r="17" spans="1:5" ht="45" x14ac:dyDescent="0.25">
      <c r="A17" s="16" t="s">
        <v>24</v>
      </c>
      <c r="B17" s="16" t="s">
        <v>25</v>
      </c>
      <c r="C17" s="16" t="s">
        <v>27</v>
      </c>
      <c r="D17" s="16" t="s">
        <v>26</v>
      </c>
      <c r="E17" s="2"/>
    </row>
    <row r="18" spans="1:5" x14ac:dyDescent="0.25">
      <c r="A18" s="7"/>
      <c r="B18" s="7"/>
      <c r="C18" s="7"/>
      <c r="D18" s="7"/>
      <c r="E18" s="7"/>
    </row>
    <row r="19" spans="1:5" x14ac:dyDescent="0.25">
      <c r="A19" s="3">
        <v>0</v>
      </c>
      <c r="B19" s="11">
        <v>4</v>
      </c>
      <c r="C19" s="11">
        <f t="shared" ref="C19:C33" si="0">EXP(-delta_monthly*A19)</f>
        <v>1</v>
      </c>
      <c r="D19" s="4">
        <f>B19*C19</f>
        <v>4</v>
      </c>
      <c r="E19" s="4"/>
    </row>
    <row r="20" spans="1:5" x14ac:dyDescent="0.25">
      <c r="A20" s="3">
        <f>A19+1</f>
        <v>1</v>
      </c>
      <c r="B20" s="11">
        <f>B19*$C$5</f>
        <v>4.12</v>
      </c>
      <c r="C20" s="11">
        <f t="shared" si="0"/>
        <v>0.99004983374916811</v>
      </c>
      <c r="D20" s="4">
        <f t="shared" ref="D20:D33" si="1">B20*C20</f>
        <v>4.0790053150465724</v>
      </c>
      <c r="E20" s="4"/>
    </row>
    <row r="21" spans="1:5" x14ac:dyDescent="0.25">
      <c r="A21" s="3">
        <f t="shared" ref="A21:A33" si="2">A20+1</f>
        <v>2</v>
      </c>
      <c r="B21" s="11">
        <f t="shared" ref="B21:B33" si="3">B20*$C$5</f>
        <v>4.2435999999999998</v>
      </c>
      <c r="C21" s="11">
        <f t="shared" si="0"/>
        <v>0.98019867330675525</v>
      </c>
      <c r="D21" s="4">
        <f t="shared" si="1"/>
        <v>4.1595710900445466</v>
      </c>
      <c r="E21" s="4"/>
    </row>
    <row r="22" spans="1:5" x14ac:dyDescent="0.25">
      <c r="A22" s="3">
        <f t="shared" si="2"/>
        <v>3</v>
      </c>
      <c r="B22" s="11">
        <f t="shared" si="3"/>
        <v>4.370908</v>
      </c>
      <c r="C22" s="11">
        <f t="shared" si="0"/>
        <v>0.97044553354850815</v>
      </c>
      <c r="D22" s="4">
        <f t="shared" si="1"/>
        <v>4.2417281461514431</v>
      </c>
      <c r="E22" s="4"/>
    </row>
    <row r="23" spans="1:5" x14ac:dyDescent="0.25">
      <c r="A23" s="3">
        <f t="shared" si="2"/>
        <v>4</v>
      </c>
      <c r="B23" s="11">
        <f t="shared" si="3"/>
        <v>4.5020352400000005</v>
      </c>
      <c r="C23" s="11">
        <f t="shared" si="0"/>
        <v>0.96078943915232318</v>
      </c>
      <c r="D23" s="4">
        <f t="shared" si="1"/>
        <v>4.3255079132835954</v>
      </c>
      <c r="E23" s="4"/>
    </row>
    <row r="24" spans="1:5" x14ac:dyDescent="0.25">
      <c r="A24" s="3">
        <f t="shared" si="2"/>
        <v>5</v>
      </c>
      <c r="B24" s="11">
        <f t="shared" si="3"/>
        <v>4.6370962972000003</v>
      </c>
      <c r="C24" s="11">
        <f t="shared" si="0"/>
        <v>0.95122942450071402</v>
      </c>
      <c r="D24" s="4">
        <f t="shared" si="1"/>
        <v>4.4109424421399481</v>
      </c>
      <c r="E24" s="4"/>
    </row>
    <row r="25" spans="1:5" x14ac:dyDescent="0.25">
      <c r="A25" s="3">
        <f t="shared" si="2"/>
        <v>6</v>
      </c>
      <c r="B25" s="11">
        <f t="shared" si="3"/>
        <v>4.7762091861160005</v>
      </c>
      <c r="C25" s="11">
        <f t="shared" si="0"/>
        <v>0.94176453358424872</v>
      </c>
      <c r="D25" s="4">
        <f t="shared" si="1"/>
        <v>4.4980644164633397</v>
      </c>
      <c r="E25" s="4"/>
    </row>
    <row r="26" spans="1:5" x14ac:dyDescent="0.25">
      <c r="A26" s="3">
        <f t="shared" si="2"/>
        <v>7</v>
      </c>
      <c r="B26" s="11">
        <f t="shared" si="3"/>
        <v>4.9194954616994808</v>
      </c>
      <c r="C26" s="11">
        <f t="shared" si="0"/>
        <v>0.93239381990594827</v>
      </c>
      <c r="D26" s="4">
        <f t="shared" si="1"/>
        <v>4.5869071655439555</v>
      </c>
      <c r="E26" s="4"/>
    </row>
    <row r="27" spans="1:5" x14ac:dyDescent="0.25">
      <c r="A27" s="3">
        <f t="shared" si="2"/>
        <v>8</v>
      </c>
      <c r="B27" s="11">
        <f t="shared" si="3"/>
        <v>5.0670803255504655</v>
      </c>
      <c r="C27" s="11">
        <f t="shared" si="0"/>
        <v>0.92311634638663576</v>
      </c>
      <c r="D27" s="4">
        <f t="shared" si="1"/>
        <v>4.6775046769697504</v>
      </c>
      <c r="E27" s="4"/>
    </row>
    <row r="28" spans="1:5" x14ac:dyDescent="0.25">
      <c r="A28" s="3">
        <f t="shared" si="2"/>
        <v>9</v>
      </c>
      <c r="B28" s="11">
        <f t="shared" si="3"/>
        <v>5.2190927353169796</v>
      </c>
      <c r="C28" s="11">
        <f t="shared" si="0"/>
        <v>0.91393118527122819</v>
      </c>
      <c r="D28" s="4">
        <f t="shared" si="1"/>
        <v>4.7698916096287034</v>
      </c>
      <c r="E28" s="4"/>
    </row>
    <row r="29" spans="1:5" x14ac:dyDescent="0.25">
      <c r="A29" s="3">
        <f t="shared" si="2"/>
        <v>10</v>
      </c>
      <c r="B29" s="11">
        <f t="shared" si="3"/>
        <v>5.3756655173764889</v>
      </c>
      <c r="C29" s="11">
        <f t="shared" si="0"/>
        <v>0.90483741803595952</v>
      </c>
      <c r="D29" s="4">
        <f t="shared" si="1"/>
        <v>4.8641033069678823</v>
      </c>
      <c r="E29" s="4"/>
    </row>
    <row r="30" spans="1:5" x14ac:dyDescent="0.25">
      <c r="A30" s="3">
        <f t="shared" si="2"/>
        <v>11</v>
      </c>
      <c r="B30" s="11">
        <f t="shared" si="3"/>
        <v>5.5369354828977837</v>
      </c>
      <c r="C30" s="11">
        <f t="shared" si="0"/>
        <v>0.89583413529652822</v>
      </c>
      <c r="D30" s="4">
        <f t="shared" si="1"/>
        <v>4.9601758105144009</v>
      </c>
      <c r="E30" s="4"/>
    </row>
    <row r="31" spans="1:5" x14ac:dyDescent="0.25">
      <c r="A31" s="3">
        <f t="shared" si="2"/>
        <v>12</v>
      </c>
      <c r="B31" s="11">
        <f t="shared" si="3"/>
        <v>5.7030435473847172</v>
      </c>
      <c r="C31" s="11">
        <f t="shared" si="0"/>
        <v>0.88692043671715748</v>
      </c>
      <c r="D31" s="4">
        <f t="shared" si="1"/>
        <v>5.0581458736634204</v>
      </c>
      <c r="E31" s="4"/>
    </row>
    <row r="32" spans="1:5" x14ac:dyDescent="0.25">
      <c r="A32" s="3">
        <f t="shared" si="2"/>
        <v>13</v>
      </c>
      <c r="B32" s="11">
        <f t="shared" si="3"/>
        <v>5.8741348538062592</v>
      </c>
      <c r="C32" s="11">
        <f t="shared" si="0"/>
        <v>0.8780954309205613</v>
      </c>
      <c r="D32" s="4">
        <f t="shared" si="1"/>
        <v>5.1580509757384956</v>
      </c>
      <c r="E32" s="4"/>
    </row>
    <row r="33" spans="1:5" x14ac:dyDescent="0.25">
      <c r="A33" s="3">
        <f t="shared" si="2"/>
        <v>14</v>
      </c>
      <c r="B33" s="11">
        <f t="shared" si="3"/>
        <v>6.0503588994204476</v>
      </c>
      <c r="C33" s="11">
        <f t="shared" si="0"/>
        <v>0.86935823539880586</v>
      </c>
      <c r="D33" s="4">
        <f t="shared" si="1"/>
        <v>5.2599293363296216</v>
      </c>
      <c r="E33" s="4"/>
    </row>
    <row r="35" spans="1:5" x14ac:dyDescent="0.25">
      <c r="A35" s="1"/>
      <c r="B35" s="1"/>
      <c r="C35" s="1"/>
      <c r="D35" s="1"/>
      <c r="E35" s="1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H19" sqref="H19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6.42578125" customWidth="1"/>
    <col min="4" max="4" width="10.5703125" customWidth="1"/>
    <col min="5" max="5" width="13.5703125" customWidth="1"/>
    <col min="6" max="6" width="12.5703125" bestFit="1" customWidth="1"/>
    <col min="8" max="8" width="29.85546875" customWidth="1"/>
  </cols>
  <sheetData>
    <row r="1" spans="1:8" x14ac:dyDescent="0.25">
      <c r="A1" s="10" t="s">
        <v>16</v>
      </c>
    </row>
    <row r="3" spans="1:8" ht="17.25" x14ac:dyDescent="0.25">
      <c r="A3" s="25" t="s">
        <v>11</v>
      </c>
      <c r="B3" s="26" t="s">
        <v>12</v>
      </c>
      <c r="C3" s="27" t="s">
        <v>13</v>
      </c>
      <c r="D3" s="27"/>
      <c r="E3" s="28"/>
      <c r="F3" s="29" t="s">
        <v>19</v>
      </c>
    </row>
    <row r="4" spans="1:8" x14ac:dyDescent="0.25">
      <c r="A4" s="30" t="s">
        <v>7</v>
      </c>
      <c r="B4" s="31">
        <v>0.03</v>
      </c>
      <c r="C4" s="32" t="s">
        <v>9</v>
      </c>
      <c r="D4" s="32"/>
      <c r="E4" s="22"/>
      <c r="F4" s="33">
        <f>EXP(-delta_1)</f>
        <v>0.97044553354850815</v>
      </c>
    </row>
    <row r="5" spans="1:8" x14ac:dyDescent="0.25">
      <c r="A5" s="30" t="s">
        <v>8</v>
      </c>
      <c r="B5" s="31">
        <v>0.05</v>
      </c>
      <c r="C5" s="32" t="s">
        <v>10</v>
      </c>
      <c r="D5" s="32"/>
      <c r="E5" s="22"/>
      <c r="F5" s="33">
        <f>EXP(-delta_2)</f>
        <v>0.95122942450071402</v>
      </c>
    </row>
    <row r="6" spans="1:8" x14ac:dyDescent="0.25">
      <c r="A6" s="34" t="s">
        <v>17</v>
      </c>
      <c r="B6" s="35">
        <v>4</v>
      </c>
      <c r="C6" s="36" t="s">
        <v>18</v>
      </c>
      <c r="D6" s="36"/>
      <c r="E6" s="37"/>
      <c r="F6" s="38"/>
    </row>
    <row r="7" spans="1:8" x14ac:dyDescent="0.25">
      <c r="A7" s="8"/>
      <c r="B7" s="2"/>
      <c r="C7" s="2"/>
      <c r="D7" s="8"/>
    </row>
    <row r="8" spans="1:8" ht="15.75" thickBot="1" x14ac:dyDescent="0.3">
      <c r="A8" s="2"/>
      <c r="B8" s="2"/>
      <c r="C8" s="2"/>
      <c r="D8" s="2"/>
      <c r="E8" s="40"/>
      <c r="F8" s="2"/>
    </row>
    <row r="9" spans="1:8" ht="15.75" thickBot="1" x14ac:dyDescent="0.3">
      <c r="A9" s="2"/>
      <c r="B9" s="2"/>
      <c r="C9" s="2"/>
      <c r="D9" s="17" t="s">
        <v>1</v>
      </c>
      <c r="E9" s="41">
        <f>SUM($E$14:$E$133)</f>
        <v>132389.2382498596</v>
      </c>
      <c r="F9" s="2"/>
    </row>
    <row r="10" spans="1:8" x14ac:dyDescent="0.25">
      <c r="A10" s="2"/>
      <c r="B10" s="2"/>
      <c r="C10" s="2"/>
      <c r="D10" s="2"/>
      <c r="E10" s="2"/>
      <c r="F10" s="2"/>
    </row>
    <row r="11" spans="1:8" s="39" customFormat="1" ht="60" x14ac:dyDescent="0.25">
      <c r="A11" s="16" t="s">
        <v>28</v>
      </c>
      <c r="B11" s="16" t="s">
        <v>29</v>
      </c>
      <c r="C11" s="16" t="s">
        <v>30</v>
      </c>
      <c r="D11" s="16" t="s">
        <v>31</v>
      </c>
      <c r="E11" s="16" t="s">
        <v>23</v>
      </c>
      <c r="F11" s="16"/>
      <c r="H11" s="39" t="s">
        <v>32</v>
      </c>
    </row>
    <row r="12" spans="1:8" x14ac:dyDescent="0.25">
      <c r="A12" s="7"/>
      <c r="B12" s="7"/>
      <c r="C12" s="7"/>
      <c r="D12" s="7"/>
      <c r="E12" s="7"/>
      <c r="F12" s="7"/>
    </row>
    <row r="13" spans="1:8" x14ac:dyDescent="0.25">
      <c r="A13" s="7"/>
      <c r="B13" s="7"/>
      <c r="C13" s="7"/>
      <c r="D13" s="13">
        <v>1</v>
      </c>
      <c r="E13" s="7"/>
      <c r="F13" s="7"/>
    </row>
    <row r="14" spans="1:8" x14ac:dyDescent="0.25">
      <c r="A14" s="3">
        <v>1</v>
      </c>
      <c r="B14" s="20">
        <v>10000</v>
      </c>
      <c r="C14" s="4">
        <f>IF(A14&lt;=switchtime,$F$4,$F$5)</f>
        <v>0.97044553354850815</v>
      </c>
      <c r="D14" s="4">
        <f>D13*C14</f>
        <v>0.97044553354850815</v>
      </c>
      <c r="E14" s="19">
        <f>B14*D14</f>
        <v>9704.4553354850814</v>
      </c>
      <c r="F14" s="5"/>
    </row>
    <row r="15" spans="1:8" x14ac:dyDescent="0.25">
      <c r="A15" s="3">
        <f>A14+1</f>
        <v>2</v>
      </c>
      <c r="B15" s="20">
        <v>10000</v>
      </c>
      <c r="C15" s="4">
        <f>IF(A15&lt;=switchtime,$F$4,$F$5)</f>
        <v>0.97044553354850815</v>
      </c>
      <c r="D15" s="4">
        <f t="shared" ref="D15:D33" si="0">D14*C15</f>
        <v>0.94176453358424872</v>
      </c>
      <c r="E15" s="19">
        <f t="shared" ref="E15:E33" si="1">B15*D15</f>
        <v>9417.6453358424878</v>
      </c>
      <c r="F15" s="5"/>
    </row>
    <row r="16" spans="1:8" x14ac:dyDescent="0.25">
      <c r="A16" s="3">
        <f t="shared" ref="A16:A21" si="2">A15+1</f>
        <v>3</v>
      </c>
      <c r="B16" s="20">
        <v>10000</v>
      </c>
      <c r="C16" s="4">
        <f>IF(A16&lt;=switchtime,$F$4,$F$5)</f>
        <v>0.97044553354850815</v>
      </c>
      <c r="D16" s="4">
        <f t="shared" si="0"/>
        <v>0.91393118527122819</v>
      </c>
      <c r="E16" s="19">
        <f t="shared" si="1"/>
        <v>9139.3118527122824</v>
      </c>
      <c r="F16" s="5"/>
    </row>
    <row r="17" spans="1:6" x14ac:dyDescent="0.25">
      <c r="A17" s="3">
        <f t="shared" si="2"/>
        <v>4</v>
      </c>
      <c r="B17" s="20">
        <v>10000</v>
      </c>
      <c r="C17" s="4">
        <f>IF(A17&lt;=switchtime,$F$4,$F$5)</f>
        <v>0.97044553354850815</v>
      </c>
      <c r="D17" s="4">
        <f t="shared" si="0"/>
        <v>0.88692043671715748</v>
      </c>
      <c r="E17" s="19">
        <f t="shared" si="1"/>
        <v>8869.2043671715746</v>
      </c>
      <c r="F17" s="5"/>
    </row>
    <row r="18" spans="1:6" x14ac:dyDescent="0.25">
      <c r="A18" s="3">
        <f t="shared" si="2"/>
        <v>5</v>
      </c>
      <c r="B18" s="20">
        <v>10000</v>
      </c>
      <c r="C18" s="4">
        <f>IF(A18&lt;=switchtime,$F$4,$F$5)</f>
        <v>0.95122942450071402</v>
      </c>
      <c r="D18" s="4">
        <f t="shared" si="0"/>
        <v>0.8436648165963837</v>
      </c>
      <c r="E18" s="19">
        <f t="shared" si="1"/>
        <v>8436.6481659638375</v>
      </c>
      <c r="F18" s="5"/>
    </row>
    <row r="19" spans="1:6" x14ac:dyDescent="0.25">
      <c r="A19" s="3">
        <f t="shared" si="2"/>
        <v>6</v>
      </c>
      <c r="B19" s="20">
        <v>10000</v>
      </c>
      <c r="C19" s="4">
        <f>IF(A19&lt;=switchtime,$F$4,$F$5)</f>
        <v>0.95122942450071402</v>
      </c>
      <c r="D19" s="4">
        <f t="shared" si="0"/>
        <v>0.80251879796247849</v>
      </c>
      <c r="E19" s="19">
        <f t="shared" si="1"/>
        <v>8025.1879796247849</v>
      </c>
      <c r="F19" s="5"/>
    </row>
    <row r="20" spans="1:6" x14ac:dyDescent="0.25">
      <c r="A20" s="3">
        <f t="shared" si="2"/>
        <v>7</v>
      </c>
      <c r="B20" s="20">
        <v>10000</v>
      </c>
      <c r="C20" s="4">
        <f>IF(A20&lt;=switchtime,$F$4,$F$5)</f>
        <v>0.95122942450071402</v>
      </c>
      <c r="D20" s="4">
        <f t="shared" si="0"/>
        <v>0.76337949433685315</v>
      </c>
      <c r="E20" s="19">
        <f t="shared" si="1"/>
        <v>7633.7949433685317</v>
      </c>
      <c r="F20" s="5"/>
    </row>
    <row r="21" spans="1:6" x14ac:dyDescent="0.25">
      <c r="A21" s="3">
        <f t="shared" si="2"/>
        <v>8</v>
      </c>
      <c r="B21" s="20">
        <v>10000</v>
      </c>
      <c r="C21" s="4">
        <f>IF(A21&lt;=switchtime,$F$4,$F$5)</f>
        <v>0.95122942450071402</v>
      </c>
      <c r="D21" s="4">
        <f t="shared" si="0"/>
        <v>0.72614903707369094</v>
      </c>
      <c r="E21" s="19">
        <f t="shared" si="1"/>
        <v>7261.4903707369094</v>
      </c>
      <c r="F21" s="5"/>
    </row>
    <row r="22" spans="1:6" x14ac:dyDescent="0.25">
      <c r="A22" s="3">
        <f t="shared" ref="A22:A33" si="3">A21+1</f>
        <v>9</v>
      </c>
      <c r="B22" s="20">
        <v>10000</v>
      </c>
      <c r="C22" s="4">
        <f>IF(A22&lt;=switchtime,$F$4,$F$5)</f>
        <v>0.95122942450071402</v>
      </c>
      <c r="D22" s="4">
        <f t="shared" si="0"/>
        <v>0.69073433063735468</v>
      </c>
      <c r="E22" s="19">
        <f t="shared" si="1"/>
        <v>6907.3433063735465</v>
      </c>
      <c r="F22" s="5"/>
    </row>
    <row r="23" spans="1:6" x14ac:dyDescent="0.25">
      <c r="A23" s="3">
        <f t="shared" si="3"/>
        <v>10</v>
      </c>
      <c r="B23" s="20">
        <v>10000</v>
      </c>
      <c r="C23" s="4">
        <f>IF(A23&lt;=switchtime,$F$4,$F$5)</f>
        <v>0.95122942450071402</v>
      </c>
      <c r="D23" s="4">
        <f t="shared" si="0"/>
        <v>0.65704681981505675</v>
      </c>
      <c r="E23" s="19">
        <f t="shared" si="1"/>
        <v>6570.4681981505673</v>
      </c>
      <c r="F23" s="5"/>
    </row>
    <row r="24" spans="1:6" x14ac:dyDescent="0.25">
      <c r="A24" s="3">
        <f t="shared" si="3"/>
        <v>11</v>
      </c>
      <c r="B24" s="20">
        <v>10000</v>
      </c>
      <c r="C24" s="4">
        <f>IF(A24&lt;=switchtime,$F$4,$F$5)</f>
        <v>0.95122942450071402</v>
      </c>
      <c r="D24" s="4">
        <f t="shared" si="0"/>
        <v>0.62500226828270078</v>
      </c>
      <c r="E24" s="19">
        <f t="shared" si="1"/>
        <v>6250.0226828270079</v>
      </c>
      <c r="F24" s="5"/>
    </row>
    <row r="25" spans="1:6" x14ac:dyDescent="0.25">
      <c r="A25" s="3">
        <f t="shared" si="3"/>
        <v>12</v>
      </c>
      <c r="B25" s="20">
        <v>10000</v>
      </c>
      <c r="C25" s="4">
        <f>IF(A25&lt;=switchtime,$F$4,$F$5)</f>
        <v>0.95122942450071402</v>
      </c>
      <c r="D25" s="4">
        <f t="shared" si="0"/>
        <v>0.59452054797019438</v>
      </c>
      <c r="E25" s="19">
        <f t="shared" si="1"/>
        <v>5945.2054797019437</v>
      </c>
      <c r="F25" s="5"/>
    </row>
    <row r="26" spans="1:6" x14ac:dyDescent="0.25">
      <c r="A26" s="3">
        <f t="shared" si="3"/>
        <v>13</v>
      </c>
      <c r="B26" s="20">
        <v>10000</v>
      </c>
      <c r="C26" s="4">
        <f>IF(A26&lt;=switchtime,$F$4,$F$5)</f>
        <v>0.95122942450071402</v>
      </c>
      <c r="D26" s="4">
        <f t="shared" si="0"/>
        <v>0.56552543869953709</v>
      </c>
      <c r="E26" s="19">
        <f t="shared" si="1"/>
        <v>5655.2543869953706</v>
      </c>
      <c r="F26" s="5"/>
    </row>
    <row r="27" spans="1:6" x14ac:dyDescent="0.25">
      <c r="A27" s="3">
        <f t="shared" si="3"/>
        <v>14</v>
      </c>
      <c r="B27" s="20">
        <v>10000</v>
      </c>
      <c r="C27" s="4">
        <f>IF(A27&lt;=switchtime,$F$4,$F$5)</f>
        <v>0.95122942450071402</v>
      </c>
      <c r="D27" s="4">
        <f t="shared" si="0"/>
        <v>0.53794443759467447</v>
      </c>
      <c r="E27" s="19">
        <f t="shared" si="1"/>
        <v>5379.4443759467449</v>
      </c>
      <c r="F27" s="5"/>
    </row>
    <row r="28" spans="1:6" x14ac:dyDescent="0.25">
      <c r="A28" s="3">
        <f t="shared" si="3"/>
        <v>15</v>
      </c>
      <c r="B28" s="20">
        <v>10000</v>
      </c>
      <c r="C28" s="4">
        <f>IF(A28&lt;=switchtime,$F$4,$F$5)</f>
        <v>0.95122942450071402</v>
      </c>
      <c r="D28" s="4">
        <f t="shared" si="0"/>
        <v>0.51170857778654244</v>
      </c>
      <c r="E28" s="19">
        <f t="shared" si="1"/>
        <v>5117.0857778654245</v>
      </c>
      <c r="F28" s="5"/>
    </row>
    <row r="29" spans="1:6" x14ac:dyDescent="0.25">
      <c r="A29" s="3">
        <f t="shared" si="3"/>
        <v>16</v>
      </c>
      <c r="B29" s="20">
        <v>10000</v>
      </c>
      <c r="C29" s="4">
        <f>IF(A29&lt;=switchtime,$F$4,$F$5)</f>
        <v>0.95122942450071402</v>
      </c>
      <c r="D29" s="4">
        <f t="shared" si="0"/>
        <v>0.48675225595997162</v>
      </c>
      <c r="E29" s="19">
        <f t="shared" si="1"/>
        <v>4867.5225595997163</v>
      </c>
      <c r="F29" s="5"/>
    </row>
    <row r="30" spans="1:6" x14ac:dyDescent="0.25">
      <c r="A30" s="3">
        <f t="shared" si="3"/>
        <v>17</v>
      </c>
      <c r="B30" s="20">
        <v>10000</v>
      </c>
      <c r="C30" s="4">
        <f>IF(A30&lt;=switchtime,$F$4,$F$5)</f>
        <v>0.95122942450071402</v>
      </c>
      <c r="D30" s="4">
        <f t="shared" si="0"/>
        <v>0.46301306831122807</v>
      </c>
      <c r="E30" s="19">
        <f t="shared" si="1"/>
        <v>4630.1306831122811</v>
      </c>
      <c r="F30" s="5"/>
    </row>
    <row r="31" spans="1:6" x14ac:dyDescent="0.25">
      <c r="A31" s="3">
        <f t="shared" si="3"/>
        <v>18</v>
      </c>
      <c r="B31" s="20">
        <v>10000</v>
      </c>
      <c r="C31" s="4">
        <f>IF(A31&lt;=switchtime,$F$4,$F$5)</f>
        <v>0.95122942450071402</v>
      </c>
      <c r="D31" s="4">
        <f t="shared" si="0"/>
        <v>0.44043165450599925</v>
      </c>
      <c r="E31" s="19">
        <f t="shared" si="1"/>
        <v>4404.3165450599927</v>
      </c>
      <c r="F31" s="5"/>
    </row>
    <row r="32" spans="1:6" x14ac:dyDescent="0.25">
      <c r="A32" s="3">
        <f t="shared" si="3"/>
        <v>19</v>
      </c>
      <c r="B32" s="20">
        <v>10000</v>
      </c>
      <c r="C32" s="4">
        <f>IF(A32&lt;=switchtime,$F$4,$F$5)</f>
        <v>0.95122942450071402</v>
      </c>
      <c r="D32" s="4">
        <f t="shared" si="0"/>
        <v>0.418951549247639</v>
      </c>
      <c r="E32" s="19">
        <f t="shared" si="1"/>
        <v>4189.5154924763901</v>
      </c>
      <c r="F32" s="5"/>
    </row>
    <row r="33" spans="1:6" x14ac:dyDescent="0.25">
      <c r="A33" s="3">
        <f t="shared" si="3"/>
        <v>20</v>
      </c>
      <c r="B33" s="20">
        <v>10000</v>
      </c>
      <c r="C33" s="4">
        <f>IF(A33&lt;=switchtime,$F$4,$F$5)</f>
        <v>0.95122942450071402</v>
      </c>
      <c r="D33" s="4">
        <f t="shared" si="0"/>
        <v>0.39851904108451419</v>
      </c>
      <c r="E33" s="19">
        <f t="shared" si="1"/>
        <v>3985.1904108451417</v>
      </c>
      <c r="F33" s="5"/>
    </row>
    <row r="34" spans="1:6" x14ac:dyDescent="0.25">
      <c r="E34" s="5"/>
    </row>
    <row r="35" spans="1:6" x14ac:dyDescent="0.25">
      <c r="A35" s="1"/>
      <c r="E35" s="6"/>
      <c r="F35" s="6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Q1</vt:lpstr>
      <vt:lpstr>Q2</vt:lpstr>
      <vt:lpstr>Q3</vt:lpstr>
      <vt:lpstr>delta</vt:lpstr>
      <vt:lpstr>delta_1</vt:lpstr>
      <vt:lpstr>delta_2</vt:lpstr>
      <vt:lpstr>delta_monthly</vt:lpstr>
      <vt:lpstr>pay_inc_monthly</vt:lpstr>
      <vt:lpstr>switchtime</vt:lpstr>
    </vt:vector>
  </TitlesOfParts>
  <Company>Heriot-Watt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cd134</dc:creator>
  <cp:lastModifiedBy>Peter John Guy Ridges</cp:lastModifiedBy>
  <cp:lastPrinted>2017-02-21T09:17:27Z</cp:lastPrinted>
  <dcterms:created xsi:type="dcterms:W3CDTF">2012-01-09T11:05:29Z</dcterms:created>
  <dcterms:modified xsi:type="dcterms:W3CDTF">2017-02-23T13:28:05Z</dcterms:modified>
</cp:coreProperties>
</file>