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24915" windowHeight="12075"/>
  </bookViews>
  <sheets>
    <sheet name="Question 1" sheetId="1" r:id="rId1"/>
    <sheet name="Question 2" sheetId="2" r:id="rId2"/>
  </sheets>
  <definedNames>
    <definedName name="initial_amount">'Question 1'!$B$6</definedName>
    <definedName name="lower_amount">'Question 1'!$B$8</definedName>
    <definedName name="mean_1plusi2">'Question 2'!$B$15</definedName>
    <definedName name="mean_1plusi3">'Question 2'!$B$16</definedName>
    <definedName name="mean_i">'Question 2'!$B$6</definedName>
    <definedName name="mean_i2">'Question 2'!$B$7</definedName>
    <definedName name="mean_i3">'Question 2'!$B$8</definedName>
    <definedName name="mu">'Question 1'!$B$4</definedName>
    <definedName name="sigma">'Question 1'!$B$5</definedName>
    <definedName name="upper_amount">'Question 1'!$B$7</definedName>
  </definedNames>
  <calcPr calcId="145621"/>
</workbook>
</file>

<file path=xl/calcChain.xml><?xml version="1.0" encoding="utf-8"?>
<calcChain xmlns="http://schemas.openxmlformats.org/spreadsheetml/2006/main">
  <c r="D24" i="2" l="1"/>
  <c r="A24" i="2" l="1"/>
  <c r="A25" i="2" s="1"/>
  <c r="B23" i="2"/>
  <c r="B16" i="2"/>
  <c r="B15" i="2"/>
  <c r="C23" i="2" l="1"/>
  <c r="C24" i="2" s="1"/>
  <c r="D23" i="2"/>
  <c r="A26" i="2"/>
  <c r="B25" i="2"/>
  <c r="E23" i="2"/>
  <c r="B24" i="2"/>
  <c r="AS20" i="1"/>
  <c r="AR20" i="1"/>
  <c r="B28" i="1"/>
  <c r="C28" i="1" s="1"/>
  <c r="D28" i="1" s="1"/>
  <c r="AF28" i="1" s="1"/>
  <c r="E28" i="1"/>
  <c r="F28" i="1" s="1"/>
  <c r="G28" i="1" s="1"/>
  <c r="AG28" i="1" s="1"/>
  <c r="H28" i="1"/>
  <c r="I28" i="1" s="1"/>
  <c r="J28" i="1" s="1"/>
  <c r="AH28" i="1" s="1"/>
  <c r="K28" i="1"/>
  <c r="L28" i="1" s="1"/>
  <c r="M28" i="1" s="1"/>
  <c r="AI28" i="1" s="1"/>
  <c r="N28" i="1"/>
  <c r="O28" i="1" s="1"/>
  <c r="P28" i="1" s="1"/>
  <c r="AJ28" i="1" s="1"/>
  <c r="Q28" i="1"/>
  <c r="R28" i="1" s="1"/>
  <c r="S28" i="1" s="1"/>
  <c r="AK28" i="1" s="1"/>
  <c r="T28" i="1"/>
  <c r="U28" i="1" s="1"/>
  <c r="V28" i="1" s="1"/>
  <c r="AL28" i="1" s="1"/>
  <c r="W28" i="1"/>
  <c r="X28" i="1" s="1"/>
  <c r="Y28" i="1" s="1"/>
  <c r="AM28" i="1" s="1"/>
  <c r="Z28" i="1"/>
  <c r="AA28" i="1" s="1"/>
  <c r="AB28" i="1" s="1"/>
  <c r="AN28" i="1" s="1"/>
  <c r="AC28" i="1"/>
  <c r="AD28" i="1" s="1"/>
  <c r="AE28" i="1" s="1"/>
  <c r="AO28" i="1" s="1"/>
  <c r="B29" i="1"/>
  <c r="C29" i="1" s="1"/>
  <c r="D29" i="1" s="1"/>
  <c r="AF29" i="1" s="1"/>
  <c r="E29" i="1"/>
  <c r="F29" i="1" s="1"/>
  <c r="G29" i="1" s="1"/>
  <c r="AG29" i="1" s="1"/>
  <c r="H29" i="1"/>
  <c r="I29" i="1" s="1"/>
  <c r="J29" i="1" s="1"/>
  <c r="AH29" i="1" s="1"/>
  <c r="K29" i="1"/>
  <c r="L29" i="1" s="1"/>
  <c r="M29" i="1" s="1"/>
  <c r="AI29" i="1" s="1"/>
  <c r="N29" i="1"/>
  <c r="O29" i="1" s="1"/>
  <c r="P29" i="1" s="1"/>
  <c r="AJ29" i="1" s="1"/>
  <c r="Q29" i="1"/>
  <c r="R29" i="1" s="1"/>
  <c r="S29" i="1" s="1"/>
  <c r="AK29" i="1" s="1"/>
  <c r="T29" i="1"/>
  <c r="U29" i="1" s="1"/>
  <c r="V29" i="1" s="1"/>
  <c r="AL29" i="1" s="1"/>
  <c r="W29" i="1"/>
  <c r="X29" i="1" s="1"/>
  <c r="Y29" i="1" s="1"/>
  <c r="AM29" i="1" s="1"/>
  <c r="Z29" i="1"/>
  <c r="AA29" i="1" s="1"/>
  <c r="AB29" i="1" s="1"/>
  <c r="AN29" i="1" s="1"/>
  <c r="AC29" i="1"/>
  <c r="AD29" i="1" s="1"/>
  <c r="AE29" i="1" s="1"/>
  <c r="AO29" i="1" s="1"/>
  <c r="B30" i="1"/>
  <c r="C30" i="1" s="1"/>
  <c r="D30" i="1" s="1"/>
  <c r="AF30" i="1" s="1"/>
  <c r="E30" i="1"/>
  <c r="F30" i="1" s="1"/>
  <c r="G30" i="1" s="1"/>
  <c r="AG30" i="1" s="1"/>
  <c r="H30" i="1"/>
  <c r="I30" i="1" s="1"/>
  <c r="J30" i="1" s="1"/>
  <c r="AH30" i="1" s="1"/>
  <c r="K30" i="1"/>
  <c r="L30" i="1" s="1"/>
  <c r="M30" i="1" s="1"/>
  <c r="AI30" i="1" s="1"/>
  <c r="N30" i="1"/>
  <c r="O30" i="1" s="1"/>
  <c r="P30" i="1" s="1"/>
  <c r="AJ30" i="1" s="1"/>
  <c r="Q30" i="1"/>
  <c r="R30" i="1" s="1"/>
  <c r="S30" i="1" s="1"/>
  <c r="AK30" i="1" s="1"/>
  <c r="T30" i="1"/>
  <c r="U30" i="1" s="1"/>
  <c r="V30" i="1" s="1"/>
  <c r="AL30" i="1" s="1"/>
  <c r="W30" i="1"/>
  <c r="X30" i="1" s="1"/>
  <c r="Y30" i="1" s="1"/>
  <c r="AM30" i="1" s="1"/>
  <c r="Z30" i="1"/>
  <c r="AA30" i="1" s="1"/>
  <c r="AB30" i="1" s="1"/>
  <c r="AN30" i="1" s="1"/>
  <c r="AC30" i="1"/>
  <c r="AD30" i="1" s="1"/>
  <c r="AE30" i="1" s="1"/>
  <c r="AO30" i="1" s="1"/>
  <c r="B31" i="1"/>
  <c r="C31" i="1" s="1"/>
  <c r="D31" i="1" s="1"/>
  <c r="AF31" i="1" s="1"/>
  <c r="E31" i="1"/>
  <c r="F31" i="1" s="1"/>
  <c r="G31" i="1" s="1"/>
  <c r="AG31" i="1" s="1"/>
  <c r="H31" i="1"/>
  <c r="I31" i="1" s="1"/>
  <c r="J31" i="1" s="1"/>
  <c r="AH31" i="1" s="1"/>
  <c r="K31" i="1"/>
  <c r="L31" i="1" s="1"/>
  <c r="M31" i="1" s="1"/>
  <c r="AI31" i="1" s="1"/>
  <c r="N31" i="1"/>
  <c r="O31" i="1" s="1"/>
  <c r="P31" i="1" s="1"/>
  <c r="AJ31" i="1" s="1"/>
  <c r="Q31" i="1"/>
  <c r="R31" i="1" s="1"/>
  <c r="S31" i="1" s="1"/>
  <c r="AK31" i="1" s="1"/>
  <c r="T31" i="1"/>
  <c r="U31" i="1" s="1"/>
  <c r="V31" i="1" s="1"/>
  <c r="AL31" i="1" s="1"/>
  <c r="W31" i="1"/>
  <c r="X31" i="1" s="1"/>
  <c r="Y31" i="1" s="1"/>
  <c r="AM31" i="1" s="1"/>
  <c r="Z31" i="1"/>
  <c r="AA31" i="1" s="1"/>
  <c r="AB31" i="1" s="1"/>
  <c r="AN31" i="1" s="1"/>
  <c r="AC31" i="1"/>
  <c r="AD31" i="1" s="1"/>
  <c r="AE31" i="1" s="1"/>
  <c r="AO31" i="1" s="1"/>
  <c r="B32" i="1"/>
  <c r="C32" i="1" s="1"/>
  <c r="D32" i="1" s="1"/>
  <c r="AF32" i="1" s="1"/>
  <c r="E32" i="1"/>
  <c r="F32" i="1" s="1"/>
  <c r="G32" i="1" s="1"/>
  <c r="AG32" i="1" s="1"/>
  <c r="H32" i="1"/>
  <c r="I32" i="1" s="1"/>
  <c r="J32" i="1" s="1"/>
  <c r="AH32" i="1" s="1"/>
  <c r="K32" i="1"/>
  <c r="L32" i="1" s="1"/>
  <c r="M32" i="1" s="1"/>
  <c r="AI32" i="1" s="1"/>
  <c r="N32" i="1"/>
  <c r="O32" i="1" s="1"/>
  <c r="P32" i="1" s="1"/>
  <c r="AJ32" i="1" s="1"/>
  <c r="Q32" i="1"/>
  <c r="R32" i="1" s="1"/>
  <c r="S32" i="1" s="1"/>
  <c r="AK32" i="1" s="1"/>
  <c r="T32" i="1"/>
  <c r="U32" i="1" s="1"/>
  <c r="V32" i="1" s="1"/>
  <c r="AL32" i="1" s="1"/>
  <c r="W32" i="1"/>
  <c r="X32" i="1" s="1"/>
  <c r="Y32" i="1" s="1"/>
  <c r="AM32" i="1" s="1"/>
  <c r="Z32" i="1"/>
  <c r="AA32" i="1" s="1"/>
  <c r="AB32" i="1" s="1"/>
  <c r="AN32" i="1" s="1"/>
  <c r="AC32" i="1"/>
  <c r="AD32" i="1" s="1"/>
  <c r="AE32" i="1" s="1"/>
  <c r="AO32" i="1" s="1"/>
  <c r="B33" i="1"/>
  <c r="C33" i="1" s="1"/>
  <c r="D33" i="1" s="1"/>
  <c r="AF33" i="1" s="1"/>
  <c r="E33" i="1"/>
  <c r="F33" i="1" s="1"/>
  <c r="G33" i="1" s="1"/>
  <c r="AG33" i="1" s="1"/>
  <c r="H33" i="1"/>
  <c r="I33" i="1" s="1"/>
  <c r="J33" i="1" s="1"/>
  <c r="AH33" i="1" s="1"/>
  <c r="K33" i="1"/>
  <c r="L33" i="1" s="1"/>
  <c r="M33" i="1" s="1"/>
  <c r="AI33" i="1" s="1"/>
  <c r="N33" i="1"/>
  <c r="O33" i="1" s="1"/>
  <c r="P33" i="1" s="1"/>
  <c r="AJ33" i="1" s="1"/>
  <c r="Q33" i="1"/>
  <c r="R33" i="1" s="1"/>
  <c r="S33" i="1" s="1"/>
  <c r="AK33" i="1" s="1"/>
  <c r="T33" i="1"/>
  <c r="U33" i="1" s="1"/>
  <c r="V33" i="1" s="1"/>
  <c r="AL33" i="1" s="1"/>
  <c r="W33" i="1"/>
  <c r="X33" i="1" s="1"/>
  <c r="Y33" i="1" s="1"/>
  <c r="AM33" i="1" s="1"/>
  <c r="Z33" i="1"/>
  <c r="AA33" i="1" s="1"/>
  <c r="AB33" i="1" s="1"/>
  <c r="AN33" i="1" s="1"/>
  <c r="AC33" i="1"/>
  <c r="AD33" i="1" s="1"/>
  <c r="AE33" i="1" s="1"/>
  <c r="AO33" i="1" s="1"/>
  <c r="B34" i="1"/>
  <c r="C34" i="1" s="1"/>
  <c r="D34" i="1" s="1"/>
  <c r="AF34" i="1" s="1"/>
  <c r="E34" i="1"/>
  <c r="F34" i="1" s="1"/>
  <c r="G34" i="1" s="1"/>
  <c r="AG34" i="1" s="1"/>
  <c r="H34" i="1"/>
  <c r="I34" i="1" s="1"/>
  <c r="J34" i="1" s="1"/>
  <c r="AH34" i="1" s="1"/>
  <c r="K34" i="1"/>
  <c r="L34" i="1" s="1"/>
  <c r="M34" i="1" s="1"/>
  <c r="AI34" i="1" s="1"/>
  <c r="N34" i="1"/>
  <c r="O34" i="1" s="1"/>
  <c r="P34" i="1" s="1"/>
  <c r="AJ34" i="1" s="1"/>
  <c r="Q34" i="1"/>
  <c r="R34" i="1" s="1"/>
  <c r="S34" i="1" s="1"/>
  <c r="AK34" i="1" s="1"/>
  <c r="T34" i="1"/>
  <c r="U34" i="1" s="1"/>
  <c r="V34" i="1" s="1"/>
  <c r="AL34" i="1" s="1"/>
  <c r="W34" i="1"/>
  <c r="X34" i="1" s="1"/>
  <c r="Y34" i="1" s="1"/>
  <c r="AM34" i="1" s="1"/>
  <c r="Z34" i="1"/>
  <c r="AA34" i="1" s="1"/>
  <c r="AB34" i="1" s="1"/>
  <c r="AN34" i="1" s="1"/>
  <c r="AC34" i="1"/>
  <c r="AD34" i="1" s="1"/>
  <c r="AE34" i="1" s="1"/>
  <c r="AO34" i="1" s="1"/>
  <c r="B35" i="1"/>
  <c r="C35" i="1" s="1"/>
  <c r="D35" i="1" s="1"/>
  <c r="AF35" i="1" s="1"/>
  <c r="E35" i="1"/>
  <c r="F35" i="1" s="1"/>
  <c r="G35" i="1" s="1"/>
  <c r="AG35" i="1" s="1"/>
  <c r="H35" i="1"/>
  <c r="I35" i="1" s="1"/>
  <c r="J35" i="1" s="1"/>
  <c r="AH35" i="1" s="1"/>
  <c r="K35" i="1"/>
  <c r="L35" i="1" s="1"/>
  <c r="M35" i="1" s="1"/>
  <c r="AI35" i="1" s="1"/>
  <c r="N35" i="1"/>
  <c r="O35" i="1" s="1"/>
  <c r="P35" i="1" s="1"/>
  <c r="AJ35" i="1" s="1"/>
  <c r="Q35" i="1"/>
  <c r="R35" i="1" s="1"/>
  <c r="S35" i="1" s="1"/>
  <c r="AK35" i="1" s="1"/>
  <c r="T35" i="1"/>
  <c r="U35" i="1" s="1"/>
  <c r="V35" i="1" s="1"/>
  <c r="AL35" i="1" s="1"/>
  <c r="W35" i="1"/>
  <c r="X35" i="1" s="1"/>
  <c r="Y35" i="1" s="1"/>
  <c r="AM35" i="1" s="1"/>
  <c r="Z35" i="1"/>
  <c r="AA35" i="1" s="1"/>
  <c r="AB35" i="1" s="1"/>
  <c r="AN35" i="1" s="1"/>
  <c r="AC35" i="1"/>
  <c r="AD35" i="1" s="1"/>
  <c r="AE35" i="1" s="1"/>
  <c r="AO35" i="1" s="1"/>
  <c r="B36" i="1"/>
  <c r="C36" i="1" s="1"/>
  <c r="D36" i="1" s="1"/>
  <c r="AF36" i="1" s="1"/>
  <c r="E36" i="1"/>
  <c r="F36" i="1" s="1"/>
  <c r="G36" i="1" s="1"/>
  <c r="AG36" i="1" s="1"/>
  <c r="H36" i="1"/>
  <c r="I36" i="1" s="1"/>
  <c r="J36" i="1" s="1"/>
  <c r="AH36" i="1" s="1"/>
  <c r="K36" i="1"/>
  <c r="L36" i="1" s="1"/>
  <c r="M36" i="1" s="1"/>
  <c r="AI36" i="1" s="1"/>
  <c r="N36" i="1"/>
  <c r="O36" i="1" s="1"/>
  <c r="P36" i="1" s="1"/>
  <c r="AJ36" i="1" s="1"/>
  <c r="Q36" i="1"/>
  <c r="R36" i="1" s="1"/>
  <c r="S36" i="1" s="1"/>
  <c r="AK36" i="1" s="1"/>
  <c r="T36" i="1"/>
  <c r="U36" i="1" s="1"/>
  <c r="V36" i="1" s="1"/>
  <c r="AL36" i="1" s="1"/>
  <c r="W36" i="1"/>
  <c r="X36" i="1" s="1"/>
  <c r="Y36" i="1" s="1"/>
  <c r="AM36" i="1" s="1"/>
  <c r="Z36" i="1"/>
  <c r="AA36" i="1" s="1"/>
  <c r="AB36" i="1" s="1"/>
  <c r="AN36" i="1" s="1"/>
  <c r="AC36" i="1"/>
  <c r="AD36" i="1" s="1"/>
  <c r="AE36" i="1" s="1"/>
  <c r="AO36" i="1" s="1"/>
  <c r="B37" i="1"/>
  <c r="C37" i="1" s="1"/>
  <c r="D37" i="1" s="1"/>
  <c r="AF37" i="1" s="1"/>
  <c r="E37" i="1"/>
  <c r="F37" i="1" s="1"/>
  <c r="G37" i="1" s="1"/>
  <c r="AG37" i="1" s="1"/>
  <c r="H37" i="1"/>
  <c r="I37" i="1" s="1"/>
  <c r="J37" i="1" s="1"/>
  <c r="AH37" i="1" s="1"/>
  <c r="K37" i="1"/>
  <c r="L37" i="1" s="1"/>
  <c r="M37" i="1" s="1"/>
  <c r="AI37" i="1" s="1"/>
  <c r="N37" i="1"/>
  <c r="O37" i="1" s="1"/>
  <c r="P37" i="1" s="1"/>
  <c r="AJ37" i="1" s="1"/>
  <c r="Q37" i="1"/>
  <c r="R37" i="1" s="1"/>
  <c r="S37" i="1" s="1"/>
  <c r="AK37" i="1" s="1"/>
  <c r="T37" i="1"/>
  <c r="U37" i="1" s="1"/>
  <c r="V37" i="1" s="1"/>
  <c r="AL37" i="1" s="1"/>
  <c r="W37" i="1"/>
  <c r="X37" i="1" s="1"/>
  <c r="Y37" i="1" s="1"/>
  <c r="AM37" i="1" s="1"/>
  <c r="Z37" i="1"/>
  <c r="AA37" i="1" s="1"/>
  <c r="AB37" i="1" s="1"/>
  <c r="AN37" i="1" s="1"/>
  <c r="AC37" i="1"/>
  <c r="AD37" i="1" s="1"/>
  <c r="AE37" i="1" s="1"/>
  <c r="AO37" i="1" s="1"/>
  <c r="B38" i="1"/>
  <c r="C38" i="1" s="1"/>
  <c r="D38" i="1" s="1"/>
  <c r="AF38" i="1" s="1"/>
  <c r="E38" i="1"/>
  <c r="F38" i="1" s="1"/>
  <c r="G38" i="1" s="1"/>
  <c r="AG38" i="1" s="1"/>
  <c r="H38" i="1"/>
  <c r="I38" i="1" s="1"/>
  <c r="J38" i="1" s="1"/>
  <c r="AH38" i="1" s="1"/>
  <c r="K38" i="1"/>
  <c r="L38" i="1" s="1"/>
  <c r="M38" i="1" s="1"/>
  <c r="AI38" i="1" s="1"/>
  <c r="N38" i="1"/>
  <c r="O38" i="1" s="1"/>
  <c r="P38" i="1" s="1"/>
  <c r="AJ38" i="1" s="1"/>
  <c r="Q38" i="1"/>
  <c r="R38" i="1" s="1"/>
  <c r="S38" i="1" s="1"/>
  <c r="AK38" i="1" s="1"/>
  <c r="T38" i="1"/>
  <c r="U38" i="1" s="1"/>
  <c r="V38" i="1" s="1"/>
  <c r="AL38" i="1" s="1"/>
  <c r="W38" i="1"/>
  <c r="X38" i="1" s="1"/>
  <c r="Y38" i="1" s="1"/>
  <c r="AM38" i="1" s="1"/>
  <c r="Z38" i="1"/>
  <c r="AA38" i="1" s="1"/>
  <c r="AB38" i="1" s="1"/>
  <c r="AN38" i="1" s="1"/>
  <c r="AC38" i="1"/>
  <c r="AD38" i="1" s="1"/>
  <c r="AE38" i="1" s="1"/>
  <c r="AO38" i="1" s="1"/>
  <c r="B39" i="1"/>
  <c r="C39" i="1" s="1"/>
  <c r="D39" i="1" s="1"/>
  <c r="AF39" i="1" s="1"/>
  <c r="E39" i="1"/>
  <c r="F39" i="1" s="1"/>
  <c r="G39" i="1" s="1"/>
  <c r="AG39" i="1" s="1"/>
  <c r="H39" i="1"/>
  <c r="I39" i="1" s="1"/>
  <c r="J39" i="1" s="1"/>
  <c r="AH39" i="1" s="1"/>
  <c r="K39" i="1"/>
  <c r="L39" i="1" s="1"/>
  <c r="M39" i="1" s="1"/>
  <c r="AI39" i="1" s="1"/>
  <c r="N39" i="1"/>
  <c r="O39" i="1" s="1"/>
  <c r="P39" i="1" s="1"/>
  <c r="AJ39" i="1" s="1"/>
  <c r="Q39" i="1"/>
  <c r="R39" i="1" s="1"/>
  <c r="S39" i="1" s="1"/>
  <c r="AK39" i="1" s="1"/>
  <c r="T39" i="1"/>
  <c r="U39" i="1" s="1"/>
  <c r="V39" i="1" s="1"/>
  <c r="AL39" i="1" s="1"/>
  <c r="W39" i="1"/>
  <c r="X39" i="1" s="1"/>
  <c r="Y39" i="1" s="1"/>
  <c r="AM39" i="1" s="1"/>
  <c r="Z39" i="1"/>
  <c r="AA39" i="1" s="1"/>
  <c r="AB39" i="1" s="1"/>
  <c r="AN39" i="1" s="1"/>
  <c r="AC39" i="1"/>
  <c r="AD39" i="1" s="1"/>
  <c r="AE39" i="1" s="1"/>
  <c r="AO39" i="1" s="1"/>
  <c r="B40" i="1"/>
  <c r="C40" i="1" s="1"/>
  <c r="D40" i="1" s="1"/>
  <c r="AF40" i="1" s="1"/>
  <c r="E40" i="1"/>
  <c r="F40" i="1" s="1"/>
  <c r="G40" i="1" s="1"/>
  <c r="AG40" i="1" s="1"/>
  <c r="H40" i="1"/>
  <c r="I40" i="1" s="1"/>
  <c r="J40" i="1" s="1"/>
  <c r="AH40" i="1" s="1"/>
  <c r="K40" i="1"/>
  <c r="L40" i="1" s="1"/>
  <c r="M40" i="1" s="1"/>
  <c r="AI40" i="1" s="1"/>
  <c r="N40" i="1"/>
  <c r="O40" i="1" s="1"/>
  <c r="P40" i="1" s="1"/>
  <c r="AJ40" i="1" s="1"/>
  <c r="Q40" i="1"/>
  <c r="R40" i="1" s="1"/>
  <c r="S40" i="1" s="1"/>
  <c r="AK40" i="1" s="1"/>
  <c r="T40" i="1"/>
  <c r="U40" i="1" s="1"/>
  <c r="V40" i="1" s="1"/>
  <c r="AL40" i="1" s="1"/>
  <c r="W40" i="1"/>
  <c r="X40" i="1" s="1"/>
  <c r="Y40" i="1" s="1"/>
  <c r="AM40" i="1" s="1"/>
  <c r="Z40" i="1"/>
  <c r="AA40" i="1" s="1"/>
  <c r="AB40" i="1" s="1"/>
  <c r="AN40" i="1" s="1"/>
  <c r="AC40" i="1"/>
  <c r="AD40" i="1" s="1"/>
  <c r="AE40" i="1" s="1"/>
  <c r="AO40" i="1" s="1"/>
  <c r="B41" i="1"/>
  <c r="C41" i="1" s="1"/>
  <c r="D41" i="1" s="1"/>
  <c r="AF41" i="1" s="1"/>
  <c r="E41" i="1"/>
  <c r="F41" i="1" s="1"/>
  <c r="G41" i="1" s="1"/>
  <c r="AG41" i="1" s="1"/>
  <c r="H41" i="1"/>
  <c r="I41" i="1" s="1"/>
  <c r="J41" i="1" s="1"/>
  <c r="AH41" i="1" s="1"/>
  <c r="K41" i="1"/>
  <c r="L41" i="1" s="1"/>
  <c r="M41" i="1" s="1"/>
  <c r="AI41" i="1" s="1"/>
  <c r="N41" i="1"/>
  <c r="O41" i="1" s="1"/>
  <c r="P41" i="1" s="1"/>
  <c r="AJ41" i="1" s="1"/>
  <c r="Q41" i="1"/>
  <c r="R41" i="1" s="1"/>
  <c r="S41" i="1" s="1"/>
  <c r="AK41" i="1" s="1"/>
  <c r="T41" i="1"/>
  <c r="U41" i="1" s="1"/>
  <c r="V41" i="1" s="1"/>
  <c r="AL41" i="1" s="1"/>
  <c r="W41" i="1"/>
  <c r="X41" i="1" s="1"/>
  <c r="Y41" i="1" s="1"/>
  <c r="AM41" i="1" s="1"/>
  <c r="Z41" i="1"/>
  <c r="AA41" i="1" s="1"/>
  <c r="AB41" i="1" s="1"/>
  <c r="AN41" i="1" s="1"/>
  <c r="AC41" i="1"/>
  <c r="AD41" i="1" s="1"/>
  <c r="AE41" i="1" s="1"/>
  <c r="AO41" i="1" s="1"/>
  <c r="B42" i="1"/>
  <c r="C42" i="1" s="1"/>
  <c r="D42" i="1" s="1"/>
  <c r="AF42" i="1" s="1"/>
  <c r="E42" i="1"/>
  <c r="F42" i="1" s="1"/>
  <c r="G42" i="1" s="1"/>
  <c r="AG42" i="1" s="1"/>
  <c r="H42" i="1"/>
  <c r="I42" i="1" s="1"/>
  <c r="J42" i="1" s="1"/>
  <c r="AH42" i="1" s="1"/>
  <c r="K42" i="1"/>
  <c r="L42" i="1" s="1"/>
  <c r="M42" i="1" s="1"/>
  <c r="AI42" i="1" s="1"/>
  <c r="N42" i="1"/>
  <c r="O42" i="1" s="1"/>
  <c r="P42" i="1" s="1"/>
  <c r="AJ42" i="1" s="1"/>
  <c r="Q42" i="1"/>
  <c r="R42" i="1" s="1"/>
  <c r="S42" i="1" s="1"/>
  <c r="AK42" i="1" s="1"/>
  <c r="T42" i="1"/>
  <c r="U42" i="1" s="1"/>
  <c r="V42" i="1" s="1"/>
  <c r="AL42" i="1" s="1"/>
  <c r="W42" i="1"/>
  <c r="X42" i="1" s="1"/>
  <c r="Y42" i="1" s="1"/>
  <c r="AM42" i="1" s="1"/>
  <c r="Z42" i="1"/>
  <c r="AA42" i="1" s="1"/>
  <c r="AB42" i="1" s="1"/>
  <c r="AN42" i="1" s="1"/>
  <c r="AC42" i="1"/>
  <c r="AD42" i="1" s="1"/>
  <c r="AE42" i="1" s="1"/>
  <c r="AO42" i="1" s="1"/>
  <c r="B43" i="1"/>
  <c r="C43" i="1" s="1"/>
  <c r="D43" i="1" s="1"/>
  <c r="AF43" i="1" s="1"/>
  <c r="E43" i="1"/>
  <c r="F43" i="1" s="1"/>
  <c r="G43" i="1" s="1"/>
  <c r="AG43" i="1" s="1"/>
  <c r="H43" i="1"/>
  <c r="I43" i="1" s="1"/>
  <c r="J43" i="1" s="1"/>
  <c r="AH43" i="1" s="1"/>
  <c r="K43" i="1"/>
  <c r="L43" i="1" s="1"/>
  <c r="M43" i="1" s="1"/>
  <c r="AI43" i="1" s="1"/>
  <c r="N43" i="1"/>
  <c r="O43" i="1" s="1"/>
  <c r="P43" i="1" s="1"/>
  <c r="AJ43" i="1" s="1"/>
  <c r="Q43" i="1"/>
  <c r="R43" i="1" s="1"/>
  <c r="S43" i="1" s="1"/>
  <c r="AK43" i="1" s="1"/>
  <c r="T43" i="1"/>
  <c r="U43" i="1" s="1"/>
  <c r="V43" i="1" s="1"/>
  <c r="AL43" i="1" s="1"/>
  <c r="W43" i="1"/>
  <c r="X43" i="1" s="1"/>
  <c r="Y43" i="1" s="1"/>
  <c r="AM43" i="1" s="1"/>
  <c r="Z43" i="1"/>
  <c r="AA43" i="1" s="1"/>
  <c r="AB43" i="1" s="1"/>
  <c r="AN43" i="1" s="1"/>
  <c r="AC43" i="1"/>
  <c r="AD43" i="1" s="1"/>
  <c r="AE43" i="1" s="1"/>
  <c r="AO43" i="1" s="1"/>
  <c r="B44" i="1"/>
  <c r="C44" i="1" s="1"/>
  <c r="D44" i="1" s="1"/>
  <c r="AF44" i="1" s="1"/>
  <c r="E44" i="1"/>
  <c r="F44" i="1" s="1"/>
  <c r="G44" i="1" s="1"/>
  <c r="AG44" i="1" s="1"/>
  <c r="H44" i="1"/>
  <c r="I44" i="1" s="1"/>
  <c r="J44" i="1" s="1"/>
  <c r="AH44" i="1" s="1"/>
  <c r="K44" i="1"/>
  <c r="L44" i="1" s="1"/>
  <c r="M44" i="1" s="1"/>
  <c r="AI44" i="1" s="1"/>
  <c r="N44" i="1"/>
  <c r="O44" i="1" s="1"/>
  <c r="P44" i="1" s="1"/>
  <c r="AJ44" i="1" s="1"/>
  <c r="Q44" i="1"/>
  <c r="R44" i="1" s="1"/>
  <c r="S44" i="1" s="1"/>
  <c r="AK44" i="1" s="1"/>
  <c r="T44" i="1"/>
  <c r="U44" i="1" s="1"/>
  <c r="V44" i="1" s="1"/>
  <c r="AL44" i="1" s="1"/>
  <c r="W44" i="1"/>
  <c r="X44" i="1" s="1"/>
  <c r="Y44" i="1" s="1"/>
  <c r="AM44" i="1" s="1"/>
  <c r="Z44" i="1"/>
  <c r="AA44" i="1" s="1"/>
  <c r="AB44" i="1" s="1"/>
  <c r="AN44" i="1" s="1"/>
  <c r="AC44" i="1"/>
  <c r="AD44" i="1" s="1"/>
  <c r="AE44" i="1" s="1"/>
  <c r="AO44" i="1" s="1"/>
  <c r="B45" i="1"/>
  <c r="C45" i="1" s="1"/>
  <c r="D45" i="1" s="1"/>
  <c r="AF45" i="1" s="1"/>
  <c r="E45" i="1"/>
  <c r="F45" i="1" s="1"/>
  <c r="G45" i="1" s="1"/>
  <c r="AG45" i="1" s="1"/>
  <c r="H45" i="1"/>
  <c r="I45" i="1" s="1"/>
  <c r="J45" i="1" s="1"/>
  <c r="AH45" i="1" s="1"/>
  <c r="K45" i="1"/>
  <c r="L45" i="1" s="1"/>
  <c r="M45" i="1" s="1"/>
  <c r="AI45" i="1" s="1"/>
  <c r="N45" i="1"/>
  <c r="O45" i="1" s="1"/>
  <c r="P45" i="1" s="1"/>
  <c r="AJ45" i="1" s="1"/>
  <c r="Q45" i="1"/>
  <c r="R45" i="1" s="1"/>
  <c r="S45" i="1" s="1"/>
  <c r="AK45" i="1" s="1"/>
  <c r="T45" i="1"/>
  <c r="U45" i="1" s="1"/>
  <c r="V45" i="1" s="1"/>
  <c r="AL45" i="1" s="1"/>
  <c r="W45" i="1"/>
  <c r="X45" i="1" s="1"/>
  <c r="Y45" i="1" s="1"/>
  <c r="AM45" i="1" s="1"/>
  <c r="Z45" i="1"/>
  <c r="AA45" i="1" s="1"/>
  <c r="AB45" i="1" s="1"/>
  <c r="AN45" i="1" s="1"/>
  <c r="AC45" i="1"/>
  <c r="AD45" i="1" s="1"/>
  <c r="AE45" i="1" s="1"/>
  <c r="AO45" i="1" s="1"/>
  <c r="B46" i="1"/>
  <c r="C46" i="1" s="1"/>
  <c r="D46" i="1" s="1"/>
  <c r="AF46" i="1" s="1"/>
  <c r="E46" i="1"/>
  <c r="F46" i="1" s="1"/>
  <c r="G46" i="1" s="1"/>
  <c r="AG46" i="1" s="1"/>
  <c r="H46" i="1"/>
  <c r="I46" i="1" s="1"/>
  <c r="J46" i="1" s="1"/>
  <c r="AH46" i="1" s="1"/>
  <c r="K46" i="1"/>
  <c r="L46" i="1" s="1"/>
  <c r="M46" i="1" s="1"/>
  <c r="AI46" i="1" s="1"/>
  <c r="N46" i="1"/>
  <c r="O46" i="1" s="1"/>
  <c r="P46" i="1" s="1"/>
  <c r="AJ46" i="1" s="1"/>
  <c r="Q46" i="1"/>
  <c r="R46" i="1" s="1"/>
  <c r="S46" i="1" s="1"/>
  <c r="AK46" i="1" s="1"/>
  <c r="T46" i="1"/>
  <c r="U46" i="1" s="1"/>
  <c r="V46" i="1" s="1"/>
  <c r="AL46" i="1" s="1"/>
  <c r="W46" i="1"/>
  <c r="X46" i="1" s="1"/>
  <c r="Y46" i="1" s="1"/>
  <c r="AM46" i="1" s="1"/>
  <c r="Z46" i="1"/>
  <c r="AA46" i="1" s="1"/>
  <c r="AB46" i="1" s="1"/>
  <c r="AN46" i="1" s="1"/>
  <c r="AC46" i="1"/>
  <c r="AD46" i="1" s="1"/>
  <c r="AE46" i="1" s="1"/>
  <c r="AO46" i="1" s="1"/>
  <c r="B47" i="1"/>
  <c r="C47" i="1" s="1"/>
  <c r="D47" i="1" s="1"/>
  <c r="AF47" i="1" s="1"/>
  <c r="E47" i="1"/>
  <c r="F47" i="1" s="1"/>
  <c r="G47" i="1" s="1"/>
  <c r="AG47" i="1" s="1"/>
  <c r="H47" i="1"/>
  <c r="I47" i="1" s="1"/>
  <c r="J47" i="1" s="1"/>
  <c r="AH47" i="1" s="1"/>
  <c r="K47" i="1"/>
  <c r="L47" i="1" s="1"/>
  <c r="M47" i="1" s="1"/>
  <c r="AI47" i="1" s="1"/>
  <c r="N47" i="1"/>
  <c r="O47" i="1" s="1"/>
  <c r="P47" i="1" s="1"/>
  <c r="AJ47" i="1" s="1"/>
  <c r="Q47" i="1"/>
  <c r="R47" i="1" s="1"/>
  <c r="S47" i="1" s="1"/>
  <c r="AK47" i="1" s="1"/>
  <c r="T47" i="1"/>
  <c r="U47" i="1" s="1"/>
  <c r="V47" i="1" s="1"/>
  <c r="AL47" i="1" s="1"/>
  <c r="W47" i="1"/>
  <c r="X47" i="1" s="1"/>
  <c r="Y47" i="1" s="1"/>
  <c r="AM47" i="1" s="1"/>
  <c r="Z47" i="1"/>
  <c r="AA47" i="1" s="1"/>
  <c r="AB47" i="1" s="1"/>
  <c r="AN47" i="1" s="1"/>
  <c r="AC47" i="1"/>
  <c r="AD47" i="1" s="1"/>
  <c r="AE47" i="1" s="1"/>
  <c r="AO47" i="1" s="1"/>
  <c r="B48" i="1"/>
  <c r="C48" i="1" s="1"/>
  <c r="D48" i="1" s="1"/>
  <c r="AF48" i="1" s="1"/>
  <c r="E48" i="1"/>
  <c r="F48" i="1" s="1"/>
  <c r="G48" i="1" s="1"/>
  <c r="AG48" i="1" s="1"/>
  <c r="H48" i="1"/>
  <c r="I48" i="1" s="1"/>
  <c r="J48" i="1" s="1"/>
  <c r="AH48" i="1" s="1"/>
  <c r="K48" i="1"/>
  <c r="L48" i="1" s="1"/>
  <c r="M48" i="1" s="1"/>
  <c r="AI48" i="1" s="1"/>
  <c r="N48" i="1"/>
  <c r="O48" i="1" s="1"/>
  <c r="P48" i="1" s="1"/>
  <c r="AJ48" i="1" s="1"/>
  <c r="Q48" i="1"/>
  <c r="R48" i="1" s="1"/>
  <c r="S48" i="1" s="1"/>
  <c r="AK48" i="1" s="1"/>
  <c r="T48" i="1"/>
  <c r="U48" i="1" s="1"/>
  <c r="V48" i="1" s="1"/>
  <c r="AL48" i="1" s="1"/>
  <c r="W48" i="1"/>
  <c r="X48" i="1" s="1"/>
  <c r="Y48" i="1" s="1"/>
  <c r="AM48" i="1" s="1"/>
  <c r="Z48" i="1"/>
  <c r="AA48" i="1" s="1"/>
  <c r="AB48" i="1" s="1"/>
  <c r="AN48" i="1" s="1"/>
  <c r="AC48" i="1"/>
  <c r="AD48" i="1" s="1"/>
  <c r="AE48" i="1" s="1"/>
  <c r="AO48" i="1" s="1"/>
  <c r="B49" i="1"/>
  <c r="C49" i="1" s="1"/>
  <c r="D49" i="1" s="1"/>
  <c r="AF49" i="1" s="1"/>
  <c r="E49" i="1"/>
  <c r="F49" i="1" s="1"/>
  <c r="G49" i="1" s="1"/>
  <c r="AG49" i="1" s="1"/>
  <c r="H49" i="1"/>
  <c r="I49" i="1" s="1"/>
  <c r="J49" i="1" s="1"/>
  <c r="AH49" i="1" s="1"/>
  <c r="K49" i="1"/>
  <c r="L49" i="1" s="1"/>
  <c r="M49" i="1" s="1"/>
  <c r="AI49" i="1" s="1"/>
  <c r="N49" i="1"/>
  <c r="O49" i="1" s="1"/>
  <c r="P49" i="1" s="1"/>
  <c r="AJ49" i="1" s="1"/>
  <c r="Q49" i="1"/>
  <c r="R49" i="1" s="1"/>
  <c r="S49" i="1" s="1"/>
  <c r="AK49" i="1" s="1"/>
  <c r="T49" i="1"/>
  <c r="U49" i="1" s="1"/>
  <c r="V49" i="1" s="1"/>
  <c r="AL49" i="1" s="1"/>
  <c r="W49" i="1"/>
  <c r="X49" i="1" s="1"/>
  <c r="Y49" i="1" s="1"/>
  <c r="AM49" i="1" s="1"/>
  <c r="Z49" i="1"/>
  <c r="AA49" i="1" s="1"/>
  <c r="AB49" i="1" s="1"/>
  <c r="AN49" i="1" s="1"/>
  <c r="AC49" i="1"/>
  <c r="AD49" i="1" s="1"/>
  <c r="AE49" i="1" s="1"/>
  <c r="AO49" i="1" s="1"/>
  <c r="B50" i="1"/>
  <c r="C50" i="1" s="1"/>
  <c r="D50" i="1" s="1"/>
  <c r="AF50" i="1" s="1"/>
  <c r="E50" i="1"/>
  <c r="F50" i="1" s="1"/>
  <c r="G50" i="1" s="1"/>
  <c r="AG50" i="1" s="1"/>
  <c r="H50" i="1"/>
  <c r="I50" i="1" s="1"/>
  <c r="J50" i="1" s="1"/>
  <c r="AH50" i="1" s="1"/>
  <c r="K50" i="1"/>
  <c r="L50" i="1" s="1"/>
  <c r="M50" i="1" s="1"/>
  <c r="AI50" i="1" s="1"/>
  <c r="N50" i="1"/>
  <c r="O50" i="1" s="1"/>
  <c r="P50" i="1" s="1"/>
  <c r="AJ50" i="1" s="1"/>
  <c r="Q50" i="1"/>
  <c r="R50" i="1" s="1"/>
  <c r="S50" i="1" s="1"/>
  <c r="AK50" i="1" s="1"/>
  <c r="T50" i="1"/>
  <c r="U50" i="1" s="1"/>
  <c r="V50" i="1" s="1"/>
  <c r="AL50" i="1" s="1"/>
  <c r="W50" i="1"/>
  <c r="X50" i="1" s="1"/>
  <c r="Y50" i="1" s="1"/>
  <c r="AM50" i="1" s="1"/>
  <c r="Z50" i="1"/>
  <c r="AA50" i="1" s="1"/>
  <c r="AB50" i="1" s="1"/>
  <c r="AN50" i="1" s="1"/>
  <c r="AC50" i="1"/>
  <c r="AD50" i="1" s="1"/>
  <c r="AE50" i="1" s="1"/>
  <c r="AO50" i="1" s="1"/>
  <c r="B51" i="1"/>
  <c r="C51" i="1" s="1"/>
  <c r="D51" i="1" s="1"/>
  <c r="AF51" i="1" s="1"/>
  <c r="E51" i="1"/>
  <c r="F51" i="1" s="1"/>
  <c r="G51" i="1" s="1"/>
  <c r="AG51" i="1" s="1"/>
  <c r="H51" i="1"/>
  <c r="I51" i="1" s="1"/>
  <c r="J51" i="1" s="1"/>
  <c r="AH51" i="1" s="1"/>
  <c r="K51" i="1"/>
  <c r="L51" i="1" s="1"/>
  <c r="M51" i="1" s="1"/>
  <c r="AI51" i="1" s="1"/>
  <c r="N51" i="1"/>
  <c r="O51" i="1" s="1"/>
  <c r="P51" i="1" s="1"/>
  <c r="AJ51" i="1" s="1"/>
  <c r="Q51" i="1"/>
  <c r="R51" i="1" s="1"/>
  <c r="S51" i="1" s="1"/>
  <c r="AK51" i="1" s="1"/>
  <c r="T51" i="1"/>
  <c r="U51" i="1" s="1"/>
  <c r="V51" i="1" s="1"/>
  <c r="AL51" i="1" s="1"/>
  <c r="W51" i="1"/>
  <c r="X51" i="1" s="1"/>
  <c r="Y51" i="1" s="1"/>
  <c r="AM51" i="1" s="1"/>
  <c r="Z51" i="1"/>
  <c r="AA51" i="1" s="1"/>
  <c r="AB51" i="1" s="1"/>
  <c r="AN51" i="1" s="1"/>
  <c r="AC51" i="1"/>
  <c r="AD51" i="1" s="1"/>
  <c r="AE51" i="1" s="1"/>
  <c r="AO51" i="1" s="1"/>
  <c r="B52" i="1"/>
  <c r="C52" i="1" s="1"/>
  <c r="D52" i="1" s="1"/>
  <c r="AF52" i="1" s="1"/>
  <c r="E52" i="1"/>
  <c r="F52" i="1" s="1"/>
  <c r="G52" i="1" s="1"/>
  <c r="AG52" i="1" s="1"/>
  <c r="H52" i="1"/>
  <c r="I52" i="1" s="1"/>
  <c r="J52" i="1" s="1"/>
  <c r="AH52" i="1" s="1"/>
  <c r="K52" i="1"/>
  <c r="L52" i="1" s="1"/>
  <c r="M52" i="1" s="1"/>
  <c r="AI52" i="1" s="1"/>
  <c r="N52" i="1"/>
  <c r="O52" i="1" s="1"/>
  <c r="P52" i="1" s="1"/>
  <c r="AJ52" i="1" s="1"/>
  <c r="Q52" i="1"/>
  <c r="R52" i="1" s="1"/>
  <c r="S52" i="1" s="1"/>
  <c r="AK52" i="1" s="1"/>
  <c r="T52" i="1"/>
  <c r="U52" i="1" s="1"/>
  <c r="V52" i="1" s="1"/>
  <c r="AL52" i="1" s="1"/>
  <c r="W52" i="1"/>
  <c r="X52" i="1" s="1"/>
  <c r="Y52" i="1" s="1"/>
  <c r="AM52" i="1" s="1"/>
  <c r="Z52" i="1"/>
  <c r="AA52" i="1" s="1"/>
  <c r="AB52" i="1" s="1"/>
  <c r="AN52" i="1" s="1"/>
  <c r="AC52" i="1"/>
  <c r="AD52" i="1" s="1"/>
  <c r="AE52" i="1" s="1"/>
  <c r="AO52" i="1" s="1"/>
  <c r="B53" i="1"/>
  <c r="C53" i="1" s="1"/>
  <c r="D53" i="1" s="1"/>
  <c r="AF53" i="1" s="1"/>
  <c r="E53" i="1"/>
  <c r="F53" i="1" s="1"/>
  <c r="G53" i="1" s="1"/>
  <c r="AG53" i="1" s="1"/>
  <c r="H53" i="1"/>
  <c r="I53" i="1" s="1"/>
  <c r="J53" i="1" s="1"/>
  <c r="AH53" i="1" s="1"/>
  <c r="K53" i="1"/>
  <c r="L53" i="1" s="1"/>
  <c r="M53" i="1" s="1"/>
  <c r="AI53" i="1" s="1"/>
  <c r="N53" i="1"/>
  <c r="O53" i="1" s="1"/>
  <c r="P53" i="1" s="1"/>
  <c r="AJ53" i="1" s="1"/>
  <c r="Q53" i="1"/>
  <c r="R53" i="1" s="1"/>
  <c r="S53" i="1" s="1"/>
  <c r="AK53" i="1" s="1"/>
  <c r="T53" i="1"/>
  <c r="U53" i="1" s="1"/>
  <c r="V53" i="1" s="1"/>
  <c r="AL53" i="1" s="1"/>
  <c r="W53" i="1"/>
  <c r="X53" i="1" s="1"/>
  <c r="Y53" i="1" s="1"/>
  <c r="AM53" i="1" s="1"/>
  <c r="Z53" i="1"/>
  <c r="AA53" i="1" s="1"/>
  <c r="AB53" i="1" s="1"/>
  <c r="AN53" i="1" s="1"/>
  <c r="AC53" i="1"/>
  <c r="AD53" i="1" s="1"/>
  <c r="AE53" i="1" s="1"/>
  <c r="AO53" i="1" s="1"/>
  <c r="B54" i="1"/>
  <c r="C54" i="1" s="1"/>
  <c r="D54" i="1" s="1"/>
  <c r="AF54" i="1" s="1"/>
  <c r="E54" i="1"/>
  <c r="F54" i="1" s="1"/>
  <c r="G54" i="1" s="1"/>
  <c r="AG54" i="1" s="1"/>
  <c r="H54" i="1"/>
  <c r="I54" i="1" s="1"/>
  <c r="J54" i="1" s="1"/>
  <c r="AH54" i="1" s="1"/>
  <c r="K54" i="1"/>
  <c r="L54" i="1" s="1"/>
  <c r="M54" i="1" s="1"/>
  <c r="AI54" i="1" s="1"/>
  <c r="N54" i="1"/>
  <c r="O54" i="1" s="1"/>
  <c r="P54" i="1" s="1"/>
  <c r="AJ54" i="1" s="1"/>
  <c r="Q54" i="1"/>
  <c r="R54" i="1" s="1"/>
  <c r="S54" i="1" s="1"/>
  <c r="AK54" i="1" s="1"/>
  <c r="T54" i="1"/>
  <c r="U54" i="1" s="1"/>
  <c r="V54" i="1" s="1"/>
  <c r="AL54" i="1" s="1"/>
  <c r="W54" i="1"/>
  <c r="X54" i="1" s="1"/>
  <c r="Y54" i="1" s="1"/>
  <c r="AM54" i="1" s="1"/>
  <c r="Z54" i="1"/>
  <c r="AA54" i="1" s="1"/>
  <c r="AB54" i="1" s="1"/>
  <c r="AN54" i="1" s="1"/>
  <c r="AC54" i="1"/>
  <c r="AD54" i="1" s="1"/>
  <c r="AE54" i="1" s="1"/>
  <c r="AO54" i="1" s="1"/>
  <c r="B55" i="1"/>
  <c r="C55" i="1" s="1"/>
  <c r="D55" i="1" s="1"/>
  <c r="AF55" i="1" s="1"/>
  <c r="E55" i="1"/>
  <c r="F55" i="1" s="1"/>
  <c r="G55" i="1" s="1"/>
  <c r="AG55" i="1" s="1"/>
  <c r="H55" i="1"/>
  <c r="I55" i="1" s="1"/>
  <c r="J55" i="1" s="1"/>
  <c r="AH55" i="1" s="1"/>
  <c r="K55" i="1"/>
  <c r="L55" i="1" s="1"/>
  <c r="M55" i="1" s="1"/>
  <c r="AI55" i="1" s="1"/>
  <c r="N55" i="1"/>
  <c r="O55" i="1" s="1"/>
  <c r="P55" i="1" s="1"/>
  <c r="AJ55" i="1" s="1"/>
  <c r="Q55" i="1"/>
  <c r="R55" i="1" s="1"/>
  <c r="S55" i="1" s="1"/>
  <c r="AK55" i="1" s="1"/>
  <c r="T55" i="1"/>
  <c r="U55" i="1" s="1"/>
  <c r="V55" i="1" s="1"/>
  <c r="AL55" i="1" s="1"/>
  <c r="W55" i="1"/>
  <c r="X55" i="1" s="1"/>
  <c r="Y55" i="1" s="1"/>
  <c r="AM55" i="1" s="1"/>
  <c r="Z55" i="1"/>
  <c r="AA55" i="1" s="1"/>
  <c r="AB55" i="1" s="1"/>
  <c r="AN55" i="1" s="1"/>
  <c r="AC55" i="1"/>
  <c r="AD55" i="1" s="1"/>
  <c r="AE55" i="1" s="1"/>
  <c r="AO55" i="1" s="1"/>
  <c r="B56" i="1"/>
  <c r="C56" i="1" s="1"/>
  <c r="D56" i="1" s="1"/>
  <c r="AF56" i="1" s="1"/>
  <c r="E56" i="1"/>
  <c r="F56" i="1" s="1"/>
  <c r="G56" i="1" s="1"/>
  <c r="AG56" i="1" s="1"/>
  <c r="H56" i="1"/>
  <c r="I56" i="1" s="1"/>
  <c r="J56" i="1" s="1"/>
  <c r="AH56" i="1" s="1"/>
  <c r="K56" i="1"/>
  <c r="L56" i="1" s="1"/>
  <c r="M56" i="1" s="1"/>
  <c r="AI56" i="1" s="1"/>
  <c r="N56" i="1"/>
  <c r="O56" i="1" s="1"/>
  <c r="P56" i="1" s="1"/>
  <c r="AJ56" i="1" s="1"/>
  <c r="Q56" i="1"/>
  <c r="R56" i="1" s="1"/>
  <c r="S56" i="1" s="1"/>
  <c r="AK56" i="1" s="1"/>
  <c r="T56" i="1"/>
  <c r="U56" i="1" s="1"/>
  <c r="V56" i="1" s="1"/>
  <c r="AL56" i="1" s="1"/>
  <c r="W56" i="1"/>
  <c r="X56" i="1" s="1"/>
  <c r="Y56" i="1" s="1"/>
  <c r="AM56" i="1" s="1"/>
  <c r="Z56" i="1"/>
  <c r="AA56" i="1" s="1"/>
  <c r="AB56" i="1" s="1"/>
  <c r="AN56" i="1" s="1"/>
  <c r="AC56" i="1"/>
  <c r="AD56" i="1" s="1"/>
  <c r="AE56" i="1" s="1"/>
  <c r="AO56" i="1" s="1"/>
  <c r="B57" i="1"/>
  <c r="C57" i="1" s="1"/>
  <c r="D57" i="1" s="1"/>
  <c r="AF57" i="1" s="1"/>
  <c r="E57" i="1"/>
  <c r="F57" i="1" s="1"/>
  <c r="G57" i="1" s="1"/>
  <c r="AG57" i="1" s="1"/>
  <c r="H57" i="1"/>
  <c r="I57" i="1" s="1"/>
  <c r="J57" i="1" s="1"/>
  <c r="AH57" i="1" s="1"/>
  <c r="K57" i="1"/>
  <c r="L57" i="1" s="1"/>
  <c r="M57" i="1" s="1"/>
  <c r="AI57" i="1" s="1"/>
  <c r="N57" i="1"/>
  <c r="O57" i="1" s="1"/>
  <c r="P57" i="1" s="1"/>
  <c r="AJ57" i="1" s="1"/>
  <c r="Q57" i="1"/>
  <c r="R57" i="1" s="1"/>
  <c r="S57" i="1" s="1"/>
  <c r="AK57" i="1" s="1"/>
  <c r="T57" i="1"/>
  <c r="U57" i="1" s="1"/>
  <c r="V57" i="1" s="1"/>
  <c r="AL57" i="1" s="1"/>
  <c r="W57" i="1"/>
  <c r="X57" i="1" s="1"/>
  <c r="Y57" i="1" s="1"/>
  <c r="AM57" i="1" s="1"/>
  <c r="Z57" i="1"/>
  <c r="AA57" i="1" s="1"/>
  <c r="AB57" i="1" s="1"/>
  <c r="AN57" i="1" s="1"/>
  <c r="AC57" i="1"/>
  <c r="AD57" i="1" s="1"/>
  <c r="AE57" i="1" s="1"/>
  <c r="AO57" i="1" s="1"/>
  <c r="B58" i="1"/>
  <c r="C58" i="1" s="1"/>
  <c r="D58" i="1" s="1"/>
  <c r="AF58" i="1" s="1"/>
  <c r="E58" i="1"/>
  <c r="F58" i="1" s="1"/>
  <c r="G58" i="1" s="1"/>
  <c r="AG58" i="1" s="1"/>
  <c r="H58" i="1"/>
  <c r="I58" i="1" s="1"/>
  <c r="J58" i="1" s="1"/>
  <c r="AH58" i="1" s="1"/>
  <c r="K58" i="1"/>
  <c r="L58" i="1" s="1"/>
  <c r="M58" i="1" s="1"/>
  <c r="AI58" i="1" s="1"/>
  <c r="N58" i="1"/>
  <c r="O58" i="1" s="1"/>
  <c r="P58" i="1" s="1"/>
  <c r="AJ58" i="1" s="1"/>
  <c r="Q58" i="1"/>
  <c r="R58" i="1" s="1"/>
  <c r="S58" i="1" s="1"/>
  <c r="AK58" i="1" s="1"/>
  <c r="T58" i="1"/>
  <c r="U58" i="1" s="1"/>
  <c r="V58" i="1" s="1"/>
  <c r="AL58" i="1" s="1"/>
  <c r="W58" i="1"/>
  <c r="X58" i="1" s="1"/>
  <c r="Y58" i="1" s="1"/>
  <c r="AM58" i="1" s="1"/>
  <c r="Z58" i="1"/>
  <c r="AA58" i="1" s="1"/>
  <c r="AB58" i="1" s="1"/>
  <c r="AN58" i="1" s="1"/>
  <c r="AC58" i="1"/>
  <c r="AD58" i="1" s="1"/>
  <c r="AE58" i="1" s="1"/>
  <c r="AO58" i="1" s="1"/>
  <c r="B59" i="1"/>
  <c r="C59" i="1" s="1"/>
  <c r="D59" i="1" s="1"/>
  <c r="AF59" i="1" s="1"/>
  <c r="E59" i="1"/>
  <c r="F59" i="1" s="1"/>
  <c r="G59" i="1" s="1"/>
  <c r="AG59" i="1" s="1"/>
  <c r="H59" i="1"/>
  <c r="I59" i="1" s="1"/>
  <c r="J59" i="1" s="1"/>
  <c r="AH59" i="1" s="1"/>
  <c r="K59" i="1"/>
  <c r="L59" i="1" s="1"/>
  <c r="M59" i="1" s="1"/>
  <c r="AI59" i="1" s="1"/>
  <c r="N59" i="1"/>
  <c r="O59" i="1" s="1"/>
  <c r="P59" i="1" s="1"/>
  <c r="AJ59" i="1" s="1"/>
  <c r="Q59" i="1"/>
  <c r="R59" i="1" s="1"/>
  <c r="S59" i="1" s="1"/>
  <c r="AK59" i="1" s="1"/>
  <c r="T59" i="1"/>
  <c r="U59" i="1" s="1"/>
  <c r="V59" i="1" s="1"/>
  <c r="W59" i="1"/>
  <c r="X59" i="1" s="1"/>
  <c r="Y59" i="1" s="1"/>
  <c r="AM59" i="1" s="1"/>
  <c r="Z59" i="1"/>
  <c r="AA59" i="1" s="1"/>
  <c r="AB59" i="1" s="1"/>
  <c r="AN59" i="1" s="1"/>
  <c r="AC59" i="1"/>
  <c r="AD59" i="1" s="1"/>
  <c r="AE59" i="1" s="1"/>
  <c r="AO59" i="1" s="1"/>
  <c r="AL59" i="1"/>
  <c r="B60" i="1"/>
  <c r="C60" i="1" s="1"/>
  <c r="D60" i="1" s="1"/>
  <c r="AF60" i="1" s="1"/>
  <c r="E60" i="1"/>
  <c r="F60" i="1" s="1"/>
  <c r="G60" i="1" s="1"/>
  <c r="AG60" i="1" s="1"/>
  <c r="H60" i="1"/>
  <c r="I60" i="1" s="1"/>
  <c r="J60" i="1" s="1"/>
  <c r="AH60" i="1" s="1"/>
  <c r="K60" i="1"/>
  <c r="L60" i="1" s="1"/>
  <c r="M60" i="1" s="1"/>
  <c r="AI60" i="1" s="1"/>
  <c r="N60" i="1"/>
  <c r="O60" i="1" s="1"/>
  <c r="P60" i="1" s="1"/>
  <c r="AJ60" i="1" s="1"/>
  <c r="Q60" i="1"/>
  <c r="R60" i="1" s="1"/>
  <c r="S60" i="1" s="1"/>
  <c r="AK60" i="1" s="1"/>
  <c r="T60" i="1"/>
  <c r="U60" i="1" s="1"/>
  <c r="V60" i="1" s="1"/>
  <c r="AL60" i="1" s="1"/>
  <c r="W60" i="1"/>
  <c r="X60" i="1" s="1"/>
  <c r="Y60" i="1" s="1"/>
  <c r="AM60" i="1" s="1"/>
  <c r="Z60" i="1"/>
  <c r="AA60" i="1" s="1"/>
  <c r="AB60" i="1" s="1"/>
  <c r="AN60" i="1" s="1"/>
  <c r="AC60" i="1"/>
  <c r="AD60" i="1" s="1"/>
  <c r="AE60" i="1" s="1"/>
  <c r="AO60" i="1" s="1"/>
  <c r="B61" i="1"/>
  <c r="C61" i="1" s="1"/>
  <c r="D61" i="1" s="1"/>
  <c r="AF61" i="1" s="1"/>
  <c r="E61" i="1"/>
  <c r="F61" i="1" s="1"/>
  <c r="G61" i="1" s="1"/>
  <c r="AG61" i="1" s="1"/>
  <c r="H61" i="1"/>
  <c r="I61" i="1" s="1"/>
  <c r="J61" i="1" s="1"/>
  <c r="AH61" i="1" s="1"/>
  <c r="K61" i="1"/>
  <c r="L61" i="1" s="1"/>
  <c r="M61" i="1" s="1"/>
  <c r="AI61" i="1" s="1"/>
  <c r="N61" i="1"/>
  <c r="O61" i="1" s="1"/>
  <c r="P61" i="1" s="1"/>
  <c r="AJ61" i="1" s="1"/>
  <c r="Q61" i="1"/>
  <c r="R61" i="1" s="1"/>
  <c r="S61" i="1" s="1"/>
  <c r="AK61" i="1" s="1"/>
  <c r="T61" i="1"/>
  <c r="U61" i="1" s="1"/>
  <c r="V61" i="1" s="1"/>
  <c r="AL61" i="1" s="1"/>
  <c r="W61" i="1"/>
  <c r="X61" i="1" s="1"/>
  <c r="Y61" i="1" s="1"/>
  <c r="AM61" i="1" s="1"/>
  <c r="Z61" i="1"/>
  <c r="AA61" i="1" s="1"/>
  <c r="AB61" i="1" s="1"/>
  <c r="AN61" i="1" s="1"/>
  <c r="AC61" i="1"/>
  <c r="AD61" i="1" s="1"/>
  <c r="AE61" i="1" s="1"/>
  <c r="AO61" i="1" s="1"/>
  <c r="B62" i="1"/>
  <c r="C62" i="1" s="1"/>
  <c r="D62" i="1" s="1"/>
  <c r="AF62" i="1" s="1"/>
  <c r="E62" i="1"/>
  <c r="F62" i="1" s="1"/>
  <c r="G62" i="1" s="1"/>
  <c r="AG62" i="1" s="1"/>
  <c r="H62" i="1"/>
  <c r="I62" i="1" s="1"/>
  <c r="J62" i="1" s="1"/>
  <c r="AH62" i="1" s="1"/>
  <c r="K62" i="1"/>
  <c r="L62" i="1" s="1"/>
  <c r="M62" i="1" s="1"/>
  <c r="AI62" i="1" s="1"/>
  <c r="N62" i="1"/>
  <c r="O62" i="1" s="1"/>
  <c r="P62" i="1" s="1"/>
  <c r="AJ62" i="1" s="1"/>
  <c r="Q62" i="1"/>
  <c r="R62" i="1" s="1"/>
  <c r="S62" i="1" s="1"/>
  <c r="AK62" i="1" s="1"/>
  <c r="T62" i="1"/>
  <c r="U62" i="1" s="1"/>
  <c r="V62" i="1" s="1"/>
  <c r="AL62" i="1" s="1"/>
  <c r="W62" i="1"/>
  <c r="X62" i="1" s="1"/>
  <c r="Y62" i="1" s="1"/>
  <c r="AM62" i="1" s="1"/>
  <c r="Z62" i="1"/>
  <c r="AA62" i="1" s="1"/>
  <c r="AB62" i="1" s="1"/>
  <c r="AN62" i="1" s="1"/>
  <c r="AC62" i="1"/>
  <c r="AD62" i="1" s="1"/>
  <c r="AE62" i="1" s="1"/>
  <c r="AO62" i="1" s="1"/>
  <c r="B63" i="1"/>
  <c r="C63" i="1" s="1"/>
  <c r="D63" i="1" s="1"/>
  <c r="AF63" i="1" s="1"/>
  <c r="E63" i="1"/>
  <c r="F63" i="1" s="1"/>
  <c r="G63" i="1" s="1"/>
  <c r="AG63" i="1" s="1"/>
  <c r="H63" i="1"/>
  <c r="I63" i="1" s="1"/>
  <c r="J63" i="1" s="1"/>
  <c r="AH63" i="1" s="1"/>
  <c r="K63" i="1"/>
  <c r="L63" i="1" s="1"/>
  <c r="M63" i="1" s="1"/>
  <c r="AI63" i="1" s="1"/>
  <c r="N63" i="1"/>
  <c r="O63" i="1" s="1"/>
  <c r="P63" i="1" s="1"/>
  <c r="AJ63" i="1" s="1"/>
  <c r="Q63" i="1"/>
  <c r="R63" i="1" s="1"/>
  <c r="S63" i="1" s="1"/>
  <c r="AK63" i="1" s="1"/>
  <c r="T63" i="1"/>
  <c r="U63" i="1" s="1"/>
  <c r="V63" i="1" s="1"/>
  <c r="AL63" i="1" s="1"/>
  <c r="W63" i="1"/>
  <c r="X63" i="1" s="1"/>
  <c r="Y63" i="1" s="1"/>
  <c r="AM63" i="1" s="1"/>
  <c r="Z63" i="1"/>
  <c r="AA63" i="1" s="1"/>
  <c r="AB63" i="1" s="1"/>
  <c r="AN63" i="1" s="1"/>
  <c r="AC63" i="1"/>
  <c r="AD63" i="1" s="1"/>
  <c r="AE63" i="1" s="1"/>
  <c r="AO63" i="1" s="1"/>
  <c r="B64" i="1"/>
  <c r="C64" i="1" s="1"/>
  <c r="D64" i="1" s="1"/>
  <c r="AF64" i="1" s="1"/>
  <c r="E64" i="1"/>
  <c r="F64" i="1" s="1"/>
  <c r="G64" i="1" s="1"/>
  <c r="AG64" i="1" s="1"/>
  <c r="H64" i="1"/>
  <c r="I64" i="1" s="1"/>
  <c r="J64" i="1" s="1"/>
  <c r="AH64" i="1" s="1"/>
  <c r="K64" i="1"/>
  <c r="L64" i="1" s="1"/>
  <c r="M64" i="1" s="1"/>
  <c r="AI64" i="1" s="1"/>
  <c r="N64" i="1"/>
  <c r="O64" i="1" s="1"/>
  <c r="P64" i="1" s="1"/>
  <c r="AJ64" i="1" s="1"/>
  <c r="Q64" i="1"/>
  <c r="R64" i="1" s="1"/>
  <c r="S64" i="1" s="1"/>
  <c r="AK64" i="1" s="1"/>
  <c r="T64" i="1"/>
  <c r="U64" i="1" s="1"/>
  <c r="V64" i="1" s="1"/>
  <c r="AL64" i="1" s="1"/>
  <c r="W64" i="1"/>
  <c r="X64" i="1" s="1"/>
  <c r="Y64" i="1" s="1"/>
  <c r="AM64" i="1" s="1"/>
  <c r="Z64" i="1"/>
  <c r="AA64" i="1" s="1"/>
  <c r="AB64" i="1" s="1"/>
  <c r="AN64" i="1" s="1"/>
  <c r="AC64" i="1"/>
  <c r="AD64" i="1" s="1"/>
  <c r="AE64" i="1" s="1"/>
  <c r="AO64" i="1" s="1"/>
  <c r="B65" i="1"/>
  <c r="C65" i="1" s="1"/>
  <c r="D65" i="1" s="1"/>
  <c r="AF65" i="1" s="1"/>
  <c r="E65" i="1"/>
  <c r="F65" i="1" s="1"/>
  <c r="G65" i="1" s="1"/>
  <c r="AG65" i="1" s="1"/>
  <c r="H65" i="1"/>
  <c r="I65" i="1" s="1"/>
  <c r="J65" i="1" s="1"/>
  <c r="AH65" i="1" s="1"/>
  <c r="K65" i="1"/>
  <c r="L65" i="1" s="1"/>
  <c r="M65" i="1" s="1"/>
  <c r="AI65" i="1" s="1"/>
  <c r="N65" i="1"/>
  <c r="O65" i="1" s="1"/>
  <c r="P65" i="1" s="1"/>
  <c r="AJ65" i="1" s="1"/>
  <c r="Q65" i="1"/>
  <c r="R65" i="1" s="1"/>
  <c r="S65" i="1" s="1"/>
  <c r="AK65" i="1" s="1"/>
  <c r="T65" i="1"/>
  <c r="U65" i="1" s="1"/>
  <c r="V65" i="1" s="1"/>
  <c r="AL65" i="1" s="1"/>
  <c r="W65" i="1"/>
  <c r="X65" i="1" s="1"/>
  <c r="Y65" i="1" s="1"/>
  <c r="AM65" i="1" s="1"/>
  <c r="Z65" i="1"/>
  <c r="AA65" i="1" s="1"/>
  <c r="AB65" i="1" s="1"/>
  <c r="AN65" i="1" s="1"/>
  <c r="AC65" i="1"/>
  <c r="AD65" i="1" s="1"/>
  <c r="AE65" i="1" s="1"/>
  <c r="AO65" i="1" s="1"/>
  <c r="B66" i="1"/>
  <c r="C66" i="1" s="1"/>
  <c r="D66" i="1" s="1"/>
  <c r="AF66" i="1" s="1"/>
  <c r="E66" i="1"/>
  <c r="F66" i="1" s="1"/>
  <c r="G66" i="1" s="1"/>
  <c r="AG66" i="1" s="1"/>
  <c r="H66" i="1"/>
  <c r="I66" i="1" s="1"/>
  <c r="J66" i="1" s="1"/>
  <c r="AH66" i="1" s="1"/>
  <c r="K66" i="1"/>
  <c r="L66" i="1" s="1"/>
  <c r="M66" i="1" s="1"/>
  <c r="AI66" i="1" s="1"/>
  <c r="N66" i="1"/>
  <c r="O66" i="1" s="1"/>
  <c r="P66" i="1" s="1"/>
  <c r="AJ66" i="1" s="1"/>
  <c r="Q66" i="1"/>
  <c r="R66" i="1" s="1"/>
  <c r="S66" i="1" s="1"/>
  <c r="AK66" i="1" s="1"/>
  <c r="T66" i="1"/>
  <c r="U66" i="1" s="1"/>
  <c r="V66" i="1" s="1"/>
  <c r="AL66" i="1" s="1"/>
  <c r="W66" i="1"/>
  <c r="X66" i="1" s="1"/>
  <c r="Y66" i="1" s="1"/>
  <c r="AM66" i="1" s="1"/>
  <c r="Z66" i="1"/>
  <c r="AA66" i="1" s="1"/>
  <c r="AB66" i="1" s="1"/>
  <c r="AN66" i="1" s="1"/>
  <c r="AC66" i="1"/>
  <c r="AD66" i="1" s="1"/>
  <c r="AE66" i="1" s="1"/>
  <c r="AO66" i="1" s="1"/>
  <c r="B67" i="1"/>
  <c r="C67" i="1" s="1"/>
  <c r="D67" i="1" s="1"/>
  <c r="AF67" i="1" s="1"/>
  <c r="E67" i="1"/>
  <c r="F67" i="1" s="1"/>
  <c r="G67" i="1" s="1"/>
  <c r="AG67" i="1" s="1"/>
  <c r="H67" i="1"/>
  <c r="I67" i="1" s="1"/>
  <c r="J67" i="1" s="1"/>
  <c r="AH67" i="1" s="1"/>
  <c r="K67" i="1"/>
  <c r="L67" i="1" s="1"/>
  <c r="M67" i="1" s="1"/>
  <c r="AI67" i="1" s="1"/>
  <c r="N67" i="1"/>
  <c r="O67" i="1" s="1"/>
  <c r="P67" i="1" s="1"/>
  <c r="AJ67" i="1" s="1"/>
  <c r="Q67" i="1"/>
  <c r="R67" i="1" s="1"/>
  <c r="S67" i="1" s="1"/>
  <c r="AK67" i="1" s="1"/>
  <c r="T67" i="1"/>
  <c r="U67" i="1" s="1"/>
  <c r="V67" i="1" s="1"/>
  <c r="AL67" i="1" s="1"/>
  <c r="W67" i="1"/>
  <c r="X67" i="1" s="1"/>
  <c r="Y67" i="1" s="1"/>
  <c r="AM67" i="1" s="1"/>
  <c r="Z67" i="1"/>
  <c r="AA67" i="1" s="1"/>
  <c r="AB67" i="1" s="1"/>
  <c r="AN67" i="1" s="1"/>
  <c r="AC67" i="1"/>
  <c r="AD67" i="1" s="1"/>
  <c r="AE67" i="1" s="1"/>
  <c r="AO67" i="1" s="1"/>
  <c r="B68" i="1"/>
  <c r="C68" i="1" s="1"/>
  <c r="D68" i="1" s="1"/>
  <c r="AF68" i="1" s="1"/>
  <c r="E68" i="1"/>
  <c r="F68" i="1" s="1"/>
  <c r="G68" i="1" s="1"/>
  <c r="AG68" i="1" s="1"/>
  <c r="H68" i="1"/>
  <c r="I68" i="1" s="1"/>
  <c r="J68" i="1" s="1"/>
  <c r="AH68" i="1" s="1"/>
  <c r="K68" i="1"/>
  <c r="L68" i="1" s="1"/>
  <c r="M68" i="1" s="1"/>
  <c r="AI68" i="1" s="1"/>
  <c r="N68" i="1"/>
  <c r="O68" i="1" s="1"/>
  <c r="P68" i="1" s="1"/>
  <c r="AJ68" i="1" s="1"/>
  <c r="Q68" i="1"/>
  <c r="R68" i="1" s="1"/>
  <c r="S68" i="1" s="1"/>
  <c r="AK68" i="1" s="1"/>
  <c r="T68" i="1"/>
  <c r="U68" i="1" s="1"/>
  <c r="V68" i="1" s="1"/>
  <c r="AL68" i="1" s="1"/>
  <c r="W68" i="1"/>
  <c r="X68" i="1" s="1"/>
  <c r="Y68" i="1" s="1"/>
  <c r="AM68" i="1" s="1"/>
  <c r="Z68" i="1"/>
  <c r="AA68" i="1" s="1"/>
  <c r="AB68" i="1" s="1"/>
  <c r="AN68" i="1" s="1"/>
  <c r="AC68" i="1"/>
  <c r="AD68" i="1" s="1"/>
  <c r="AE68" i="1" s="1"/>
  <c r="AO68" i="1" s="1"/>
  <c r="B69" i="1"/>
  <c r="C69" i="1" s="1"/>
  <c r="D69" i="1" s="1"/>
  <c r="AF69" i="1" s="1"/>
  <c r="E69" i="1"/>
  <c r="F69" i="1" s="1"/>
  <c r="G69" i="1" s="1"/>
  <c r="AG69" i="1" s="1"/>
  <c r="H69" i="1"/>
  <c r="I69" i="1" s="1"/>
  <c r="J69" i="1" s="1"/>
  <c r="AH69" i="1" s="1"/>
  <c r="K69" i="1"/>
  <c r="L69" i="1" s="1"/>
  <c r="M69" i="1" s="1"/>
  <c r="AI69" i="1" s="1"/>
  <c r="N69" i="1"/>
  <c r="O69" i="1" s="1"/>
  <c r="P69" i="1" s="1"/>
  <c r="AJ69" i="1" s="1"/>
  <c r="Q69" i="1"/>
  <c r="R69" i="1" s="1"/>
  <c r="S69" i="1" s="1"/>
  <c r="AK69" i="1" s="1"/>
  <c r="T69" i="1"/>
  <c r="U69" i="1" s="1"/>
  <c r="V69" i="1" s="1"/>
  <c r="AL69" i="1" s="1"/>
  <c r="W69" i="1"/>
  <c r="X69" i="1" s="1"/>
  <c r="Y69" i="1" s="1"/>
  <c r="AM69" i="1" s="1"/>
  <c r="Z69" i="1"/>
  <c r="AA69" i="1" s="1"/>
  <c r="AB69" i="1" s="1"/>
  <c r="AN69" i="1" s="1"/>
  <c r="AC69" i="1"/>
  <c r="AD69" i="1" s="1"/>
  <c r="AE69" i="1" s="1"/>
  <c r="AO69" i="1" s="1"/>
  <c r="B70" i="1"/>
  <c r="C70" i="1" s="1"/>
  <c r="D70" i="1" s="1"/>
  <c r="AF70" i="1" s="1"/>
  <c r="E70" i="1"/>
  <c r="F70" i="1" s="1"/>
  <c r="G70" i="1" s="1"/>
  <c r="AG70" i="1" s="1"/>
  <c r="H70" i="1"/>
  <c r="I70" i="1" s="1"/>
  <c r="J70" i="1" s="1"/>
  <c r="AH70" i="1" s="1"/>
  <c r="K70" i="1"/>
  <c r="L70" i="1" s="1"/>
  <c r="M70" i="1" s="1"/>
  <c r="AI70" i="1" s="1"/>
  <c r="N70" i="1"/>
  <c r="O70" i="1" s="1"/>
  <c r="P70" i="1" s="1"/>
  <c r="AJ70" i="1" s="1"/>
  <c r="Q70" i="1"/>
  <c r="R70" i="1" s="1"/>
  <c r="S70" i="1" s="1"/>
  <c r="AK70" i="1" s="1"/>
  <c r="T70" i="1"/>
  <c r="U70" i="1" s="1"/>
  <c r="V70" i="1" s="1"/>
  <c r="AL70" i="1" s="1"/>
  <c r="W70" i="1"/>
  <c r="X70" i="1" s="1"/>
  <c r="Y70" i="1" s="1"/>
  <c r="AM70" i="1" s="1"/>
  <c r="Z70" i="1"/>
  <c r="AA70" i="1" s="1"/>
  <c r="AB70" i="1" s="1"/>
  <c r="AN70" i="1" s="1"/>
  <c r="AC70" i="1"/>
  <c r="AD70" i="1" s="1"/>
  <c r="AE70" i="1" s="1"/>
  <c r="AO70" i="1" s="1"/>
  <c r="B71" i="1"/>
  <c r="C71" i="1" s="1"/>
  <c r="D71" i="1" s="1"/>
  <c r="AF71" i="1" s="1"/>
  <c r="E71" i="1"/>
  <c r="F71" i="1" s="1"/>
  <c r="G71" i="1" s="1"/>
  <c r="AG71" i="1" s="1"/>
  <c r="H71" i="1"/>
  <c r="I71" i="1" s="1"/>
  <c r="J71" i="1" s="1"/>
  <c r="AH71" i="1" s="1"/>
  <c r="K71" i="1"/>
  <c r="L71" i="1" s="1"/>
  <c r="M71" i="1" s="1"/>
  <c r="AI71" i="1" s="1"/>
  <c r="N71" i="1"/>
  <c r="O71" i="1" s="1"/>
  <c r="P71" i="1" s="1"/>
  <c r="AJ71" i="1" s="1"/>
  <c r="Q71" i="1"/>
  <c r="R71" i="1" s="1"/>
  <c r="S71" i="1" s="1"/>
  <c r="AK71" i="1" s="1"/>
  <c r="T71" i="1"/>
  <c r="U71" i="1" s="1"/>
  <c r="V71" i="1" s="1"/>
  <c r="AL71" i="1" s="1"/>
  <c r="W71" i="1"/>
  <c r="X71" i="1" s="1"/>
  <c r="Y71" i="1" s="1"/>
  <c r="AM71" i="1" s="1"/>
  <c r="Z71" i="1"/>
  <c r="AA71" i="1" s="1"/>
  <c r="AB71" i="1" s="1"/>
  <c r="AN71" i="1" s="1"/>
  <c r="AC71" i="1"/>
  <c r="AD71" i="1" s="1"/>
  <c r="AE71" i="1" s="1"/>
  <c r="AO71" i="1" s="1"/>
  <c r="B72" i="1"/>
  <c r="C72" i="1" s="1"/>
  <c r="D72" i="1" s="1"/>
  <c r="AF72" i="1" s="1"/>
  <c r="E72" i="1"/>
  <c r="F72" i="1" s="1"/>
  <c r="G72" i="1" s="1"/>
  <c r="AG72" i="1" s="1"/>
  <c r="H72" i="1"/>
  <c r="I72" i="1" s="1"/>
  <c r="J72" i="1" s="1"/>
  <c r="AH72" i="1" s="1"/>
  <c r="K72" i="1"/>
  <c r="L72" i="1" s="1"/>
  <c r="M72" i="1" s="1"/>
  <c r="AI72" i="1" s="1"/>
  <c r="N72" i="1"/>
  <c r="O72" i="1" s="1"/>
  <c r="P72" i="1" s="1"/>
  <c r="AJ72" i="1" s="1"/>
  <c r="Q72" i="1"/>
  <c r="R72" i="1" s="1"/>
  <c r="S72" i="1" s="1"/>
  <c r="AK72" i="1" s="1"/>
  <c r="T72" i="1"/>
  <c r="U72" i="1" s="1"/>
  <c r="V72" i="1" s="1"/>
  <c r="AL72" i="1" s="1"/>
  <c r="W72" i="1"/>
  <c r="X72" i="1" s="1"/>
  <c r="Y72" i="1" s="1"/>
  <c r="AM72" i="1" s="1"/>
  <c r="Z72" i="1"/>
  <c r="AA72" i="1" s="1"/>
  <c r="AB72" i="1" s="1"/>
  <c r="AN72" i="1" s="1"/>
  <c r="AC72" i="1"/>
  <c r="AD72" i="1" s="1"/>
  <c r="AE72" i="1" s="1"/>
  <c r="AO72" i="1" s="1"/>
  <c r="B73" i="1"/>
  <c r="C73" i="1" s="1"/>
  <c r="D73" i="1" s="1"/>
  <c r="AF73" i="1" s="1"/>
  <c r="E73" i="1"/>
  <c r="F73" i="1" s="1"/>
  <c r="G73" i="1" s="1"/>
  <c r="AG73" i="1" s="1"/>
  <c r="H73" i="1"/>
  <c r="I73" i="1" s="1"/>
  <c r="J73" i="1" s="1"/>
  <c r="AH73" i="1" s="1"/>
  <c r="K73" i="1"/>
  <c r="L73" i="1" s="1"/>
  <c r="M73" i="1" s="1"/>
  <c r="AI73" i="1" s="1"/>
  <c r="N73" i="1"/>
  <c r="O73" i="1" s="1"/>
  <c r="P73" i="1" s="1"/>
  <c r="AJ73" i="1" s="1"/>
  <c r="Q73" i="1"/>
  <c r="R73" i="1" s="1"/>
  <c r="S73" i="1" s="1"/>
  <c r="AK73" i="1" s="1"/>
  <c r="T73" i="1"/>
  <c r="U73" i="1" s="1"/>
  <c r="V73" i="1" s="1"/>
  <c r="AL73" i="1" s="1"/>
  <c r="W73" i="1"/>
  <c r="X73" i="1" s="1"/>
  <c r="Y73" i="1" s="1"/>
  <c r="AM73" i="1" s="1"/>
  <c r="Z73" i="1"/>
  <c r="AA73" i="1" s="1"/>
  <c r="AB73" i="1" s="1"/>
  <c r="AN73" i="1" s="1"/>
  <c r="AC73" i="1"/>
  <c r="AD73" i="1" s="1"/>
  <c r="AE73" i="1" s="1"/>
  <c r="AO73" i="1" s="1"/>
  <c r="B74" i="1"/>
  <c r="C74" i="1" s="1"/>
  <c r="D74" i="1" s="1"/>
  <c r="AF74" i="1" s="1"/>
  <c r="E74" i="1"/>
  <c r="F74" i="1" s="1"/>
  <c r="G74" i="1" s="1"/>
  <c r="AG74" i="1" s="1"/>
  <c r="H74" i="1"/>
  <c r="I74" i="1" s="1"/>
  <c r="J74" i="1" s="1"/>
  <c r="AH74" i="1" s="1"/>
  <c r="K74" i="1"/>
  <c r="L74" i="1" s="1"/>
  <c r="M74" i="1" s="1"/>
  <c r="AI74" i="1" s="1"/>
  <c r="N74" i="1"/>
  <c r="O74" i="1" s="1"/>
  <c r="P74" i="1" s="1"/>
  <c r="AJ74" i="1" s="1"/>
  <c r="Q74" i="1"/>
  <c r="R74" i="1" s="1"/>
  <c r="S74" i="1" s="1"/>
  <c r="AK74" i="1" s="1"/>
  <c r="T74" i="1"/>
  <c r="U74" i="1" s="1"/>
  <c r="V74" i="1" s="1"/>
  <c r="AL74" i="1" s="1"/>
  <c r="W74" i="1"/>
  <c r="X74" i="1" s="1"/>
  <c r="Y74" i="1" s="1"/>
  <c r="AM74" i="1" s="1"/>
  <c r="Z74" i="1"/>
  <c r="AA74" i="1" s="1"/>
  <c r="AB74" i="1" s="1"/>
  <c r="AN74" i="1" s="1"/>
  <c r="AC74" i="1"/>
  <c r="AD74" i="1" s="1"/>
  <c r="AE74" i="1" s="1"/>
  <c r="AO74" i="1" s="1"/>
  <c r="B75" i="1"/>
  <c r="C75" i="1" s="1"/>
  <c r="D75" i="1" s="1"/>
  <c r="AF75" i="1" s="1"/>
  <c r="E75" i="1"/>
  <c r="F75" i="1" s="1"/>
  <c r="G75" i="1" s="1"/>
  <c r="AG75" i="1" s="1"/>
  <c r="H75" i="1"/>
  <c r="I75" i="1" s="1"/>
  <c r="J75" i="1" s="1"/>
  <c r="AH75" i="1" s="1"/>
  <c r="K75" i="1"/>
  <c r="L75" i="1" s="1"/>
  <c r="M75" i="1" s="1"/>
  <c r="AI75" i="1" s="1"/>
  <c r="N75" i="1"/>
  <c r="O75" i="1" s="1"/>
  <c r="P75" i="1" s="1"/>
  <c r="AJ75" i="1" s="1"/>
  <c r="Q75" i="1"/>
  <c r="R75" i="1" s="1"/>
  <c r="S75" i="1" s="1"/>
  <c r="AK75" i="1" s="1"/>
  <c r="T75" i="1"/>
  <c r="U75" i="1" s="1"/>
  <c r="V75" i="1" s="1"/>
  <c r="AL75" i="1" s="1"/>
  <c r="W75" i="1"/>
  <c r="X75" i="1" s="1"/>
  <c r="Y75" i="1" s="1"/>
  <c r="AM75" i="1" s="1"/>
  <c r="Z75" i="1"/>
  <c r="AA75" i="1" s="1"/>
  <c r="AB75" i="1" s="1"/>
  <c r="AN75" i="1" s="1"/>
  <c r="AC75" i="1"/>
  <c r="AD75" i="1" s="1"/>
  <c r="AE75" i="1" s="1"/>
  <c r="AO75" i="1" s="1"/>
  <c r="B76" i="1"/>
  <c r="C76" i="1" s="1"/>
  <c r="D76" i="1" s="1"/>
  <c r="AF76" i="1" s="1"/>
  <c r="E76" i="1"/>
  <c r="F76" i="1" s="1"/>
  <c r="G76" i="1" s="1"/>
  <c r="AG76" i="1" s="1"/>
  <c r="H76" i="1"/>
  <c r="I76" i="1" s="1"/>
  <c r="J76" i="1" s="1"/>
  <c r="K76" i="1"/>
  <c r="L76" i="1" s="1"/>
  <c r="M76" i="1" s="1"/>
  <c r="AI76" i="1" s="1"/>
  <c r="N76" i="1"/>
  <c r="O76" i="1" s="1"/>
  <c r="P76" i="1" s="1"/>
  <c r="AJ76" i="1" s="1"/>
  <c r="Q76" i="1"/>
  <c r="R76" i="1" s="1"/>
  <c r="S76" i="1" s="1"/>
  <c r="AK76" i="1" s="1"/>
  <c r="T76" i="1"/>
  <c r="U76" i="1" s="1"/>
  <c r="V76" i="1" s="1"/>
  <c r="AL76" i="1" s="1"/>
  <c r="W76" i="1"/>
  <c r="X76" i="1" s="1"/>
  <c r="Y76" i="1" s="1"/>
  <c r="AM76" i="1" s="1"/>
  <c r="Z76" i="1"/>
  <c r="AA76" i="1" s="1"/>
  <c r="AB76" i="1" s="1"/>
  <c r="AN76" i="1" s="1"/>
  <c r="AC76" i="1"/>
  <c r="AD76" i="1" s="1"/>
  <c r="AE76" i="1" s="1"/>
  <c r="AO76" i="1" s="1"/>
  <c r="AH76" i="1"/>
  <c r="B77" i="1"/>
  <c r="C77" i="1" s="1"/>
  <c r="D77" i="1" s="1"/>
  <c r="AF77" i="1" s="1"/>
  <c r="E77" i="1"/>
  <c r="F77" i="1" s="1"/>
  <c r="G77" i="1" s="1"/>
  <c r="AG77" i="1" s="1"/>
  <c r="H77" i="1"/>
  <c r="I77" i="1" s="1"/>
  <c r="J77" i="1" s="1"/>
  <c r="AH77" i="1" s="1"/>
  <c r="K77" i="1"/>
  <c r="L77" i="1" s="1"/>
  <c r="M77" i="1" s="1"/>
  <c r="AI77" i="1" s="1"/>
  <c r="N77" i="1"/>
  <c r="O77" i="1" s="1"/>
  <c r="P77" i="1" s="1"/>
  <c r="AJ77" i="1" s="1"/>
  <c r="Q77" i="1"/>
  <c r="R77" i="1" s="1"/>
  <c r="S77" i="1" s="1"/>
  <c r="AK77" i="1" s="1"/>
  <c r="T77" i="1"/>
  <c r="U77" i="1" s="1"/>
  <c r="V77" i="1" s="1"/>
  <c r="AL77" i="1" s="1"/>
  <c r="W77" i="1"/>
  <c r="X77" i="1" s="1"/>
  <c r="Y77" i="1" s="1"/>
  <c r="AM77" i="1" s="1"/>
  <c r="Z77" i="1"/>
  <c r="AA77" i="1" s="1"/>
  <c r="AB77" i="1" s="1"/>
  <c r="AN77" i="1" s="1"/>
  <c r="AC77" i="1"/>
  <c r="AD77" i="1" s="1"/>
  <c r="AE77" i="1" s="1"/>
  <c r="AO77" i="1" s="1"/>
  <c r="B78" i="1"/>
  <c r="C78" i="1" s="1"/>
  <c r="D78" i="1" s="1"/>
  <c r="AF78" i="1" s="1"/>
  <c r="E78" i="1"/>
  <c r="F78" i="1" s="1"/>
  <c r="G78" i="1" s="1"/>
  <c r="AG78" i="1" s="1"/>
  <c r="H78" i="1"/>
  <c r="I78" i="1" s="1"/>
  <c r="J78" i="1" s="1"/>
  <c r="AH78" i="1" s="1"/>
  <c r="K78" i="1"/>
  <c r="L78" i="1" s="1"/>
  <c r="M78" i="1" s="1"/>
  <c r="AI78" i="1" s="1"/>
  <c r="N78" i="1"/>
  <c r="O78" i="1" s="1"/>
  <c r="P78" i="1" s="1"/>
  <c r="AJ78" i="1" s="1"/>
  <c r="Q78" i="1"/>
  <c r="R78" i="1" s="1"/>
  <c r="S78" i="1" s="1"/>
  <c r="AK78" i="1" s="1"/>
  <c r="T78" i="1"/>
  <c r="U78" i="1" s="1"/>
  <c r="V78" i="1" s="1"/>
  <c r="AL78" i="1" s="1"/>
  <c r="W78" i="1"/>
  <c r="X78" i="1" s="1"/>
  <c r="Y78" i="1" s="1"/>
  <c r="AM78" i="1" s="1"/>
  <c r="Z78" i="1"/>
  <c r="AA78" i="1" s="1"/>
  <c r="AB78" i="1" s="1"/>
  <c r="AN78" i="1" s="1"/>
  <c r="AC78" i="1"/>
  <c r="AD78" i="1" s="1"/>
  <c r="AE78" i="1" s="1"/>
  <c r="AO78" i="1" s="1"/>
  <c r="B79" i="1"/>
  <c r="C79" i="1" s="1"/>
  <c r="D79" i="1" s="1"/>
  <c r="AF79" i="1" s="1"/>
  <c r="E79" i="1"/>
  <c r="F79" i="1" s="1"/>
  <c r="G79" i="1" s="1"/>
  <c r="AG79" i="1" s="1"/>
  <c r="H79" i="1"/>
  <c r="I79" i="1" s="1"/>
  <c r="J79" i="1" s="1"/>
  <c r="AH79" i="1" s="1"/>
  <c r="K79" i="1"/>
  <c r="L79" i="1" s="1"/>
  <c r="M79" i="1" s="1"/>
  <c r="AI79" i="1" s="1"/>
  <c r="N79" i="1"/>
  <c r="O79" i="1" s="1"/>
  <c r="P79" i="1" s="1"/>
  <c r="AJ79" i="1" s="1"/>
  <c r="Q79" i="1"/>
  <c r="R79" i="1" s="1"/>
  <c r="S79" i="1" s="1"/>
  <c r="AK79" i="1" s="1"/>
  <c r="T79" i="1"/>
  <c r="U79" i="1" s="1"/>
  <c r="V79" i="1" s="1"/>
  <c r="AL79" i="1" s="1"/>
  <c r="W79" i="1"/>
  <c r="X79" i="1" s="1"/>
  <c r="Y79" i="1" s="1"/>
  <c r="AM79" i="1" s="1"/>
  <c r="Z79" i="1"/>
  <c r="AA79" i="1" s="1"/>
  <c r="AB79" i="1" s="1"/>
  <c r="AN79" i="1" s="1"/>
  <c r="AC79" i="1"/>
  <c r="AD79" i="1" s="1"/>
  <c r="AE79" i="1" s="1"/>
  <c r="AO79" i="1" s="1"/>
  <c r="B80" i="1"/>
  <c r="C80" i="1" s="1"/>
  <c r="D80" i="1" s="1"/>
  <c r="AF80" i="1" s="1"/>
  <c r="E80" i="1"/>
  <c r="F80" i="1" s="1"/>
  <c r="G80" i="1" s="1"/>
  <c r="AG80" i="1" s="1"/>
  <c r="H80" i="1"/>
  <c r="I80" i="1" s="1"/>
  <c r="J80" i="1" s="1"/>
  <c r="AH80" i="1" s="1"/>
  <c r="K80" i="1"/>
  <c r="L80" i="1" s="1"/>
  <c r="M80" i="1" s="1"/>
  <c r="AI80" i="1" s="1"/>
  <c r="N80" i="1"/>
  <c r="O80" i="1" s="1"/>
  <c r="P80" i="1" s="1"/>
  <c r="AJ80" i="1" s="1"/>
  <c r="Q80" i="1"/>
  <c r="R80" i="1" s="1"/>
  <c r="S80" i="1" s="1"/>
  <c r="AK80" i="1" s="1"/>
  <c r="T80" i="1"/>
  <c r="U80" i="1" s="1"/>
  <c r="V80" i="1" s="1"/>
  <c r="W80" i="1"/>
  <c r="X80" i="1" s="1"/>
  <c r="Y80" i="1" s="1"/>
  <c r="AM80" i="1" s="1"/>
  <c r="Z80" i="1"/>
  <c r="AA80" i="1" s="1"/>
  <c r="AB80" i="1" s="1"/>
  <c r="AN80" i="1" s="1"/>
  <c r="AC80" i="1"/>
  <c r="AD80" i="1" s="1"/>
  <c r="AE80" i="1" s="1"/>
  <c r="AO80" i="1" s="1"/>
  <c r="AL80" i="1"/>
  <c r="B81" i="1"/>
  <c r="C81" i="1" s="1"/>
  <c r="D81" i="1" s="1"/>
  <c r="AF81" i="1" s="1"/>
  <c r="E81" i="1"/>
  <c r="F81" i="1" s="1"/>
  <c r="G81" i="1" s="1"/>
  <c r="AG81" i="1" s="1"/>
  <c r="H81" i="1"/>
  <c r="I81" i="1" s="1"/>
  <c r="J81" i="1" s="1"/>
  <c r="AH81" i="1" s="1"/>
  <c r="K81" i="1"/>
  <c r="L81" i="1" s="1"/>
  <c r="M81" i="1" s="1"/>
  <c r="AI81" i="1" s="1"/>
  <c r="N81" i="1"/>
  <c r="O81" i="1" s="1"/>
  <c r="P81" i="1" s="1"/>
  <c r="AJ81" i="1" s="1"/>
  <c r="Q81" i="1"/>
  <c r="R81" i="1" s="1"/>
  <c r="S81" i="1" s="1"/>
  <c r="AK81" i="1" s="1"/>
  <c r="T81" i="1"/>
  <c r="U81" i="1" s="1"/>
  <c r="V81" i="1" s="1"/>
  <c r="AL81" i="1" s="1"/>
  <c r="W81" i="1"/>
  <c r="X81" i="1" s="1"/>
  <c r="Y81" i="1" s="1"/>
  <c r="AM81" i="1" s="1"/>
  <c r="Z81" i="1"/>
  <c r="AA81" i="1" s="1"/>
  <c r="AB81" i="1" s="1"/>
  <c r="AN81" i="1" s="1"/>
  <c r="AC81" i="1"/>
  <c r="AD81" i="1" s="1"/>
  <c r="AE81" i="1" s="1"/>
  <c r="AO81" i="1" s="1"/>
  <c r="B82" i="1"/>
  <c r="C82" i="1" s="1"/>
  <c r="D82" i="1" s="1"/>
  <c r="AF82" i="1" s="1"/>
  <c r="E82" i="1"/>
  <c r="F82" i="1" s="1"/>
  <c r="G82" i="1" s="1"/>
  <c r="AG82" i="1" s="1"/>
  <c r="H82" i="1"/>
  <c r="I82" i="1" s="1"/>
  <c r="J82" i="1" s="1"/>
  <c r="AH82" i="1" s="1"/>
  <c r="K82" i="1"/>
  <c r="L82" i="1" s="1"/>
  <c r="M82" i="1" s="1"/>
  <c r="AI82" i="1" s="1"/>
  <c r="N82" i="1"/>
  <c r="O82" i="1" s="1"/>
  <c r="P82" i="1" s="1"/>
  <c r="AJ82" i="1" s="1"/>
  <c r="Q82" i="1"/>
  <c r="R82" i="1" s="1"/>
  <c r="S82" i="1" s="1"/>
  <c r="AK82" i="1" s="1"/>
  <c r="T82" i="1"/>
  <c r="U82" i="1" s="1"/>
  <c r="V82" i="1" s="1"/>
  <c r="AL82" i="1" s="1"/>
  <c r="W82" i="1"/>
  <c r="X82" i="1" s="1"/>
  <c r="Y82" i="1" s="1"/>
  <c r="AM82" i="1" s="1"/>
  <c r="Z82" i="1"/>
  <c r="AA82" i="1" s="1"/>
  <c r="AB82" i="1" s="1"/>
  <c r="AN82" i="1" s="1"/>
  <c r="AC82" i="1"/>
  <c r="AD82" i="1" s="1"/>
  <c r="AE82" i="1" s="1"/>
  <c r="AO82" i="1" s="1"/>
  <c r="B83" i="1"/>
  <c r="C83" i="1" s="1"/>
  <c r="D83" i="1" s="1"/>
  <c r="AF83" i="1" s="1"/>
  <c r="E83" i="1"/>
  <c r="F83" i="1" s="1"/>
  <c r="G83" i="1" s="1"/>
  <c r="AG83" i="1" s="1"/>
  <c r="H83" i="1"/>
  <c r="I83" i="1" s="1"/>
  <c r="J83" i="1" s="1"/>
  <c r="AH83" i="1" s="1"/>
  <c r="K83" i="1"/>
  <c r="L83" i="1" s="1"/>
  <c r="M83" i="1" s="1"/>
  <c r="AI83" i="1" s="1"/>
  <c r="N83" i="1"/>
  <c r="O83" i="1" s="1"/>
  <c r="P83" i="1" s="1"/>
  <c r="AJ83" i="1" s="1"/>
  <c r="Q83" i="1"/>
  <c r="R83" i="1" s="1"/>
  <c r="S83" i="1" s="1"/>
  <c r="AK83" i="1" s="1"/>
  <c r="T83" i="1"/>
  <c r="U83" i="1" s="1"/>
  <c r="V83" i="1" s="1"/>
  <c r="AL83" i="1" s="1"/>
  <c r="W83" i="1"/>
  <c r="X83" i="1" s="1"/>
  <c r="Y83" i="1" s="1"/>
  <c r="AM83" i="1" s="1"/>
  <c r="Z83" i="1"/>
  <c r="AA83" i="1" s="1"/>
  <c r="AB83" i="1" s="1"/>
  <c r="AN83" i="1" s="1"/>
  <c r="AC83" i="1"/>
  <c r="AD83" i="1" s="1"/>
  <c r="AE83" i="1" s="1"/>
  <c r="AO83" i="1" s="1"/>
  <c r="B84" i="1"/>
  <c r="C84" i="1" s="1"/>
  <c r="D84" i="1" s="1"/>
  <c r="AF84" i="1" s="1"/>
  <c r="E84" i="1"/>
  <c r="F84" i="1" s="1"/>
  <c r="G84" i="1" s="1"/>
  <c r="AG84" i="1" s="1"/>
  <c r="H84" i="1"/>
  <c r="I84" i="1" s="1"/>
  <c r="J84" i="1" s="1"/>
  <c r="AH84" i="1" s="1"/>
  <c r="K84" i="1"/>
  <c r="L84" i="1" s="1"/>
  <c r="M84" i="1" s="1"/>
  <c r="AI84" i="1" s="1"/>
  <c r="N84" i="1"/>
  <c r="O84" i="1" s="1"/>
  <c r="P84" i="1" s="1"/>
  <c r="AJ84" i="1" s="1"/>
  <c r="Q84" i="1"/>
  <c r="R84" i="1" s="1"/>
  <c r="S84" i="1" s="1"/>
  <c r="AK84" i="1" s="1"/>
  <c r="T84" i="1"/>
  <c r="U84" i="1" s="1"/>
  <c r="V84" i="1" s="1"/>
  <c r="AL84" i="1" s="1"/>
  <c r="W84" i="1"/>
  <c r="X84" i="1" s="1"/>
  <c r="Y84" i="1" s="1"/>
  <c r="AM84" i="1" s="1"/>
  <c r="Z84" i="1"/>
  <c r="AA84" i="1" s="1"/>
  <c r="AB84" i="1" s="1"/>
  <c r="AN84" i="1" s="1"/>
  <c r="AC84" i="1"/>
  <c r="AD84" i="1" s="1"/>
  <c r="AE84" i="1" s="1"/>
  <c r="AO84" i="1" s="1"/>
  <c r="B85" i="1"/>
  <c r="C85" i="1" s="1"/>
  <c r="D85" i="1" s="1"/>
  <c r="AF85" i="1" s="1"/>
  <c r="E85" i="1"/>
  <c r="F85" i="1" s="1"/>
  <c r="G85" i="1" s="1"/>
  <c r="AG85" i="1" s="1"/>
  <c r="H85" i="1"/>
  <c r="I85" i="1" s="1"/>
  <c r="J85" i="1" s="1"/>
  <c r="AH85" i="1" s="1"/>
  <c r="K85" i="1"/>
  <c r="L85" i="1" s="1"/>
  <c r="M85" i="1" s="1"/>
  <c r="AI85" i="1" s="1"/>
  <c r="N85" i="1"/>
  <c r="O85" i="1" s="1"/>
  <c r="P85" i="1" s="1"/>
  <c r="AJ85" i="1" s="1"/>
  <c r="Q85" i="1"/>
  <c r="R85" i="1" s="1"/>
  <c r="S85" i="1" s="1"/>
  <c r="AK85" i="1" s="1"/>
  <c r="T85" i="1"/>
  <c r="U85" i="1" s="1"/>
  <c r="V85" i="1" s="1"/>
  <c r="AL85" i="1" s="1"/>
  <c r="W85" i="1"/>
  <c r="X85" i="1" s="1"/>
  <c r="Y85" i="1" s="1"/>
  <c r="AM85" i="1" s="1"/>
  <c r="Z85" i="1"/>
  <c r="AA85" i="1" s="1"/>
  <c r="AB85" i="1" s="1"/>
  <c r="AN85" i="1" s="1"/>
  <c r="AC85" i="1"/>
  <c r="AD85" i="1" s="1"/>
  <c r="AE85" i="1" s="1"/>
  <c r="AO85" i="1" s="1"/>
  <c r="B86" i="1"/>
  <c r="C86" i="1" s="1"/>
  <c r="D86" i="1" s="1"/>
  <c r="AF86" i="1" s="1"/>
  <c r="E86" i="1"/>
  <c r="F86" i="1" s="1"/>
  <c r="G86" i="1" s="1"/>
  <c r="AG86" i="1" s="1"/>
  <c r="H86" i="1"/>
  <c r="I86" i="1" s="1"/>
  <c r="J86" i="1" s="1"/>
  <c r="AH86" i="1" s="1"/>
  <c r="K86" i="1"/>
  <c r="L86" i="1" s="1"/>
  <c r="M86" i="1" s="1"/>
  <c r="AI86" i="1" s="1"/>
  <c r="N86" i="1"/>
  <c r="O86" i="1" s="1"/>
  <c r="P86" i="1" s="1"/>
  <c r="AJ86" i="1" s="1"/>
  <c r="Q86" i="1"/>
  <c r="R86" i="1" s="1"/>
  <c r="S86" i="1" s="1"/>
  <c r="AK86" i="1" s="1"/>
  <c r="T86" i="1"/>
  <c r="U86" i="1" s="1"/>
  <c r="V86" i="1" s="1"/>
  <c r="AL86" i="1" s="1"/>
  <c r="W86" i="1"/>
  <c r="X86" i="1" s="1"/>
  <c r="Y86" i="1" s="1"/>
  <c r="AM86" i="1" s="1"/>
  <c r="Z86" i="1"/>
  <c r="AA86" i="1" s="1"/>
  <c r="AB86" i="1" s="1"/>
  <c r="AN86" i="1" s="1"/>
  <c r="AC86" i="1"/>
  <c r="AD86" i="1" s="1"/>
  <c r="AE86" i="1" s="1"/>
  <c r="AO86" i="1" s="1"/>
  <c r="B87" i="1"/>
  <c r="C87" i="1" s="1"/>
  <c r="D87" i="1" s="1"/>
  <c r="AF87" i="1" s="1"/>
  <c r="E87" i="1"/>
  <c r="F87" i="1" s="1"/>
  <c r="G87" i="1" s="1"/>
  <c r="AG87" i="1" s="1"/>
  <c r="H87" i="1"/>
  <c r="I87" i="1" s="1"/>
  <c r="J87" i="1" s="1"/>
  <c r="AH87" i="1" s="1"/>
  <c r="K87" i="1"/>
  <c r="L87" i="1" s="1"/>
  <c r="M87" i="1" s="1"/>
  <c r="AI87" i="1" s="1"/>
  <c r="N87" i="1"/>
  <c r="O87" i="1" s="1"/>
  <c r="P87" i="1" s="1"/>
  <c r="AJ87" i="1" s="1"/>
  <c r="Q87" i="1"/>
  <c r="R87" i="1" s="1"/>
  <c r="S87" i="1" s="1"/>
  <c r="AK87" i="1" s="1"/>
  <c r="T87" i="1"/>
  <c r="U87" i="1" s="1"/>
  <c r="V87" i="1" s="1"/>
  <c r="AL87" i="1" s="1"/>
  <c r="W87" i="1"/>
  <c r="X87" i="1" s="1"/>
  <c r="Y87" i="1" s="1"/>
  <c r="AM87" i="1" s="1"/>
  <c r="Z87" i="1"/>
  <c r="AA87" i="1" s="1"/>
  <c r="AB87" i="1" s="1"/>
  <c r="AN87" i="1" s="1"/>
  <c r="AC87" i="1"/>
  <c r="AD87" i="1" s="1"/>
  <c r="AE87" i="1" s="1"/>
  <c r="AO87" i="1" s="1"/>
  <c r="B88" i="1"/>
  <c r="C88" i="1" s="1"/>
  <c r="D88" i="1" s="1"/>
  <c r="AF88" i="1" s="1"/>
  <c r="E88" i="1"/>
  <c r="F88" i="1" s="1"/>
  <c r="G88" i="1" s="1"/>
  <c r="AG88" i="1" s="1"/>
  <c r="H88" i="1"/>
  <c r="I88" i="1" s="1"/>
  <c r="J88" i="1" s="1"/>
  <c r="AH88" i="1" s="1"/>
  <c r="K88" i="1"/>
  <c r="L88" i="1" s="1"/>
  <c r="M88" i="1" s="1"/>
  <c r="AI88" i="1" s="1"/>
  <c r="N88" i="1"/>
  <c r="O88" i="1" s="1"/>
  <c r="P88" i="1" s="1"/>
  <c r="AJ88" i="1" s="1"/>
  <c r="Q88" i="1"/>
  <c r="R88" i="1" s="1"/>
  <c r="S88" i="1" s="1"/>
  <c r="AK88" i="1" s="1"/>
  <c r="T88" i="1"/>
  <c r="U88" i="1" s="1"/>
  <c r="V88" i="1" s="1"/>
  <c r="AL88" i="1" s="1"/>
  <c r="W88" i="1"/>
  <c r="X88" i="1" s="1"/>
  <c r="Y88" i="1" s="1"/>
  <c r="AM88" i="1" s="1"/>
  <c r="Z88" i="1"/>
  <c r="AA88" i="1" s="1"/>
  <c r="AB88" i="1" s="1"/>
  <c r="AN88" i="1" s="1"/>
  <c r="AC88" i="1"/>
  <c r="AD88" i="1" s="1"/>
  <c r="AE88" i="1" s="1"/>
  <c r="AO88" i="1" s="1"/>
  <c r="B89" i="1"/>
  <c r="C89" i="1" s="1"/>
  <c r="D89" i="1" s="1"/>
  <c r="AF89" i="1" s="1"/>
  <c r="E89" i="1"/>
  <c r="F89" i="1" s="1"/>
  <c r="G89" i="1" s="1"/>
  <c r="AG89" i="1" s="1"/>
  <c r="H89" i="1"/>
  <c r="I89" i="1" s="1"/>
  <c r="J89" i="1" s="1"/>
  <c r="AH89" i="1" s="1"/>
  <c r="K89" i="1"/>
  <c r="L89" i="1" s="1"/>
  <c r="M89" i="1" s="1"/>
  <c r="AI89" i="1" s="1"/>
  <c r="N89" i="1"/>
  <c r="O89" i="1" s="1"/>
  <c r="P89" i="1" s="1"/>
  <c r="AJ89" i="1" s="1"/>
  <c r="Q89" i="1"/>
  <c r="R89" i="1" s="1"/>
  <c r="S89" i="1" s="1"/>
  <c r="AK89" i="1" s="1"/>
  <c r="T89" i="1"/>
  <c r="U89" i="1" s="1"/>
  <c r="V89" i="1" s="1"/>
  <c r="AL89" i="1" s="1"/>
  <c r="W89" i="1"/>
  <c r="X89" i="1" s="1"/>
  <c r="Y89" i="1" s="1"/>
  <c r="AM89" i="1" s="1"/>
  <c r="Z89" i="1"/>
  <c r="AA89" i="1" s="1"/>
  <c r="AB89" i="1" s="1"/>
  <c r="AN89" i="1" s="1"/>
  <c r="AC89" i="1"/>
  <c r="AD89" i="1" s="1"/>
  <c r="AE89" i="1" s="1"/>
  <c r="AO89" i="1" s="1"/>
  <c r="B90" i="1"/>
  <c r="C90" i="1" s="1"/>
  <c r="D90" i="1" s="1"/>
  <c r="AF90" i="1" s="1"/>
  <c r="E90" i="1"/>
  <c r="F90" i="1" s="1"/>
  <c r="G90" i="1" s="1"/>
  <c r="AG90" i="1" s="1"/>
  <c r="H90" i="1"/>
  <c r="I90" i="1" s="1"/>
  <c r="J90" i="1" s="1"/>
  <c r="AH90" i="1" s="1"/>
  <c r="K90" i="1"/>
  <c r="L90" i="1" s="1"/>
  <c r="M90" i="1" s="1"/>
  <c r="AI90" i="1" s="1"/>
  <c r="N90" i="1"/>
  <c r="O90" i="1" s="1"/>
  <c r="P90" i="1" s="1"/>
  <c r="AJ90" i="1" s="1"/>
  <c r="Q90" i="1"/>
  <c r="R90" i="1" s="1"/>
  <c r="S90" i="1" s="1"/>
  <c r="AK90" i="1" s="1"/>
  <c r="T90" i="1"/>
  <c r="U90" i="1" s="1"/>
  <c r="V90" i="1" s="1"/>
  <c r="AL90" i="1" s="1"/>
  <c r="W90" i="1"/>
  <c r="X90" i="1" s="1"/>
  <c r="Y90" i="1" s="1"/>
  <c r="AM90" i="1" s="1"/>
  <c r="Z90" i="1"/>
  <c r="AA90" i="1" s="1"/>
  <c r="AB90" i="1" s="1"/>
  <c r="AN90" i="1" s="1"/>
  <c r="AC90" i="1"/>
  <c r="AD90" i="1" s="1"/>
  <c r="AE90" i="1" s="1"/>
  <c r="AO90" i="1" s="1"/>
  <c r="B91" i="1"/>
  <c r="C91" i="1" s="1"/>
  <c r="D91" i="1" s="1"/>
  <c r="AF91" i="1" s="1"/>
  <c r="E91" i="1"/>
  <c r="F91" i="1" s="1"/>
  <c r="G91" i="1" s="1"/>
  <c r="AG91" i="1" s="1"/>
  <c r="H91" i="1"/>
  <c r="I91" i="1" s="1"/>
  <c r="J91" i="1" s="1"/>
  <c r="AH91" i="1" s="1"/>
  <c r="K91" i="1"/>
  <c r="L91" i="1" s="1"/>
  <c r="M91" i="1" s="1"/>
  <c r="AI91" i="1" s="1"/>
  <c r="N91" i="1"/>
  <c r="O91" i="1" s="1"/>
  <c r="P91" i="1" s="1"/>
  <c r="AJ91" i="1" s="1"/>
  <c r="Q91" i="1"/>
  <c r="R91" i="1" s="1"/>
  <c r="S91" i="1" s="1"/>
  <c r="AK91" i="1" s="1"/>
  <c r="T91" i="1"/>
  <c r="U91" i="1" s="1"/>
  <c r="V91" i="1" s="1"/>
  <c r="AL91" i="1" s="1"/>
  <c r="W91" i="1"/>
  <c r="X91" i="1" s="1"/>
  <c r="Y91" i="1" s="1"/>
  <c r="AM91" i="1" s="1"/>
  <c r="Z91" i="1"/>
  <c r="AA91" i="1" s="1"/>
  <c r="AB91" i="1" s="1"/>
  <c r="AN91" i="1" s="1"/>
  <c r="AC91" i="1"/>
  <c r="AD91" i="1" s="1"/>
  <c r="AE91" i="1" s="1"/>
  <c r="AO91" i="1" s="1"/>
  <c r="B92" i="1"/>
  <c r="C92" i="1" s="1"/>
  <c r="D92" i="1" s="1"/>
  <c r="AF92" i="1" s="1"/>
  <c r="E92" i="1"/>
  <c r="F92" i="1" s="1"/>
  <c r="G92" i="1" s="1"/>
  <c r="AG92" i="1" s="1"/>
  <c r="H92" i="1"/>
  <c r="I92" i="1" s="1"/>
  <c r="J92" i="1" s="1"/>
  <c r="AH92" i="1" s="1"/>
  <c r="K92" i="1"/>
  <c r="L92" i="1" s="1"/>
  <c r="M92" i="1" s="1"/>
  <c r="AI92" i="1" s="1"/>
  <c r="N92" i="1"/>
  <c r="O92" i="1" s="1"/>
  <c r="P92" i="1" s="1"/>
  <c r="AJ92" i="1" s="1"/>
  <c r="Q92" i="1"/>
  <c r="R92" i="1" s="1"/>
  <c r="S92" i="1" s="1"/>
  <c r="AK92" i="1" s="1"/>
  <c r="T92" i="1"/>
  <c r="U92" i="1" s="1"/>
  <c r="V92" i="1" s="1"/>
  <c r="AL92" i="1" s="1"/>
  <c r="W92" i="1"/>
  <c r="X92" i="1" s="1"/>
  <c r="Y92" i="1" s="1"/>
  <c r="AM92" i="1" s="1"/>
  <c r="Z92" i="1"/>
  <c r="AA92" i="1" s="1"/>
  <c r="AB92" i="1" s="1"/>
  <c r="AN92" i="1" s="1"/>
  <c r="AC92" i="1"/>
  <c r="AD92" i="1" s="1"/>
  <c r="AE92" i="1" s="1"/>
  <c r="AO92" i="1" s="1"/>
  <c r="B93" i="1"/>
  <c r="C93" i="1" s="1"/>
  <c r="D93" i="1" s="1"/>
  <c r="AF93" i="1" s="1"/>
  <c r="E93" i="1"/>
  <c r="F93" i="1" s="1"/>
  <c r="G93" i="1" s="1"/>
  <c r="AG93" i="1" s="1"/>
  <c r="H93" i="1"/>
  <c r="I93" i="1" s="1"/>
  <c r="J93" i="1" s="1"/>
  <c r="AH93" i="1" s="1"/>
  <c r="K93" i="1"/>
  <c r="L93" i="1" s="1"/>
  <c r="M93" i="1" s="1"/>
  <c r="AI93" i="1" s="1"/>
  <c r="N93" i="1"/>
  <c r="O93" i="1" s="1"/>
  <c r="P93" i="1" s="1"/>
  <c r="AJ93" i="1" s="1"/>
  <c r="Q93" i="1"/>
  <c r="R93" i="1" s="1"/>
  <c r="S93" i="1" s="1"/>
  <c r="AK93" i="1" s="1"/>
  <c r="T93" i="1"/>
  <c r="U93" i="1" s="1"/>
  <c r="V93" i="1" s="1"/>
  <c r="AL93" i="1" s="1"/>
  <c r="W93" i="1"/>
  <c r="X93" i="1" s="1"/>
  <c r="Y93" i="1" s="1"/>
  <c r="AM93" i="1" s="1"/>
  <c r="Z93" i="1"/>
  <c r="AA93" i="1" s="1"/>
  <c r="AB93" i="1" s="1"/>
  <c r="AN93" i="1" s="1"/>
  <c r="AC93" i="1"/>
  <c r="AD93" i="1" s="1"/>
  <c r="AE93" i="1" s="1"/>
  <c r="AO93" i="1" s="1"/>
  <c r="B94" i="1"/>
  <c r="C94" i="1" s="1"/>
  <c r="D94" i="1" s="1"/>
  <c r="AF94" i="1" s="1"/>
  <c r="E94" i="1"/>
  <c r="F94" i="1" s="1"/>
  <c r="G94" i="1" s="1"/>
  <c r="AG94" i="1" s="1"/>
  <c r="H94" i="1"/>
  <c r="I94" i="1" s="1"/>
  <c r="J94" i="1" s="1"/>
  <c r="AH94" i="1" s="1"/>
  <c r="K94" i="1"/>
  <c r="L94" i="1" s="1"/>
  <c r="M94" i="1" s="1"/>
  <c r="AI94" i="1" s="1"/>
  <c r="N94" i="1"/>
  <c r="O94" i="1" s="1"/>
  <c r="P94" i="1" s="1"/>
  <c r="AJ94" i="1" s="1"/>
  <c r="Q94" i="1"/>
  <c r="R94" i="1" s="1"/>
  <c r="S94" i="1" s="1"/>
  <c r="AK94" i="1" s="1"/>
  <c r="T94" i="1"/>
  <c r="U94" i="1" s="1"/>
  <c r="V94" i="1" s="1"/>
  <c r="AL94" i="1" s="1"/>
  <c r="W94" i="1"/>
  <c r="X94" i="1" s="1"/>
  <c r="Y94" i="1" s="1"/>
  <c r="AM94" i="1" s="1"/>
  <c r="Z94" i="1"/>
  <c r="AA94" i="1" s="1"/>
  <c r="AB94" i="1" s="1"/>
  <c r="AN94" i="1" s="1"/>
  <c r="AC94" i="1"/>
  <c r="AD94" i="1" s="1"/>
  <c r="AE94" i="1" s="1"/>
  <c r="AO94" i="1" s="1"/>
  <c r="B95" i="1"/>
  <c r="C95" i="1" s="1"/>
  <c r="D95" i="1" s="1"/>
  <c r="AF95" i="1" s="1"/>
  <c r="E95" i="1"/>
  <c r="F95" i="1" s="1"/>
  <c r="G95" i="1" s="1"/>
  <c r="AG95" i="1" s="1"/>
  <c r="H95" i="1"/>
  <c r="I95" i="1" s="1"/>
  <c r="J95" i="1" s="1"/>
  <c r="AH95" i="1" s="1"/>
  <c r="K95" i="1"/>
  <c r="L95" i="1" s="1"/>
  <c r="M95" i="1" s="1"/>
  <c r="AI95" i="1" s="1"/>
  <c r="N95" i="1"/>
  <c r="O95" i="1" s="1"/>
  <c r="P95" i="1" s="1"/>
  <c r="AJ95" i="1" s="1"/>
  <c r="Q95" i="1"/>
  <c r="R95" i="1" s="1"/>
  <c r="S95" i="1" s="1"/>
  <c r="AK95" i="1" s="1"/>
  <c r="T95" i="1"/>
  <c r="U95" i="1" s="1"/>
  <c r="V95" i="1" s="1"/>
  <c r="AL95" i="1" s="1"/>
  <c r="W95" i="1"/>
  <c r="X95" i="1" s="1"/>
  <c r="Y95" i="1" s="1"/>
  <c r="AM95" i="1" s="1"/>
  <c r="Z95" i="1"/>
  <c r="AA95" i="1" s="1"/>
  <c r="AB95" i="1" s="1"/>
  <c r="AN95" i="1" s="1"/>
  <c r="AC95" i="1"/>
  <c r="AD95" i="1" s="1"/>
  <c r="AE95" i="1" s="1"/>
  <c r="AO95" i="1" s="1"/>
  <c r="B96" i="1"/>
  <c r="C96" i="1" s="1"/>
  <c r="D96" i="1" s="1"/>
  <c r="AF96" i="1" s="1"/>
  <c r="E96" i="1"/>
  <c r="F96" i="1" s="1"/>
  <c r="G96" i="1" s="1"/>
  <c r="AG96" i="1" s="1"/>
  <c r="H96" i="1"/>
  <c r="I96" i="1" s="1"/>
  <c r="J96" i="1" s="1"/>
  <c r="AH96" i="1" s="1"/>
  <c r="K96" i="1"/>
  <c r="L96" i="1" s="1"/>
  <c r="M96" i="1" s="1"/>
  <c r="AI96" i="1" s="1"/>
  <c r="N96" i="1"/>
  <c r="O96" i="1" s="1"/>
  <c r="P96" i="1" s="1"/>
  <c r="AJ96" i="1" s="1"/>
  <c r="Q96" i="1"/>
  <c r="R96" i="1" s="1"/>
  <c r="S96" i="1" s="1"/>
  <c r="AK96" i="1" s="1"/>
  <c r="T96" i="1"/>
  <c r="U96" i="1" s="1"/>
  <c r="V96" i="1" s="1"/>
  <c r="AL96" i="1" s="1"/>
  <c r="W96" i="1"/>
  <c r="X96" i="1" s="1"/>
  <c r="Y96" i="1" s="1"/>
  <c r="AM96" i="1" s="1"/>
  <c r="Z96" i="1"/>
  <c r="AA96" i="1" s="1"/>
  <c r="AB96" i="1" s="1"/>
  <c r="AN96" i="1" s="1"/>
  <c r="AC96" i="1"/>
  <c r="AD96" i="1" s="1"/>
  <c r="AE96" i="1" s="1"/>
  <c r="AO96" i="1" s="1"/>
  <c r="B97" i="1"/>
  <c r="C97" i="1" s="1"/>
  <c r="D97" i="1" s="1"/>
  <c r="AF97" i="1" s="1"/>
  <c r="E97" i="1"/>
  <c r="F97" i="1" s="1"/>
  <c r="G97" i="1" s="1"/>
  <c r="AG97" i="1" s="1"/>
  <c r="H97" i="1"/>
  <c r="I97" i="1" s="1"/>
  <c r="J97" i="1" s="1"/>
  <c r="AH97" i="1" s="1"/>
  <c r="K97" i="1"/>
  <c r="L97" i="1" s="1"/>
  <c r="M97" i="1" s="1"/>
  <c r="AI97" i="1" s="1"/>
  <c r="N97" i="1"/>
  <c r="O97" i="1" s="1"/>
  <c r="P97" i="1" s="1"/>
  <c r="AJ97" i="1" s="1"/>
  <c r="Q97" i="1"/>
  <c r="R97" i="1" s="1"/>
  <c r="S97" i="1" s="1"/>
  <c r="AK97" i="1" s="1"/>
  <c r="T97" i="1"/>
  <c r="U97" i="1" s="1"/>
  <c r="V97" i="1" s="1"/>
  <c r="AL97" i="1" s="1"/>
  <c r="W97" i="1"/>
  <c r="X97" i="1" s="1"/>
  <c r="Y97" i="1" s="1"/>
  <c r="AM97" i="1" s="1"/>
  <c r="Z97" i="1"/>
  <c r="AA97" i="1" s="1"/>
  <c r="AB97" i="1" s="1"/>
  <c r="AN97" i="1" s="1"/>
  <c r="AC97" i="1"/>
  <c r="AD97" i="1" s="1"/>
  <c r="AE97" i="1" s="1"/>
  <c r="AO97" i="1" s="1"/>
  <c r="B98" i="1"/>
  <c r="C98" i="1" s="1"/>
  <c r="D98" i="1" s="1"/>
  <c r="AF98" i="1" s="1"/>
  <c r="E98" i="1"/>
  <c r="F98" i="1" s="1"/>
  <c r="G98" i="1" s="1"/>
  <c r="AG98" i="1" s="1"/>
  <c r="H98" i="1"/>
  <c r="I98" i="1" s="1"/>
  <c r="J98" i="1" s="1"/>
  <c r="AH98" i="1" s="1"/>
  <c r="K98" i="1"/>
  <c r="L98" i="1" s="1"/>
  <c r="M98" i="1" s="1"/>
  <c r="AI98" i="1" s="1"/>
  <c r="N98" i="1"/>
  <c r="O98" i="1" s="1"/>
  <c r="P98" i="1" s="1"/>
  <c r="AJ98" i="1" s="1"/>
  <c r="Q98" i="1"/>
  <c r="R98" i="1" s="1"/>
  <c r="S98" i="1" s="1"/>
  <c r="AK98" i="1" s="1"/>
  <c r="T98" i="1"/>
  <c r="U98" i="1" s="1"/>
  <c r="V98" i="1" s="1"/>
  <c r="AL98" i="1" s="1"/>
  <c r="W98" i="1"/>
  <c r="X98" i="1" s="1"/>
  <c r="Y98" i="1" s="1"/>
  <c r="AM98" i="1" s="1"/>
  <c r="Z98" i="1"/>
  <c r="AA98" i="1" s="1"/>
  <c r="AB98" i="1" s="1"/>
  <c r="AN98" i="1" s="1"/>
  <c r="AC98" i="1"/>
  <c r="AD98" i="1" s="1"/>
  <c r="AE98" i="1" s="1"/>
  <c r="AO98" i="1" s="1"/>
  <c r="B99" i="1"/>
  <c r="C99" i="1" s="1"/>
  <c r="D99" i="1" s="1"/>
  <c r="AF99" i="1" s="1"/>
  <c r="E99" i="1"/>
  <c r="F99" i="1" s="1"/>
  <c r="G99" i="1" s="1"/>
  <c r="AG99" i="1" s="1"/>
  <c r="H99" i="1"/>
  <c r="I99" i="1" s="1"/>
  <c r="J99" i="1" s="1"/>
  <c r="AH99" i="1" s="1"/>
  <c r="K99" i="1"/>
  <c r="L99" i="1" s="1"/>
  <c r="M99" i="1" s="1"/>
  <c r="AI99" i="1" s="1"/>
  <c r="N99" i="1"/>
  <c r="O99" i="1" s="1"/>
  <c r="P99" i="1" s="1"/>
  <c r="AJ99" i="1" s="1"/>
  <c r="Q99" i="1"/>
  <c r="R99" i="1" s="1"/>
  <c r="S99" i="1" s="1"/>
  <c r="AK99" i="1" s="1"/>
  <c r="T99" i="1"/>
  <c r="U99" i="1" s="1"/>
  <c r="V99" i="1" s="1"/>
  <c r="AL99" i="1" s="1"/>
  <c r="W99" i="1"/>
  <c r="X99" i="1" s="1"/>
  <c r="Y99" i="1" s="1"/>
  <c r="AM99" i="1" s="1"/>
  <c r="Z99" i="1"/>
  <c r="AA99" i="1" s="1"/>
  <c r="AB99" i="1" s="1"/>
  <c r="AN99" i="1" s="1"/>
  <c r="AC99" i="1"/>
  <c r="AD99" i="1" s="1"/>
  <c r="AE99" i="1" s="1"/>
  <c r="AO99" i="1" s="1"/>
  <c r="B100" i="1"/>
  <c r="C100" i="1" s="1"/>
  <c r="D100" i="1" s="1"/>
  <c r="AF100" i="1" s="1"/>
  <c r="E100" i="1"/>
  <c r="F100" i="1" s="1"/>
  <c r="G100" i="1" s="1"/>
  <c r="AG100" i="1" s="1"/>
  <c r="H100" i="1"/>
  <c r="I100" i="1" s="1"/>
  <c r="J100" i="1" s="1"/>
  <c r="AH100" i="1" s="1"/>
  <c r="K100" i="1"/>
  <c r="L100" i="1" s="1"/>
  <c r="M100" i="1" s="1"/>
  <c r="AI100" i="1" s="1"/>
  <c r="N100" i="1"/>
  <c r="O100" i="1" s="1"/>
  <c r="P100" i="1" s="1"/>
  <c r="AJ100" i="1" s="1"/>
  <c r="Q100" i="1"/>
  <c r="R100" i="1" s="1"/>
  <c r="S100" i="1" s="1"/>
  <c r="AK100" i="1" s="1"/>
  <c r="T100" i="1"/>
  <c r="U100" i="1" s="1"/>
  <c r="V100" i="1" s="1"/>
  <c r="AL100" i="1" s="1"/>
  <c r="W100" i="1"/>
  <c r="X100" i="1" s="1"/>
  <c r="Y100" i="1" s="1"/>
  <c r="AM100" i="1" s="1"/>
  <c r="Z100" i="1"/>
  <c r="AA100" i="1" s="1"/>
  <c r="AB100" i="1" s="1"/>
  <c r="AN100" i="1" s="1"/>
  <c r="AC100" i="1"/>
  <c r="AD100" i="1" s="1"/>
  <c r="AE100" i="1" s="1"/>
  <c r="AO100" i="1" s="1"/>
  <c r="B101" i="1"/>
  <c r="C101" i="1" s="1"/>
  <c r="D101" i="1" s="1"/>
  <c r="AF101" i="1" s="1"/>
  <c r="E101" i="1"/>
  <c r="F101" i="1" s="1"/>
  <c r="G101" i="1" s="1"/>
  <c r="AG101" i="1" s="1"/>
  <c r="H101" i="1"/>
  <c r="I101" i="1" s="1"/>
  <c r="J101" i="1" s="1"/>
  <c r="AH101" i="1" s="1"/>
  <c r="K101" i="1"/>
  <c r="L101" i="1" s="1"/>
  <c r="M101" i="1" s="1"/>
  <c r="AI101" i="1" s="1"/>
  <c r="N101" i="1"/>
  <c r="O101" i="1" s="1"/>
  <c r="P101" i="1" s="1"/>
  <c r="AJ101" i="1" s="1"/>
  <c r="Q101" i="1"/>
  <c r="R101" i="1" s="1"/>
  <c r="S101" i="1" s="1"/>
  <c r="AK101" i="1" s="1"/>
  <c r="T101" i="1"/>
  <c r="U101" i="1" s="1"/>
  <c r="V101" i="1" s="1"/>
  <c r="AL101" i="1" s="1"/>
  <c r="W101" i="1"/>
  <c r="X101" i="1" s="1"/>
  <c r="Y101" i="1" s="1"/>
  <c r="AM101" i="1" s="1"/>
  <c r="Z101" i="1"/>
  <c r="AA101" i="1" s="1"/>
  <c r="AB101" i="1" s="1"/>
  <c r="AN101" i="1" s="1"/>
  <c r="AC101" i="1"/>
  <c r="AD101" i="1" s="1"/>
  <c r="AE101" i="1" s="1"/>
  <c r="AO101" i="1" s="1"/>
  <c r="B102" i="1"/>
  <c r="C102" i="1" s="1"/>
  <c r="D102" i="1" s="1"/>
  <c r="AF102" i="1" s="1"/>
  <c r="E102" i="1"/>
  <c r="F102" i="1" s="1"/>
  <c r="G102" i="1" s="1"/>
  <c r="AG102" i="1" s="1"/>
  <c r="H102" i="1"/>
  <c r="I102" i="1" s="1"/>
  <c r="J102" i="1" s="1"/>
  <c r="AH102" i="1" s="1"/>
  <c r="K102" i="1"/>
  <c r="L102" i="1" s="1"/>
  <c r="M102" i="1" s="1"/>
  <c r="AI102" i="1" s="1"/>
  <c r="N102" i="1"/>
  <c r="O102" i="1" s="1"/>
  <c r="P102" i="1" s="1"/>
  <c r="AJ102" i="1" s="1"/>
  <c r="Q102" i="1"/>
  <c r="R102" i="1" s="1"/>
  <c r="S102" i="1" s="1"/>
  <c r="AK102" i="1" s="1"/>
  <c r="T102" i="1"/>
  <c r="U102" i="1" s="1"/>
  <c r="V102" i="1" s="1"/>
  <c r="AL102" i="1" s="1"/>
  <c r="W102" i="1"/>
  <c r="X102" i="1" s="1"/>
  <c r="Y102" i="1" s="1"/>
  <c r="AM102" i="1" s="1"/>
  <c r="Z102" i="1"/>
  <c r="AA102" i="1" s="1"/>
  <c r="AB102" i="1" s="1"/>
  <c r="AN102" i="1" s="1"/>
  <c r="AC102" i="1"/>
  <c r="AD102" i="1" s="1"/>
  <c r="AE102" i="1" s="1"/>
  <c r="AO102" i="1" s="1"/>
  <c r="B103" i="1"/>
  <c r="C103" i="1" s="1"/>
  <c r="D103" i="1" s="1"/>
  <c r="AF103" i="1" s="1"/>
  <c r="E103" i="1"/>
  <c r="F103" i="1" s="1"/>
  <c r="G103" i="1" s="1"/>
  <c r="AG103" i="1" s="1"/>
  <c r="H103" i="1"/>
  <c r="I103" i="1" s="1"/>
  <c r="J103" i="1" s="1"/>
  <c r="AH103" i="1" s="1"/>
  <c r="K103" i="1"/>
  <c r="L103" i="1" s="1"/>
  <c r="M103" i="1" s="1"/>
  <c r="AI103" i="1" s="1"/>
  <c r="N103" i="1"/>
  <c r="O103" i="1" s="1"/>
  <c r="P103" i="1" s="1"/>
  <c r="AJ103" i="1" s="1"/>
  <c r="Q103" i="1"/>
  <c r="R103" i="1" s="1"/>
  <c r="S103" i="1" s="1"/>
  <c r="AK103" i="1" s="1"/>
  <c r="T103" i="1"/>
  <c r="U103" i="1" s="1"/>
  <c r="V103" i="1" s="1"/>
  <c r="AL103" i="1" s="1"/>
  <c r="W103" i="1"/>
  <c r="X103" i="1" s="1"/>
  <c r="Y103" i="1" s="1"/>
  <c r="AM103" i="1" s="1"/>
  <c r="Z103" i="1"/>
  <c r="AA103" i="1" s="1"/>
  <c r="AB103" i="1" s="1"/>
  <c r="AN103" i="1" s="1"/>
  <c r="AC103" i="1"/>
  <c r="AD103" i="1" s="1"/>
  <c r="AE103" i="1" s="1"/>
  <c r="AO103" i="1" s="1"/>
  <c r="B104" i="1"/>
  <c r="C104" i="1" s="1"/>
  <c r="D104" i="1" s="1"/>
  <c r="AF104" i="1" s="1"/>
  <c r="E104" i="1"/>
  <c r="F104" i="1" s="1"/>
  <c r="G104" i="1" s="1"/>
  <c r="AG104" i="1" s="1"/>
  <c r="H104" i="1"/>
  <c r="I104" i="1" s="1"/>
  <c r="J104" i="1" s="1"/>
  <c r="AH104" i="1" s="1"/>
  <c r="K104" i="1"/>
  <c r="L104" i="1" s="1"/>
  <c r="M104" i="1" s="1"/>
  <c r="AI104" i="1" s="1"/>
  <c r="N104" i="1"/>
  <c r="O104" i="1" s="1"/>
  <c r="P104" i="1" s="1"/>
  <c r="AJ104" i="1" s="1"/>
  <c r="Q104" i="1"/>
  <c r="R104" i="1" s="1"/>
  <c r="S104" i="1" s="1"/>
  <c r="AK104" i="1" s="1"/>
  <c r="T104" i="1"/>
  <c r="U104" i="1" s="1"/>
  <c r="V104" i="1" s="1"/>
  <c r="AL104" i="1" s="1"/>
  <c r="W104" i="1"/>
  <c r="X104" i="1" s="1"/>
  <c r="Y104" i="1" s="1"/>
  <c r="AM104" i="1" s="1"/>
  <c r="Z104" i="1"/>
  <c r="AA104" i="1" s="1"/>
  <c r="AB104" i="1" s="1"/>
  <c r="AN104" i="1" s="1"/>
  <c r="AC104" i="1"/>
  <c r="AD104" i="1" s="1"/>
  <c r="AE104" i="1" s="1"/>
  <c r="AO104" i="1" s="1"/>
  <c r="B105" i="1"/>
  <c r="C105" i="1" s="1"/>
  <c r="D105" i="1" s="1"/>
  <c r="AF105" i="1" s="1"/>
  <c r="E105" i="1"/>
  <c r="F105" i="1" s="1"/>
  <c r="G105" i="1" s="1"/>
  <c r="AG105" i="1" s="1"/>
  <c r="H105" i="1"/>
  <c r="I105" i="1" s="1"/>
  <c r="J105" i="1" s="1"/>
  <c r="AH105" i="1" s="1"/>
  <c r="K105" i="1"/>
  <c r="L105" i="1" s="1"/>
  <c r="M105" i="1" s="1"/>
  <c r="AI105" i="1" s="1"/>
  <c r="N105" i="1"/>
  <c r="O105" i="1" s="1"/>
  <c r="P105" i="1" s="1"/>
  <c r="AJ105" i="1" s="1"/>
  <c r="Q105" i="1"/>
  <c r="R105" i="1" s="1"/>
  <c r="S105" i="1" s="1"/>
  <c r="AK105" i="1" s="1"/>
  <c r="T105" i="1"/>
  <c r="U105" i="1" s="1"/>
  <c r="V105" i="1" s="1"/>
  <c r="AL105" i="1" s="1"/>
  <c r="W105" i="1"/>
  <c r="X105" i="1" s="1"/>
  <c r="Y105" i="1" s="1"/>
  <c r="AM105" i="1" s="1"/>
  <c r="Z105" i="1"/>
  <c r="AA105" i="1" s="1"/>
  <c r="AB105" i="1" s="1"/>
  <c r="AN105" i="1" s="1"/>
  <c r="AC105" i="1"/>
  <c r="AD105" i="1" s="1"/>
  <c r="AE105" i="1" s="1"/>
  <c r="AO105" i="1" s="1"/>
  <c r="B106" i="1"/>
  <c r="C106" i="1" s="1"/>
  <c r="D106" i="1" s="1"/>
  <c r="AF106" i="1" s="1"/>
  <c r="E106" i="1"/>
  <c r="F106" i="1" s="1"/>
  <c r="G106" i="1" s="1"/>
  <c r="AG106" i="1" s="1"/>
  <c r="H106" i="1"/>
  <c r="I106" i="1" s="1"/>
  <c r="J106" i="1" s="1"/>
  <c r="AH106" i="1" s="1"/>
  <c r="K106" i="1"/>
  <c r="L106" i="1" s="1"/>
  <c r="M106" i="1" s="1"/>
  <c r="AI106" i="1" s="1"/>
  <c r="N106" i="1"/>
  <c r="O106" i="1" s="1"/>
  <c r="P106" i="1" s="1"/>
  <c r="AJ106" i="1" s="1"/>
  <c r="Q106" i="1"/>
  <c r="R106" i="1" s="1"/>
  <c r="S106" i="1" s="1"/>
  <c r="AK106" i="1" s="1"/>
  <c r="T106" i="1"/>
  <c r="U106" i="1" s="1"/>
  <c r="V106" i="1" s="1"/>
  <c r="AL106" i="1" s="1"/>
  <c r="W106" i="1"/>
  <c r="X106" i="1" s="1"/>
  <c r="Y106" i="1" s="1"/>
  <c r="AM106" i="1" s="1"/>
  <c r="Z106" i="1"/>
  <c r="AA106" i="1" s="1"/>
  <c r="AB106" i="1" s="1"/>
  <c r="AN106" i="1" s="1"/>
  <c r="AC106" i="1"/>
  <c r="AD106" i="1" s="1"/>
  <c r="AE106" i="1" s="1"/>
  <c r="AO106" i="1" s="1"/>
  <c r="B107" i="1"/>
  <c r="C107" i="1" s="1"/>
  <c r="D107" i="1" s="1"/>
  <c r="AF107" i="1" s="1"/>
  <c r="E107" i="1"/>
  <c r="F107" i="1" s="1"/>
  <c r="G107" i="1" s="1"/>
  <c r="AG107" i="1" s="1"/>
  <c r="H107" i="1"/>
  <c r="I107" i="1" s="1"/>
  <c r="J107" i="1" s="1"/>
  <c r="AH107" i="1" s="1"/>
  <c r="K107" i="1"/>
  <c r="L107" i="1" s="1"/>
  <c r="M107" i="1" s="1"/>
  <c r="AI107" i="1" s="1"/>
  <c r="N107" i="1"/>
  <c r="O107" i="1" s="1"/>
  <c r="P107" i="1" s="1"/>
  <c r="AJ107" i="1" s="1"/>
  <c r="Q107" i="1"/>
  <c r="R107" i="1" s="1"/>
  <c r="S107" i="1" s="1"/>
  <c r="AK107" i="1" s="1"/>
  <c r="T107" i="1"/>
  <c r="U107" i="1" s="1"/>
  <c r="V107" i="1" s="1"/>
  <c r="AL107" i="1" s="1"/>
  <c r="W107" i="1"/>
  <c r="X107" i="1" s="1"/>
  <c r="Y107" i="1" s="1"/>
  <c r="AM107" i="1" s="1"/>
  <c r="Z107" i="1"/>
  <c r="AA107" i="1" s="1"/>
  <c r="AB107" i="1" s="1"/>
  <c r="AN107" i="1" s="1"/>
  <c r="AC107" i="1"/>
  <c r="AD107" i="1" s="1"/>
  <c r="AE107" i="1" s="1"/>
  <c r="AO107" i="1" s="1"/>
  <c r="B108" i="1"/>
  <c r="C108" i="1" s="1"/>
  <c r="D108" i="1" s="1"/>
  <c r="AF108" i="1" s="1"/>
  <c r="E108" i="1"/>
  <c r="F108" i="1" s="1"/>
  <c r="G108" i="1" s="1"/>
  <c r="AG108" i="1" s="1"/>
  <c r="H108" i="1"/>
  <c r="I108" i="1" s="1"/>
  <c r="J108" i="1" s="1"/>
  <c r="AH108" i="1" s="1"/>
  <c r="K108" i="1"/>
  <c r="L108" i="1" s="1"/>
  <c r="M108" i="1" s="1"/>
  <c r="AI108" i="1" s="1"/>
  <c r="N108" i="1"/>
  <c r="O108" i="1" s="1"/>
  <c r="P108" i="1" s="1"/>
  <c r="AJ108" i="1" s="1"/>
  <c r="Q108" i="1"/>
  <c r="R108" i="1" s="1"/>
  <c r="S108" i="1" s="1"/>
  <c r="AK108" i="1" s="1"/>
  <c r="T108" i="1"/>
  <c r="U108" i="1" s="1"/>
  <c r="V108" i="1" s="1"/>
  <c r="AL108" i="1" s="1"/>
  <c r="W108" i="1"/>
  <c r="X108" i="1" s="1"/>
  <c r="Y108" i="1" s="1"/>
  <c r="AM108" i="1" s="1"/>
  <c r="Z108" i="1"/>
  <c r="AA108" i="1" s="1"/>
  <c r="AB108" i="1" s="1"/>
  <c r="AN108" i="1" s="1"/>
  <c r="AC108" i="1"/>
  <c r="AD108" i="1" s="1"/>
  <c r="AE108" i="1" s="1"/>
  <c r="AO108" i="1" s="1"/>
  <c r="B109" i="1"/>
  <c r="C109" i="1" s="1"/>
  <c r="D109" i="1" s="1"/>
  <c r="AF109" i="1" s="1"/>
  <c r="E109" i="1"/>
  <c r="F109" i="1" s="1"/>
  <c r="G109" i="1" s="1"/>
  <c r="AG109" i="1" s="1"/>
  <c r="H109" i="1"/>
  <c r="I109" i="1" s="1"/>
  <c r="J109" i="1" s="1"/>
  <c r="AH109" i="1" s="1"/>
  <c r="K109" i="1"/>
  <c r="L109" i="1" s="1"/>
  <c r="M109" i="1" s="1"/>
  <c r="AI109" i="1" s="1"/>
  <c r="N109" i="1"/>
  <c r="O109" i="1" s="1"/>
  <c r="P109" i="1" s="1"/>
  <c r="AJ109" i="1" s="1"/>
  <c r="Q109" i="1"/>
  <c r="R109" i="1" s="1"/>
  <c r="S109" i="1" s="1"/>
  <c r="AK109" i="1" s="1"/>
  <c r="T109" i="1"/>
  <c r="U109" i="1" s="1"/>
  <c r="V109" i="1" s="1"/>
  <c r="AL109" i="1" s="1"/>
  <c r="W109" i="1"/>
  <c r="X109" i="1" s="1"/>
  <c r="Y109" i="1" s="1"/>
  <c r="AM109" i="1" s="1"/>
  <c r="Z109" i="1"/>
  <c r="AA109" i="1" s="1"/>
  <c r="AB109" i="1" s="1"/>
  <c r="AN109" i="1" s="1"/>
  <c r="AC109" i="1"/>
  <c r="AD109" i="1" s="1"/>
  <c r="AE109" i="1" s="1"/>
  <c r="AO109" i="1" s="1"/>
  <c r="B110" i="1"/>
  <c r="C110" i="1" s="1"/>
  <c r="D110" i="1" s="1"/>
  <c r="AF110" i="1" s="1"/>
  <c r="E110" i="1"/>
  <c r="F110" i="1" s="1"/>
  <c r="G110" i="1" s="1"/>
  <c r="AG110" i="1" s="1"/>
  <c r="H110" i="1"/>
  <c r="I110" i="1" s="1"/>
  <c r="J110" i="1" s="1"/>
  <c r="AH110" i="1" s="1"/>
  <c r="K110" i="1"/>
  <c r="L110" i="1" s="1"/>
  <c r="M110" i="1" s="1"/>
  <c r="AI110" i="1" s="1"/>
  <c r="N110" i="1"/>
  <c r="O110" i="1" s="1"/>
  <c r="P110" i="1" s="1"/>
  <c r="AJ110" i="1" s="1"/>
  <c r="Q110" i="1"/>
  <c r="R110" i="1" s="1"/>
  <c r="S110" i="1" s="1"/>
  <c r="AK110" i="1" s="1"/>
  <c r="T110" i="1"/>
  <c r="U110" i="1" s="1"/>
  <c r="V110" i="1" s="1"/>
  <c r="AL110" i="1" s="1"/>
  <c r="W110" i="1"/>
  <c r="X110" i="1" s="1"/>
  <c r="Y110" i="1" s="1"/>
  <c r="AM110" i="1" s="1"/>
  <c r="Z110" i="1"/>
  <c r="AA110" i="1" s="1"/>
  <c r="AB110" i="1" s="1"/>
  <c r="AN110" i="1" s="1"/>
  <c r="AC110" i="1"/>
  <c r="AD110" i="1" s="1"/>
  <c r="AE110" i="1" s="1"/>
  <c r="AO110" i="1" s="1"/>
  <c r="B111" i="1"/>
  <c r="C111" i="1" s="1"/>
  <c r="D111" i="1" s="1"/>
  <c r="AF111" i="1" s="1"/>
  <c r="E111" i="1"/>
  <c r="F111" i="1" s="1"/>
  <c r="G111" i="1" s="1"/>
  <c r="AG111" i="1" s="1"/>
  <c r="H111" i="1"/>
  <c r="I111" i="1" s="1"/>
  <c r="J111" i="1" s="1"/>
  <c r="AH111" i="1" s="1"/>
  <c r="K111" i="1"/>
  <c r="L111" i="1" s="1"/>
  <c r="M111" i="1" s="1"/>
  <c r="AI111" i="1" s="1"/>
  <c r="N111" i="1"/>
  <c r="O111" i="1" s="1"/>
  <c r="P111" i="1" s="1"/>
  <c r="AJ111" i="1" s="1"/>
  <c r="Q111" i="1"/>
  <c r="R111" i="1" s="1"/>
  <c r="S111" i="1" s="1"/>
  <c r="AK111" i="1" s="1"/>
  <c r="T111" i="1"/>
  <c r="U111" i="1" s="1"/>
  <c r="V111" i="1" s="1"/>
  <c r="AL111" i="1" s="1"/>
  <c r="W111" i="1"/>
  <c r="X111" i="1" s="1"/>
  <c r="Y111" i="1" s="1"/>
  <c r="AM111" i="1" s="1"/>
  <c r="Z111" i="1"/>
  <c r="AA111" i="1" s="1"/>
  <c r="AB111" i="1" s="1"/>
  <c r="AN111" i="1" s="1"/>
  <c r="AC111" i="1"/>
  <c r="AD111" i="1" s="1"/>
  <c r="AE111" i="1" s="1"/>
  <c r="AO111" i="1" s="1"/>
  <c r="B112" i="1"/>
  <c r="C112" i="1" s="1"/>
  <c r="D112" i="1" s="1"/>
  <c r="AF112" i="1" s="1"/>
  <c r="E112" i="1"/>
  <c r="F112" i="1" s="1"/>
  <c r="G112" i="1" s="1"/>
  <c r="AG112" i="1" s="1"/>
  <c r="H112" i="1"/>
  <c r="I112" i="1" s="1"/>
  <c r="J112" i="1" s="1"/>
  <c r="AH112" i="1" s="1"/>
  <c r="K112" i="1"/>
  <c r="L112" i="1" s="1"/>
  <c r="M112" i="1" s="1"/>
  <c r="AI112" i="1" s="1"/>
  <c r="N112" i="1"/>
  <c r="O112" i="1" s="1"/>
  <c r="P112" i="1" s="1"/>
  <c r="AJ112" i="1" s="1"/>
  <c r="Q112" i="1"/>
  <c r="R112" i="1" s="1"/>
  <c r="S112" i="1" s="1"/>
  <c r="AK112" i="1" s="1"/>
  <c r="T112" i="1"/>
  <c r="U112" i="1" s="1"/>
  <c r="V112" i="1" s="1"/>
  <c r="AL112" i="1" s="1"/>
  <c r="W112" i="1"/>
  <c r="X112" i="1" s="1"/>
  <c r="Y112" i="1" s="1"/>
  <c r="AM112" i="1" s="1"/>
  <c r="Z112" i="1"/>
  <c r="AA112" i="1" s="1"/>
  <c r="AB112" i="1" s="1"/>
  <c r="AN112" i="1" s="1"/>
  <c r="AC112" i="1"/>
  <c r="AD112" i="1" s="1"/>
  <c r="AE112" i="1" s="1"/>
  <c r="AO112" i="1" s="1"/>
  <c r="B113" i="1"/>
  <c r="C113" i="1" s="1"/>
  <c r="D113" i="1" s="1"/>
  <c r="AF113" i="1" s="1"/>
  <c r="E113" i="1"/>
  <c r="F113" i="1" s="1"/>
  <c r="G113" i="1" s="1"/>
  <c r="AG113" i="1" s="1"/>
  <c r="H113" i="1"/>
  <c r="I113" i="1" s="1"/>
  <c r="J113" i="1" s="1"/>
  <c r="AH113" i="1" s="1"/>
  <c r="K113" i="1"/>
  <c r="L113" i="1" s="1"/>
  <c r="M113" i="1" s="1"/>
  <c r="AI113" i="1" s="1"/>
  <c r="N113" i="1"/>
  <c r="O113" i="1" s="1"/>
  <c r="P113" i="1" s="1"/>
  <c r="AJ113" i="1" s="1"/>
  <c r="Q113" i="1"/>
  <c r="R113" i="1" s="1"/>
  <c r="S113" i="1" s="1"/>
  <c r="AK113" i="1" s="1"/>
  <c r="T113" i="1"/>
  <c r="U113" i="1" s="1"/>
  <c r="V113" i="1" s="1"/>
  <c r="AL113" i="1" s="1"/>
  <c r="W113" i="1"/>
  <c r="X113" i="1" s="1"/>
  <c r="Y113" i="1" s="1"/>
  <c r="AM113" i="1" s="1"/>
  <c r="Z113" i="1"/>
  <c r="AA113" i="1" s="1"/>
  <c r="AB113" i="1" s="1"/>
  <c r="AN113" i="1" s="1"/>
  <c r="AC113" i="1"/>
  <c r="AD113" i="1" s="1"/>
  <c r="AE113" i="1" s="1"/>
  <c r="AO113" i="1" s="1"/>
  <c r="B114" i="1"/>
  <c r="C114" i="1" s="1"/>
  <c r="D114" i="1" s="1"/>
  <c r="AF114" i="1" s="1"/>
  <c r="E114" i="1"/>
  <c r="F114" i="1" s="1"/>
  <c r="G114" i="1" s="1"/>
  <c r="AG114" i="1" s="1"/>
  <c r="H114" i="1"/>
  <c r="I114" i="1" s="1"/>
  <c r="J114" i="1" s="1"/>
  <c r="AH114" i="1" s="1"/>
  <c r="K114" i="1"/>
  <c r="L114" i="1" s="1"/>
  <c r="M114" i="1" s="1"/>
  <c r="AI114" i="1" s="1"/>
  <c r="N114" i="1"/>
  <c r="O114" i="1" s="1"/>
  <c r="P114" i="1" s="1"/>
  <c r="AJ114" i="1" s="1"/>
  <c r="Q114" i="1"/>
  <c r="R114" i="1" s="1"/>
  <c r="S114" i="1" s="1"/>
  <c r="AK114" i="1" s="1"/>
  <c r="T114" i="1"/>
  <c r="U114" i="1" s="1"/>
  <c r="V114" i="1" s="1"/>
  <c r="AL114" i="1" s="1"/>
  <c r="W114" i="1"/>
  <c r="X114" i="1" s="1"/>
  <c r="Y114" i="1" s="1"/>
  <c r="AM114" i="1" s="1"/>
  <c r="Z114" i="1"/>
  <c r="AA114" i="1" s="1"/>
  <c r="AB114" i="1" s="1"/>
  <c r="AN114" i="1" s="1"/>
  <c r="AC114" i="1"/>
  <c r="AD114" i="1" s="1"/>
  <c r="AE114" i="1" s="1"/>
  <c r="AO114" i="1" s="1"/>
  <c r="B115" i="1"/>
  <c r="C115" i="1" s="1"/>
  <c r="D115" i="1" s="1"/>
  <c r="AF115" i="1" s="1"/>
  <c r="E115" i="1"/>
  <c r="F115" i="1" s="1"/>
  <c r="G115" i="1" s="1"/>
  <c r="AG115" i="1" s="1"/>
  <c r="H115" i="1"/>
  <c r="I115" i="1" s="1"/>
  <c r="J115" i="1" s="1"/>
  <c r="AH115" i="1" s="1"/>
  <c r="K115" i="1"/>
  <c r="L115" i="1" s="1"/>
  <c r="M115" i="1" s="1"/>
  <c r="AI115" i="1" s="1"/>
  <c r="N115" i="1"/>
  <c r="O115" i="1" s="1"/>
  <c r="P115" i="1" s="1"/>
  <c r="AJ115" i="1" s="1"/>
  <c r="Q115" i="1"/>
  <c r="R115" i="1" s="1"/>
  <c r="S115" i="1" s="1"/>
  <c r="AK115" i="1" s="1"/>
  <c r="T115" i="1"/>
  <c r="U115" i="1" s="1"/>
  <c r="V115" i="1" s="1"/>
  <c r="AL115" i="1" s="1"/>
  <c r="W115" i="1"/>
  <c r="X115" i="1" s="1"/>
  <c r="Y115" i="1" s="1"/>
  <c r="AM115" i="1" s="1"/>
  <c r="Z115" i="1"/>
  <c r="AA115" i="1" s="1"/>
  <c r="AB115" i="1" s="1"/>
  <c r="AN115" i="1" s="1"/>
  <c r="AC115" i="1"/>
  <c r="AD115" i="1" s="1"/>
  <c r="AE115" i="1" s="1"/>
  <c r="AO115" i="1" s="1"/>
  <c r="B116" i="1"/>
  <c r="C116" i="1" s="1"/>
  <c r="D116" i="1" s="1"/>
  <c r="AF116" i="1" s="1"/>
  <c r="E116" i="1"/>
  <c r="F116" i="1" s="1"/>
  <c r="G116" i="1" s="1"/>
  <c r="AG116" i="1" s="1"/>
  <c r="H116" i="1"/>
  <c r="I116" i="1" s="1"/>
  <c r="J116" i="1" s="1"/>
  <c r="AH116" i="1" s="1"/>
  <c r="K116" i="1"/>
  <c r="L116" i="1" s="1"/>
  <c r="M116" i="1" s="1"/>
  <c r="AI116" i="1" s="1"/>
  <c r="N116" i="1"/>
  <c r="O116" i="1" s="1"/>
  <c r="P116" i="1" s="1"/>
  <c r="AJ116" i="1" s="1"/>
  <c r="Q116" i="1"/>
  <c r="R116" i="1" s="1"/>
  <c r="S116" i="1" s="1"/>
  <c r="AK116" i="1" s="1"/>
  <c r="T116" i="1"/>
  <c r="U116" i="1" s="1"/>
  <c r="V116" i="1" s="1"/>
  <c r="AL116" i="1" s="1"/>
  <c r="W116" i="1"/>
  <c r="X116" i="1" s="1"/>
  <c r="Y116" i="1" s="1"/>
  <c r="AM116" i="1" s="1"/>
  <c r="Z116" i="1"/>
  <c r="AA116" i="1" s="1"/>
  <c r="AB116" i="1" s="1"/>
  <c r="AN116" i="1" s="1"/>
  <c r="AC116" i="1"/>
  <c r="AD116" i="1" s="1"/>
  <c r="AE116" i="1" s="1"/>
  <c r="AO116" i="1" s="1"/>
  <c r="B117" i="1"/>
  <c r="C117" i="1" s="1"/>
  <c r="D117" i="1" s="1"/>
  <c r="AF117" i="1" s="1"/>
  <c r="E117" i="1"/>
  <c r="F117" i="1" s="1"/>
  <c r="G117" i="1" s="1"/>
  <c r="AG117" i="1" s="1"/>
  <c r="H117" i="1"/>
  <c r="I117" i="1" s="1"/>
  <c r="J117" i="1" s="1"/>
  <c r="AH117" i="1" s="1"/>
  <c r="K117" i="1"/>
  <c r="L117" i="1" s="1"/>
  <c r="M117" i="1" s="1"/>
  <c r="AI117" i="1" s="1"/>
  <c r="N117" i="1"/>
  <c r="O117" i="1" s="1"/>
  <c r="P117" i="1" s="1"/>
  <c r="AJ117" i="1" s="1"/>
  <c r="Q117" i="1"/>
  <c r="R117" i="1" s="1"/>
  <c r="S117" i="1" s="1"/>
  <c r="AK117" i="1" s="1"/>
  <c r="T117" i="1"/>
  <c r="U117" i="1" s="1"/>
  <c r="V117" i="1" s="1"/>
  <c r="AL117" i="1" s="1"/>
  <c r="W117" i="1"/>
  <c r="X117" i="1" s="1"/>
  <c r="Y117" i="1" s="1"/>
  <c r="AM117" i="1" s="1"/>
  <c r="Z117" i="1"/>
  <c r="AA117" i="1" s="1"/>
  <c r="AB117" i="1" s="1"/>
  <c r="AN117" i="1" s="1"/>
  <c r="AC117" i="1"/>
  <c r="AD117" i="1" s="1"/>
  <c r="AE117" i="1" s="1"/>
  <c r="AO117" i="1" s="1"/>
  <c r="B118" i="1"/>
  <c r="C118" i="1" s="1"/>
  <c r="D118" i="1" s="1"/>
  <c r="AF118" i="1" s="1"/>
  <c r="E118" i="1"/>
  <c r="F118" i="1" s="1"/>
  <c r="G118" i="1" s="1"/>
  <c r="AG118" i="1" s="1"/>
  <c r="H118" i="1"/>
  <c r="I118" i="1" s="1"/>
  <c r="J118" i="1" s="1"/>
  <c r="AH118" i="1" s="1"/>
  <c r="K118" i="1"/>
  <c r="L118" i="1" s="1"/>
  <c r="M118" i="1" s="1"/>
  <c r="AI118" i="1" s="1"/>
  <c r="N118" i="1"/>
  <c r="O118" i="1" s="1"/>
  <c r="P118" i="1" s="1"/>
  <c r="AJ118" i="1" s="1"/>
  <c r="Q118" i="1"/>
  <c r="R118" i="1" s="1"/>
  <c r="S118" i="1" s="1"/>
  <c r="AK118" i="1" s="1"/>
  <c r="T118" i="1"/>
  <c r="U118" i="1" s="1"/>
  <c r="V118" i="1" s="1"/>
  <c r="AL118" i="1" s="1"/>
  <c r="W118" i="1"/>
  <c r="X118" i="1" s="1"/>
  <c r="Y118" i="1" s="1"/>
  <c r="AM118" i="1" s="1"/>
  <c r="Z118" i="1"/>
  <c r="AA118" i="1" s="1"/>
  <c r="AB118" i="1" s="1"/>
  <c r="AN118" i="1" s="1"/>
  <c r="AC118" i="1"/>
  <c r="AD118" i="1" s="1"/>
  <c r="AE118" i="1" s="1"/>
  <c r="AO118" i="1" s="1"/>
  <c r="B119" i="1"/>
  <c r="C119" i="1" s="1"/>
  <c r="D119" i="1" s="1"/>
  <c r="AF119" i="1" s="1"/>
  <c r="E119" i="1"/>
  <c r="F119" i="1" s="1"/>
  <c r="G119" i="1" s="1"/>
  <c r="AG119" i="1" s="1"/>
  <c r="H119" i="1"/>
  <c r="I119" i="1" s="1"/>
  <c r="J119" i="1" s="1"/>
  <c r="AH119" i="1" s="1"/>
  <c r="K119" i="1"/>
  <c r="L119" i="1" s="1"/>
  <c r="M119" i="1" s="1"/>
  <c r="AI119" i="1" s="1"/>
  <c r="N119" i="1"/>
  <c r="O119" i="1" s="1"/>
  <c r="P119" i="1" s="1"/>
  <c r="AJ119" i="1" s="1"/>
  <c r="Q119" i="1"/>
  <c r="R119" i="1" s="1"/>
  <c r="S119" i="1" s="1"/>
  <c r="AK119" i="1" s="1"/>
  <c r="T119" i="1"/>
  <c r="U119" i="1" s="1"/>
  <c r="V119" i="1" s="1"/>
  <c r="AL119" i="1" s="1"/>
  <c r="W119" i="1"/>
  <c r="X119" i="1" s="1"/>
  <c r="Y119" i="1" s="1"/>
  <c r="AM119" i="1" s="1"/>
  <c r="Z119" i="1"/>
  <c r="AA119" i="1" s="1"/>
  <c r="AB119" i="1" s="1"/>
  <c r="AN119" i="1" s="1"/>
  <c r="AC119" i="1"/>
  <c r="AD119" i="1" s="1"/>
  <c r="AE119" i="1" s="1"/>
  <c r="AO119" i="1" s="1"/>
  <c r="B120" i="1"/>
  <c r="C120" i="1" s="1"/>
  <c r="D120" i="1" s="1"/>
  <c r="AF120" i="1" s="1"/>
  <c r="E120" i="1"/>
  <c r="F120" i="1" s="1"/>
  <c r="G120" i="1" s="1"/>
  <c r="AG120" i="1" s="1"/>
  <c r="H120" i="1"/>
  <c r="I120" i="1" s="1"/>
  <c r="J120" i="1" s="1"/>
  <c r="AH120" i="1" s="1"/>
  <c r="K120" i="1"/>
  <c r="L120" i="1" s="1"/>
  <c r="M120" i="1" s="1"/>
  <c r="AI120" i="1" s="1"/>
  <c r="N120" i="1"/>
  <c r="O120" i="1" s="1"/>
  <c r="P120" i="1" s="1"/>
  <c r="AJ120" i="1" s="1"/>
  <c r="Q120" i="1"/>
  <c r="R120" i="1" s="1"/>
  <c r="S120" i="1" s="1"/>
  <c r="AK120" i="1" s="1"/>
  <c r="T120" i="1"/>
  <c r="U120" i="1" s="1"/>
  <c r="V120" i="1" s="1"/>
  <c r="AL120" i="1" s="1"/>
  <c r="W120" i="1"/>
  <c r="X120" i="1" s="1"/>
  <c r="Y120" i="1" s="1"/>
  <c r="AM120" i="1" s="1"/>
  <c r="Z120" i="1"/>
  <c r="AA120" i="1" s="1"/>
  <c r="AB120" i="1" s="1"/>
  <c r="AN120" i="1" s="1"/>
  <c r="AC120" i="1"/>
  <c r="AD120" i="1" s="1"/>
  <c r="AE120" i="1" s="1"/>
  <c r="AO120" i="1" s="1"/>
  <c r="B121" i="1"/>
  <c r="C121" i="1" s="1"/>
  <c r="D121" i="1" s="1"/>
  <c r="AF121" i="1" s="1"/>
  <c r="E121" i="1"/>
  <c r="F121" i="1" s="1"/>
  <c r="G121" i="1" s="1"/>
  <c r="AG121" i="1" s="1"/>
  <c r="H121" i="1"/>
  <c r="I121" i="1" s="1"/>
  <c r="J121" i="1" s="1"/>
  <c r="AH121" i="1" s="1"/>
  <c r="K121" i="1"/>
  <c r="L121" i="1" s="1"/>
  <c r="M121" i="1" s="1"/>
  <c r="AI121" i="1" s="1"/>
  <c r="N121" i="1"/>
  <c r="O121" i="1" s="1"/>
  <c r="P121" i="1" s="1"/>
  <c r="AJ121" i="1" s="1"/>
  <c r="Q121" i="1"/>
  <c r="R121" i="1" s="1"/>
  <c r="S121" i="1" s="1"/>
  <c r="AK121" i="1" s="1"/>
  <c r="T121" i="1"/>
  <c r="U121" i="1" s="1"/>
  <c r="V121" i="1" s="1"/>
  <c r="AL121" i="1" s="1"/>
  <c r="W121" i="1"/>
  <c r="X121" i="1" s="1"/>
  <c r="Y121" i="1" s="1"/>
  <c r="AM121" i="1" s="1"/>
  <c r="Z121" i="1"/>
  <c r="AA121" i="1" s="1"/>
  <c r="AB121" i="1" s="1"/>
  <c r="AN121" i="1" s="1"/>
  <c r="AC121" i="1"/>
  <c r="AD121" i="1" s="1"/>
  <c r="AE121" i="1" s="1"/>
  <c r="AO121" i="1" s="1"/>
  <c r="B122" i="1"/>
  <c r="C122" i="1" s="1"/>
  <c r="D122" i="1" s="1"/>
  <c r="AF122" i="1" s="1"/>
  <c r="E122" i="1"/>
  <c r="F122" i="1" s="1"/>
  <c r="G122" i="1" s="1"/>
  <c r="AG122" i="1" s="1"/>
  <c r="H122" i="1"/>
  <c r="I122" i="1" s="1"/>
  <c r="J122" i="1" s="1"/>
  <c r="AH122" i="1" s="1"/>
  <c r="K122" i="1"/>
  <c r="L122" i="1" s="1"/>
  <c r="M122" i="1" s="1"/>
  <c r="AI122" i="1" s="1"/>
  <c r="N122" i="1"/>
  <c r="O122" i="1" s="1"/>
  <c r="P122" i="1" s="1"/>
  <c r="AJ122" i="1" s="1"/>
  <c r="Q122" i="1"/>
  <c r="R122" i="1" s="1"/>
  <c r="S122" i="1" s="1"/>
  <c r="AK122" i="1" s="1"/>
  <c r="T122" i="1"/>
  <c r="U122" i="1" s="1"/>
  <c r="V122" i="1" s="1"/>
  <c r="AL122" i="1" s="1"/>
  <c r="W122" i="1"/>
  <c r="X122" i="1" s="1"/>
  <c r="Y122" i="1" s="1"/>
  <c r="AM122" i="1" s="1"/>
  <c r="Z122" i="1"/>
  <c r="AA122" i="1" s="1"/>
  <c r="AB122" i="1" s="1"/>
  <c r="AN122" i="1" s="1"/>
  <c r="AC122" i="1"/>
  <c r="AD122" i="1" s="1"/>
  <c r="AE122" i="1" s="1"/>
  <c r="AO122" i="1" s="1"/>
  <c r="B123" i="1"/>
  <c r="C123" i="1" s="1"/>
  <c r="D123" i="1" s="1"/>
  <c r="AF123" i="1" s="1"/>
  <c r="E123" i="1"/>
  <c r="F123" i="1" s="1"/>
  <c r="G123" i="1" s="1"/>
  <c r="AG123" i="1" s="1"/>
  <c r="H123" i="1"/>
  <c r="I123" i="1" s="1"/>
  <c r="J123" i="1" s="1"/>
  <c r="AH123" i="1" s="1"/>
  <c r="K123" i="1"/>
  <c r="L123" i="1" s="1"/>
  <c r="M123" i="1" s="1"/>
  <c r="AI123" i="1" s="1"/>
  <c r="N123" i="1"/>
  <c r="O123" i="1" s="1"/>
  <c r="P123" i="1" s="1"/>
  <c r="AJ123" i="1" s="1"/>
  <c r="Q123" i="1"/>
  <c r="R123" i="1" s="1"/>
  <c r="S123" i="1" s="1"/>
  <c r="AK123" i="1" s="1"/>
  <c r="T123" i="1"/>
  <c r="U123" i="1" s="1"/>
  <c r="V123" i="1" s="1"/>
  <c r="AL123" i="1" s="1"/>
  <c r="W123" i="1"/>
  <c r="X123" i="1" s="1"/>
  <c r="Y123" i="1" s="1"/>
  <c r="AM123" i="1" s="1"/>
  <c r="Z123" i="1"/>
  <c r="AA123" i="1" s="1"/>
  <c r="AB123" i="1" s="1"/>
  <c r="AN123" i="1" s="1"/>
  <c r="AC123" i="1"/>
  <c r="AD123" i="1" s="1"/>
  <c r="AE123" i="1" s="1"/>
  <c r="AO123" i="1" s="1"/>
  <c r="B124" i="1"/>
  <c r="C124" i="1" s="1"/>
  <c r="D124" i="1" s="1"/>
  <c r="AF124" i="1" s="1"/>
  <c r="E124" i="1"/>
  <c r="F124" i="1" s="1"/>
  <c r="G124" i="1" s="1"/>
  <c r="AG124" i="1" s="1"/>
  <c r="H124" i="1"/>
  <c r="I124" i="1" s="1"/>
  <c r="J124" i="1" s="1"/>
  <c r="AH124" i="1" s="1"/>
  <c r="K124" i="1"/>
  <c r="L124" i="1" s="1"/>
  <c r="M124" i="1" s="1"/>
  <c r="AI124" i="1" s="1"/>
  <c r="N124" i="1"/>
  <c r="O124" i="1" s="1"/>
  <c r="P124" i="1" s="1"/>
  <c r="AJ124" i="1" s="1"/>
  <c r="Q124" i="1"/>
  <c r="R124" i="1" s="1"/>
  <c r="S124" i="1" s="1"/>
  <c r="AK124" i="1" s="1"/>
  <c r="T124" i="1"/>
  <c r="U124" i="1" s="1"/>
  <c r="V124" i="1" s="1"/>
  <c r="AL124" i="1" s="1"/>
  <c r="W124" i="1"/>
  <c r="X124" i="1" s="1"/>
  <c r="Y124" i="1" s="1"/>
  <c r="AM124" i="1" s="1"/>
  <c r="Z124" i="1"/>
  <c r="AA124" i="1" s="1"/>
  <c r="AB124" i="1" s="1"/>
  <c r="AN124" i="1" s="1"/>
  <c r="AC124" i="1"/>
  <c r="AD124" i="1" s="1"/>
  <c r="AE124" i="1" s="1"/>
  <c r="AO124" i="1" s="1"/>
  <c r="B125" i="1"/>
  <c r="C125" i="1" s="1"/>
  <c r="D125" i="1" s="1"/>
  <c r="AF125" i="1" s="1"/>
  <c r="E125" i="1"/>
  <c r="F125" i="1" s="1"/>
  <c r="G125" i="1" s="1"/>
  <c r="AG125" i="1" s="1"/>
  <c r="H125" i="1"/>
  <c r="I125" i="1" s="1"/>
  <c r="J125" i="1" s="1"/>
  <c r="AH125" i="1" s="1"/>
  <c r="K125" i="1"/>
  <c r="L125" i="1" s="1"/>
  <c r="M125" i="1" s="1"/>
  <c r="AI125" i="1" s="1"/>
  <c r="N125" i="1"/>
  <c r="O125" i="1" s="1"/>
  <c r="P125" i="1" s="1"/>
  <c r="AJ125" i="1" s="1"/>
  <c r="Q125" i="1"/>
  <c r="R125" i="1" s="1"/>
  <c r="S125" i="1" s="1"/>
  <c r="AK125" i="1" s="1"/>
  <c r="T125" i="1"/>
  <c r="U125" i="1" s="1"/>
  <c r="V125" i="1" s="1"/>
  <c r="AL125" i="1" s="1"/>
  <c r="W125" i="1"/>
  <c r="X125" i="1" s="1"/>
  <c r="Y125" i="1" s="1"/>
  <c r="AM125" i="1" s="1"/>
  <c r="Z125" i="1"/>
  <c r="AA125" i="1" s="1"/>
  <c r="AB125" i="1" s="1"/>
  <c r="AN125" i="1" s="1"/>
  <c r="AC125" i="1"/>
  <c r="AD125" i="1" s="1"/>
  <c r="AE125" i="1" s="1"/>
  <c r="AO125" i="1" s="1"/>
  <c r="B126" i="1"/>
  <c r="C126" i="1" s="1"/>
  <c r="D126" i="1" s="1"/>
  <c r="AF126" i="1" s="1"/>
  <c r="E126" i="1"/>
  <c r="F126" i="1" s="1"/>
  <c r="G126" i="1" s="1"/>
  <c r="AG126" i="1" s="1"/>
  <c r="H126" i="1"/>
  <c r="I126" i="1" s="1"/>
  <c r="J126" i="1" s="1"/>
  <c r="AH126" i="1" s="1"/>
  <c r="K126" i="1"/>
  <c r="L126" i="1" s="1"/>
  <c r="M126" i="1" s="1"/>
  <c r="AI126" i="1" s="1"/>
  <c r="N126" i="1"/>
  <c r="O126" i="1" s="1"/>
  <c r="P126" i="1" s="1"/>
  <c r="AJ126" i="1" s="1"/>
  <c r="Q126" i="1"/>
  <c r="R126" i="1" s="1"/>
  <c r="S126" i="1" s="1"/>
  <c r="AK126" i="1" s="1"/>
  <c r="T126" i="1"/>
  <c r="U126" i="1" s="1"/>
  <c r="V126" i="1" s="1"/>
  <c r="AL126" i="1" s="1"/>
  <c r="W126" i="1"/>
  <c r="X126" i="1" s="1"/>
  <c r="Y126" i="1" s="1"/>
  <c r="AM126" i="1" s="1"/>
  <c r="Z126" i="1"/>
  <c r="AA126" i="1" s="1"/>
  <c r="AB126" i="1" s="1"/>
  <c r="AN126" i="1" s="1"/>
  <c r="AC126" i="1"/>
  <c r="AD126" i="1" s="1"/>
  <c r="AE126" i="1" s="1"/>
  <c r="AO126" i="1" s="1"/>
  <c r="B127" i="1"/>
  <c r="C127" i="1" s="1"/>
  <c r="D127" i="1" s="1"/>
  <c r="AF127" i="1" s="1"/>
  <c r="E127" i="1"/>
  <c r="F127" i="1" s="1"/>
  <c r="G127" i="1" s="1"/>
  <c r="AG127" i="1" s="1"/>
  <c r="H127" i="1"/>
  <c r="I127" i="1" s="1"/>
  <c r="J127" i="1" s="1"/>
  <c r="AH127" i="1" s="1"/>
  <c r="K127" i="1"/>
  <c r="L127" i="1" s="1"/>
  <c r="M127" i="1" s="1"/>
  <c r="AI127" i="1" s="1"/>
  <c r="N127" i="1"/>
  <c r="O127" i="1" s="1"/>
  <c r="P127" i="1" s="1"/>
  <c r="AJ127" i="1" s="1"/>
  <c r="Q127" i="1"/>
  <c r="R127" i="1" s="1"/>
  <c r="S127" i="1" s="1"/>
  <c r="AK127" i="1" s="1"/>
  <c r="T127" i="1"/>
  <c r="U127" i="1" s="1"/>
  <c r="V127" i="1" s="1"/>
  <c r="AL127" i="1" s="1"/>
  <c r="W127" i="1"/>
  <c r="X127" i="1" s="1"/>
  <c r="Y127" i="1" s="1"/>
  <c r="AM127" i="1" s="1"/>
  <c r="Z127" i="1"/>
  <c r="AA127" i="1" s="1"/>
  <c r="AB127" i="1" s="1"/>
  <c r="AN127" i="1" s="1"/>
  <c r="AC127" i="1"/>
  <c r="AD127" i="1" s="1"/>
  <c r="AE127" i="1" s="1"/>
  <c r="AO127" i="1" s="1"/>
  <c r="B128" i="1"/>
  <c r="C128" i="1" s="1"/>
  <c r="D128" i="1" s="1"/>
  <c r="AF128" i="1" s="1"/>
  <c r="E128" i="1"/>
  <c r="F128" i="1" s="1"/>
  <c r="G128" i="1" s="1"/>
  <c r="AG128" i="1" s="1"/>
  <c r="H128" i="1"/>
  <c r="I128" i="1" s="1"/>
  <c r="J128" i="1" s="1"/>
  <c r="AH128" i="1" s="1"/>
  <c r="K128" i="1"/>
  <c r="L128" i="1" s="1"/>
  <c r="M128" i="1" s="1"/>
  <c r="AI128" i="1" s="1"/>
  <c r="N128" i="1"/>
  <c r="O128" i="1" s="1"/>
  <c r="P128" i="1" s="1"/>
  <c r="AJ128" i="1" s="1"/>
  <c r="Q128" i="1"/>
  <c r="R128" i="1" s="1"/>
  <c r="S128" i="1" s="1"/>
  <c r="AK128" i="1" s="1"/>
  <c r="T128" i="1"/>
  <c r="U128" i="1" s="1"/>
  <c r="V128" i="1" s="1"/>
  <c r="AL128" i="1" s="1"/>
  <c r="W128" i="1"/>
  <c r="X128" i="1" s="1"/>
  <c r="Y128" i="1" s="1"/>
  <c r="AM128" i="1" s="1"/>
  <c r="Z128" i="1"/>
  <c r="AA128" i="1" s="1"/>
  <c r="AB128" i="1" s="1"/>
  <c r="AN128" i="1" s="1"/>
  <c r="AC128" i="1"/>
  <c r="AD128" i="1" s="1"/>
  <c r="AE128" i="1" s="1"/>
  <c r="AO128" i="1" s="1"/>
  <c r="B129" i="1"/>
  <c r="C129" i="1" s="1"/>
  <c r="D129" i="1" s="1"/>
  <c r="AF129" i="1" s="1"/>
  <c r="E129" i="1"/>
  <c r="F129" i="1" s="1"/>
  <c r="G129" i="1" s="1"/>
  <c r="AG129" i="1" s="1"/>
  <c r="H129" i="1"/>
  <c r="I129" i="1" s="1"/>
  <c r="J129" i="1" s="1"/>
  <c r="AH129" i="1" s="1"/>
  <c r="K129" i="1"/>
  <c r="L129" i="1" s="1"/>
  <c r="M129" i="1" s="1"/>
  <c r="AI129" i="1" s="1"/>
  <c r="N129" i="1"/>
  <c r="O129" i="1" s="1"/>
  <c r="P129" i="1" s="1"/>
  <c r="AJ129" i="1" s="1"/>
  <c r="Q129" i="1"/>
  <c r="R129" i="1" s="1"/>
  <c r="S129" i="1" s="1"/>
  <c r="AK129" i="1" s="1"/>
  <c r="T129" i="1"/>
  <c r="U129" i="1" s="1"/>
  <c r="V129" i="1" s="1"/>
  <c r="AL129" i="1" s="1"/>
  <c r="W129" i="1"/>
  <c r="X129" i="1" s="1"/>
  <c r="Y129" i="1" s="1"/>
  <c r="AM129" i="1" s="1"/>
  <c r="Z129" i="1"/>
  <c r="AA129" i="1" s="1"/>
  <c r="AB129" i="1" s="1"/>
  <c r="AN129" i="1" s="1"/>
  <c r="AC129" i="1"/>
  <c r="AD129" i="1" s="1"/>
  <c r="AE129" i="1" s="1"/>
  <c r="AO129" i="1" s="1"/>
  <c r="B130" i="1"/>
  <c r="C130" i="1" s="1"/>
  <c r="D130" i="1" s="1"/>
  <c r="AF130" i="1" s="1"/>
  <c r="E130" i="1"/>
  <c r="F130" i="1" s="1"/>
  <c r="G130" i="1" s="1"/>
  <c r="AG130" i="1" s="1"/>
  <c r="H130" i="1"/>
  <c r="I130" i="1" s="1"/>
  <c r="J130" i="1" s="1"/>
  <c r="AH130" i="1" s="1"/>
  <c r="K130" i="1"/>
  <c r="L130" i="1" s="1"/>
  <c r="M130" i="1" s="1"/>
  <c r="AI130" i="1" s="1"/>
  <c r="N130" i="1"/>
  <c r="O130" i="1" s="1"/>
  <c r="P130" i="1" s="1"/>
  <c r="AJ130" i="1" s="1"/>
  <c r="Q130" i="1"/>
  <c r="R130" i="1" s="1"/>
  <c r="S130" i="1" s="1"/>
  <c r="AK130" i="1" s="1"/>
  <c r="T130" i="1"/>
  <c r="U130" i="1" s="1"/>
  <c r="V130" i="1" s="1"/>
  <c r="AL130" i="1" s="1"/>
  <c r="W130" i="1"/>
  <c r="X130" i="1" s="1"/>
  <c r="Y130" i="1" s="1"/>
  <c r="AM130" i="1" s="1"/>
  <c r="Z130" i="1"/>
  <c r="AA130" i="1" s="1"/>
  <c r="AB130" i="1" s="1"/>
  <c r="AN130" i="1" s="1"/>
  <c r="AC130" i="1"/>
  <c r="AD130" i="1" s="1"/>
  <c r="AE130" i="1" s="1"/>
  <c r="AO130" i="1" s="1"/>
  <c r="B131" i="1"/>
  <c r="C131" i="1" s="1"/>
  <c r="D131" i="1" s="1"/>
  <c r="AF131" i="1" s="1"/>
  <c r="E131" i="1"/>
  <c r="F131" i="1" s="1"/>
  <c r="G131" i="1" s="1"/>
  <c r="AG131" i="1" s="1"/>
  <c r="H131" i="1"/>
  <c r="I131" i="1" s="1"/>
  <c r="J131" i="1" s="1"/>
  <c r="AH131" i="1" s="1"/>
  <c r="K131" i="1"/>
  <c r="L131" i="1" s="1"/>
  <c r="M131" i="1" s="1"/>
  <c r="AI131" i="1" s="1"/>
  <c r="N131" i="1"/>
  <c r="O131" i="1" s="1"/>
  <c r="P131" i="1" s="1"/>
  <c r="AJ131" i="1" s="1"/>
  <c r="Q131" i="1"/>
  <c r="R131" i="1" s="1"/>
  <c r="S131" i="1" s="1"/>
  <c r="AK131" i="1" s="1"/>
  <c r="T131" i="1"/>
  <c r="U131" i="1" s="1"/>
  <c r="V131" i="1" s="1"/>
  <c r="AL131" i="1" s="1"/>
  <c r="W131" i="1"/>
  <c r="X131" i="1" s="1"/>
  <c r="Y131" i="1" s="1"/>
  <c r="AM131" i="1" s="1"/>
  <c r="Z131" i="1"/>
  <c r="AA131" i="1" s="1"/>
  <c r="AB131" i="1" s="1"/>
  <c r="AN131" i="1" s="1"/>
  <c r="AC131" i="1"/>
  <c r="AD131" i="1" s="1"/>
  <c r="AE131" i="1" s="1"/>
  <c r="AO131" i="1" s="1"/>
  <c r="B132" i="1"/>
  <c r="C132" i="1" s="1"/>
  <c r="D132" i="1" s="1"/>
  <c r="AF132" i="1" s="1"/>
  <c r="E132" i="1"/>
  <c r="F132" i="1" s="1"/>
  <c r="G132" i="1" s="1"/>
  <c r="AG132" i="1" s="1"/>
  <c r="H132" i="1"/>
  <c r="I132" i="1" s="1"/>
  <c r="J132" i="1" s="1"/>
  <c r="AH132" i="1" s="1"/>
  <c r="K132" i="1"/>
  <c r="L132" i="1" s="1"/>
  <c r="M132" i="1" s="1"/>
  <c r="AI132" i="1" s="1"/>
  <c r="N132" i="1"/>
  <c r="O132" i="1" s="1"/>
  <c r="P132" i="1" s="1"/>
  <c r="AJ132" i="1" s="1"/>
  <c r="Q132" i="1"/>
  <c r="R132" i="1" s="1"/>
  <c r="S132" i="1" s="1"/>
  <c r="AK132" i="1" s="1"/>
  <c r="T132" i="1"/>
  <c r="U132" i="1" s="1"/>
  <c r="V132" i="1" s="1"/>
  <c r="AL132" i="1" s="1"/>
  <c r="W132" i="1"/>
  <c r="X132" i="1" s="1"/>
  <c r="Y132" i="1" s="1"/>
  <c r="AM132" i="1" s="1"/>
  <c r="Z132" i="1"/>
  <c r="AA132" i="1" s="1"/>
  <c r="AB132" i="1" s="1"/>
  <c r="AN132" i="1" s="1"/>
  <c r="AC132" i="1"/>
  <c r="AD132" i="1" s="1"/>
  <c r="AE132" i="1" s="1"/>
  <c r="AO132" i="1" s="1"/>
  <c r="B133" i="1"/>
  <c r="C133" i="1" s="1"/>
  <c r="D133" i="1" s="1"/>
  <c r="AF133" i="1" s="1"/>
  <c r="E133" i="1"/>
  <c r="F133" i="1" s="1"/>
  <c r="G133" i="1" s="1"/>
  <c r="AG133" i="1" s="1"/>
  <c r="H133" i="1"/>
  <c r="I133" i="1" s="1"/>
  <c r="J133" i="1" s="1"/>
  <c r="AH133" i="1" s="1"/>
  <c r="K133" i="1"/>
  <c r="L133" i="1" s="1"/>
  <c r="M133" i="1" s="1"/>
  <c r="AI133" i="1" s="1"/>
  <c r="N133" i="1"/>
  <c r="O133" i="1" s="1"/>
  <c r="P133" i="1" s="1"/>
  <c r="AJ133" i="1" s="1"/>
  <c r="Q133" i="1"/>
  <c r="R133" i="1" s="1"/>
  <c r="S133" i="1" s="1"/>
  <c r="AK133" i="1" s="1"/>
  <c r="T133" i="1"/>
  <c r="U133" i="1" s="1"/>
  <c r="V133" i="1" s="1"/>
  <c r="AL133" i="1" s="1"/>
  <c r="W133" i="1"/>
  <c r="X133" i="1" s="1"/>
  <c r="Y133" i="1" s="1"/>
  <c r="AM133" i="1" s="1"/>
  <c r="Z133" i="1"/>
  <c r="AA133" i="1" s="1"/>
  <c r="AB133" i="1" s="1"/>
  <c r="AN133" i="1" s="1"/>
  <c r="AC133" i="1"/>
  <c r="AD133" i="1" s="1"/>
  <c r="AE133" i="1" s="1"/>
  <c r="AO133" i="1" s="1"/>
  <c r="B134" i="1"/>
  <c r="C134" i="1" s="1"/>
  <c r="D134" i="1" s="1"/>
  <c r="AF134" i="1" s="1"/>
  <c r="E134" i="1"/>
  <c r="F134" i="1" s="1"/>
  <c r="G134" i="1" s="1"/>
  <c r="AG134" i="1" s="1"/>
  <c r="H134" i="1"/>
  <c r="I134" i="1" s="1"/>
  <c r="J134" i="1" s="1"/>
  <c r="AH134" i="1" s="1"/>
  <c r="K134" i="1"/>
  <c r="L134" i="1" s="1"/>
  <c r="M134" i="1" s="1"/>
  <c r="AI134" i="1" s="1"/>
  <c r="N134" i="1"/>
  <c r="O134" i="1" s="1"/>
  <c r="P134" i="1" s="1"/>
  <c r="AJ134" i="1" s="1"/>
  <c r="Q134" i="1"/>
  <c r="R134" i="1" s="1"/>
  <c r="S134" i="1" s="1"/>
  <c r="AK134" i="1" s="1"/>
  <c r="T134" i="1"/>
  <c r="U134" i="1" s="1"/>
  <c r="V134" i="1" s="1"/>
  <c r="AL134" i="1" s="1"/>
  <c r="W134" i="1"/>
  <c r="X134" i="1" s="1"/>
  <c r="Y134" i="1" s="1"/>
  <c r="AM134" i="1" s="1"/>
  <c r="Z134" i="1"/>
  <c r="AA134" i="1" s="1"/>
  <c r="AB134" i="1" s="1"/>
  <c r="AN134" i="1" s="1"/>
  <c r="AC134" i="1"/>
  <c r="AD134" i="1" s="1"/>
  <c r="AE134" i="1" s="1"/>
  <c r="AO134" i="1" s="1"/>
  <c r="B135" i="1"/>
  <c r="C135" i="1" s="1"/>
  <c r="D135" i="1" s="1"/>
  <c r="AF135" i="1" s="1"/>
  <c r="E135" i="1"/>
  <c r="F135" i="1" s="1"/>
  <c r="G135" i="1" s="1"/>
  <c r="AG135" i="1" s="1"/>
  <c r="H135" i="1"/>
  <c r="I135" i="1" s="1"/>
  <c r="J135" i="1" s="1"/>
  <c r="AH135" i="1" s="1"/>
  <c r="K135" i="1"/>
  <c r="L135" i="1" s="1"/>
  <c r="M135" i="1" s="1"/>
  <c r="AI135" i="1" s="1"/>
  <c r="N135" i="1"/>
  <c r="O135" i="1" s="1"/>
  <c r="P135" i="1" s="1"/>
  <c r="AJ135" i="1" s="1"/>
  <c r="Q135" i="1"/>
  <c r="R135" i="1" s="1"/>
  <c r="S135" i="1" s="1"/>
  <c r="AK135" i="1" s="1"/>
  <c r="T135" i="1"/>
  <c r="U135" i="1" s="1"/>
  <c r="V135" i="1" s="1"/>
  <c r="AL135" i="1" s="1"/>
  <c r="W135" i="1"/>
  <c r="X135" i="1" s="1"/>
  <c r="Y135" i="1" s="1"/>
  <c r="AM135" i="1" s="1"/>
  <c r="Z135" i="1"/>
  <c r="AA135" i="1" s="1"/>
  <c r="AB135" i="1" s="1"/>
  <c r="AN135" i="1" s="1"/>
  <c r="AC135" i="1"/>
  <c r="AD135" i="1" s="1"/>
  <c r="AE135" i="1" s="1"/>
  <c r="AO135" i="1" s="1"/>
  <c r="B136" i="1"/>
  <c r="C136" i="1" s="1"/>
  <c r="D136" i="1" s="1"/>
  <c r="AF136" i="1" s="1"/>
  <c r="E136" i="1"/>
  <c r="F136" i="1" s="1"/>
  <c r="G136" i="1" s="1"/>
  <c r="AG136" i="1" s="1"/>
  <c r="H136" i="1"/>
  <c r="I136" i="1" s="1"/>
  <c r="J136" i="1" s="1"/>
  <c r="AH136" i="1" s="1"/>
  <c r="K136" i="1"/>
  <c r="L136" i="1" s="1"/>
  <c r="M136" i="1" s="1"/>
  <c r="AI136" i="1" s="1"/>
  <c r="N136" i="1"/>
  <c r="O136" i="1" s="1"/>
  <c r="P136" i="1" s="1"/>
  <c r="AJ136" i="1" s="1"/>
  <c r="Q136" i="1"/>
  <c r="R136" i="1" s="1"/>
  <c r="S136" i="1" s="1"/>
  <c r="AK136" i="1" s="1"/>
  <c r="T136" i="1"/>
  <c r="U136" i="1" s="1"/>
  <c r="V136" i="1" s="1"/>
  <c r="AL136" i="1" s="1"/>
  <c r="W136" i="1"/>
  <c r="X136" i="1" s="1"/>
  <c r="Y136" i="1" s="1"/>
  <c r="AM136" i="1" s="1"/>
  <c r="Z136" i="1"/>
  <c r="AA136" i="1" s="1"/>
  <c r="AB136" i="1" s="1"/>
  <c r="AN136" i="1" s="1"/>
  <c r="AC136" i="1"/>
  <c r="AD136" i="1" s="1"/>
  <c r="AE136" i="1" s="1"/>
  <c r="AO136" i="1" s="1"/>
  <c r="B137" i="1"/>
  <c r="C137" i="1" s="1"/>
  <c r="D137" i="1" s="1"/>
  <c r="AF137" i="1" s="1"/>
  <c r="E137" i="1"/>
  <c r="F137" i="1" s="1"/>
  <c r="G137" i="1" s="1"/>
  <c r="AG137" i="1" s="1"/>
  <c r="H137" i="1"/>
  <c r="I137" i="1" s="1"/>
  <c r="J137" i="1" s="1"/>
  <c r="AH137" i="1" s="1"/>
  <c r="K137" i="1"/>
  <c r="L137" i="1" s="1"/>
  <c r="M137" i="1" s="1"/>
  <c r="AI137" i="1" s="1"/>
  <c r="N137" i="1"/>
  <c r="O137" i="1" s="1"/>
  <c r="P137" i="1" s="1"/>
  <c r="AJ137" i="1" s="1"/>
  <c r="Q137" i="1"/>
  <c r="R137" i="1" s="1"/>
  <c r="S137" i="1" s="1"/>
  <c r="AK137" i="1" s="1"/>
  <c r="T137" i="1"/>
  <c r="U137" i="1" s="1"/>
  <c r="V137" i="1" s="1"/>
  <c r="AL137" i="1" s="1"/>
  <c r="W137" i="1"/>
  <c r="X137" i="1" s="1"/>
  <c r="Y137" i="1" s="1"/>
  <c r="AM137" i="1" s="1"/>
  <c r="Z137" i="1"/>
  <c r="AA137" i="1" s="1"/>
  <c r="AB137" i="1" s="1"/>
  <c r="AN137" i="1" s="1"/>
  <c r="AC137" i="1"/>
  <c r="AD137" i="1" s="1"/>
  <c r="AE137" i="1" s="1"/>
  <c r="AO137" i="1" s="1"/>
  <c r="B138" i="1"/>
  <c r="C138" i="1" s="1"/>
  <c r="D138" i="1" s="1"/>
  <c r="AF138" i="1" s="1"/>
  <c r="E138" i="1"/>
  <c r="F138" i="1" s="1"/>
  <c r="G138" i="1" s="1"/>
  <c r="AG138" i="1" s="1"/>
  <c r="H138" i="1"/>
  <c r="I138" i="1" s="1"/>
  <c r="J138" i="1" s="1"/>
  <c r="AH138" i="1" s="1"/>
  <c r="K138" i="1"/>
  <c r="L138" i="1" s="1"/>
  <c r="M138" i="1" s="1"/>
  <c r="AI138" i="1" s="1"/>
  <c r="N138" i="1"/>
  <c r="O138" i="1" s="1"/>
  <c r="P138" i="1" s="1"/>
  <c r="AJ138" i="1" s="1"/>
  <c r="Q138" i="1"/>
  <c r="R138" i="1" s="1"/>
  <c r="S138" i="1" s="1"/>
  <c r="AK138" i="1" s="1"/>
  <c r="T138" i="1"/>
  <c r="U138" i="1" s="1"/>
  <c r="V138" i="1" s="1"/>
  <c r="AL138" i="1" s="1"/>
  <c r="W138" i="1"/>
  <c r="X138" i="1" s="1"/>
  <c r="Y138" i="1" s="1"/>
  <c r="AM138" i="1" s="1"/>
  <c r="Z138" i="1"/>
  <c r="AA138" i="1" s="1"/>
  <c r="AB138" i="1" s="1"/>
  <c r="AN138" i="1" s="1"/>
  <c r="AC138" i="1"/>
  <c r="AD138" i="1" s="1"/>
  <c r="AE138" i="1" s="1"/>
  <c r="AO138" i="1" s="1"/>
  <c r="B139" i="1"/>
  <c r="C139" i="1" s="1"/>
  <c r="D139" i="1" s="1"/>
  <c r="AF139" i="1" s="1"/>
  <c r="E139" i="1"/>
  <c r="F139" i="1" s="1"/>
  <c r="G139" i="1" s="1"/>
  <c r="AG139" i="1" s="1"/>
  <c r="H139" i="1"/>
  <c r="I139" i="1" s="1"/>
  <c r="J139" i="1" s="1"/>
  <c r="AH139" i="1" s="1"/>
  <c r="K139" i="1"/>
  <c r="L139" i="1" s="1"/>
  <c r="M139" i="1" s="1"/>
  <c r="AI139" i="1" s="1"/>
  <c r="N139" i="1"/>
  <c r="O139" i="1" s="1"/>
  <c r="P139" i="1" s="1"/>
  <c r="AJ139" i="1" s="1"/>
  <c r="Q139" i="1"/>
  <c r="R139" i="1" s="1"/>
  <c r="S139" i="1" s="1"/>
  <c r="AK139" i="1" s="1"/>
  <c r="T139" i="1"/>
  <c r="U139" i="1" s="1"/>
  <c r="V139" i="1" s="1"/>
  <c r="AL139" i="1" s="1"/>
  <c r="W139" i="1"/>
  <c r="X139" i="1" s="1"/>
  <c r="Y139" i="1" s="1"/>
  <c r="AM139" i="1" s="1"/>
  <c r="Z139" i="1"/>
  <c r="AA139" i="1" s="1"/>
  <c r="AB139" i="1" s="1"/>
  <c r="AN139" i="1" s="1"/>
  <c r="AC139" i="1"/>
  <c r="AD139" i="1" s="1"/>
  <c r="AE139" i="1" s="1"/>
  <c r="AO139" i="1" s="1"/>
  <c r="B140" i="1"/>
  <c r="C140" i="1" s="1"/>
  <c r="D140" i="1" s="1"/>
  <c r="AF140" i="1" s="1"/>
  <c r="E140" i="1"/>
  <c r="F140" i="1" s="1"/>
  <c r="G140" i="1" s="1"/>
  <c r="AG140" i="1" s="1"/>
  <c r="H140" i="1"/>
  <c r="I140" i="1" s="1"/>
  <c r="J140" i="1" s="1"/>
  <c r="AH140" i="1" s="1"/>
  <c r="K140" i="1"/>
  <c r="L140" i="1" s="1"/>
  <c r="M140" i="1" s="1"/>
  <c r="AI140" i="1" s="1"/>
  <c r="N140" i="1"/>
  <c r="O140" i="1" s="1"/>
  <c r="P140" i="1" s="1"/>
  <c r="AJ140" i="1" s="1"/>
  <c r="Q140" i="1"/>
  <c r="R140" i="1" s="1"/>
  <c r="S140" i="1" s="1"/>
  <c r="AK140" i="1" s="1"/>
  <c r="T140" i="1"/>
  <c r="U140" i="1" s="1"/>
  <c r="V140" i="1" s="1"/>
  <c r="AL140" i="1" s="1"/>
  <c r="W140" i="1"/>
  <c r="X140" i="1" s="1"/>
  <c r="Y140" i="1" s="1"/>
  <c r="AM140" i="1" s="1"/>
  <c r="Z140" i="1"/>
  <c r="AA140" i="1" s="1"/>
  <c r="AB140" i="1" s="1"/>
  <c r="AN140" i="1" s="1"/>
  <c r="AC140" i="1"/>
  <c r="AD140" i="1" s="1"/>
  <c r="AE140" i="1" s="1"/>
  <c r="AO140" i="1" s="1"/>
  <c r="B141" i="1"/>
  <c r="C141" i="1" s="1"/>
  <c r="D141" i="1" s="1"/>
  <c r="AF141" i="1" s="1"/>
  <c r="E141" i="1"/>
  <c r="F141" i="1" s="1"/>
  <c r="G141" i="1" s="1"/>
  <c r="AG141" i="1" s="1"/>
  <c r="H141" i="1"/>
  <c r="I141" i="1" s="1"/>
  <c r="J141" i="1" s="1"/>
  <c r="AH141" i="1" s="1"/>
  <c r="K141" i="1"/>
  <c r="L141" i="1" s="1"/>
  <c r="M141" i="1" s="1"/>
  <c r="AI141" i="1" s="1"/>
  <c r="N141" i="1"/>
  <c r="O141" i="1" s="1"/>
  <c r="P141" i="1" s="1"/>
  <c r="AJ141" i="1" s="1"/>
  <c r="Q141" i="1"/>
  <c r="R141" i="1" s="1"/>
  <c r="S141" i="1" s="1"/>
  <c r="AK141" i="1" s="1"/>
  <c r="T141" i="1"/>
  <c r="U141" i="1" s="1"/>
  <c r="V141" i="1" s="1"/>
  <c r="AL141" i="1" s="1"/>
  <c r="W141" i="1"/>
  <c r="X141" i="1" s="1"/>
  <c r="Y141" i="1" s="1"/>
  <c r="AM141" i="1" s="1"/>
  <c r="Z141" i="1"/>
  <c r="AA141" i="1" s="1"/>
  <c r="AB141" i="1" s="1"/>
  <c r="AN141" i="1" s="1"/>
  <c r="AC141" i="1"/>
  <c r="AD141" i="1" s="1"/>
  <c r="AE141" i="1" s="1"/>
  <c r="AO141" i="1" s="1"/>
  <c r="B142" i="1"/>
  <c r="C142" i="1" s="1"/>
  <c r="D142" i="1" s="1"/>
  <c r="AF142" i="1" s="1"/>
  <c r="E142" i="1"/>
  <c r="F142" i="1" s="1"/>
  <c r="G142" i="1" s="1"/>
  <c r="AG142" i="1" s="1"/>
  <c r="H142" i="1"/>
  <c r="I142" i="1" s="1"/>
  <c r="J142" i="1" s="1"/>
  <c r="AH142" i="1" s="1"/>
  <c r="K142" i="1"/>
  <c r="L142" i="1" s="1"/>
  <c r="M142" i="1" s="1"/>
  <c r="AI142" i="1" s="1"/>
  <c r="N142" i="1"/>
  <c r="O142" i="1" s="1"/>
  <c r="P142" i="1" s="1"/>
  <c r="AJ142" i="1" s="1"/>
  <c r="Q142" i="1"/>
  <c r="R142" i="1" s="1"/>
  <c r="S142" i="1" s="1"/>
  <c r="AK142" i="1" s="1"/>
  <c r="T142" i="1"/>
  <c r="U142" i="1" s="1"/>
  <c r="V142" i="1" s="1"/>
  <c r="AL142" i="1" s="1"/>
  <c r="W142" i="1"/>
  <c r="X142" i="1" s="1"/>
  <c r="Y142" i="1" s="1"/>
  <c r="AM142" i="1" s="1"/>
  <c r="Z142" i="1"/>
  <c r="AA142" i="1" s="1"/>
  <c r="AB142" i="1" s="1"/>
  <c r="AN142" i="1" s="1"/>
  <c r="AC142" i="1"/>
  <c r="AD142" i="1" s="1"/>
  <c r="AE142" i="1" s="1"/>
  <c r="AO142" i="1" s="1"/>
  <c r="B143" i="1"/>
  <c r="C143" i="1" s="1"/>
  <c r="D143" i="1" s="1"/>
  <c r="AF143" i="1" s="1"/>
  <c r="E143" i="1"/>
  <c r="F143" i="1" s="1"/>
  <c r="G143" i="1" s="1"/>
  <c r="AG143" i="1" s="1"/>
  <c r="H143" i="1"/>
  <c r="I143" i="1" s="1"/>
  <c r="J143" i="1" s="1"/>
  <c r="AH143" i="1" s="1"/>
  <c r="K143" i="1"/>
  <c r="L143" i="1" s="1"/>
  <c r="M143" i="1" s="1"/>
  <c r="AI143" i="1" s="1"/>
  <c r="N143" i="1"/>
  <c r="O143" i="1" s="1"/>
  <c r="P143" i="1" s="1"/>
  <c r="AJ143" i="1" s="1"/>
  <c r="Q143" i="1"/>
  <c r="R143" i="1" s="1"/>
  <c r="S143" i="1" s="1"/>
  <c r="AK143" i="1" s="1"/>
  <c r="T143" i="1"/>
  <c r="U143" i="1" s="1"/>
  <c r="V143" i="1" s="1"/>
  <c r="AL143" i="1" s="1"/>
  <c r="W143" i="1"/>
  <c r="X143" i="1" s="1"/>
  <c r="Y143" i="1" s="1"/>
  <c r="AM143" i="1" s="1"/>
  <c r="Z143" i="1"/>
  <c r="AA143" i="1" s="1"/>
  <c r="AB143" i="1" s="1"/>
  <c r="AN143" i="1" s="1"/>
  <c r="AC143" i="1"/>
  <c r="AD143" i="1" s="1"/>
  <c r="AE143" i="1" s="1"/>
  <c r="AO143" i="1" s="1"/>
  <c r="B144" i="1"/>
  <c r="C144" i="1" s="1"/>
  <c r="D144" i="1" s="1"/>
  <c r="AF144" i="1" s="1"/>
  <c r="E144" i="1"/>
  <c r="F144" i="1" s="1"/>
  <c r="G144" i="1" s="1"/>
  <c r="AG144" i="1" s="1"/>
  <c r="H144" i="1"/>
  <c r="I144" i="1" s="1"/>
  <c r="J144" i="1" s="1"/>
  <c r="AH144" i="1" s="1"/>
  <c r="K144" i="1"/>
  <c r="L144" i="1" s="1"/>
  <c r="M144" i="1" s="1"/>
  <c r="AI144" i="1" s="1"/>
  <c r="N144" i="1"/>
  <c r="O144" i="1" s="1"/>
  <c r="P144" i="1" s="1"/>
  <c r="AJ144" i="1" s="1"/>
  <c r="Q144" i="1"/>
  <c r="R144" i="1" s="1"/>
  <c r="S144" i="1" s="1"/>
  <c r="AK144" i="1" s="1"/>
  <c r="T144" i="1"/>
  <c r="U144" i="1" s="1"/>
  <c r="V144" i="1" s="1"/>
  <c r="AL144" i="1" s="1"/>
  <c r="W144" i="1"/>
  <c r="X144" i="1" s="1"/>
  <c r="Y144" i="1" s="1"/>
  <c r="AM144" i="1" s="1"/>
  <c r="Z144" i="1"/>
  <c r="AA144" i="1" s="1"/>
  <c r="AB144" i="1" s="1"/>
  <c r="AN144" i="1" s="1"/>
  <c r="AC144" i="1"/>
  <c r="AD144" i="1" s="1"/>
  <c r="AE144" i="1" s="1"/>
  <c r="AO144" i="1" s="1"/>
  <c r="B145" i="1"/>
  <c r="C145" i="1" s="1"/>
  <c r="D145" i="1" s="1"/>
  <c r="AF145" i="1" s="1"/>
  <c r="E145" i="1"/>
  <c r="F145" i="1" s="1"/>
  <c r="G145" i="1" s="1"/>
  <c r="AG145" i="1" s="1"/>
  <c r="H145" i="1"/>
  <c r="I145" i="1" s="1"/>
  <c r="J145" i="1" s="1"/>
  <c r="AH145" i="1" s="1"/>
  <c r="K145" i="1"/>
  <c r="L145" i="1" s="1"/>
  <c r="M145" i="1" s="1"/>
  <c r="AI145" i="1" s="1"/>
  <c r="N145" i="1"/>
  <c r="O145" i="1" s="1"/>
  <c r="P145" i="1" s="1"/>
  <c r="AJ145" i="1" s="1"/>
  <c r="Q145" i="1"/>
  <c r="R145" i="1" s="1"/>
  <c r="S145" i="1" s="1"/>
  <c r="AK145" i="1" s="1"/>
  <c r="T145" i="1"/>
  <c r="U145" i="1" s="1"/>
  <c r="V145" i="1" s="1"/>
  <c r="AL145" i="1" s="1"/>
  <c r="W145" i="1"/>
  <c r="X145" i="1" s="1"/>
  <c r="Y145" i="1" s="1"/>
  <c r="AM145" i="1" s="1"/>
  <c r="Z145" i="1"/>
  <c r="AA145" i="1" s="1"/>
  <c r="AB145" i="1" s="1"/>
  <c r="AN145" i="1" s="1"/>
  <c r="AC145" i="1"/>
  <c r="AD145" i="1" s="1"/>
  <c r="AE145" i="1" s="1"/>
  <c r="AO145" i="1" s="1"/>
  <c r="B146" i="1"/>
  <c r="C146" i="1" s="1"/>
  <c r="D146" i="1" s="1"/>
  <c r="AF146" i="1" s="1"/>
  <c r="E146" i="1"/>
  <c r="F146" i="1" s="1"/>
  <c r="G146" i="1" s="1"/>
  <c r="AG146" i="1" s="1"/>
  <c r="H146" i="1"/>
  <c r="I146" i="1" s="1"/>
  <c r="J146" i="1" s="1"/>
  <c r="AH146" i="1" s="1"/>
  <c r="K146" i="1"/>
  <c r="L146" i="1" s="1"/>
  <c r="M146" i="1" s="1"/>
  <c r="AI146" i="1" s="1"/>
  <c r="N146" i="1"/>
  <c r="O146" i="1" s="1"/>
  <c r="P146" i="1" s="1"/>
  <c r="AJ146" i="1" s="1"/>
  <c r="Q146" i="1"/>
  <c r="R146" i="1" s="1"/>
  <c r="S146" i="1" s="1"/>
  <c r="AK146" i="1" s="1"/>
  <c r="T146" i="1"/>
  <c r="U146" i="1" s="1"/>
  <c r="V146" i="1" s="1"/>
  <c r="AL146" i="1" s="1"/>
  <c r="W146" i="1"/>
  <c r="X146" i="1" s="1"/>
  <c r="Y146" i="1" s="1"/>
  <c r="AM146" i="1" s="1"/>
  <c r="Z146" i="1"/>
  <c r="AA146" i="1" s="1"/>
  <c r="AB146" i="1" s="1"/>
  <c r="AN146" i="1" s="1"/>
  <c r="AC146" i="1"/>
  <c r="AD146" i="1" s="1"/>
  <c r="AE146" i="1" s="1"/>
  <c r="AO146" i="1" s="1"/>
  <c r="B147" i="1"/>
  <c r="C147" i="1" s="1"/>
  <c r="D147" i="1" s="1"/>
  <c r="AF147" i="1" s="1"/>
  <c r="E147" i="1"/>
  <c r="F147" i="1" s="1"/>
  <c r="G147" i="1" s="1"/>
  <c r="AG147" i="1" s="1"/>
  <c r="H147" i="1"/>
  <c r="I147" i="1" s="1"/>
  <c r="J147" i="1" s="1"/>
  <c r="AH147" i="1" s="1"/>
  <c r="K147" i="1"/>
  <c r="L147" i="1" s="1"/>
  <c r="M147" i="1" s="1"/>
  <c r="AI147" i="1" s="1"/>
  <c r="N147" i="1"/>
  <c r="O147" i="1" s="1"/>
  <c r="P147" i="1" s="1"/>
  <c r="AJ147" i="1" s="1"/>
  <c r="Q147" i="1"/>
  <c r="R147" i="1" s="1"/>
  <c r="S147" i="1" s="1"/>
  <c r="AK147" i="1" s="1"/>
  <c r="T147" i="1"/>
  <c r="U147" i="1" s="1"/>
  <c r="V147" i="1" s="1"/>
  <c r="AL147" i="1" s="1"/>
  <c r="W147" i="1"/>
  <c r="X147" i="1" s="1"/>
  <c r="Y147" i="1" s="1"/>
  <c r="AM147" i="1" s="1"/>
  <c r="Z147" i="1"/>
  <c r="AA147" i="1" s="1"/>
  <c r="AB147" i="1" s="1"/>
  <c r="AN147" i="1" s="1"/>
  <c r="AC147" i="1"/>
  <c r="AD147" i="1" s="1"/>
  <c r="AE147" i="1" s="1"/>
  <c r="AO147" i="1" s="1"/>
  <c r="B148" i="1"/>
  <c r="C148" i="1" s="1"/>
  <c r="D148" i="1" s="1"/>
  <c r="AF148" i="1" s="1"/>
  <c r="E148" i="1"/>
  <c r="F148" i="1" s="1"/>
  <c r="G148" i="1" s="1"/>
  <c r="AG148" i="1" s="1"/>
  <c r="H148" i="1"/>
  <c r="I148" i="1" s="1"/>
  <c r="J148" i="1" s="1"/>
  <c r="AH148" i="1" s="1"/>
  <c r="K148" i="1"/>
  <c r="L148" i="1" s="1"/>
  <c r="M148" i="1" s="1"/>
  <c r="AI148" i="1" s="1"/>
  <c r="N148" i="1"/>
  <c r="O148" i="1" s="1"/>
  <c r="P148" i="1" s="1"/>
  <c r="AJ148" i="1" s="1"/>
  <c r="Q148" i="1"/>
  <c r="R148" i="1" s="1"/>
  <c r="S148" i="1" s="1"/>
  <c r="AK148" i="1" s="1"/>
  <c r="T148" i="1"/>
  <c r="U148" i="1" s="1"/>
  <c r="V148" i="1" s="1"/>
  <c r="AL148" i="1" s="1"/>
  <c r="W148" i="1"/>
  <c r="X148" i="1" s="1"/>
  <c r="Y148" i="1" s="1"/>
  <c r="AM148" i="1" s="1"/>
  <c r="Z148" i="1"/>
  <c r="AA148" i="1" s="1"/>
  <c r="AB148" i="1" s="1"/>
  <c r="AN148" i="1" s="1"/>
  <c r="AC148" i="1"/>
  <c r="AD148" i="1" s="1"/>
  <c r="AE148" i="1" s="1"/>
  <c r="AO148" i="1" s="1"/>
  <c r="B149" i="1"/>
  <c r="C149" i="1" s="1"/>
  <c r="D149" i="1" s="1"/>
  <c r="AF149" i="1" s="1"/>
  <c r="E149" i="1"/>
  <c r="F149" i="1" s="1"/>
  <c r="G149" i="1" s="1"/>
  <c r="AG149" i="1" s="1"/>
  <c r="H149" i="1"/>
  <c r="I149" i="1" s="1"/>
  <c r="J149" i="1" s="1"/>
  <c r="AH149" i="1" s="1"/>
  <c r="K149" i="1"/>
  <c r="L149" i="1" s="1"/>
  <c r="M149" i="1" s="1"/>
  <c r="AI149" i="1" s="1"/>
  <c r="N149" i="1"/>
  <c r="O149" i="1" s="1"/>
  <c r="P149" i="1" s="1"/>
  <c r="AJ149" i="1" s="1"/>
  <c r="Q149" i="1"/>
  <c r="R149" i="1" s="1"/>
  <c r="S149" i="1" s="1"/>
  <c r="AK149" i="1" s="1"/>
  <c r="T149" i="1"/>
  <c r="U149" i="1" s="1"/>
  <c r="V149" i="1" s="1"/>
  <c r="AL149" i="1" s="1"/>
  <c r="W149" i="1"/>
  <c r="X149" i="1" s="1"/>
  <c r="Y149" i="1" s="1"/>
  <c r="AM149" i="1" s="1"/>
  <c r="Z149" i="1"/>
  <c r="AA149" i="1" s="1"/>
  <c r="AB149" i="1" s="1"/>
  <c r="AN149" i="1" s="1"/>
  <c r="AC149" i="1"/>
  <c r="AD149" i="1" s="1"/>
  <c r="AE149" i="1" s="1"/>
  <c r="AO149" i="1" s="1"/>
  <c r="B150" i="1"/>
  <c r="C150" i="1" s="1"/>
  <c r="D150" i="1" s="1"/>
  <c r="AF150" i="1" s="1"/>
  <c r="E150" i="1"/>
  <c r="F150" i="1" s="1"/>
  <c r="G150" i="1" s="1"/>
  <c r="AG150" i="1" s="1"/>
  <c r="H150" i="1"/>
  <c r="I150" i="1" s="1"/>
  <c r="J150" i="1" s="1"/>
  <c r="AH150" i="1" s="1"/>
  <c r="K150" i="1"/>
  <c r="L150" i="1" s="1"/>
  <c r="M150" i="1" s="1"/>
  <c r="AI150" i="1" s="1"/>
  <c r="N150" i="1"/>
  <c r="O150" i="1" s="1"/>
  <c r="P150" i="1" s="1"/>
  <c r="AJ150" i="1" s="1"/>
  <c r="Q150" i="1"/>
  <c r="R150" i="1" s="1"/>
  <c r="S150" i="1" s="1"/>
  <c r="AK150" i="1" s="1"/>
  <c r="T150" i="1"/>
  <c r="U150" i="1" s="1"/>
  <c r="V150" i="1" s="1"/>
  <c r="AL150" i="1" s="1"/>
  <c r="W150" i="1"/>
  <c r="X150" i="1" s="1"/>
  <c r="Y150" i="1" s="1"/>
  <c r="AM150" i="1" s="1"/>
  <c r="Z150" i="1"/>
  <c r="AA150" i="1" s="1"/>
  <c r="AB150" i="1" s="1"/>
  <c r="AN150" i="1" s="1"/>
  <c r="AC150" i="1"/>
  <c r="AD150" i="1" s="1"/>
  <c r="AE150" i="1" s="1"/>
  <c r="AO150" i="1" s="1"/>
  <c r="B151" i="1"/>
  <c r="C151" i="1" s="1"/>
  <c r="D151" i="1" s="1"/>
  <c r="AF151" i="1" s="1"/>
  <c r="E151" i="1"/>
  <c r="F151" i="1" s="1"/>
  <c r="G151" i="1" s="1"/>
  <c r="AG151" i="1" s="1"/>
  <c r="H151" i="1"/>
  <c r="I151" i="1" s="1"/>
  <c r="J151" i="1" s="1"/>
  <c r="AH151" i="1" s="1"/>
  <c r="K151" i="1"/>
  <c r="L151" i="1" s="1"/>
  <c r="M151" i="1" s="1"/>
  <c r="AI151" i="1" s="1"/>
  <c r="N151" i="1"/>
  <c r="O151" i="1" s="1"/>
  <c r="P151" i="1" s="1"/>
  <c r="AJ151" i="1" s="1"/>
  <c r="Q151" i="1"/>
  <c r="R151" i="1" s="1"/>
  <c r="S151" i="1" s="1"/>
  <c r="AK151" i="1" s="1"/>
  <c r="T151" i="1"/>
  <c r="U151" i="1" s="1"/>
  <c r="V151" i="1" s="1"/>
  <c r="AL151" i="1" s="1"/>
  <c r="W151" i="1"/>
  <c r="X151" i="1" s="1"/>
  <c r="Y151" i="1" s="1"/>
  <c r="AM151" i="1" s="1"/>
  <c r="Z151" i="1"/>
  <c r="AA151" i="1" s="1"/>
  <c r="AB151" i="1" s="1"/>
  <c r="AN151" i="1" s="1"/>
  <c r="AC151" i="1"/>
  <c r="AD151" i="1" s="1"/>
  <c r="AE151" i="1" s="1"/>
  <c r="AO151" i="1" s="1"/>
  <c r="B152" i="1"/>
  <c r="C152" i="1" s="1"/>
  <c r="D152" i="1" s="1"/>
  <c r="AF152" i="1" s="1"/>
  <c r="E152" i="1"/>
  <c r="F152" i="1" s="1"/>
  <c r="G152" i="1" s="1"/>
  <c r="AG152" i="1" s="1"/>
  <c r="H152" i="1"/>
  <c r="I152" i="1" s="1"/>
  <c r="J152" i="1" s="1"/>
  <c r="AH152" i="1" s="1"/>
  <c r="K152" i="1"/>
  <c r="L152" i="1" s="1"/>
  <c r="M152" i="1" s="1"/>
  <c r="AI152" i="1" s="1"/>
  <c r="N152" i="1"/>
  <c r="O152" i="1" s="1"/>
  <c r="P152" i="1" s="1"/>
  <c r="AJ152" i="1" s="1"/>
  <c r="Q152" i="1"/>
  <c r="R152" i="1" s="1"/>
  <c r="S152" i="1" s="1"/>
  <c r="AK152" i="1" s="1"/>
  <c r="T152" i="1"/>
  <c r="U152" i="1" s="1"/>
  <c r="V152" i="1" s="1"/>
  <c r="AL152" i="1" s="1"/>
  <c r="W152" i="1"/>
  <c r="X152" i="1" s="1"/>
  <c r="Y152" i="1" s="1"/>
  <c r="AM152" i="1" s="1"/>
  <c r="Z152" i="1"/>
  <c r="AA152" i="1" s="1"/>
  <c r="AB152" i="1" s="1"/>
  <c r="AN152" i="1" s="1"/>
  <c r="AC152" i="1"/>
  <c r="AD152" i="1" s="1"/>
  <c r="AE152" i="1" s="1"/>
  <c r="AO152" i="1" s="1"/>
  <c r="B153" i="1"/>
  <c r="C153" i="1" s="1"/>
  <c r="D153" i="1" s="1"/>
  <c r="AF153" i="1" s="1"/>
  <c r="E153" i="1"/>
  <c r="F153" i="1" s="1"/>
  <c r="G153" i="1" s="1"/>
  <c r="AG153" i="1" s="1"/>
  <c r="H153" i="1"/>
  <c r="I153" i="1" s="1"/>
  <c r="J153" i="1" s="1"/>
  <c r="AH153" i="1" s="1"/>
  <c r="K153" i="1"/>
  <c r="L153" i="1" s="1"/>
  <c r="M153" i="1" s="1"/>
  <c r="AI153" i="1" s="1"/>
  <c r="N153" i="1"/>
  <c r="O153" i="1" s="1"/>
  <c r="P153" i="1" s="1"/>
  <c r="AJ153" i="1" s="1"/>
  <c r="Q153" i="1"/>
  <c r="R153" i="1" s="1"/>
  <c r="S153" i="1" s="1"/>
  <c r="AK153" i="1" s="1"/>
  <c r="T153" i="1"/>
  <c r="U153" i="1" s="1"/>
  <c r="V153" i="1" s="1"/>
  <c r="AL153" i="1" s="1"/>
  <c r="W153" i="1"/>
  <c r="X153" i="1" s="1"/>
  <c r="Y153" i="1" s="1"/>
  <c r="AM153" i="1" s="1"/>
  <c r="Z153" i="1"/>
  <c r="AA153" i="1" s="1"/>
  <c r="AB153" i="1" s="1"/>
  <c r="AN153" i="1" s="1"/>
  <c r="AC153" i="1"/>
  <c r="AD153" i="1" s="1"/>
  <c r="AE153" i="1" s="1"/>
  <c r="AO153" i="1" s="1"/>
  <c r="B154" i="1"/>
  <c r="C154" i="1" s="1"/>
  <c r="D154" i="1" s="1"/>
  <c r="AF154" i="1" s="1"/>
  <c r="E154" i="1"/>
  <c r="F154" i="1" s="1"/>
  <c r="G154" i="1" s="1"/>
  <c r="AG154" i="1" s="1"/>
  <c r="H154" i="1"/>
  <c r="I154" i="1" s="1"/>
  <c r="J154" i="1" s="1"/>
  <c r="AH154" i="1" s="1"/>
  <c r="K154" i="1"/>
  <c r="L154" i="1" s="1"/>
  <c r="M154" i="1" s="1"/>
  <c r="AI154" i="1" s="1"/>
  <c r="N154" i="1"/>
  <c r="O154" i="1" s="1"/>
  <c r="P154" i="1" s="1"/>
  <c r="AJ154" i="1" s="1"/>
  <c r="Q154" i="1"/>
  <c r="R154" i="1" s="1"/>
  <c r="S154" i="1" s="1"/>
  <c r="AK154" i="1" s="1"/>
  <c r="T154" i="1"/>
  <c r="U154" i="1" s="1"/>
  <c r="V154" i="1" s="1"/>
  <c r="AL154" i="1" s="1"/>
  <c r="W154" i="1"/>
  <c r="X154" i="1" s="1"/>
  <c r="Y154" i="1" s="1"/>
  <c r="AM154" i="1" s="1"/>
  <c r="Z154" i="1"/>
  <c r="AA154" i="1" s="1"/>
  <c r="AB154" i="1" s="1"/>
  <c r="AN154" i="1" s="1"/>
  <c r="AC154" i="1"/>
  <c r="AD154" i="1" s="1"/>
  <c r="AE154" i="1" s="1"/>
  <c r="AO154" i="1" s="1"/>
  <c r="B155" i="1"/>
  <c r="C155" i="1" s="1"/>
  <c r="D155" i="1" s="1"/>
  <c r="AF155" i="1" s="1"/>
  <c r="E155" i="1"/>
  <c r="F155" i="1" s="1"/>
  <c r="G155" i="1" s="1"/>
  <c r="AG155" i="1" s="1"/>
  <c r="H155" i="1"/>
  <c r="I155" i="1" s="1"/>
  <c r="J155" i="1" s="1"/>
  <c r="AH155" i="1" s="1"/>
  <c r="K155" i="1"/>
  <c r="L155" i="1" s="1"/>
  <c r="M155" i="1" s="1"/>
  <c r="AI155" i="1" s="1"/>
  <c r="N155" i="1"/>
  <c r="O155" i="1" s="1"/>
  <c r="P155" i="1" s="1"/>
  <c r="AJ155" i="1" s="1"/>
  <c r="Q155" i="1"/>
  <c r="R155" i="1" s="1"/>
  <c r="S155" i="1" s="1"/>
  <c r="AK155" i="1" s="1"/>
  <c r="T155" i="1"/>
  <c r="U155" i="1" s="1"/>
  <c r="V155" i="1" s="1"/>
  <c r="AL155" i="1" s="1"/>
  <c r="W155" i="1"/>
  <c r="X155" i="1" s="1"/>
  <c r="Y155" i="1" s="1"/>
  <c r="AM155" i="1" s="1"/>
  <c r="Z155" i="1"/>
  <c r="AA155" i="1" s="1"/>
  <c r="AB155" i="1" s="1"/>
  <c r="AN155" i="1" s="1"/>
  <c r="AC155" i="1"/>
  <c r="AD155" i="1" s="1"/>
  <c r="AE155" i="1" s="1"/>
  <c r="AO155" i="1" s="1"/>
  <c r="B156" i="1"/>
  <c r="C156" i="1" s="1"/>
  <c r="D156" i="1" s="1"/>
  <c r="AF156" i="1" s="1"/>
  <c r="E156" i="1"/>
  <c r="F156" i="1" s="1"/>
  <c r="G156" i="1" s="1"/>
  <c r="AG156" i="1" s="1"/>
  <c r="H156" i="1"/>
  <c r="I156" i="1" s="1"/>
  <c r="J156" i="1" s="1"/>
  <c r="AH156" i="1" s="1"/>
  <c r="K156" i="1"/>
  <c r="L156" i="1" s="1"/>
  <c r="M156" i="1" s="1"/>
  <c r="AI156" i="1" s="1"/>
  <c r="N156" i="1"/>
  <c r="O156" i="1" s="1"/>
  <c r="P156" i="1" s="1"/>
  <c r="AJ156" i="1" s="1"/>
  <c r="Q156" i="1"/>
  <c r="R156" i="1" s="1"/>
  <c r="S156" i="1" s="1"/>
  <c r="AK156" i="1" s="1"/>
  <c r="T156" i="1"/>
  <c r="U156" i="1" s="1"/>
  <c r="V156" i="1" s="1"/>
  <c r="AL156" i="1" s="1"/>
  <c r="W156" i="1"/>
  <c r="X156" i="1" s="1"/>
  <c r="Y156" i="1" s="1"/>
  <c r="AM156" i="1" s="1"/>
  <c r="Z156" i="1"/>
  <c r="AA156" i="1" s="1"/>
  <c r="AB156" i="1" s="1"/>
  <c r="AN156" i="1" s="1"/>
  <c r="AC156" i="1"/>
  <c r="AD156" i="1" s="1"/>
  <c r="AE156" i="1" s="1"/>
  <c r="AO156" i="1" s="1"/>
  <c r="B157" i="1"/>
  <c r="C157" i="1" s="1"/>
  <c r="D157" i="1" s="1"/>
  <c r="AF157" i="1" s="1"/>
  <c r="E157" i="1"/>
  <c r="F157" i="1" s="1"/>
  <c r="G157" i="1" s="1"/>
  <c r="AG157" i="1" s="1"/>
  <c r="H157" i="1"/>
  <c r="I157" i="1" s="1"/>
  <c r="J157" i="1" s="1"/>
  <c r="AH157" i="1" s="1"/>
  <c r="K157" i="1"/>
  <c r="L157" i="1" s="1"/>
  <c r="M157" i="1" s="1"/>
  <c r="AI157" i="1" s="1"/>
  <c r="N157" i="1"/>
  <c r="O157" i="1" s="1"/>
  <c r="P157" i="1" s="1"/>
  <c r="AJ157" i="1" s="1"/>
  <c r="Q157" i="1"/>
  <c r="R157" i="1" s="1"/>
  <c r="S157" i="1" s="1"/>
  <c r="AK157" i="1" s="1"/>
  <c r="T157" i="1"/>
  <c r="U157" i="1" s="1"/>
  <c r="V157" i="1" s="1"/>
  <c r="AL157" i="1" s="1"/>
  <c r="W157" i="1"/>
  <c r="X157" i="1" s="1"/>
  <c r="Y157" i="1" s="1"/>
  <c r="AM157" i="1" s="1"/>
  <c r="Z157" i="1"/>
  <c r="AA157" i="1" s="1"/>
  <c r="AB157" i="1" s="1"/>
  <c r="AN157" i="1" s="1"/>
  <c r="AC157" i="1"/>
  <c r="AD157" i="1" s="1"/>
  <c r="AE157" i="1" s="1"/>
  <c r="AO157" i="1" s="1"/>
  <c r="B158" i="1"/>
  <c r="C158" i="1" s="1"/>
  <c r="D158" i="1" s="1"/>
  <c r="AF158" i="1" s="1"/>
  <c r="E158" i="1"/>
  <c r="F158" i="1" s="1"/>
  <c r="G158" i="1" s="1"/>
  <c r="AG158" i="1" s="1"/>
  <c r="H158" i="1"/>
  <c r="I158" i="1" s="1"/>
  <c r="J158" i="1" s="1"/>
  <c r="AH158" i="1" s="1"/>
  <c r="K158" i="1"/>
  <c r="L158" i="1" s="1"/>
  <c r="M158" i="1" s="1"/>
  <c r="AI158" i="1" s="1"/>
  <c r="N158" i="1"/>
  <c r="O158" i="1" s="1"/>
  <c r="P158" i="1" s="1"/>
  <c r="AJ158" i="1" s="1"/>
  <c r="Q158" i="1"/>
  <c r="R158" i="1" s="1"/>
  <c r="S158" i="1" s="1"/>
  <c r="AK158" i="1" s="1"/>
  <c r="T158" i="1"/>
  <c r="U158" i="1" s="1"/>
  <c r="V158" i="1" s="1"/>
  <c r="AL158" i="1" s="1"/>
  <c r="W158" i="1"/>
  <c r="X158" i="1" s="1"/>
  <c r="Y158" i="1" s="1"/>
  <c r="AM158" i="1" s="1"/>
  <c r="Z158" i="1"/>
  <c r="AA158" i="1" s="1"/>
  <c r="AB158" i="1" s="1"/>
  <c r="AN158" i="1" s="1"/>
  <c r="AC158" i="1"/>
  <c r="AD158" i="1" s="1"/>
  <c r="AE158" i="1" s="1"/>
  <c r="AO158" i="1" s="1"/>
  <c r="B159" i="1"/>
  <c r="C159" i="1" s="1"/>
  <c r="D159" i="1" s="1"/>
  <c r="AF159" i="1" s="1"/>
  <c r="E159" i="1"/>
  <c r="F159" i="1" s="1"/>
  <c r="G159" i="1" s="1"/>
  <c r="AG159" i="1" s="1"/>
  <c r="H159" i="1"/>
  <c r="I159" i="1" s="1"/>
  <c r="J159" i="1" s="1"/>
  <c r="AH159" i="1" s="1"/>
  <c r="K159" i="1"/>
  <c r="L159" i="1" s="1"/>
  <c r="M159" i="1" s="1"/>
  <c r="AI159" i="1" s="1"/>
  <c r="N159" i="1"/>
  <c r="O159" i="1" s="1"/>
  <c r="P159" i="1" s="1"/>
  <c r="AJ159" i="1" s="1"/>
  <c r="Q159" i="1"/>
  <c r="R159" i="1" s="1"/>
  <c r="S159" i="1" s="1"/>
  <c r="AK159" i="1" s="1"/>
  <c r="T159" i="1"/>
  <c r="U159" i="1" s="1"/>
  <c r="V159" i="1" s="1"/>
  <c r="AL159" i="1" s="1"/>
  <c r="W159" i="1"/>
  <c r="X159" i="1" s="1"/>
  <c r="Y159" i="1" s="1"/>
  <c r="AM159" i="1" s="1"/>
  <c r="Z159" i="1"/>
  <c r="AA159" i="1" s="1"/>
  <c r="AB159" i="1" s="1"/>
  <c r="AN159" i="1" s="1"/>
  <c r="AC159" i="1"/>
  <c r="AD159" i="1" s="1"/>
  <c r="AE159" i="1" s="1"/>
  <c r="AO159" i="1" s="1"/>
  <c r="B160" i="1"/>
  <c r="C160" i="1" s="1"/>
  <c r="D160" i="1" s="1"/>
  <c r="AF160" i="1" s="1"/>
  <c r="E160" i="1"/>
  <c r="F160" i="1" s="1"/>
  <c r="G160" i="1" s="1"/>
  <c r="AG160" i="1" s="1"/>
  <c r="H160" i="1"/>
  <c r="I160" i="1" s="1"/>
  <c r="J160" i="1" s="1"/>
  <c r="AH160" i="1" s="1"/>
  <c r="K160" i="1"/>
  <c r="L160" i="1" s="1"/>
  <c r="M160" i="1" s="1"/>
  <c r="AI160" i="1" s="1"/>
  <c r="N160" i="1"/>
  <c r="O160" i="1" s="1"/>
  <c r="P160" i="1" s="1"/>
  <c r="AJ160" i="1" s="1"/>
  <c r="Q160" i="1"/>
  <c r="R160" i="1" s="1"/>
  <c r="S160" i="1" s="1"/>
  <c r="AK160" i="1" s="1"/>
  <c r="T160" i="1"/>
  <c r="U160" i="1" s="1"/>
  <c r="V160" i="1" s="1"/>
  <c r="AL160" i="1" s="1"/>
  <c r="W160" i="1"/>
  <c r="X160" i="1" s="1"/>
  <c r="Y160" i="1" s="1"/>
  <c r="AM160" i="1" s="1"/>
  <c r="Z160" i="1"/>
  <c r="AA160" i="1" s="1"/>
  <c r="AB160" i="1" s="1"/>
  <c r="AN160" i="1" s="1"/>
  <c r="AC160" i="1"/>
  <c r="AD160" i="1" s="1"/>
  <c r="AE160" i="1" s="1"/>
  <c r="AO160" i="1" s="1"/>
  <c r="B161" i="1"/>
  <c r="C161" i="1" s="1"/>
  <c r="D161" i="1" s="1"/>
  <c r="AF161" i="1" s="1"/>
  <c r="E161" i="1"/>
  <c r="F161" i="1" s="1"/>
  <c r="G161" i="1" s="1"/>
  <c r="AG161" i="1" s="1"/>
  <c r="H161" i="1"/>
  <c r="I161" i="1" s="1"/>
  <c r="J161" i="1" s="1"/>
  <c r="AH161" i="1" s="1"/>
  <c r="K161" i="1"/>
  <c r="L161" i="1" s="1"/>
  <c r="M161" i="1" s="1"/>
  <c r="AI161" i="1" s="1"/>
  <c r="N161" i="1"/>
  <c r="O161" i="1" s="1"/>
  <c r="P161" i="1" s="1"/>
  <c r="AJ161" i="1" s="1"/>
  <c r="Q161" i="1"/>
  <c r="R161" i="1" s="1"/>
  <c r="S161" i="1" s="1"/>
  <c r="AK161" i="1" s="1"/>
  <c r="T161" i="1"/>
  <c r="U161" i="1" s="1"/>
  <c r="V161" i="1" s="1"/>
  <c r="AL161" i="1" s="1"/>
  <c r="W161" i="1"/>
  <c r="X161" i="1" s="1"/>
  <c r="Y161" i="1" s="1"/>
  <c r="AM161" i="1" s="1"/>
  <c r="Z161" i="1"/>
  <c r="AA161" i="1" s="1"/>
  <c r="AB161" i="1" s="1"/>
  <c r="AN161" i="1" s="1"/>
  <c r="AC161" i="1"/>
  <c r="AD161" i="1" s="1"/>
  <c r="AE161" i="1" s="1"/>
  <c r="AO161" i="1" s="1"/>
  <c r="B162" i="1"/>
  <c r="C162" i="1" s="1"/>
  <c r="D162" i="1" s="1"/>
  <c r="AF162" i="1" s="1"/>
  <c r="E162" i="1"/>
  <c r="F162" i="1" s="1"/>
  <c r="G162" i="1" s="1"/>
  <c r="AG162" i="1" s="1"/>
  <c r="H162" i="1"/>
  <c r="I162" i="1" s="1"/>
  <c r="J162" i="1" s="1"/>
  <c r="AH162" i="1" s="1"/>
  <c r="K162" i="1"/>
  <c r="L162" i="1" s="1"/>
  <c r="M162" i="1" s="1"/>
  <c r="AI162" i="1" s="1"/>
  <c r="N162" i="1"/>
  <c r="O162" i="1" s="1"/>
  <c r="P162" i="1" s="1"/>
  <c r="AJ162" i="1" s="1"/>
  <c r="Q162" i="1"/>
  <c r="R162" i="1" s="1"/>
  <c r="S162" i="1" s="1"/>
  <c r="AK162" i="1" s="1"/>
  <c r="T162" i="1"/>
  <c r="U162" i="1" s="1"/>
  <c r="V162" i="1" s="1"/>
  <c r="AL162" i="1" s="1"/>
  <c r="W162" i="1"/>
  <c r="X162" i="1" s="1"/>
  <c r="Y162" i="1" s="1"/>
  <c r="AM162" i="1" s="1"/>
  <c r="Z162" i="1"/>
  <c r="AA162" i="1" s="1"/>
  <c r="AB162" i="1" s="1"/>
  <c r="AN162" i="1" s="1"/>
  <c r="AC162" i="1"/>
  <c r="AD162" i="1" s="1"/>
  <c r="AE162" i="1" s="1"/>
  <c r="AO162" i="1" s="1"/>
  <c r="B163" i="1"/>
  <c r="C163" i="1" s="1"/>
  <c r="D163" i="1" s="1"/>
  <c r="AF163" i="1" s="1"/>
  <c r="E163" i="1"/>
  <c r="F163" i="1" s="1"/>
  <c r="G163" i="1" s="1"/>
  <c r="AG163" i="1" s="1"/>
  <c r="H163" i="1"/>
  <c r="I163" i="1" s="1"/>
  <c r="J163" i="1" s="1"/>
  <c r="AH163" i="1" s="1"/>
  <c r="K163" i="1"/>
  <c r="L163" i="1" s="1"/>
  <c r="M163" i="1" s="1"/>
  <c r="AI163" i="1" s="1"/>
  <c r="N163" i="1"/>
  <c r="O163" i="1" s="1"/>
  <c r="P163" i="1" s="1"/>
  <c r="AJ163" i="1" s="1"/>
  <c r="Q163" i="1"/>
  <c r="R163" i="1" s="1"/>
  <c r="S163" i="1" s="1"/>
  <c r="AK163" i="1" s="1"/>
  <c r="T163" i="1"/>
  <c r="U163" i="1" s="1"/>
  <c r="V163" i="1" s="1"/>
  <c r="AL163" i="1" s="1"/>
  <c r="W163" i="1"/>
  <c r="X163" i="1" s="1"/>
  <c r="Y163" i="1" s="1"/>
  <c r="AM163" i="1" s="1"/>
  <c r="Z163" i="1"/>
  <c r="AA163" i="1" s="1"/>
  <c r="AB163" i="1" s="1"/>
  <c r="AN163" i="1" s="1"/>
  <c r="AC163" i="1"/>
  <c r="AD163" i="1" s="1"/>
  <c r="AE163" i="1" s="1"/>
  <c r="AO163" i="1" s="1"/>
  <c r="B164" i="1"/>
  <c r="C164" i="1" s="1"/>
  <c r="D164" i="1" s="1"/>
  <c r="AF164" i="1" s="1"/>
  <c r="E164" i="1"/>
  <c r="F164" i="1" s="1"/>
  <c r="G164" i="1" s="1"/>
  <c r="AG164" i="1" s="1"/>
  <c r="H164" i="1"/>
  <c r="I164" i="1" s="1"/>
  <c r="J164" i="1" s="1"/>
  <c r="AH164" i="1" s="1"/>
  <c r="K164" i="1"/>
  <c r="L164" i="1" s="1"/>
  <c r="M164" i="1" s="1"/>
  <c r="AI164" i="1" s="1"/>
  <c r="N164" i="1"/>
  <c r="O164" i="1" s="1"/>
  <c r="P164" i="1" s="1"/>
  <c r="AJ164" i="1" s="1"/>
  <c r="Q164" i="1"/>
  <c r="R164" i="1" s="1"/>
  <c r="S164" i="1" s="1"/>
  <c r="AK164" i="1" s="1"/>
  <c r="T164" i="1"/>
  <c r="U164" i="1" s="1"/>
  <c r="V164" i="1" s="1"/>
  <c r="AL164" i="1" s="1"/>
  <c r="W164" i="1"/>
  <c r="X164" i="1" s="1"/>
  <c r="Y164" i="1" s="1"/>
  <c r="AM164" i="1" s="1"/>
  <c r="Z164" i="1"/>
  <c r="AA164" i="1" s="1"/>
  <c r="AB164" i="1" s="1"/>
  <c r="AN164" i="1" s="1"/>
  <c r="AC164" i="1"/>
  <c r="AD164" i="1" s="1"/>
  <c r="AE164" i="1" s="1"/>
  <c r="AO164" i="1" s="1"/>
  <c r="B165" i="1"/>
  <c r="C165" i="1" s="1"/>
  <c r="D165" i="1" s="1"/>
  <c r="AF165" i="1" s="1"/>
  <c r="E165" i="1"/>
  <c r="F165" i="1" s="1"/>
  <c r="G165" i="1" s="1"/>
  <c r="AG165" i="1" s="1"/>
  <c r="H165" i="1"/>
  <c r="I165" i="1" s="1"/>
  <c r="J165" i="1" s="1"/>
  <c r="AH165" i="1" s="1"/>
  <c r="K165" i="1"/>
  <c r="L165" i="1" s="1"/>
  <c r="M165" i="1" s="1"/>
  <c r="AI165" i="1" s="1"/>
  <c r="N165" i="1"/>
  <c r="O165" i="1" s="1"/>
  <c r="P165" i="1" s="1"/>
  <c r="AJ165" i="1" s="1"/>
  <c r="Q165" i="1"/>
  <c r="R165" i="1" s="1"/>
  <c r="S165" i="1" s="1"/>
  <c r="AK165" i="1" s="1"/>
  <c r="T165" i="1"/>
  <c r="U165" i="1" s="1"/>
  <c r="V165" i="1" s="1"/>
  <c r="AL165" i="1" s="1"/>
  <c r="W165" i="1"/>
  <c r="X165" i="1" s="1"/>
  <c r="Y165" i="1" s="1"/>
  <c r="AM165" i="1" s="1"/>
  <c r="Z165" i="1"/>
  <c r="AA165" i="1" s="1"/>
  <c r="AB165" i="1" s="1"/>
  <c r="AN165" i="1" s="1"/>
  <c r="AC165" i="1"/>
  <c r="AD165" i="1" s="1"/>
  <c r="AE165" i="1" s="1"/>
  <c r="AO165" i="1" s="1"/>
  <c r="B166" i="1"/>
  <c r="C166" i="1" s="1"/>
  <c r="D166" i="1" s="1"/>
  <c r="AF166" i="1" s="1"/>
  <c r="E166" i="1"/>
  <c r="F166" i="1" s="1"/>
  <c r="G166" i="1" s="1"/>
  <c r="AG166" i="1" s="1"/>
  <c r="H166" i="1"/>
  <c r="I166" i="1" s="1"/>
  <c r="J166" i="1" s="1"/>
  <c r="AH166" i="1" s="1"/>
  <c r="K166" i="1"/>
  <c r="L166" i="1" s="1"/>
  <c r="M166" i="1" s="1"/>
  <c r="AI166" i="1" s="1"/>
  <c r="N166" i="1"/>
  <c r="O166" i="1" s="1"/>
  <c r="P166" i="1" s="1"/>
  <c r="AJ166" i="1" s="1"/>
  <c r="Q166" i="1"/>
  <c r="R166" i="1" s="1"/>
  <c r="S166" i="1" s="1"/>
  <c r="AK166" i="1" s="1"/>
  <c r="T166" i="1"/>
  <c r="U166" i="1" s="1"/>
  <c r="V166" i="1" s="1"/>
  <c r="AL166" i="1" s="1"/>
  <c r="W166" i="1"/>
  <c r="X166" i="1" s="1"/>
  <c r="Y166" i="1" s="1"/>
  <c r="AM166" i="1" s="1"/>
  <c r="Z166" i="1"/>
  <c r="AA166" i="1" s="1"/>
  <c r="AB166" i="1" s="1"/>
  <c r="AN166" i="1" s="1"/>
  <c r="AC166" i="1"/>
  <c r="AD166" i="1" s="1"/>
  <c r="AE166" i="1" s="1"/>
  <c r="AO166" i="1" s="1"/>
  <c r="B167" i="1"/>
  <c r="C167" i="1" s="1"/>
  <c r="D167" i="1" s="1"/>
  <c r="AF167" i="1" s="1"/>
  <c r="E167" i="1"/>
  <c r="F167" i="1" s="1"/>
  <c r="G167" i="1" s="1"/>
  <c r="AG167" i="1" s="1"/>
  <c r="H167" i="1"/>
  <c r="I167" i="1" s="1"/>
  <c r="J167" i="1" s="1"/>
  <c r="AH167" i="1" s="1"/>
  <c r="K167" i="1"/>
  <c r="L167" i="1" s="1"/>
  <c r="M167" i="1" s="1"/>
  <c r="AI167" i="1" s="1"/>
  <c r="N167" i="1"/>
  <c r="O167" i="1" s="1"/>
  <c r="P167" i="1" s="1"/>
  <c r="AJ167" i="1" s="1"/>
  <c r="Q167" i="1"/>
  <c r="R167" i="1" s="1"/>
  <c r="S167" i="1" s="1"/>
  <c r="AK167" i="1" s="1"/>
  <c r="T167" i="1"/>
  <c r="U167" i="1" s="1"/>
  <c r="V167" i="1" s="1"/>
  <c r="AL167" i="1" s="1"/>
  <c r="W167" i="1"/>
  <c r="X167" i="1" s="1"/>
  <c r="Y167" i="1" s="1"/>
  <c r="AM167" i="1" s="1"/>
  <c r="Z167" i="1"/>
  <c r="AA167" i="1" s="1"/>
  <c r="AB167" i="1" s="1"/>
  <c r="AN167" i="1" s="1"/>
  <c r="AC167" i="1"/>
  <c r="AD167" i="1" s="1"/>
  <c r="AE167" i="1" s="1"/>
  <c r="AO167" i="1" s="1"/>
  <c r="B168" i="1"/>
  <c r="C168" i="1" s="1"/>
  <c r="D168" i="1" s="1"/>
  <c r="AF168" i="1" s="1"/>
  <c r="E168" i="1"/>
  <c r="F168" i="1" s="1"/>
  <c r="G168" i="1" s="1"/>
  <c r="AG168" i="1" s="1"/>
  <c r="H168" i="1"/>
  <c r="I168" i="1" s="1"/>
  <c r="J168" i="1" s="1"/>
  <c r="AH168" i="1" s="1"/>
  <c r="K168" i="1"/>
  <c r="L168" i="1" s="1"/>
  <c r="M168" i="1" s="1"/>
  <c r="AI168" i="1" s="1"/>
  <c r="N168" i="1"/>
  <c r="O168" i="1" s="1"/>
  <c r="P168" i="1" s="1"/>
  <c r="AJ168" i="1" s="1"/>
  <c r="Q168" i="1"/>
  <c r="R168" i="1" s="1"/>
  <c r="S168" i="1" s="1"/>
  <c r="AK168" i="1" s="1"/>
  <c r="T168" i="1"/>
  <c r="U168" i="1" s="1"/>
  <c r="V168" i="1" s="1"/>
  <c r="AL168" i="1" s="1"/>
  <c r="W168" i="1"/>
  <c r="X168" i="1" s="1"/>
  <c r="Y168" i="1" s="1"/>
  <c r="AM168" i="1" s="1"/>
  <c r="Z168" i="1"/>
  <c r="AA168" i="1" s="1"/>
  <c r="AB168" i="1" s="1"/>
  <c r="AN168" i="1" s="1"/>
  <c r="AC168" i="1"/>
  <c r="AD168" i="1" s="1"/>
  <c r="AE168" i="1" s="1"/>
  <c r="AO168" i="1" s="1"/>
  <c r="B169" i="1"/>
  <c r="C169" i="1" s="1"/>
  <c r="D169" i="1" s="1"/>
  <c r="AF169" i="1" s="1"/>
  <c r="E169" i="1"/>
  <c r="F169" i="1" s="1"/>
  <c r="G169" i="1" s="1"/>
  <c r="AG169" i="1" s="1"/>
  <c r="H169" i="1"/>
  <c r="I169" i="1" s="1"/>
  <c r="J169" i="1" s="1"/>
  <c r="AH169" i="1" s="1"/>
  <c r="K169" i="1"/>
  <c r="L169" i="1" s="1"/>
  <c r="M169" i="1" s="1"/>
  <c r="AI169" i="1" s="1"/>
  <c r="N169" i="1"/>
  <c r="O169" i="1" s="1"/>
  <c r="P169" i="1" s="1"/>
  <c r="AJ169" i="1" s="1"/>
  <c r="Q169" i="1"/>
  <c r="R169" i="1" s="1"/>
  <c r="S169" i="1" s="1"/>
  <c r="AK169" i="1" s="1"/>
  <c r="T169" i="1"/>
  <c r="U169" i="1" s="1"/>
  <c r="V169" i="1" s="1"/>
  <c r="AL169" i="1" s="1"/>
  <c r="W169" i="1"/>
  <c r="X169" i="1" s="1"/>
  <c r="Y169" i="1" s="1"/>
  <c r="AM169" i="1" s="1"/>
  <c r="Z169" i="1"/>
  <c r="AA169" i="1" s="1"/>
  <c r="AB169" i="1" s="1"/>
  <c r="AN169" i="1" s="1"/>
  <c r="AC169" i="1"/>
  <c r="AD169" i="1" s="1"/>
  <c r="AE169" i="1" s="1"/>
  <c r="AO169" i="1" s="1"/>
  <c r="B170" i="1"/>
  <c r="C170" i="1" s="1"/>
  <c r="D170" i="1" s="1"/>
  <c r="AF170" i="1" s="1"/>
  <c r="E170" i="1"/>
  <c r="F170" i="1" s="1"/>
  <c r="G170" i="1" s="1"/>
  <c r="AG170" i="1" s="1"/>
  <c r="H170" i="1"/>
  <c r="I170" i="1" s="1"/>
  <c r="J170" i="1" s="1"/>
  <c r="AH170" i="1" s="1"/>
  <c r="K170" i="1"/>
  <c r="L170" i="1" s="1"/>
  <c r="M170" i="1" s="1"/>
  <c r="AI170" i="1" s="1"/>
  <c r="N170" i="1"/>
  <c r="O170" i="1" s="1"/>
  <c r="P170" i="1" s="1"/>
  <c r="AJ170" i="1" s="1"/>
  <c r="Q170" i="1"/>
  <c r="R170" i="1" s="1"/>
  <c r="S170" i="1" s="1"/>
  <c r="AK170" i="1" s="1"/>
  <c r="T170" i="1"/>
  <c r="U170" i="1" s="1"/>
  <c r="V170" i="1" s="1"/>
  <c r="AL170" i="1" s="1"/>
  <c r="W170" i="1"/>
  <c r="X170" i="1" s="1"/>
  <c r="Y170" i="1" s="1"/>
  <c r="AM170" i="1" s="1"/>
  <c r="Z170" i="1"/>
  <c r="AA170" i="1" s="1"/>
  <c r="AB170" i="1" s="1"/>
  <c r="AN170" i="1" s="1"/>
  <c r="AC170" i="1"/>
  <c r="AD170" i="1" s="1"/>
  <c r="AE170" i="1" s="1"/>
  <c r="AO170" i="1" s="1"/>
  <c r="B171" i="1"/>
  <c r="C171" i="1" s="1"/>
  <c r="D171" i="1" s="1"/>
  <c r="AF171" i="1" s="1"/>
  <c r="E171" i="1"/>
  <c r="F171" i="1" s="1"/>
  <c r="G171" i="1" s="1"/>
  <c r="AG171" i="1" s="1"/>
  <c r="H171" i="1"/>
  <c r="I171" i="1" s="1"/>
  <c r="J171" i="1" s="1"/>
  <c r="AH171" i="1" s="1"/>
  <c r="K171" i="1"/>
  <c r="L171" i="1" s="1"/>
  <c r="M171" i="1" s="1"/>
  <c r="AI171" i="1" s="1"/>
  <c r="N171" i="1"/>
  <c r="O171" i="1" s="1"/>
  <c r="P171" i="1" s="1"/>
  <c r="AJ171" i="1" s="1"/>
  <c r="Q171" i="1"/>
  <c r="R171" i="1" s="1"/>
  <c r="S171" i="1" s="1"/>
  <c r="AK171" i="1" s="1"/>
  <c r="T171" i="1"/>
  <c r="U171" i="1" s="1"/>
  <c r="V171" i="1" s="1"/>
  <c r="AL171" i="1" s="1"/>
  <c r="W171" i="1"/>
  <c r="X171" i="1" s="1"/>
  <c r="Y171" i="1" s="1"/>
  <c r="AM171" i="1" s="1"/>
  <c r="Z171" i="1"/>
  <c r="AA171" i="1" s="1"/>
  <c r="AB171" i="1" s="1"/>
  <c r="AN171" i="1" s="1"/>
  <c r="AC171" i="1"/>
  <c r="AD171" i="1" s="1"/>
  <c r="AE171" i="1" s="1"/>
  <c r="AO171" i="1" s="1"/>
  <c r="B172" i="1"/>
  <c r="C172" i="1" s="1"/>
  <c r="D172" i="1" s="1"/>
  <c r="AF172" i="1" s="1"/>
  <c r="E172" i="1"/>
  <c r="F172" i="1" s="1"/>
  <c r="G172" i="1" s="1"/>
  <c r="AG172" i="1" s="1"/>
  <c r="H172" i="1"/>
  <c r="I172" i="1" s="1"/>
  <c r="J172" i="1" s="1"/>
  <c r="AH172" i="1" s="1"/>
  <c r="K172" i="1"/>
  <c r="L172" i="1" s="1"/>
  <c r="M172" i="1" s="1"/>
  <c r="AI172" i="1" s="1"/>
  <c r="N172" i="1"/>
  <c r="O172" i="1" s="1"/>
  <c r="P172" i="1" s="1"/>
  <c r="AJ172" i="1" s="1"/>
  <c r="Q172" i="1"/>
  <c r="R172" i="1" s="1"/>
  <c r="S172" i="1" s="1"/>
  <c r="AK172" i="1" s="1"/>
  <c r="T172" i="1"/>
  <c r="U172" i="1" s="1"/>
  <c r="V172" i="1" s="1"/>
  <c r="AL172" i="1" s="1"/>
  <c r="W172" i="1"/>
  <c r="X172" i="1" s="1"/>
  <c r="Y172" i="1" s="1"/>
  <c r="AM172" i="1" s="1"/>
  <c r="Z172" i="1"/>
  <c r="AA172" i="1" s="1"/>
  <c r="AB172" i="1" s="1"/>
  <c r="AN172" i="1" s="1"/>
  <c r="AC172" i="1"/>
  <c r="AD172" i="1" s="1"/>
  <c r="AE172" i="1" s="1"/>
  <c r="AO172" i="1" s="1"/>
  <c r="B173" i="1"/>
  <c r="C173" i="1" s="1"/>
  <c r="D173" i="1" s="1"/>
  <c r="AF173" i="1" s="1"/>
  <c r="E173" i="1"/>
  <c r="F173" i="1" s="1"/>
  <c r="G173" i="1" s="1"/>
  <c r="AG173" i="1" s="1"/>
  <c r="H173" i="1"/>
  <c r="I173" i="1" s="1"/>
  <c r="J173" i="1" s="1"/>
  <c r="AH173" i="1" s="1"/>
  <c r="K173" i="1"/>
  <c r="L173" i="1" s="1"/>
  <c r="M173" i="1" s="1"/>
  <c r="AI173" i="1" s="1"/>
  <c r="N173" i="1"/>
  <c r="O173" i="1" s="1"/>
  <c r="P173" i="1" s="1"/>
  <c r="AJ173" i="1" s="1"/>
  <c r="Q173" i="1"/>
  <c r="R173" i="1" s="1"/>
  <c r="S173" i="1" s="1"/>
  <c r="AK173" i="1" s="1"/>
  <c r="T173" i="1"/>
  <c r="U173" i="1" s="1"/>
  <c r="V173" i="1" s="1"/>
  <c r="AL173" i="1" s="1"/>
  <c r="W173" i="1"/>
  <c r="X173" i="1" s="1"/>
  <c r="Y173" i="1" s="1"/>
  <c r="AM173" i="1" s="1"/>
  <c r="Z173" i="1"/>
  <c r="AA173" i="1" s="1"/>
  <c r="AB173" i="1" s="1"/>
  <c r="AN173" i="1" s="1"/>
  <c r="AC173" i="1"/>
  <c r="AD173" i="1" s="1"/>
  <c r="AE173" i="1" s="1"/>
  <c r="AO173" i="1" s="1"/>
  <c r="B174" i="1"/>
  <c r="C174" i="1" s="1"/>
  <c r="D174" i="1" s="1"/>
  <c r="AF174" i="1" s="1"/>
  <c r="E174" i="1"/>
  <c r="F174" i="1" s="1"/>
  <c r="G174" i="1" s="1"/>
  <c r="AG174" i="1" s="1"/>
  <c r="H174" i="1"/>
  <c r="I174" i="1" s="1"/>
  <c r="J174" i="1" s="1"/>
  <c r="AH174" i="1" s="1"/>
  <c r="K174" i="1"/>
  <c r="L174" i="1" s="1"/>
  <c r="M174" i="1" s="1"/>
  <c r="AI174" i="1" s="1"/>
  <c r="N174" i="1"/>
  <c r="O174" i="1" s="1"/>
  <c r="P174" i="1" s="1"/>
  <c r="AJ174" i="1" s="1"/>
  <c r="Q174" i="1"/>
  <c r="R174" i="1" s="1"/>
  <c r="S174" i="1" s="1"/>
  <c r="AK174" i="1" s="1"/>
  <c r="T174" i="1"/>
  <c r="U174" i="1" s="1"/>
  <c r="V174" i="1" s="1"/>
  <c r="AL174" i="1" s="1"/>
  <c r="W174" i="1"/>
  <c r="X174" i="1" s="1"/>
  <c r="Y174" i="1" s="1"/>
  <c r="AM174" i="1" s="1"/>
  <c r="Z174" i="1"/>
  <c r="AA174" i="1" s="1"/>
  <c r="AB174" i="1" s="1"/>
  <c r="AN174" i="1" s="1"/>
  <c r="AC174" i="1"/>
  <c r="AD174" i="1" s="1"/>
  <c r="AE174" i="1" s="1"/>
  <c r="AO174" i="1" s="1"/>
  <c r="B175" i="1"/>
  <c r="C175" i="1" s="1"/>
  <c r="D175" i="1" s="1"/>
  <c r="AF175" i="1" s="1"/>
  <c r="E175" i="1"/>
  <c r="F175" i="1" s="1"/>
  <c r="G175" i="1" s="1"/>
  <c r="AG175" i="1" s="1"/>
  <c r="H175" i="1"/>
  <c r="I175" i="1" s="1"/>
  <c r="J175" i="1" s="1"/>
  <c r="AH175" i="1" s="1"/>
  <c r="K175" i="1"/>
  <c r="L175" i="1" s="1"/>
  <c r="M175" i="1" s="1"/>
  <c r="AI175" i="1" s="1"/>
  <c r="N175" i="1"/>
  <c r="O175" i="1" s="1"/>
  <c r="P175" i="1" s="1"/>
  <c r="AJ175" i="1" s="1"/>
  <c r="Q175" i="1"/>
  <c r="R175" i="1" s="1"/>
  <c r="S175" i="1" s="1"/>
  <c r="AK175" i="1" s="1"/>
  <c r="T175" i="1"/>
  <c r="U175" i="1" s="1"/>
  <c r="V175" i="1" s="1"/>
  <c r="AL175" i="1" s="1"/>
  <c r="W175" i="1"/>
  <c r="X175" i="1" s="1"/>
  <c r="Y175" i="1" s="1"/>
  <c r="AM175" i="1" s="1"/>
  <c r="Z175" i="1"/>
  <c r="AA175" i="1" s="1"/>
  <c r="AB175" i="1" s="1"/>
  <c r="AN175" i="1" s="1"/>
  <c r="AC175" i="1"/>
  <c r="AD175" i="1" s="1"/>
  <c r="AE175" i="1" s="1"/>
  <c r="AO175" i="1" s="1"/>
  <c r="B176" i="1"/>
  <c r="C176" i="1" s="1"/>
  <c r="D176" i="1" s="1"/>
  <c r="AF176" i="1" s="1"/>
  <c r="E176" i="1"/>
  <c r="F176" i="1" s="1"/>
  <c r="G176" i="1" s="1"/>
  <c r="AG176" i="1" s="1"/>
  <c r="H176" i="1"/>
  <c r="I176" i="1" s="1"/>
  <c r="J176" i="1" s="1"/>
  <c r="AH176" i="1" s="1"/>
  <c r="K176" i="1"/>
  <c r="L176" i="1" s="1"/>
  <c r="M176" i="1" s="1"/>
  <c r="AI176" i="1" s="1"/>
  <c r="N176" i="1"/>
  <c r="O176" i="1" s="1"/>
  <c r="P176" i="1" s="1"/>
  <c r="AJ176" i="1" s="1"/>
  <c r="Q176" i="1"/>
  <c r="R176" i="1" s="1"/>
  <c r="S176" i="1" s="1"/>
  <c r="AK176" i="1" s="1"/>
  <c r="T176" i="1"/>
  <c r="U176" i="1" s="1"/>
  <c r="V176" i="1" s="1"/>
  <c r="AL176" i="1" s="1"/>
  <c r="W176" i="1"/>
  <c r="X176" i="1" s="1"/>
  <c r="Y176" i="1" s="1"/>
  <c r="AM176" i="1" s="1"/>
  <c r="Z176" i="1"/>
  <c r="AA176" i="1" s="1"/>
  <c r="AB176" i="1" s="1"/>
  <c r="AN176" i="1" s="1"/>
  <c r="AC176" i="1"/>
  <c r="AD176" i="1" s="1"/>
  <c r="AE176" i="1" s="1"/>
  <c r="AO176" i="1" s="1"/>
  <c r="B177" i="1"/>
  <c r="C177" i="1" s="1"/>
  <c r="D177" i="1" s="1"/>
  <c r="AF177" i="1" s="1"/>
  <c r="E177" i="1"/>
  <c r="F177" i="1" s="1"/>
  <c r="G177" i="1" s="1"/>
  <c r="AG177" i="1" s="1"/>
  <c r="H177" i="1"/>
  <c r="I177" i="1" s="1"/>
  <c r="J177" i="1" s="1"/>
  <c r="AH177" i="1" s="1"/>
  <c r="K177" i="1"/>
  <c r="L177" i="1" s="1"/>
  <c r="M177" i="1" s="1"/>
  <c r="AI177" i="1" s="1"/>
  <c r="N177" i="1"/>
  <c r="O177" i="1" s="1"/>
  <c r="P177" i="1" s="1"/>
  <c r="AJ177" i="1" s="1"/>
  <c r="Q177" i="1"/>
  <c r="R177" i="1" s="1"/>
  <c r="S177" i="1" s="1"/>
  <c r="AK177" i="1" s="1"/>
  <c r="T177" i="1"/>
  <c r="U177" i="1" s="1"/>
  <c r="V177" i="1" s="1"/>
  <c r="AL177" i="1" s="1"/>
  <c r="W177" i="1"/>
  <c r="X177" i="1" s="1"/>
  <c r="Y177" i="1" s="1"/>
  <c r="AM177" i="1" s="1"/>
  <c r="Z177" i="1"/>
  <c r="AA177" i="1" s="1"/>
  <c r="AB177" i="1" s="1"/>
  <c r="AN177" i="1" s="1"/>
  <c r="AC177" i="1"/>
  <c r="AD177" i="1" s="1"/>
  <c r="AE177" i="1" s="1"/>
  <c r="AO177" i="1" s="1"/>
  <c r="B178" i="1"/>
  <c r="C178" i="1" s="1"/>
  <c r="D178" i="1" s="1"/>
  <c r="AF178" i="1" s="1"/>
  <c r="E178" i="1"/>
  <c r="F178" i="1" s="1"/>
  <c r="G178" i="1" s="1"/>
  <c r="AG178" i="1" s="1"/>
  <c r="H178" i="1"/>
  <c r="I178" i="1" s="1"/>
  <c r="J178" i="1" s="1"/>
  <c r="AH178" i="1" s="1"/>
  <c r="K178" i="1"/>
  <c r="L178" i="1" s="1"/>
  <c r="M178" i="1" s="1"/>
  <c r="AI178" i="1" s="1"/>
  <c r="N178" i="1"/>
  <c r="O178" i="1" s="1"/>
  <c r="P178" i="1" s="1"/>
  <c r="AJ178" i="1" s="1"/>
  <c r="Q178" i="1"/>
  <c r="R178" i="1" s="1"/>
  <c r="S178" i="1" s="1"/>
  <c r="AK178" i="1" s="1"/>
  <c r="T178" i="1"/>
  <c r="U178" i="1" s="1"/>
  <c r="V178" i="1" s="1"/>
  <c r="AL178" i="1" s="1"/>
  <c r="W178" i="1"/>
  <c r="X178" i="1" s="1"/>
  <c r="Y178" i="1" s="1"/>
  <c r="AM178" i="1" s="1"/>
  <c r="Z178" i="1"/>
  <c r="AA178" i="1" s="1"/>
  <c r="AB178" i="1" s="1"/>
  <c r="AN178" i="1" s="1"/>
  <c r="AC178" i="1"/>
  <c r="AD178" i="1" s="1"/>
  <c r="AE178" i="1" s="1"/>
  <c r="AO178" i="1" s="1"/>
  <c r="B179" i="1"/>
  <c r="C179" i="1" s="1"/>
  <c r="D179" i="1" s="1"/>
  <c r="AF179" i="1" s="1"/>
  <c r="E179" i="1"/>
  <c r="F179" i="1" s="1"/>
  <c r="G179" i="1" s="1"/>
  <c r="AG179" i="1" s="1"/>
  <c r="H179" i="1"/>
  <c r="I179" i="1" s="1"/>
  <c r="J179" i="1" s="1"/>
  <c r="AH179" i="1" s="1"/>
  <c r="K179" i="1"/>
  <c r="L179" i="1" s="1"/>
  <c r="M179" i="1" s="1"/>
  <c r="AI179" i="1" s="1"/>
  <c r="N179" i="1"/>
  <c r="O179" i="1" s="1"/>
  <c r="P179" i="1" s="1"/>
  <c r="AJ179" i="1" s="1"/>
  <c r="Q179" i="1"/>
  <c r="R179" i="1" s="1"/>
  <c r="S179" i="1" s="1"/>
  <c r="AK179" i="1" s="1"/>
  <c r="T179" i="1"/>
  <c r="U179" i="1" s="1"/>
  <c r="V179" i="1" s="1"/>
  <c r="AL179" i="1" s="1"/>
  <c r="W179" i="1"/>
  <c r="X179" i="1" s="1"/>
  <c r="Y179" i="1" s="1"/>
  <c r="AM179" i="1" s="1"/>
  <c r="Z179" i="1"/>
  <c r="AA179" i="1" s="1"/>
  <c r="AB179" i="1" s="1"/>
  <c r="AN179" i="1" s="1"/>
  <c r="AC179" i="1"/>
  <c r="AD179" i="1" s="1"/>
  <c r="AE179" i="1" s="1"/>
  <c r="AO179" i="1" s="1"/>
  <c r="B180" i="1"/>
  <c r="C180" i="1" s="1"/>
  <c r="D180" i="1" s="1"/>
  <c r="AF180" i="1" s="1"/>
  <c r="E180" i="1"/>
  <c r="F180" i="1" s="1"/>
  <c r="G180" i="1" s="1"/>
  <c r="AG180" i="1" s="1"/>
  <c r="H180" i="1"/>
  <c r="I180" i="1" s="1"/>
  <c r="J180" i="1" s="1"/>
  <c r="AH180" i="1" s="1"/>
  <c r="K180" i="1"/>
  <c r="L180" i="1" s="1"/>
  <c r="M180" i="1" s="1"/>
  <c r="AI180" i="1" s="1"/>
  <c r="N180" i="1"/>
  <c r="O180" i="1" s="1"/>
  <c r="P180" i="1" s="1"/>
  <c r="AJ180" i="1" s="1"/>
  <c r="Q180" i="1"/>
  <c r="R180" i="1" s="1"/>
  <c r="S180" i="1" s="1"/>
  <c r="AK180" i="1" s="1"/>
  <c r="T180" i="1"/>
  <c r="U180" i="1" s="1"/>
  <c r="V180" i="1" s="1"/>
  <c r="AL180" i="1" s="1"/>
  <c r="W180" i="1"/>
  <c r="X180" i="1" s="1"/>
  <c r="Y180" i="1" s="1"/>
  <c r="AM180" i="1" s="1"/>
  <c r="Z180" i="1"/>
  <c r="AA180" i="1" s="1"/>
  <c r="AB180" i="1" s="1"/>
  <c r="AN180" i="1" s="1"/>
  <c r="AC180" i="1"/>
  <c r="AD180" i="1" s="1"/>
  <c r="AE180" i="1" s="1"/>
  <c r="AO180" i="1" s="1"/>
  <c r="B181" i="1"/>
  <c r="C181" i="1" s="1"/>
  <c r="D181" i="1" s="1"/>
  <c r="AF181" i="1" s="1"/>
  <c r="E181" i="1"/>
  <c r="F181" i="1" s="1"/>
  <c r="G181" i="1" s="1"/>
  <c r="AG181" i="1" s="1"/>
  <c r="H181" i="1"/>
  <c r="I181" i="1" s="1"/>
  <c r="J181" i="1" s="1"/>
  <c r="AH181" i="1" s="1"/>
  <c r="K181" i="1"/>
  <c r="L181" i="1" s="1"/>
  <c r="M181" i="1" s="1"/>
  <c r="AI181" i="1" s="1"/>
  <c r="N181" i="1"/>
  <c r="O181" i="1" s="1"/>
  <c r="P181" i="1" s="1"/>
  <c r="AJ181" i="1" s="1"/>
  <c r="Q181" i="1"/>
  <c r="R181" i="1" s="1"/>
  <c r="S181" i="1" s="1"/>
  <c r="AK181" i="1" s="1"/>
  <c r="T181" i="1"/>
  <c r="U181" i="1" s="1"/>
  <c r="V181" i="1" s="1"/>
  <c r="AL181" i="1" s="1"/>
  <c r="W181" i="1"/>
  <c r="X181" i="1" s="1"/>
  <c r="Y181" i="1" s="1"/>
  <c r="AM181" i="1" s="1"/>
  <c r="Z181" i="1"/>
  <c r="AA181" i="1" s="1"/>
  <c r="AB181" i="1" s="1"/>
  <c r="AN181" i="1" s="1"/>
  <c r="AC181" i="1"/>
  <c r="AD181" i="1" s="1"/>
  <c r="AE181" i="1" s="1"/>
  <c r="AO181" i="1" s="1"/>
  <c r="B182" i="1"/>
  <c r="C182" i="1" s="1"/>
  <c r="D182" i="1" s="1"/>
  <c r="AF182" i="1" s="1"/>
  <c r="E182" i="1"/>
  <c r="F182" i="1" s="1"/>
  <c r="G182" i="1" s="1"/>
  <c r="AG182" i="1" s="1"/>
  <c r="H182" i="1"/>
  <c r="I182" i="1" s="1"/>
  <c r="J182" i="1" s="1"/>
  <c r="AH182" i="1" s="1"/>
  <c r="K182" i="1"/>
  <c r="L182" i="1" s="1"/>
  <c r="M182" i="1" s="1"/>
  <c r="AI182" i="1" s="1"/>
  <c r="N182" i="1"/>
  <c r="O182" i="1" s="1"/>
  <c r="P182" i="1" s="1"/>
  <c r="AJ182" i="1" s="1"/>
  <c r="Q182" i="1"/>
  <c r="R182" i="1" s="1"/>
  <c r="S182" i="1" s="1"/>
  <c r="AK182" i="1" s="1"/>
  <c r="T182" i="1"/>
  <c r="U182" i="1" s="1"/>
  <c r="V182" i="1" s="1"/>
  <c r="AL182" i="1" s="1"/>
  <c r="W182" i="1"/>
  <c r="X182" i="1" s="1"/>
  <c r="Y182" i="1" s="1"/>
  <c r="AM182" i="1" s="1"/>
  <c r="Z182" i="1"/>
  <c r="AA182" i="1" s="1"/>
  <c r="AB182" i="1" s="1"/>
  <c r="AN182" i="1" s="1"/>
  <c r="AC182" i="1"/>
  <c r="AD182" i="1" s="1"/>
  <c r="AE182" i="1" s="1"/>
  <c r="AO182" i="1" s="1"/>
  <c r="B183" i="1"/>
  <c r="C183" i="1" s="1"/>
  <c r="D183" i="1" s="1"/>
  <c r="AF183" i="1" s="1"/>
  <c r="E183" i="1"/>
  <c r="F183" i="1" s="1"/>
  <c r="G183" i="1" s="1"/>
  <c r="AG183" i="1" s="1"/>
  <c r="H183" i="1"/>
  <c r="I183" i="1" s="1"/>
  <c r="J183" i="1" s="1"/>
  <c r="AH183" i="1" s="1"/>
  <c r="K183" i="1"/>
  <c r="L183" i="1" s="1"/>
  <c r="M183" i="1" s="1"/>
  <c r="AI183" i="1" s="1"/>
  <c r="N183" i="1"/>
  <c r="O183" i="1" s="1"/>
  <c r="P183" i="1" s="1"/>
  <c r="AJ183" i="1" s="1"/>
  <c r="Q183" i="1"/>
  <c r="R183" i="1" s="1"/>
  <c r="S183" i="1" s="1"/>
  <c r="AK183" i="1" s="1"/>
  <c r="T183" i="1"/>
  <c r="U183" i="1" s="1"/>
  <c r="V183" i="1" s="1"/>
  <c r="AL183" i="1" s="1"/>
  <c r="W183" i="1"/>
  <c r="X183" i="1" s="1"/>
  <c r="Y183" i="1" s="1"/>
  <c r="AM183" i="1" s="1"/>
  <c r="Z183" i="1"/>
  <c r="AA183" i="1" s="1"/>
  <c r="AB183" i="1" s="1"/>
  <c r="AN183" i="1" s="1"/>
  <c r="AC183" i="1"/>
  <c r="AD183" i="1" s="1"/>
  <c r="AE183" i="1" s="1"/>
  <c r="AO183" i="1" s="1"/>
  <c r="B184" i="1"/>
  <c r="C184" i="1" s="1"/>
  <c r="D184" i="1" s="1"/>
  <c r="AF184" i="1" s="1"/>
  <c r="E184" i="1"/>
  <c r="F184" i="1" s="1"/>
  <c r="G184" i="1" s="1"/>
  <c r="AG184" i="1" s="1"/>
  <c r="H184" i="1"/>
  <c r="I184" i="1" s="1"/>
  <c r="J184" i="1" s="1"/>
  <c r="AH184" i="1" s="1"/>
  <c r="K184" i="1"/>
  <c r="L184" i="1" s="1"/>
  <c r="M184" i="1" s="1"/>
  <c r="AI184" i="1" s="1"/>
  <c r="N184" i="1"/>
  <c r="O184" i="1" s="1"/>
  <c r="P184" i="1" s="1"/>
  <c r="AJ184" i="1" s="1"/>
  <c r="Q184" i="1"/>
  <c r="R184" i="1" s="1"/>
  <c r="S184" i="1" s="1"/>
  <c r="AK184" i="1" s="1"/>
  <c r="T184" i="1"/>
  <c r="U184" i="1" s="1"/>
  <c r="V184" i="1" s="1"/>
  <c r="AL184" i="1" s="1"/>
  <c r="W184" i="1"/>
  <c r="X184" i="1" s="1"/>
  <c r="Y184" i="1" s="1"/>
  <c r="AM184" i="1" s="1"/>
  <c r="Z184" i="1"/>
  <c r="AA184" i="1" s="1"/>
  <c r="AB184" i="1" s="1"/>
  <c r="AN184" i="1" s="1"/>
  <c r="AC184" i="1"/>
  <c r="AD184" i="1" s="1"/>
  <c r="AE184" i="1" s="1"/>
  <c r="AO184" i="1" s="1"/>
  <c r="B185" i="1"/>
  <c r="C185" i="1" s="1"/>
  <c r="D185" i="1" s="1"/>
  <c r="AF185" i="1" s="1"/>
  <c r="E185" i="1"/>
  <c r="F185" i="1" s="1"/>
  <c r="G185" i="1" s="1"/>
  <c r="AG185" i="1" s="1"/>
  <c r="H185" i="1"/>
  <c r="I185" i="1" s="1"/>
  <c r="J185" i="1" s="1"/>
  <c r="AH185" i="1" s="1"/>
  <c r="K185" i="1"/>
  <c r="L185" i="1" s="1"/>
  <c r="M185" i="1" s="1"/>
  <c r="AI185" i="1" s="1"/>
  <c r="N185" i="1"/>
  <c r="O185" i="1" s="1"/>
  <c r="P185" i="1" s="1"/>
  <c r="AJ185" i="1" s="1"/>
  <c r="Q185" i="1"/>
  <c r="R185" i="1" s="1"/>
  <c r="S185" i="1" s="1"/>
  <c r="AK185" i="1" s="1"/>
  <c r="T185" i="1"/>
  <c r="U185" i="1" s="1"/>
  <c r="V185" i="1" s="1"/>
  <c r="AL185" i="1" s="1"/>
  <c r="W185" i="1"/>
  <c r="X185" i="1" s="1"/>
  <c r="Y185" i="1" s="1"/>
  <c r="AM185" i="1" s="1"/>
  <c r="Z185" i="1"/>
  <c r="AA185" i="1" s="1"/>
  <c r="AB185" i="1" s="1"/>
  <c r="AN185" i="1" s="1"/>
  <c r="AC185" i="1"/>
  <c r="AD185" i="1" s="1"/>
  <c r="AE185" i="1" s="1"/>
  <c r="AO185" i="1" s="1"/>
  <c r="B186" i="1"/>
  <c r="C186" i="1" s="1"/>
  <c r="D186" i="1" s="1"/>
  <c r="AF186" i="1" s="1"/>
  <c r="E186" i="1"/>
  <c r="F186" i="1" s="1"/>
  <c r="G186" i="1" s="1"/>
  <c r="AG186" i="1" s="1"/>
  <c r="H186" i="1"/>
  <c r="I186" i="1" s="1"/>
  <c r="J186" i="1" s="1"/>
  <c r="AH186" i="1" s="1"/>
  <c r="K186" i="1"/>
  <c r="L186" i="1" s="1"/>
  <c r="M186" i="1" s="1"/>
  <c r="AI186" i="1" s="1"/>
  <c r="N186" i="1"/>
  <c r="O186" i="1" s="1"/>
  <c r="P186" i="1" s="1"/>
  <c r="AJ186" i="1" s="1"/>
  <c r="Q186" i="1"/>
  <c r="R186" i="1" s="1"/>
  <c r="S186" i="1" s="1"/>
  <c r="AK186" i="1" s="1"/>
  <c r="T186" i="1"/>
  <c r="U186" i="1" s="1"/>
  <c r="V186" i="1" s="1"/>
  <c r="AL186" i="1" s="1"/>
  <c r="W186" i="1"/>
  <c r="X186" i="1" s="1"/>
  <c r="Y186" i="1" s="1"/>
  <c r="AM186" i="1" s="1"/>
  <c r="Z186" i="1"/>
  <c r="AA186" i="1" s="1"/>
  <c r="AB186" i="1" s="1"/>
  <c r="AN186" i="1" s="1"/>
  <c r="AC186" i="1"/>
  <c r="AD186" i="1" s="1"/>
  <c r="AE186" i="1" s="1"/>
  <c r="AO186" i="1" s="1"/>
  <c r="B187" i="1"/>
  <c r="C187" i="1" s="1"/>
  <c r="D187" i="1" s="1"/>
  <c r="AF187" i="1" s="1"/>
  <c r="E187" i="1"/>
  <c r="F187" i="1" s="1"/>
  <c r="G187" i="1" s="1"/>
  <c r="AG187" i="1" s="1"/>
  <c r="H187" i="1"/>
  <c r="I187" i="1" s="1"/>
  <c r="J187" i="1" s="1"/>
  <c r="AH187" i="1" s="1"/>
  <c r="K187" i="1"/>
  <c r="L187" i="1" s="1"/>
  <c r="M187" i="1" s="1"/>
  <c r="AI187" i="1" s="1"/>
  <c r="N187" i="1"/>
  <c r="O187" i="1" s="1"/>
  <c r="P187" i="1" s="1"/>
  <c r="AJ187" i="1" s="1"/>
  <c r="Q187" i="1"/>
  <c r="R187" i="1" s="1"/>
  <c r="S187" i="1" s="1"/>
  <c r="AK187" i="1" s="1"/>
  <c r="T187" i="1"/>
  <c r="U187" i="1" s="1"/>
  <c r="V187" i="1" s="1"/>
  <c r="AL187" i="1" s="1"/>
  <c r="W187" i="1"/>
  <c r="X187" i="1" s="1"/>
  <c r="Y187" i="1" s="1"/>
  <c r="AM187" i="1" s="1"/>
  <c r="Z187" i="1"/>
  <c r="AA187" i="1" s="1"/>
  <c r="AB187" i="1" s="1"/>
  <c r="AN187" i="1" s="1"/>
  <c r="AC187" i="1"/>
  <c r="AD187" i="1" s="1"/>
  <c r="AE187" i="1" s="1"/>
  <c r="AO187" i="1" s="1"/>
  <c r="B188" i="1"/>
  <c r="C188" i="1" s="1"/>
  <c r="D188" i="1" s="1"/>
  <c r="AF188" i="1" s="1"/>
  <c r="E188" i="1"/>
  <c r="F188" i="1" s="1"/>
  <c r="G188" i="1" s="1"/>
  <c r="AG188" i="1" s="1"/>
  <c r="H188" i="1"/>
  <c r="I188" i="1" s="1"/>
  <c r="J188" i="1" s="1"/>
  <c r="AH188" i="1" s="1"/>
  <c r="K188" i="1"/>
  <c r="L188" i="1" s="1"/>
  <c r="M188" i="1" s="1"/>
  <c r="AI188" i="1" s="1"/>
  <c r="N188" i="1"/>
  <c r="O188" i="1" s="1"/>
  <c r="P188" i="1" s="1"/>
  <c r="AJ188" i="1" s="1"/>
  <c r="Q188" i="1"/>
  <c r="R188" i="1" s="1"/>
  <c r="S188" i="1" s="1"/>
  <c r="AK188" i="1" s="1"/>
  <c r="T188" i="1"/>
  <c r="U188" i="1" s="1"/>
  <c r="V188" i="1" s="1"/>
  <c r="AL188" i="1" s="1"/>
  <c r="W188" i="1"/>
  <c r="X188" i="1" s="1"/>
  <c r="Y188" i="1" s="1"/>
  <c r="AM188" i="1" s="1"/>
  <c r="Z188" i="1"/>
  <c r="AA188" i="1" s="1"/>
  <c r="AB188" i="1" s="1"/>
  <c r="AN188" i="1" s="1"/>
  <c r="AC188" i="1"/>
  <c r="AD188" i="1" s="1"/>
  <c r="AE188" i="1" s="1"/>
  <c r="AO188" i="1" s="1"/>
  <c r="B189" i="1"/>
  <c r="C189" i="1" s="1"/>
  <c r="D189" i="1" s="1"/>
  <c r="AF189" i="1" s="1"/>
  <c r="E189" i="1"/>
  <c r="F189" i="1" s="1"/>
  <c r="G189" i="1" s="1"/>
  <c r="AG189" i="1" s="1"/>
  <c r="H189" i="1"/>
  <c r="I189" i="1" s="1"/>
  <c r="J189" i="1" s="1"/>
  <c r="AH189" i="1" s="1"/>
  <c r="K189" i="1"/>
  <c r="L189" i="1" s="1"/>
  <c r="M189" i="1" s="1"/>
  <c r="AI189" i="1" s="1"/>
  <c r="N189" i="1"/>
  <c r="O189" i="1" s="1"/>
  <c r="P189" i="1" s="1"/>
  <c r="AJ189" i="1" s="1"/>
  <c r="Q189" i="1"/>
  <c r="R189" i="1" s="1"/>
  <c r="S189" i="1" s="1"/>
  <c r="AK189" i="1" s="1"/>
  <c r="T189" i="1"/>
  <c r="U189" i="1" s="1"/>
  <c r="V189" i="1" s="1"/>
  <c r="AL189" i="1" s="1"/>
  <c r="W189" i="1"/>
  <c r="X189" i="1" s="1"/>
  <c r="Y189" i="1" s="1"/>
  <c r="AM189" i="1" s="1"/>
  <c r="Z189" i="1"/>
  <c r="AA189" i="1" s="1"/>
  <c r="AB189" i="1" s="1"/>
  <c r="AN189" i="1" s="1"/>
  <c r="AC189" i="1"/>
  <c r="AD189" i="1" s="1"/>
  <c r="AE189" i="1" s="1"/>
  <c r="AO189" i="1" s="1"/>
  <c r="B190" i="1"/>
  <c r="C190" i="1" s="1"/>
  <c r="D190" i="1" s="1"/>
  <c r="AF190" i="1" s="1"/>
  <c r="E190" i="1"/>
  <c r="F190" i="1" s="1"/>
  <c r="G190" i="1" s="1"/>
  <c r="AG190" i="1" s="1"/>
  <c r="H190" i="1"/>
  <c r="I190" i="1" s="1"/>
  <c r="J190" i="1" s="1"/>
  <c r="AH190" i="1" s="1"/>
  <c r="K190" i="1"/>
  <c r="L190" i="1" s="1"/>
  <c r="M190" i="1" s="1"/>
  <c r="AI190" i="1" s="1"/>
  <c r="N190" i="1"/>
  <c r="O190" i="1" s="1"/>
  <c r="P190" i="1" s="1"/>
  <c r="AJ190" i="1" s="1"/>
  <c r="Q190" i="1"/>
  <c r="R190" i="1" s="1"/>
  <c r="S190" i="1" s="1"/>
  <c r="AK190" i="1" s="1"/>
  <c r="T190" i="1"/>
  <c r="U190" i="1" s="1"/>
  <c r="V190" i="1" s="1"/>
  <c r="AL190" i="1" s="1"/>
  <c r="W190" i="1"/>
  <c r="X190" i="1" s="1"/>
  <c r="Y190" i="1" s="1"/>
  <c r="AM190" i="1" s="1"/>
  <c r="Z190" i="1"/>
  <c r="AA190" i="1" s="1"/>
  <c r="AB190" i="1" s="1"/>
  <c r="AN190" i="1" s="1"/>
  <c r="AC190" i="1"/>
  <c r="AD190" i="1" s="1"/>
  <c r="AE190" i="1" s="1"/>
  <c r="AO190" i="1" s="1"/>
  <c r="B191" i="1"/>
  <c r="C191" i="1" s="1"/>
  <c r="D191" i="1" s="1"/>
  <c r="AF191" i="1" s="1"/>
  <c r="E191" i="1"/>
  <c r="F191" i="1" s="1"/>
  <c r="G191" i="1" s="1"/>
  <c r="AG191" i="1" s="1"/>
  <c r="H191" i="1"/>
  <c r="I191" i="1" s="1"/>
  <c r="J191" i="1" s="1"/>
  <c r="AH191" i="1" s="1"/>
  <c r="K191" i="1"/>
  <c r="L191" i="1" s="1"/>
  <c r="M191" i="1" s="1"/>
  <c r="AI191" i="1" s="1"/>
  <c r="N191" i="1"/>
  <c r="O191" i="1" s="1"/>
  <c r="P191" i="1" s="1"/>
  <c r="AJ191" i="1" s="1"/>
  <c r="Q191" i="1"/>
  <c r="R191" i="1" s="1"/>
  <c r="S191" i="1" s="1"/>
  <c r="AK191" i="1" s="1"/>
  <c r="T191" i="1"/>
  <c r="U191" i="1" s="1"/>
  <c r="V191" i="1" s="1"/>
  <c r="AL191" i="1" s="1"/>
  <c r="W191" i="1"/>
  <c r="X191" i="1" s="1"/>
  <c r="Y191" i="1" s="1"/>
  <c r="AM191" i="1" s="1"/>
  <c r="Z191" i="1"/>
  <c r="AA191" i="1" s="1"/>
  <c r="AB191" i="1" s="1"/>
  <c r="AN191" i="1" s="1"/>
  <c r="AC191" i="1"/>
  <c r="AD191" i="1" s="1"/>
  <c r="AE191" i="1" s="1"/>
  <c r="AO191" i="1" s="1"/>
  <c r="B192" i="1"/>
  <c r="C192" i="1" s="1"/>
  <c r="D192" i="1" s="1"/>
  <c r="AF192" i="1" s="1"/>
  <c r="E192" i="1"/>
  <c r="F192" i="1" s="1"/>
  <c r="G192" i="1" s="1"/>
  <c r="AG192" i="1" s="1"/>
  <c r="H192" i="1"/>
  <c r="I192" i="1" s="1"/>
  <c r="J192" i="1" s="1"/>
  <c r="AH192" i="1" s="1"/>
  <c r="K192" i="1"/>
  <c r="L192" i="1" s="1"/>
  <c r="M192" i="1" s="1"/>
  <c r="AI192" i="1" s="1"/>
  <c r="N192" i="1"/>
  <c r="O192" i="1" s="1"/>
  <c r="P192" i="1" s="1"/>
  <c r="AJ192" i="1" s="1"/>
  <c r="Q192" i="1"/>
  <c r="R192" i="1" s="1"/>
  <c r="S192" i="1" s="1"/>
  <c r="AK192" i="1" s="1"/>
  <c r="T192" i="1"/>
  <c r="U192" i="1" s="1"/>
  <c r="V192" i="1" s="1"/>
  <c r="AL192" i="1" s="1"/>
  <c r="W192" i="1"/>
  <c r="X192" i="1" s="1"/>
  <c r="Y192" i="1" s="1"/>
  <c r="AM192" i="1" s="1"/>
  <c r="Z192" i="1"/>
  <c r="AA192" i="1" s="1"/>
  <c r="AB192" i="1" s="1"/>
  <c r="AN192" i="1" s="1"/>
  <c r="AC192" i="1"/>
  <c r="AD192" i="1" s="1"/>
  <c r="AE192" i="1" s="1"/>
  <c r="AO192" i="1" s="1"/>
  <c r="B193" i="1"/>
  <c r="C193" i="1" s="1"/>
  <c r="D193" i="1" s="1"/>
  <c r="AF193" i="1" s="1"/>
  <c r="E193" i="1"/>
  <c r="F193" i="1" s="1"/>
  <c r="G193" i="1" s="1"/>
  <c r="AG193" i="1" s="1"/>
  <c r="H193" i="1"/>
  <c r="I193" i="1" s="1"/>
  <c r="J193" i="1" s="1"/>
  <c r="AH193" i="1" s="1"/>
  <c r="K193" i="1"/>
  <c r="L193" i="1" s="1"/>
  <c r="M193" i="1" s="1"/>
  <c r="AI193" i="1" s="1"/>
  <c r="N193" i="1"/>
  <c r="O193" i="1" s="1"/>
  <c r="P193" i="1" s="1"/>
  <c r="AJ193" i="1" s="1"/>
  <c r="Q193" i="1"/>
  <c r="R193" i="1" s="1"/>
  <c r="S193" i="1" s="1"/>
  <c r="AK193" i="1" s="1"/>
  <c r="T193" i="1"/>
  <c r="U193" i="1" s="1"/>
  <c r="V193" i="1" s="1"/>
  <c r="AL193" i="1" s="1"/>
  <c r="W193" i="1"/>
  <c r="X193" i="1" s="1"/>
  <c r="Y193" i="1" s="1"/>
  <c r="AM193" i="1" s="1"/>
  <c r="Z193" i="1"/>
  <c r="AA193" i="1" s="1"/>
  <c r="AB193" i="1" s="1"/>
  <c r="AN193" i="1" s="1"/>
  <c r="AC193" i="1"/>
  <c r="AD193" i="1" s="1"/>
  <c r="AE193" i="1" s="1"/>
  <c r="AO193" i="1" s="1"/>
  <c r="B194" i="1"/>
  <c r="C194" i="1" s="1"/>
  <c r="D194" i="1" s="1"/>
  <c r="AF194" i="1" s="1"/>
  <c r="E194" i="1"/>
  <c r="F194" i="1" s="1"/>
  <c r="G194" i="1" s="1"/>
  <c r="AG194" i="1" s="1"/>
  <c r="H194" i="1"/>
  <c r="I194" i="1" s="1"/>
  <c r="J194" i="1" s="1"/>
  <c r="AH194" i="1" s="1"/>
  <c r="K194" i="1"/>
  <c r="L194" i="1" s="1"/>
  <c r="M194" i="1" s="1"/>
  <c r="AI194" i="1" s="1"/>
  <c r="N194" i="1"/>
  <c r="O194" i="1" s="1"/>
  <c r="P194" i="1" s="1"/>
  <c r="AJ194" i="1" s="1"/>
  <c r="Q194" i="1"/>
  <c r="R194" i="1" s="1"/>
  <c r="S194" i="1" s="1"/>
  <c r="AK194" i="1" s="1"/>
  <c r="T194" i="1"/>
  <c r="U194" i="1" s="1"/>
  <c r="V194" i="1" s="1"/>
  <c r="AL194" i="1" s="1"/>
  <c r="W194" i="1"/>
  <c r="X194" i="1" s="1"/>
  <c r="Y194" i="1" s="1"/>
  <c r="AM194" i="1" s="1"/>
  <c r="Z194" i="1"/>
  <c r="AA194" i="1" s="1"/>
  <c r="AB194" i="1" s="1"/>
  <c r="AN194" i="1" s="1"/>
  <c r="AC194" i="1"/>
  <c r="AD194" i="1" s="1"/>
  <c r="AE194" i="1" s="1"/>
  <c r="AO194" i="1" s="1"/>
  <c r="B195" i="1"/>
  <c r="C195" i="1" s="1"/>
  <c r="D195" i="1" s="1"/>
  <c r="AF195" i="1" s="1"/>
  <c r="E195" i="1"/>
  <c r="F195" i="1" s="1"/>
  <c r="G195" i="1" s="1"/>
  <c r="AG195" i="1" s="1"/>
  <c r="H195" i="1"/>
  <c r="I195" i="1" s="1"/>
  <c r="J195" i="1" s="1"/>
  <c r="AH195" i="1" s="1"/>
  <c r="K195" i="1"/>
  <c r="L195" i="1" s="1"/>
  <c r="M195" i="1" s="1"/>
  <c r="AI195" i="1" s="1"/>
  <c r="N195" i="1"/>
  <c r="O195" i="1" s="1"/>
  <c r="P195" i="1" s="1"/>
  <c r="AJ195" i="1" s="1"/>
  <c r="Q195" i="1"/>
  <c r="R195" i="1" s="1"/>
  <c r="S195" i="1" s="1"/>
  <c r="AK195" i="1" s="1"/>
  <c r="T195" i="1"/>
  <c r="U195" i="1" s="1"/>
  <c r="V195" i="1" s="1"/>
  <c r="AL195" i="1" s="1"/>
  <c r="W195" i="1"/>
  <c r="X195" i="1" s="1"/>
  <c r="Y195" i="1" s="1"/>
  <c r="AM195" i="1" s="1"/>
  <c r="Z195" i="1"/>
  <c r="AA195" i="1" s="1"/>
  <c r="AB195" i="1" s="1"/>
  <c r="AN195" i="1" s="1"/>
  <c r="AC195" i="1"/>
  <c r="AD195" i="1" s="1"/>
  <c r="AE195" i="1" s="1"/>
  <c r="AO195" i="1" s="1"/>
  <c r="B196" i="1"/>
  <c r="C196" i="1" s="1"/>
  <c r="D196" i="1" s="1"/>
  <c r="AF196" i="1" s="1"/>
  <c r="E196" i="1"/>
  <c r="F196" i="1" s="1"/>
  <c r="G196" i="1" s="1"/>
  <c r="AG196" i="1" s="1"/>
  <c r="H196" i="1"/>
  <c r="I196" i="1" s="1"/>
  <c r="J196" i="1" s="1"/>
  <c r="AH196" i="1" s="1"/>
  <c r="K196" i="1"/>
  <c r="L196" i="1" s="1"/>
  <c r="M196" i="1" s="1"/>
  <c r="AI196" i="1" s="1"/>
  <c r="N196" i="1"/>
  <c r="O196" i="1" s="1"/>
  <c r="P196" i="1" s="1"/>
  <c r="AJ196" i="1" s="1"/>
  <c r="Q196" i="1"/>
  <c r="R196" i="1" s="1"/>
  <c r="S196" i="1" s="1"/>
  <c r="AK196" i="1" s="1"/>
  <c r="T196" i="1"/>
  <c r="U196" i="1" s="1"/>
  <c r="V196" i="1" s="1"/>
  <c r="AL196" i="1" s="1"/>
  <c r="W196" i="1"/>
  <c r="X196" i="1" s="1"/>
  <c r="Y196" i="1" s="1"/>
  <c r="AM196" i="1" s="1"/>
  <c r="Z196" i="1"/>
  <c r="AA196" i="1" s="1"/>
  <c r="AB196" i="1" s="1"/>
  <c r="AN196" i="1" s="1"/>
  <c r="AC196" i="1"/>
  <c r="AD196" i="1" s="1"/>
  <c r="AE196" i="1" s="1"/>
  <c r="AO196" i="1" s="1"/>
  <c r="B197" i="1"/>
  <c r="C197" i="1" s="1"/>
  <c r="D197" i="1" s="1"/>
  <c r="AF197" i="1" s="1"/>
  <c r="E197" i="1"/>
  <c r="F197" i="1" s="1"/>
  <c r="G197" i="1" s="1"/>
  <c r="AG197" i="1" s="1"/>
  <c r="H197" i="1"/>
  <c r="I197" i="1" s="1"/>
  <c r="J197" i="1" s="1"/>
  <c r="AH197" i="1" s="1"/>
  <c r="K197" i="1"/>
  <c r="L197" i="1" s="1"/>
  <c r="M197" i="1" s="1"/>
  <c r="AI197" i="1" s="1"/>
  <c r="N197" i="1"/>
  <c r="O197" i="1" s="1"/>
  <c r="P197" i="1" s="1"/>
  <c r="AJ197" i="1" s="1"/>
  <c r="Q197" i="1"/>
  <c r="R197" i="1" s="1"/>
  <c r="S197" i="1" s="1"/>
  <c r="AK197" i="1" s="1"/>
  <c r="T197" i="1"/>
  <c r="U197" i="1" s="1"/>
  <c r="V197" i="1" s="1"/>
  <c r="AL197" i="1" s="1"/>
  <c r="W197" i="1"/>
  <c r="X197" i="1" s="1"/>
  <c r="Y197" i="1" s="1"/>
  <c r="AM197" i="1" s="1"/>
  <c r="Z197" i="1"/>
  <c r="AA197" i="1" s="1"/>
  <c r="AB197" i="1" s="1"/>
  <c r="AN197" i="1" s="1"/>
  <c r="AC197" i="1"/>
  <c r="AD197" i="1" s="1"/>
  <c r="AE197" i="1" s="1"/>
  <c r="AO197" i="1" s="1"/>
  <c r="B198" i="1"/>
  <c r="C198" i="1" s="1"/>
  <c r="D198" i="1" s="1"/>
  <c r="AF198" i="1" s="1"/>
  <c r="E198" i="1"/>
  <c r="F198" i="1" s="1"/>
  <c r="G198" i="1" s="1"/>
  <c r="AG198" i="1" s="1"/>
  <c r="H198" i="1"/>
  <c r="I198" i="1" s="1"/>
  <c r="J198" i="1" s="1"/>
  <c r="AH198" i="1" s="1"/>
  <c r="K198" i="1"/>
  <c r="L198" i="1" s="1"/>
  <c r="M198" i="1" s="1"/>
  <c r="AI198" i="1" s="1"/>
  <c r="N198" i="1"/>
  <c r="O198" i="1" s="1"/>
  <c r="P198" i="1" s="1"/>
  <c r="AJ198" i="1" s="1"/>
  <c r="Q198" i="1"/>
  <c r="R198" i="1" s="1"/>
  <c r="S198" i="1" s="1"/>
  <c r="AK198" i="1" s="1"/>
  <c r="T198" i="1"/>
  <c r="U198" i="1" s="1"/>
  <c r="V198" i="1" s="1"/>
  <c r="AL198" i="1" s="1"/>
  <c r="W198" i="1"/>
  <c r="X198" i="1" s="1"/>
  <c r="Y198" i="1" s="1"/>
  <c r="AM198" i="1" s="1"/>
  <c r="Z198" i="1"/>
  <c r="AA198" i="1" s="1"/>
  <c r="AB198" i="1" s="1"/>
  <c r="AN198" i="1" s="1"/>
  <c r="AC198" i="1"/>
  <c r="AD198" i="1" s="1"/>
  <c r="AE198" i="1" s="1"/>
  <c r="AO198" i="1" s="1"/>
  <c r="B199" i="1"/>
  <c r="C199" i="1" s="1"/>
  <c r="D199" i="1" s="1"/>
  <c r="AF199" i="1" s="1"/>
  <c r="E199" i="1"/>
  <c r="F199" i="1" s="1"/>
  <c r="G199" i="1" s="1"/>
  <c r="AG199" i="1" s="1"/>
  <c r="H199" i="1"/>
  <c r="I199" i="1" s="1"/>
  <c r="J199" i="1" s="1"/>
  <c r="AH199" i="1" s="1"/>
  <c r="K199" i="1"/>
  <c r="L199" i="1" s="1"/>
  <c r="M199" i="1" s="1"/>
  <c r="AI199" i="1" s="1"/>
  <c r="N199" i="1"/>
  <c r="O199" i="1" s="1"/>
  <c r="P199" i="1" s="1"/>
  <c r="AJ199" i="1" s="1"/>
  <c r="Q199" i="1"/>
  <c r="R199" i="1" s="1"/>
  <c r="S199" i="1" s="1"/>
  <c r="AK199" i="1" s="1"/>
  <c r="T199" i="1"/>
  <c r="U199" i="1" s="1"/>
  <c r="V199" i="1" s="1"/>
  <c r="AL199" i="1" s="1"/>
  <c r="W199" i="1"/>
  <c r="X199" i="1" s="1"/>
  <c r="Y199" i="1" s="1"/>
  <c r="AM199" i="1" s="1"/>
  <c r="Z199" i="1"/>
  <c r="AA199" i="1" s="1"/>
  <c r="AB199" i="1" s="1"/>
  <c r="AN199" i="1" s="1"/>
  <c r="AC199" i="1"/>
  <c r="AD199" i="1" s="1"/>
  <c r="AE199" i="1" s="1"/>
  <c r="AO199" i="1" s="1"/>
  <c r="B200" i="1"/>
  <c r="C200" i="1" s="1"/>
  <c r="D200" i="1" s="1"/>
  <c r="AF200" i="1" s="1"/>
  <c r="E200" i="1"/>
  <c r="F200" i="1" s="1"/>
  <c r="G200" i="1" s="1"/>
  <c r="AG200" i="1" s="1"/>
  <c r="H200" i="1"/>
  <c r="I200" i="1" s="1"/>
  <c r="J200" i="1" s="1"/>
  <c r="AH200" i="1" s="1"/>
  <c r="K200" i="1"/>
  <c r="L200" i="1" s="1"/>
  <c r="M200" i="1" s="1"/>
  <c r="AI200" i="1" s="1"/>
  <c r="N200" i="1"/>
  <c r="O200" i="1" s="1"/>
  <c r="P200" i="1" s="1"/>
  <c r="AJ200" i="1" s="1"/>
  <c r="Q200" i="1"/>
  <c r="R200" i="1" s="1"/>
  <c r="S200" i="1" s="1"/>
  <c r="AK200" i="1" s="1"/>
  <c r="T200" i="1"/>
  <c r="U200" i="1" s="1"/>
  <c r="V200" i="1" s="1"/>
  <c r="AL200" i="1" s="1"/>
  <c r="W200" i="1"/>
  <c r="X200" i="1" s="1"/>
  <c r="Y200" i="1" s="1"/>
  <c r="AM200" i="1" s="1"/>
  <c r="Z200" i="1"/>
  <c r="AA200" i="1" s="1"/>
  <c r="AB200" i="1" s="1"/>
  <c r="AN200" i="1" s="1"/>
  <c r="AC200" i="1"/>
  <c r="AD200" i="1" s="1"/>
  <c r="AE200" i="1" s="1"/>
  <c r="AO200" i="1" s="1"/>
  <c r="B201" i="1"/>
  <c r="C201" i="1" s="1"/>
  <c r="D201" i="1" s="1"/>
  <c r="AF201" i="1" s="1"/>
  <c r="E201" i="1"/>
  <c r="F201" i="1" s="1"/>
  <c r="G201" i="1" s="1"/>
  <c r="AG201" i="1" s="1"/>
  <c r="H201" i="1"/>
  <c r="I201" i="1" s="1"/>
  <c r="J201" i="1" s="1"/>
  <c r="AH201" i="1" s="1"/>
  <c r="K201" i="1"/>
  <c r="L201" i="1" s="1"/>
  <c r="M201" i="1" s="1"/>
  <c r="AI201" i="1" s="1"/>
  <c r="N201" i="1"/>
  <c r="O201" i="1" s="1"/>
  <c r="P201" i="1" s="1"/>
  <c r="AJ201" i="1" s="1"/>
  <c r="Q201" i="1"/>
  <c r="R201" i="1" s="1"/>
  <c r="S201" i="1" s="1"/>
  <c r="AK201" i="1" s="1"/>
  <c r="T201" i="1"/>
  <c r="U201" i="1" s="1"/>
  <c r="V201" i="1" s="1"/>
  <c r="AL201" i="1" s="1"/>
  <c r="W201" i="1"/>
  <c r="X201" i="1" s="1"/>
  <c r="Y201" i="1" s="1"/>
  <c r="AM201" i="1" s="1"/>
  <c r="Z201" i="1"/>
  <c r="AA201" i="1" s="1"/>
  <c r="AB201" i="1" s="1"/>
  <c r="AN201" i="1" s="1"/>
  <c r="AC201" i="1"/>
  <c r="AD201" i="1" s="1"/>
  <c r="AE201" i="1" s="1"/>
  <c r="AO201" i="1" s="1"/>
  <c r="B202" i="1"/>
  <c r="C202" i="1" s="1"/>
  <c r="D202" i="1" s="1"/>
  <c r="AF202" i="1" s="1"/>
  <c r="E202" i="1"/>
  <c r="F202" i="1" s="1"/>
  <c r="G202" i="1" s="1"/>
  <c r="AG202" i="1" s="1"/>
  <c r="H202" i="1"/>
  <c r="I202" i="1" s="1"/>
  <c r="J202" i="1" s="1"/>
  <c r="AH202" i="1" s="1"/>
  <c r="K202" i="1"/>
  <c r="L202" i="1" s="1"/>
  <c r="M202" i="1" s="1"/>
  <c r="AI202" i="1" s="1"/>
  <c r="N202" i="1"/>
  <c r="O202" i="1" s="1"/>
  <c r="P202" i="1" s="1"/>
  <c r="AJ202" i="1" s="1"/>
  <c r="Q202" i="1"/>
  <c r="R202" i="1" s="1"/>
  <c r="S202" i="1" s="1"/>
  <c r="AK202" i="1" s="1"/>
  <c r="T202" i="1"/>
  <c r="U202" i="1" s="1"/>
  <c r="V202" i="1" s="1"/>
  <c r="AL202" i="1" s="1"/>
  <c r="W202" i="1"/>
  <c r="X202" i="1" s="1"/>
  <c r="Y202" i="1" s="1"/>
  <c r="AM202" i="1" s="1"/>
  <c r="Z202" i="1"/>
  <c r="AA202" i="1" s="1"/>
  <c r="AB202" i="1" s="1"/>
  <c r="AN202" i="1" s="1"/>
  <c r="AC202" i="1"/>
  <c r="AD202" i="1" s="1"/>
  <c r="AE202" i="1" s="1"/>
  <c r="AO202" i="1" s="1"/>
  <c r="B203" i="1"/>
  <c r="C203" i="1" s="1"/>
  <c r="D203" i="1" s="1"/>
  <c r="AF203" i="1" s="1"/>
  <c r="E203" i="1"/>
  <c r="F203" i="1" s="1"/>
  <c r="G203" i="1" s="1"/>
  <c r="AG203" i="1" s="1"/>
  <c r="H203" i="1"/>
  <c r="I203" i="1" s="1"/>
  <c r="J203" i="1" s="1"/>
  <c r="AH203" i="1" s="1"/>
  <c r="K203" i="1"/>
  <c r="L203" i="1" s="1"/>
  <c r="M203" i="1" s="1"/>
  <c r="AI203" i="1" s="1"/>
  <c r="N203" i="1"/>
  <c r="O203" i="1" s="1"/>
  <c r="P203" i="1" s="1"/>
  <c r="AJ203" i="1" s="1"/>
  <c r="Q203" i="1"/>
  <c r="R203" i="1" s="1"/>
  <c r="S203" i="1" s="1"/>
  <c r="AK203" i="1" s="1"/>
  <c r="T203" i="1"/>
  <c r="U203" i="1" s="1"/>
  <c r="V203" i="1" s="1"/>
  <c r="AL203" i="1" s="1"/>
  <c r="W203" i="1"/>
  <c r="X203" i="1" s="1"/>
  <c r="Y203" i="1" s="1"/>
  <c r="AM203" i="1" s="1"/>
  <c r="Z203" i="1"/>
  <c r="AA203" i="1" s="1"/>
  <c r="AB203" i="1" s="1"/>
  <c r="AN203" i="1" s="1"/>
  <c r="AC203" i="1"/>
  <c r="AD203" i="1" s="1"/>
  <c r="AE203" i="1" s="1"/>
  <c r="AO203" i="1" s="1"/>
  <c r="B204" i="1"/>
  <c r="C204" i="1" s="1"/>
  <c r="D204" i="1" s="1"/>
  <c r="AF204" i="1" s="1"/>
  <c r="E204" i="1"/>
  <c r="F204" i="1" s="1"/>
  <c r="G204" i="1" s="1"/>
  <c r="AG204" i="1" s="1"/>
  <c r="H204" i="1"/>
  <c r="I204" i="1" s="1"/>
  <c r="J204" i="1" s="1"/>
  <c r="AH204" i="1" s="1"/>
  <c r="K204" i="1"/>
  <c r="L204" i="1" s="1"/>
  <c r="M204" i="1" s="1"/>
  <c r="AI204" i="1" s="1"/>
  <c r="N204" i="1"/>
  <c r="O204" i="1" s="1"/>
  <c r="P204" i="1" s="1"/>
  <c r="AJ204" i="1" s="1"/>
  <c r="Q204" i="1"/>
  <c r="R204" i="1" s="1"/>
  <c r="S204" i="1" s="1"/>
  <c r="AK204" i="1" s="1"/>
  <c r="T204" i="1"/>
  <c r="U204" i="1" s="1"/>
  <c r="V204" i="1" s="1"/>
  <c r="AL204" i="1" s="1"/>
  <c r="W204" i="1"/>
  <c r="X204" i="1" s="1"/>
  <c r="Y204" i="1" s="1"/>
  <c r="AM204" i="1" s="1"/>
  <c r="Z204" i="1"/>
  <c r="AA204" i="1" s="1"/>
  <c r="AB204" i="1" s="1"/>
  <c r="AN204" i="1" s="1"/>
  <c r="AC204" i="1"/>
  <c r="AD204" i="1" s="1"/>
  <c r="AE204" i="1" s="1"/>
  <c r="AO204" i="1" s="1"/>
  <c r="B205" i="1"/>
  <c r="C205" i="1" s="1"/>
  <c r="D205" i="1" s="1"/>
  <c r="AF205" i="1" s="1"/>
  <c r="E205" i="1"/>
  <c r="F205" i="1" s="1"/>
  <c r="G205" i="1" s="1"/>
  <c r="AG205" i="1" s="1"/>
  <c r="H205" i="1"/>
  <c r="I205" i="1" s="1"/>
  <c r="J205" i="1" s="1"/>
  <c r="AH205" i="1" s="1"/>
  <c r="K205" i="1"/>
  <c r="L205" i="1" s="1"/>
  <c r="M205" i="1" s="1"/>
  <c r="AI205" i="1" s="1"/>
  <c r="N205" i="1"/>
  <c r="O205" i="1" s="1"/>
  <c r="P205" i="1" s="1"/>
  <c r="AJ205" i="1" s="1"/>
  <c r="Q205" i="1"/>
  <c r="R205" i="1" s="1"/>
  <c r="S205" i="1" s="1"/>
  <c r="AK205" i="1" s="1"/>
  <c r="T205" i="1"/>
  <c r="U205" i="1" s="1"/>
  <c r="V205" i="1" s="1"/>
  <c r="AL205" i="1" s="1"/>
  <c r="W205" i="1"/>
  <c r="X205" i="1" s="1"/>
  <c r="Y205" i="1" s="1"/>
  <c r="AM205" i="1" s="1"/>
  <c r="Z205" i="1"/>
  <c r="AA205" i="1" s="1"/>
  <c r="AB205" i="1" s="1"/>
  <c r="AN205" i="1" s="1"/>
  <c r="AC205" i="1"/>
  <c r="AD205" i="1" s="1"/>
  <c r="AE205" i="1" s="1"/>
  <c r="AO205" i="1" s="1"/>
  <c r="B206" i="1"/>
  <c r="C206" i="1" s="1"/>
  <c r="D206" i="1" s="1"/>
  <c r="AF206" i="1" s="1"/>
  <c r="E206" i="1"/>
  <c r="F206" i="1" s="1"/>
  <c r="G206" i="1" s="1"/>
  <c r="AG206" i="1" s="1"/>
  <c r="H206" i="1"/>
  <c r="I206" i="1" s="1"/>
  <c r="J206" i="1" s="1"/>
  <c r="AH206" i="1" s="1"/>
  <c r="K206" i="1"/>
  <c r="L206" i="1" s="1"/>
  <c r="M206" i="1" s="1"/>
  <c r="AI206" i="1" s="1"/>
  <c r="N206" i="1"/>
  <c r="O206" i="1" s="1"/>
  <c r="P206" i="1" s="1"/>
  <c r="AJ206" i="1" s="1"/>
  <c r="Q206" i="1"/>
  <c r="R206" i="1" s="1"/>
  <c r="S206" i="1" s="1"/>
  <c r="AK206" i="1" s="1"/>
  <c r="T206" i="1"/>
  <c r="U206" i="1" s="1"/>
  <c r="V206" i="1" s="1"/>
  <c r="AL206" i="1" s="1"/>
  <c r="W206" i="1"/>
  <c r="X206" i="1" s="1"/>
  <c r="Y206" i="1" s="1"/>
  <c r="AM206" i="1" s="1"/>
  <c r="Z206" i="1"/>
  <c r="AA206" i="1" s="1"/>
  <c r="AB206" i="1" s="1"/>
  <c r="AN206" i="1" s="1"/>
  <c r="AC206" i="1"/>
  <c r="AD206" i="1" s="1"/>
  <c r="AE206" i="1" s="1"/>
  <c r="AO206" i="1" s="1"/>
  <c r="B207" i="1"/>
  <c r="C207" i="1" s="1"/>
  <c r="D207" i="1" s="1"/>
  <c r="AF207" i="1" s="1"/>
  <c r="E207" i="1"/>
  <c r="F207" i="1" s="1"/>
  <c r="G207" i="1" s="1"/>
  <c r="AG207" i="1" s="1"/>
  <c r="H207" i="1"/>
  <c r="I207" i="1" s="1"/>
  <c r="J207" i="1" s="1"/>
  <c r="AH207" i="1" s="1"/>
  <c r="K207" i="1"/>
  <c r="L207" i="1" s="1"/>
  <c r="M207" i="1" s="1"/>
  <c r="AI207" i="1" s="1"/>
  <c r="N207" i="1"/>
  <c r="O207" i="1" s="1"/>
  <c r="P207" i="1" s="1"/>
  <c r="AJ207" i="1" s="1"/>
  <c r="Q207" i="1"/>
  <c r="R207" i="1" s="1"/>
  <c r="S207" i="1" s="1"/>
  <c r="AK207" i="1" s="1"/>
  <c r="T207" i="1"/>
  <c r="U207" i="1" s="1"/>
  <c r="V207" i="1" s="1"/>
  <c r="AL207" i="1" s="1"/>
  <c r="W207" i="1"/>
  <c r="X207" i="1" s="1"/>
  <c r="Y207" i="1" s="1"/>
  <c r="AM207" i="1" s="1"/>
  <c r="Z207" i="1"/>
  <c r="AA207" i="1" s="1"/>
  <c r="AB207" i="1" s="1"/>
  <c r="AN207" i="1" s="1"/>
  <c r="AC207" i="1"/>
  <c r="AD207" i="1" s="1"/>
  <c r="AE207" i="1" s="1"/>
  <c r="AO207" i="1" s="1"/>
  <c r="B208" i="1"/>
  <c r="C208" i="1" s="1"/>
  <c r="D208" i="1" s="1"/>
  <c r="AF208" i="1" s="1"/>
  <c r="E208" i="1"/>
  <c r="F208" i="1" s="1"/>
  <c r="G208" i="1" s="1"/>
  <c r="AG208" i="1" s="1"/>
  <c r="H208" i="1"/>
  <c r="I208" i="1" s="1"/>
  <c r="J208" i="1" s="1"/>
  <c r="AH208" i="1" s="1"/>
  <c r="K208" i="1"/>
  <c r="L208" i="1" s="1"/>
  <c r="M208" i="1" s="1"/>
  <c r="AI208" i="1" s="1"/>
  <c r="N208" i="1"/>
  <c r="O208" i="1" s="1"/>
  <c r="P208" i="1" s="1"/>
  <c r="AJ208" i="1" s="1"/>
  <c r="Q208" i="1"/>
  <c r="R208" i="1" s="1"/>
  <c r="S208" i="1" s="1"/>
  <c r="AK208" i="1" s="1"/>
  <c r="T208" i="1"/>
  <c r="U208" i="1" s="1"/>
  <c r="V208" i="1" s="1"/>
  <c r="AL208" i="1" s="1"/>
  <c r="W208" i="1"/>
  <c r="X208" i="1" s="1"/>
  <c r="Y208" i="1" s="1"/>
  <c r="AM208" i="1" s="1"/>
  <c r="Z208" i="1"/>
  <c r="AA208" i="1" s="1"/>
  <c r="AB208" i="1" s="1"/>
  <c r="AN208" i="1" s="1"/>
  <c r="AC208" i="1"/>
  <c r="AD208" i="1" s="1"/>
  <c r="AE208" i="1" s="1"/>
  <c r="AO208" i="1" s="1"/>
  <c r="B209" i="1"/>
  <c r="C209" i="1" s="1"/>
  <c r="D209" i="1" s="1"/>
  <c r="AF209" i="1" s="1"/>
  <c r="E209" i="1"/>
  <c r="F209" i="1" s="1"/>
  <c r="G209" i="1" s="1"/>
  <c r="AG209" i="1" s="1"/>
  <c r="H209" i="1"/>
  <c r="I209" i="1" s="1"/>
  <c r="J209" i="1" s="1"/>
  <c r="AH209" i="1" s="1"/>
  <c r="K209" i="1"/>
  <c r="L209" i="1" s="1"/>
  <c r="M209" i="1" s="1"/>
  <c r="AI209" i="1" s="1"/>
  <c r="N209" i="1"/>
  <c r="O209" i="1" s="1"/>
  <c r="P209" i="1" s="1"/>
  <c r="AJ209" i="1" s="1"/>
  <c r="Q209" i="1"/>
  <c r="R209" i="1" s="1"/>
  <c r="S209" i="1" s="1"/>
  <c r="AK209" i="1" s="1"/>
  <c r="T209" i="1"/>
  <c r="U209" i="1" s="1"/>
  <c r="V209" i="1" s="1"/>
  <c r="AL209" i="1" s="1"/>
  <c r="W209" i="1"/>
  <c r="X209" i="1" s="1"/>
  <c r="Y209" i="1" s="1"/>
  <c r="AM209" i="1" s="1"/>
  <c r="Z209" i="1"/>
  <c r="AA209" i="1" s="1"/>
  <c r="AB209" i="1" s="1"/>
  <c r="AN209" i="1" s="1"/>
  <c r="AC209" i="1"/>
  <c r="AD209" i="1" s="1"/>
  <c r="AE209" i="1" s="1"/>
  <c r="AO209" i="1" s="1"/>
  <c r="B210" i="1"/>
  <c r="C210" i="1" s="1"/>
  <c r="D210" i="1" s="1"/>
  <c r="AF210" i="1" s="1"/>
  <c r="E210" i="1"/>
  <c r="F210" i="1" s="1"/>
  <c r="G210" i="1" s="1"/>
  <c r="AG210" i="1" s="1"/>
  <c r="H210" i="1"/>
  <c r="I210" i="1" s="1"/>
  <c r="J210" i="1" s="1"/>
  <c r="AH210" i="1" s="1"/>
  <c r="K210" i="1"/>
  <c r="L210" i="1" s="1"/>
  <c r="M210" i="1" s="1"/>
  <c r="AI210" i="1" s="1"/>
  <c r="N210" i="1"/>
  <c r="O210" i="1" s="1"/>
  <c r="P210" i="1" s="1"/>
  <c r="AJ210" i="1" s="1"/>
  <c r="Q210" i="1"/>
  <c r="R210" i="1" s="1"/>
  <c r="S210" i="1" s="1"/>
  <c r="AK210" i="1" s="1"/>
  <c r="T210" i="1"/>
  <c r="U210" i="1" s="1"/>
  <c r="V210" i="1" s="1"/>
  <c r="AL210" i="1" s="1"/>
  <c r="W210" i="1"/>
  <c r="X210" i="1" s="1"/>
  <c r="Y210" i="1" s="1"/>
  <c r="AM210" i="1" s="1"/>
  <c r="Z210" i="1"/>
  <c r="AA210" i="1" s="1"/>
  <c r="AB210" i="1" s="1"/>
  <c r="AN210" i="1" s="1"/>
  <c r="AC210" i="1"/>
  <c r="AD210" i="1" s="1"/>
  <c r="AE210" i="1" s="1"/>
  <c r="AO210" i="1" s="1"/>
  <c r="B211" i="1"/>
  <c r="C211" i="1" s="1"/>
  <c r="D211" i="1" s="1"/>
  <c r="AF211" i="1" s="1"/>
  <c r="E211" i="1"/>
  <c r="F211" i="1" s="1"/>
  <c r="G211" i="1" s="1"/>
  <c r="AG211" i="1" s="1"/>
  <c r="H211" i="1"/>
  <c r="I211" i="1" s="1"/>
  <c r="J211" i="1" s="1"/>
  <c r="AH211" i="1" s="1"/>
  <c r="K211" i="1"/>
  <c r="L211" i="1" s="1"/>
  <c r="M211" i="1" s="1"/>
  <c r="AI211" i="1" s="1"/>
  <c r="N211" i="1"/>
  <c r="O211" i="1" s="1"/>
  <c r="P211" i="1" s="1"/>
  <c r="AJ211" i="1" s="1"/>
  <c r="Q211" i="1"/>
  <c r="R211" i="1" s="1"/>
  <c r="S211" i="1" s="1"/>
  <c r="AK211" i="1" s="1"/>
  <c r="T211" i="1"/>
  <c r="U211" i="1" s="1"/>
  <c r="V211" i="1" s="1"/>
  <c r="AL211" i="1" s="1"/>
  <c r="W211" i="1"/>
  <c r="X211" i="1" s="1"/>
  <c r="Y211" i="1" s="1"/>
  <c r="AM211" i="1" s="1"/>
  <c r="Z211" i="1"/>
  <c r="AA211" i="1" s="1"/>
  <c r="AB211" i="1" s="1"/>
  <c r="AN211" i="1" s="1"/>
  <c r="AC211" i="1"/>
  <c r="AD211" i="1" s="1"/>
  <c r="AE211" i="1" s="1"/>
  <c r="AO211" i="1" s="1"/>
  <c r="B212" i="1"/>
  <c r="C212" i="1" s="1"/>
  <c r="D212" i="1" s="1"/>
  <c r="AF212" i="1" s="1"/>
  <c r="E212" i="1"/>
  <c r="F212" i="1" s="1"/>
  <c r="G212" i="1" s="1"/>
  <c r="AG212" i="1" s="1"/>
  <c r="H212" i="1"/>
  <c r="I212" i="1" s="1"/>
  <c r="J212" i="1" s="1"/>
  <c r="AH212" i="1" s="1"/>
  <c r="K212" i="1"/>
  <c r="L212" i="1" s="1"/>
  <c r="M212" i="1" s="1"/>
  <c r="AI212" i="1" s="1"/>
  <c r="N212" i="1"/>
  <c r="O212" i="1" s="1"/>
  <c r="P212" i="1" s="1"/>
  <c r="AJ212" i="1" s="1"/>
  <c r="Q212" i="1"/>
  <c r="R212" i="1" s="1"/>
  <c r="S212" i="1" s="1"/>
  <c r="AK212" i="1" s="1"/>
  <c r="T212" i="1"/>
  <c r="U212" i="1" s="1"/>
  <c r="V212" i="1" s="1"/>
  <c r="AL212" i="1" s="1"/>
  <c r="W212" i="1"/>
  <c r="X212" i="1" s="1"/>
  <c r="Y212" i="1" s="1"/>
  <c r="AM212" i="1" s="1"/>
  <c r="Z212" i="1"/>
  <c r="AA212" i="1" s="1"/>
  <c r="AB212" i="1" s="1"/>
  <c r="AN212" i="1" s="1"/>
  <c r="AC212" i="1"/>
  <c r="AD212" i="1" s="1"/>
  <c r="AE212" i="1" s="1"/>
  <c r="AO212" i="1" s="1"/>
  <c r="B213" i="1"/>
  <c r="C213" i="1" s="1"/>
  <c r="D213" i="1" s="1"/>
  <c r="AF213" i="1" s="1"/>
  <c r="E213" i="1"/>
  <c r="F213" i="1" s="1"/>
  <c r="G213" i="1" s="1"/>
  <c r="AG213" i="1" s="1"/>
  <c r="H213" i="1"/>
  <c r="I213" i="1" s="1"/>
  <c r="J213" i="1" s="1"/>
  <c r="AH213" i="1" s="1"/>
  <c r="K213" i="1"/>
  <c r="L213" i="1" s="1"/>
  <c r="M213" i="1" s="1"/>
  <c r="AI213" i="1" s="1"/>
  <c r="N213" i="1"/>
  <c r="O213" i="1" s="1"/>
  <c r="P213" i="1" s="1"/>
  <c r="AJ213" i="1" s="1"/>
  <c r="Q213" i="1"/>
  <c r="R213" i="1" s="1"/>
  <c r="S213" i="1" s="1"/>
  <c r="AK213" i="1" s="1"/>
  <c r="T213" i="1"/>
  <c r="U213" i="1" s="1"/>
  <c r="V213" i="1" s="1"/>
  <c r="AL213" i="1" s="1"/>
  <c r="W213" i="1"/>
  <c r="X213" i="1" s="1"/>
  <c r="Y213" i="1" s="1"/>
  <c r="AM213" i="1" s="1"/>
  <c r="Z213" i="1"/>
  <c r="AA213" i="1" s="1"/>
  <c r="AB213" i="1" s="1"/>
  <c r="AN213" i="1" s="1"/>
  <c r="AC213" i="1"/>
  <c r="AD213" i="1" s="1"/>
  <c r="AE213" i="1" s="1"/>
  <c r="AO213" i="1" s="1"/>
  <c r="B214" i="1"/>
  <c r="C214" i="1" s="1"/>
  <c r="D214" i="1" s="1"/>
  <c r="AF214" i="1" s="1"/>
  <c r="E214" i="1"/>
  <c r="F214" i="1" s="1"/>
  <c r="G214" i="1" s="1"/>
  <c r="AG214" i="1" s="1"/>
  <c r="H214" i="1"/>
  <c r="I214" i="1" s="1"/>
  <c r="J214" i="1" s="1"/>
  <c r="AH214" i="1" s="1"/>
  <c r="K214" i="1"/>
  <c r="L214" i="1" s="1"/>
  <c r="M214" i="1" s="1"/>
  <c r="AI214" i="1" s="1"/>
  <c r="N214" i="1"/>
  <c r="O214" i="1" s="1"/>
  <c r="P214" i="1" s="1"/>
  <c r="AJ214" i="1" s="1"/>
  <c r="Q214" i="1"/>
  <c r="R214" i="1" s="1"/>
  <c r="S214" i="1" s="1"/>
  <c r="AK214" i="1" s="1"/>
  <c r="T214" i="1"/>
  <c r="U214" i="1" s="1"/>
  <c r="V214" i="1" s="1"/>
  <c r="AL214" i="1" s="1"/>
  <c r="W214" i="1"/>
  <c r="X214" i="1" s="1"/>
  <c r="Y214" i="1" s="1"/>
  <c r="AM214" i="1" s="1"/>
  <c r="Z214" i="1"/>
  <c r="AA214" i="1" s="1"/>
  <c r="AB214" i="1" s="1"/>
  <c r="AN214" i="1" s="1"/>
  <c r="AC214" i="1"/>
  <c r="AD214" i="1" s="1"/>
  <c r="AE214" i="1" s="1"/>
  <c r="AO214" i="1" s="1"/>
  <c r="B215" i="1"/>
  <c r="C215" i="1" s="1"/>
  <c r="D215" i="1" s="1"/>
  <c r="AF215" i="1" s="1"/>
  <c r="E215" i="1"/>
  <c r="F215" i="1" s="1"/>
  <c r="G215" i="1" s="1"/>
  <c r="AG215" i="1" s="1"/>
  <c r="H215" i="1"/>
  <c r="I215" i="1" s="1"/>
  <c r="J215" i="1" s="1"/>
  <c r="AH215" i="1" s="1"/>
  <c r="K215" i="1"/>
  <c r="L215" i="1" s="1"/>
  <c r="M215" i="1" s="1"/>
  <c r="AI215" i="1" s="1"/>
  <c r="N215" i="1"/>
  <c r="O215" i="1" s="1"/>
  <c r="P215" i="1" s="1"/>
  <c r="AJ215" i="1" s="1"/>
  <c r="Q215" i="1"/>
  <c r="R215" i="1" s="1"/>
  <c r="S215" i="1" s="1"/>
  <c r="AK215" i="1" s="1"/>
  <c r="T215" i="1"/>
  <c r="U215" i="1" s="1"/>
  <c r="V215" i="1" s="1"/>
  <c r="AL215" i="1" s="1"/>
  <c r="W215" i="1"/>
  <c r="X215" i="1" s="1"/>
  <c r="Y215" i="1" s="1"/>
  <c r="AM215" i="1" s="1"/>
  <c r="Z215" i="1"/>
  <c r="AA215" i="1" s="1"/>
  <c r="AB215" i="1" s="1"/>
  <c r="AN215" i="1" s="1"/>
  <c r="AC215" i="1"/>
  <c r="AD215" i="1" s="1"/>
  <c r="AE215" i="1" s="1"/>
  <c r="AO215" i="1" s="1"/>
  <c r="B216" i="1"/>
  <c r="C216" i="1" s="1"/>
  <c r="D216" i="1" s="1"/>
  <c r="AF216" i="1" s="1"/>
  <c r="E216" i="1"/>
  <c r="F216" i="1" s="1"/>
  <c r="G216" i="1" s="1"/>
  <c r="AG216" i="1" s="1"/>
  <c r="H216" i="1"/>
  <c r="I216" i="1" s="1"/>
  <c r="J216" i="1" s="1"/>
  <c r="AH216" i="1" s="1"/>
  <c r="K216" i="1"/>
  <c r="L216" i="1" s="1"/>
  <c r="M216" i="1" s="1"/>
  <c r="AI216" i="1" s="1"/>
  <c r="N216" i="1"/>
  <c r="O216" i="1" s="1"/>
  <c r="P216" i="1" s="1"/>
  <c r="AJ216" i="1" s="1"/>
  <c r="Q216" i="1"/>
  <c r="R216" i="1" s="1"/>
  <c r="S216" i="1" s="1"/>
  <c r="AK216" i="1" s="1"/>
  <c r="T216" i="1"/>
  <c r="U216" i="1" s="1"/>
  <c r="V216" i="1" s="1"/>
  <c r="AL216" i="1" s="1"/>
  <c r="W216" i="1"/>
  <c r="X216" i="1" s="1"/>
  <c r="Y216" i="1" s="1"/>
  <c r="AM216" i="1" s="1"/>
  <c r="Z216" i="1"/>
  <c r="AA216" i="1" s="1"/>
  <c r="AB216" i="1" s="1"/>
  <c r="AN216" i="1" s="1"/>
  <c r="AC216" i="1"/>
  <c r="AD216" i="1" s="1"/>
  <c r="AE216" i="1" s="1"/>
  <c r="AO216" i="1" s="1"/>
  <c r="B217" i="1"/>
  <c r="C217" i="1" s="1"/>
  <c r="D217" i="1" s="1"/>
  <c r="AF217" i="1" s="1"/>
  <c r="E217" i="1"/>
  <c r="F217" i="1" s="1"/>
  <c r="G217" i="1" s="1"/>
  <c r="AG217" i="1" s="1"/>
  <c r="H217" i="1"/>
  <c r="I217" i="1" s="1"/>
  <c r="J217" i="1" s="1"/>
  <c r="AH217" i="1" s="1"/>
  <c r="K217" i="1"/>
  <c r="L217" i="1" s="1"/>
  <c r="M217" i="1" s="1"/>
  <c r="AI217" i="1" s="1"/>
  <c r="N217" i="1"/>
  <c r="O217" i="1" s="1"/>
  <c r="P217" i="1" s="1"/>
  <c r="AJ217" i="1" s="1"/>
  <c r="Q217" i="1"/>
  <c r="R217" i="1" s="1"/>
  <c r="S217" i="1" s="1"/>
  <c r="AK217" i="1" s="1"/>
  <c r="T217" i="1"/>
  <c r="U217" i="1" s="1"/>
  <c r="V217" i="1" s="1"/>
  <c r="AL217" i="1" s="1"/>
  <c r="W217" i="1"/>
  <c r="X217" i="1" s="1"/>
  <c r="Y217" i="1" s="1"/>
  <c r="AM217" i="1" s="1"/>
  <c r="Z217" i="1"/>
  <c r="AA217" i="1" s="1"/>
  <c r="AB217" i="1" s="1"/>
  <c r="AN217" i="1" s="1"/>
  <c r="AC217" i="1"/>
  <c r="AD217" i="1" s="1"/>
  <c r="AE217" i="1" s="1"/>
  <c r="AO217" i="1" s="1"/>
  <c r="B218" i="1"/>
  <c r="C218" i="1" s="1"/>
  <c r="D218" i="1" s="1"/>
  <c r="AF218" i="1" s="1"/>
  <c r="E218" i="1"/>
  <c r="F218" i="1" s="1"/>
  <c r="G218" i="1" s="1"/>
  <c r="AG218" i="1" s="1"/>
  <c r="H218" i="1"/>
  <c r="I218" i="1" s="1"/>
  <c r="J218" i="1" s="1"/>
  <c r="AH218" i="1" s="1"/>
  <c r="K218" i="1"/>
  <c r="L218" i="1" s="1"/>
  <c r="M218" i="1" s="1"/>
  <c r="AI218" i="1" s="1"/>
  <c r="N218" i="1"/>
  <c r="O218" i="1" s="1"/>
  <c r="P218" i="1" s="1"/>
  <c r="AJ218" i="1" s="1"/>
  <c r="Q218" i="1"/>
  <c r="R218" i="1" s="1"/>
  <c r="S218" i="1" s="1"/>
  <c r="AK218" i="1" s="1"/>
  <c r="T218" i="1"/>
  <c r="U218" i="1" s="1"/>
  <c r="V218" i="1" s="1"/>
  <c r="AL218" i="1" s="1"/>
  <c r="W218" i="1"/>
  <c r="X218" i="1" s="1"/>
  <c r="Y218" i="1" s="1"/>
  <c r="AM218" i="1" s="1"/>
  <c r="Z218" i="1"/>
  <c r="AA218" i="1" s="1"/>
  <c r="AB218" i="1" s="1"/>
  <c r="AN218" i="1" s="1"/>
  <c r="AC218" i="1"/>
  <c r="AD218" i="1" s="1"/>
  <c r="AE218" i="1" s="1"/>
  <c r="AO218" i="1" s="1"/>
  <c r="B219" i="1"/>
  <c r="C219" i="1" s="1"/>
  <c r="D219" i="1" s="1"/>
  <c r="AF219" i="1" s="1"/>
  <c r="E219" i="1"/>
  <c r="F219" i="1" s="1"/>
  <c r="G219" i="1" s="1"/>
  <c r="AG219" i="1" s="1"/>
  <c r="H219" i="1"/>
  <c r="I219" i="1" s="1"/>
  <c r="J219" i="1" s="1"/>
  <c r="AH219" i="1" s="1"/>
  <c r="K219" i="1"/>
  <c r="L219" i="1" s="1"/>
  <c r="M219" i="1" s="1"/>
  <c r="AI219" i="1" s="1"/>
  <c r="N219" i="1"/>
  <c r="O219" i="1" s="1"/>
  <c r="P219" i="1" s="1"/>
  <c r="AJ219" i="1" s="1"/>
  <c r="Q219" i="1"/>
  <c r="R219" i="1" s="1"/>
  <c r="S219" i="1" s="1"/>
  <c r="AK219" i="1" s="1"/>
  <c r="T219" i="1"/>
  <c r="U219" i="1" s="1"/>
  <c r="V219" i="1" s="1"/>
  <c r="AL219" i="1" s="1"/>
  <c r="W219" i="1"/>
  <c r="X219" i="1" s="1"/>
  <c r="Y219" i="1" s="1"/>
  <c r="AM219" i="1" s="1"/>
  <c r="Z219" i="1"/>
  <c r="AA219" i="1" s="1"/>
  <c r="AB219" i="1" s="1"/>
  <c r="AN219" i="1" s="1"/>
  <c r="AC219" i="1"/>
  <c r="AD219" i="1" s="1"/>
  <c r="AE219" i="1" s="1"/>
  <c r="AO219" i="1" s="1"/>
  <c r="B220" i="1"/>
  <c r="C220" i="1" s="1"/>
  <c r="D220" i="1" s="1"/>
  <c r="AF220" i="1" s="1"/>
  <c r="E220" i="1"/>
  <c r="F220" i="1" s="1"/>
  <c r="G220" i="1" s="1"/>
  <c r="AG220" i="1" s="1"/>
  <c r="H220" i="1"/>
  <c r="I220" i="1" s="1"/>
  <c r="J220" i="1" s="1"/>
  <c r="AH220" i="1" s="1"/>
  <c r="K220" i="1"/>
  <c r="L220" i="1" s="1"/>
  <c r="M220" i="1" s="1"/>
  <c r="AI220" i="1" s="1"/>
  <c r="N220" i="1"/>
  <c r="O220" i="1" s="1"/>
  <c r="P220" i="1" s="1"/>
  <c r="AJ220" i="1" s="1"/>
  <c r="Q220" i="1"/>
  <c r="R220" i="1" s="1"/>
  <c r="S220" i="1" s="1"/>
  <c r="AK220" i="1" s="1"/>
  <c r="T220" i="1"/>
  <c r="U220" i="1" s="1"/>
  <c r="V220" i="1" s="1"/>
  <c r="AL220" i="1" s="1"/>
  <c r="W220" i="1"/>
  <c r="X220" i="1" s="1"/>
  <c r="Y220" i="1" s="1"/>
  <c r="AM220" i="1" s="1"/>
  <c r="Z220" i="1"/>
  <c r="AA220" i="1" s="1"/>
  <c r="AB220" i="1" s="1"/>
  <c r="AN220" i="1" s="1"/>
  <c r="AC220" i="1"/>
  <c r="AD220" i="1" s="1"/>
  <c r="AE220" i="1" s="1"/>
  <c r="AO220" i="1" s="1"/>
  <c r="B221" i="1"/>
  <c r="C221" i="1" s="1"/>
  <c r="D221" i="1" s="1"/>
  <c r="AF221" i="1" s="1"/>
  <c r="E221" i="1"/>
  <c r="F221" i="1" s="1"/>
  <c r="G221" i="1" s="1"/>
  <c r="AG221" i="1" s="1"/>
  <c r="H221" i="1"/>
  <c r="I221" i="1" s="1"/>
  <c r="J221" i="1" s="1"/>
  <c r="AH221" i="1" s="1"/>
  <c r="K221" i="1"/>
  <c r="L221" i="1" s="1"/>
  <c r="M221" i="1" s="1"/>
  <c r="AI221" i="1" s="1"/>
  <c r="N221" i="1"/>
  <c r="O221" i="1" s="1"/>
  <c r="P221" i="1" s="1"/>
  <c r="AJ221" i="1" s="1"/>
  <c r="Q221" i="1"/>
  <c r="R221" i="1" s="1"/>
  <c r="S221" i="1" s="1"/>
  <c r="AK221" i="1" s="1"/>
  <c r="T221" i="1"/>
  <c r="U221" i="1" s="1"/>
  <c r="V221" i="1" s="1"/>
  <c r="AL221" i="1" s="1"/>
  <c r="W221" i="1"/>
  <c r="X221" i="1" s="1"/>
  <c r="Y221" i="1" s="1"/>
  <c r="AM221" i="1" s="1"/>
  <c r="Z221" i="1"/>
  <c r="AA221" i="1" s="1"/>
  <c r="AB221" i="1" s="1"/>
  <c r="AN221" i="1" s="1"/>
  <c r="AC221" i="1"/>
  <c r="AD221" i="1" s="1"/>
  <c r="AE221" i="1" s="1"/>
  <c r="AO221" i="1" s="1"/>
  <c r="B222" i="1"/>
  <c r="C222" i="1" s="1"/>
  <c r="D222" i="1" s="1"/>
  <c r="AF222" i="1" s="1"/>
  <c r="E222" i="1"/>
  <c r="F222" i="1" s="1"/>
  <c r="G222" i="1" s="1"/>
  <c r="AG222" i="1" s="1"/>
  <c r="H222" i="1"/>
  <c r="I222" i="1" s="1"/>
  <c r="J222" i="1" s="1"/>
  <c r="AH222" i="1" s="1"/>
  <c r="K222" i="1"/>
  <c r="L222" i="1" s="1"/>
  <c r="M222" i="1" s="1"/>
  <c r="AI222" i="1" s="1"/>
  <c r="N222" i="1"/>
  <c r="O222" i="1" s="1"/>
  <c r="P222" i="1" s="1"/>
  <c r="AJ222" i="1" s="1"/>
  <c r="Q222" i="1"/>
  <c r="R222" i="1" s="1"/>
  <c r="S222" i="1" s="1"/>
  <c r="AK222" i="1" s="1"/>
  <c r="T222" i="1"/>
  <c r="U222" i="1" s="1"/>
  <c r="V222" i="1" s="1"/>
  <c r="AL222" i="1" s="1"/>
  <c r="W222" i="1"/>
  <c r="X222" i="1" s="1"/>
  <c r="Y222" i="1" s="1"/>
  <c r="AM222" i="1" s="1"/>
  <c r="Z222" i="1"/>
  <c r="AA222" i="1" s="1"/>
  <c r="AB222" i="1" s="1"/>
  <c r="AN222" i="1" s="1"/>
  <c r="AC222" i="1"/>
  <c r="AD222" i="1" s="1"/>
  <c r="AE222" i="1" s="1"/>
  <c r="AO222" i="1" s="1"/>
  <c r="B223" i="1"/>
  <c r="C223" i="1" s="1"/>
  <c r="D223" i="1" s="1"/>
  <c r="AF223" i="1" s="1"/>
  <c r="E223" i="1"/>
  <c r="F223" i="1" s="1"/>
  <c r="G223" i="1" s="1"/>
  <c r="AG223" i="1" s="1"/>
  <c r="H223" i="1"/>
  <c r="I223" i="1" s="1"/>
  <c r="J223" i="1" s="1"/>
  <c r="AH223" i="1" s="1"/>
  <c r="K223" i="1"/>
  <c r="L223" i="1" s="1"/>
  <c r="M223" i="1" s="1"/>
  <c r="AI223" i="1" s="1"/>
  <c r="N223" i="1"/>
  <c r="O223" i="1" s="1"/>
  <c r="P223" i="1" s="1"/>
  <c r="AJ223" i="1" s="1"/>
  <c r="Q223" i="1"/>
  <c r="R223" i="1" s="1"/>
  <c r="S223" i="1" s="1"/>
  <c r="AK223" i="1" s="1"/>
  <c r="T223" i="1"/>
  <c r="U223" i="1" s="1"/>
  <c r="V223" i="1" s="1"/>
  <c r="AL223" i="1" s="1"/>
  <c r="W223" i="1"/>
  <c r="X223" i="1" s="1"/>
  <c r="Y223" i="1" s="1"/>
  <c r="AM223" i="1" s="1"/>
  <c r="Z223" i="1"/>
  <c r="AA223" i="1" s="1"/>
  <c r="AB223" i="1" s="1"/>
  <c r="AN223" i="1" s="1"/>
  <c r="AC223" i="1"/>
  <c r="AD223" i="1" s="1"/>
  <c r="AE223" i="1" s="1"/>
  <c r="AO223" i="1" s="1"/>
  <c r="B224" i="1"/>
  <c r="C224" i="1" s="1"/>
  <c r="D224" i="1" s="1"/>
  <c r="AF224" i="1" s="1"/>
  <c r="E224" i="1"/>
  <c r="F224" i="1" s="1"/>
  <c r="G224" i="1" s="1"/>
  <c r="AG224" i="1" s="1"/>
  <c r="H224" i="1"/>
  <c r="I224" i="1" s="1"/>
  <c r="J224" i="1" s="1"/>
  <c r="AH224" i="1" s="1"/>
  <c r="K224" i="1"/>
  <c r="L224" i="1" s="1"/>
  <c r="M224" i="1" s="1"/>
  <c r="AI224" i="1" s="1"/>
  <c r="N224" i="1"/>
  <c r="O224" i="1" s="1"/>
  <c r="P224" i="1" s="1"/>
  <c r="AJ224" i="1" s="1"/>
  <c r="Q224" i="1"/>
  <c r="R224" i="1" s="1"/>
  <c r="S224" i="1" s="1"/>
  <c r="AK224" i="1" s="1"/>
  <c r="T224" i="1"/>
  <c r="U224" i="1" s="1"/>
  <c r="V224" i="1" s="1"/>
  <c r="AL224" i="1" s="1"/>
  <c r="W224" i="1"/>
  <c r="X224" i="1" s="1"/>
  <c r="Y224" i="1" s="1"/>
  <c r="AM224" i="1" s="1"/>
  <c r="Z224" i="1"/>
  <c r="AA224" i="1" s="1"/>
  <c r="AB224" i="1" s="1"/>
  <c r="AN224" i="1" s="1"/>
  <c r="AC224" i="1"/>
  <c r="AD224" i="1" s="1"/>
  <c r="AE224" i="1" s="1"/>
  <c r="AO224" i="1" s="1"/>
  <c r="B225" i="1"/>
  <c r="C225" i="1" s="1"/>
  <c r="D225" i="1" s="1"/>
  <c r="AF225" i="1" s="1"/>
  <c r="E225" i="1"/>
  <c r="F225" i="1" s="1"/>
  <c r="G225" i="1" s="1"/>
  <c r="AG225" i="1" s="1"/>
  <c r="H225" i="1"/>
  <c r="I225" i="1" s="1"/>
  <c r="J225" i="1" s="1"/>
  <c r="AH225" i="1" s="1"/>
  <c r="K225" i="1"/>
  <c r="L225" i="1" s="1"/>
  <c r="M225" i="1" s="1"/>
  <c r="AI225" i="1" s="1"/>
  <c r="N225" i="1"/>
  <c r="O225" i="1" s="1"/>
  <c r="P225" i="1" s="1"/>
  <c r="AJ225" i="1" s="1"/>
  <c r="Q225" i="1"/>
  <c r="R225" i="1" s="1"/>
  <c r="S225" i="1" s="1"/>
  <c r="AK225" i="1" s="1"/>
  <c r="T225" i="1"/>
  <c r="U225" i="1" s="1"/>
  <c r="V225" i="1" s="1"/>
  <c r="AL225" i="1" s="1"/>
  <c r="W225" i="1"/>
  <c r="X225" i="1" s="1"/>
  <c r="Y225" i="1" s="1"/>
  <c r="AM225" i="1" s="1"/>
  <c r="Z225" i="1"/>
  <c r="AA225" i="1" s="1"/>
  <c r="AB225" i="1" s="1"/>
  <c r="AN225" i="1" s="1"/>
  <c r="AC225" i="1"/>
  <c r="AD225" i="1" s="1"/>
  <c r="AE225" i="1" s="1"/>
  <c r="AO225" i="1" s="1"/>
  <c r="B226" i="1"/>
  <c r="C226" i="1" s="1"/>
  <c r="D226" i="1" s="1"/>
  <c r="AF226" i="1" s="1"/>
  <c r="E226" i="1"/>
  <c r="F226" i="1" s="1"/>
  <c r="G226" i="1" s="1"/>
  <c r="AG226" i="1" s="1"/>
  <c r="H226" i="1"/>
  <c r="I226" i="1" s="1"/>
  <c r="J226" i="1" s="1"/>
  <c r="AH226" i="1" s="1"/>
  <c r="K226" i="1"/>
  <c r="L226" i="1" s="1"/>
  <c r="M226" i="1" s="1"/>
  <c r="AI226" i="1" s="1"/>
  <c r="N226" i="1"/>
  <c r="O226" i="1" s="1"/>
  <c r="P226" i="1" s="1"/>
  <c r="AJ226" i="1" s="1"/>
  <c r="Q226" i="1"/>
  <c r="R226" i="1" s="1"/>
  <c r="S226" i="1" s="1"/>
  <c r="AK226" i="1" s="1"/>
  <c r="T226" i="1"/>
  <c r="U226" i="1" s="1"/>
  <c r="V226" i="1" s="1"/>
  <c r="AL226" i="1" s="1"/>
  <c r="W226" i="1"/>
  <c r="X226" i="1" s="1"/>
  <c r="Y226" i="1" s="1"/>
  <c r="AM226" i="1" s="1"/>
  <c r="Z226" i="1"/>
  <c r="AA226" i="1" s="1"/>
  <c r="AB226" i="1" s="1"/>
  <c r="AN226" i="1" s="1"/>
  <c r="AC226" i="1"/>
  <c r="AD226" i="1" s="1"/>
  <c r="AE226" i="1" s="1"/>
  <c r="AO226" i="1" s="1"/>
  <c r="B227" i="1"/>
  <c r="C227" i="1" s="1"/>
  <c r="D227" i="1" s="1"/>
  <c r="AF227" i="1" s="1"/>
  <c r="E227" i="1"/>
  <c r="F227" i="1" s="1"/>
  <c r="G227" i="1" s="1"/>
  <c r="AG227" i="1" s="1"/>
  <c r="H227" i="1"/>
  <c r="I227" i="1" s="1"/>
  <c r="J227" i="1" s="1"/>
  <c r="AH227" i="1" s="1"/>
  <c r="K227" i="1"/>
  <c r="L227" i="1" s="1"/>
  <c r="M227" i="1" s="1"/>
  <c r="AI227" i="1" s="1"/>
  <c r="N227" i="1"/>
  <c r="O227" i="1" s="1"/>
  <c r="P227" i="1" s="1"/>
  <c r="AJ227" i="1" s="1"/>
  <c r="Q227" i="1"/>
  <c r="R227" i="1" s="1"/>
  <c r="S227" i="1" s="1"/>
  <c r="AK227" i="1" s="1"/>
  <c r="T227" i="1"/>
  <c r="U227" i="1" s="1"/>
  <c r="V227" i="1" s="1"/>
  <c r="AL227" i="1" s="1"/>
  <c r="W227" i="1"/>
  <c r="X227" i="1" s="1"/>
  <c r="Y227" i="1" s="1"/>
  <c r="AM227" i="1" s="1"/>
  <c r="Z227" i="1"/>
  <c r="AA227" i="1" s="1"/>
  <c r="AB227" i="1" s="1"/>
  <c r="AN227" i="1" s="1"/>
  <c r="AC227" i="1"/>
  <c r="AD227" i="1" s="1"/>
  <c r="AE227" i="1" s="1"/>
  <c r="AO227" i="1" s="1"/>
  <c r="B228" i="1"/>
  <c r="C228" i="1" s="1"/>
  <c r="D228" i="1" s="1"/>
  <c r="AF228" i="1" s="1"/>
  <c r="E228" i="1"/>
  <c r="F228" i="1" s="1"/>
  <c r="G228" i="1" s="1"/>
  <c r="AG228" i="1" s="1"/>
  <c r="H228" i="1"/>
  <c r="I228" i="1" s="1"/>
  <c r="J228" i="1" s="1"/>
  <c r="AH228" i="1" s="1"/>
  <c r="K228" i="1"/>
  <c r="L228" i="1" s="1"/>
  <c r="M228" i="1" s="1"/>
  <c r="AI228" i="1" s="1"/>
  <c r="N228" i="1"/>
  <c r="O228" i="1" s="1"/>
  <c r="P228" i="1" s="1"/>
  <c r="AJ228" i="1" s="1"/>
  <c r="Q228" i="1"/>
  <c r="R228" i="1" s="1"/>
  <c r="S228" i="1" s="1"/>
  <c r="AK228" i="1" s="1"/>
  <c r="T228" i="1"/>
  <c r="U228" i="1" s="1"/>
  <c r="V228" i="1" s="1"/>
  <c r="AL228" i="1" s="1"/>
  <c r="W228" i="1"/>
  <c r="X228" i="1" s="1"/>
  <c r="Y228" i="1" s="1"/>
  <c r="AM228" i="1" s="1"/>
  <c r="Z228" i="1"/>
  <c r="AA228" i="1" s="1"/>
  <c r="AB228" i="1" s="1"/>
  <c r="AN228" i="1" s="1"/>
  <c r="AC228" i="1"/>
  <c r="AD228" i="1" s="1"/>
  <c r="AE228" i="1" s="1"/>
  <c r="AO228" i="1" s="1"/>
  <c r="B229" i="1"/>
  <c r="C229" i="1" s="1"/>
  <c r="D229" i="1" s="1"/>
  <c r="AF229" i="1" s="1"/>
  <c r="E229" i="1"/>
  <c r="F229" i="1" s="1"/>
  <c r="G229" i="1" s="1"/>
  <c r="AG229" i="1" s="1"/>
  <c r="H229" i="1"/>
  <c r="I229" i="1" s="1"/>
  <c r="J229" i="1" s="1"/>
  <c r="AH229" i="1" s="1"/>
  <c r="K229" i="1"/>
  <c r="L229" i="1" s="1"/>
  <c r="M229" i="1" s="1"/>
  <c r="AI229" i="1" s="1"/>
  <c r="N229" i="1"/>
  <c r="O229" i="1" s="1"/>
  <c r="P229" i="1" s="1"/>
  <c r="AJ229" i="1" s="1"/>
  <c r="Q229" i="1"/>
  <c r="R229" i="1" s="1"/>
  <c r="S229" i="1" s="1"/>
  <c r="AK229" i="1" s="1"/>
  <c r="T229" i="1"/>
  <c r="U229" i="1" s="1"/>
  <c r="V229" i="1" s="1"/>
  <c r="AL229" i="1" s="1"/>
  <c r="W229" i="1"/>
  <c r="X229" i="1" s="1"/>
  <c r="Y229" i="1" s="1"/>
  <c r="AM229" i="1" s="1"/>
  <c r="Z229" i="1"/>
  <c r="AA229" i="1" s="1"/>
  <c r="AB229" i="1" s="1"/>
  <c r="AN229" i="1" s="1"/>
  <c r="AC229" i="1"/>
  <c r="AD229" i="1" s="1"/>
  <c r="AE229" i="1" s="1"/>
  <c r="AO229" i="1" s="1"/>
  <c r="B230" i="1"/>
  <c r="C230" i="1" s="1"/>
  <c r="D230" i="1" s="1"/>
  <c r="AF230" i="1" s="1"/>
  <c r="E230" i="1"/>
  <c r="F230" i="1" s="1"/>
  <c r="G230" i="1" s="1"/>
  <c r="AG230" i="1" s="1"/>
  <c r="H230" i="1"/>
  <c r="I230" i="1" s="1"/>
  <c r="J230" i="1" s="1"/>
  <c r="AH230" i="1" s="1"/>
  <c r="K230" i="1"/>
  <c r="L230" i="1" s="1"/>
  <c r="M230" i="1" s="1"/>
  <c r="AI230" i="1" s="1"/>
  <c r="N230" i="1"/>
  <c r="O230" i="1" s="1"/>
  <c r="P230" i="1" s="1"/>
  <c r="AJ230" i="1" s="1"/>
  <c r="Q230" i="1"/>
  <c r="R230" i="1" s="1"/>
  <c r="S230" i="1" s="1"/>
  <c r="AK230" i="1" s="1"/>
  <c r="T230" i="1"/>
  <c r="U230" i="1" s="1"/>
  <c r="V230" i="1" s="1"/>
  <c r="AL230" i="1" s="1"/>
  <c r="W230" i="1"/>
  <c r="X230" i="1" s="1"/>
  <c r="Y230" i="1" s="1"/>
  <c r="AM230" i="1" s="1"/>
  <c r="Z230" i="1"/>
  <c r="AA230" i="1" s="1"/>
  <c r="AB230" i="1" s="1"/>
  <c r="AN230" i="1" s="1"/>
  <c r="AC230" i="1"/>
  <c r="AD230" i="1" s="1"/>
  <c r="AE230" i="1" s="1"/>
  <c r="AO230" i="1" s="1"/>
  <c r="B231" i="1"/>
  <c r="C231" i="1" s="1"/>
  <c r="D231" i="1" s="1"/>
  <c r="AF231" i="1" s="1"/>
  <c r="E231" i="1"/>
  <c r="F231" i="1" s="1"/>
  <c r="G231" i="1" s="1"/>
  <c r="AG231" i="1" s="1"/>
  <c r="H231" i="1"/>
  <c r="I231" i="1" s="1"/>
  <c r="J231" i="1" s="1"/>
  <c r="AH231" i="1" s="1"/>
  <c r="K231" i="1"/>
  <c r="L231" i="1" s="1"/>
  <c r="M231" i="1" s="1"/>
  <c r="AI231" i="1" s="1"/>
  <c r="N231" i="1"/>
  <c r="O231" i="1" s="1"/>
  <c r="P231" i="1" s="1"/>
  <c r="AJ231" i="1" s="1"/>
  <c r="Q231" i="1"/>
  <c r="R231" i="1" s="1"/>
  <c r="S231" i="1" s="1"/>
  <c r="AK231" i="1" s="1"/>
  <c r="T231" i="1"/>
  <c r="U231" i="1" s="1"/>
  <c r="V231" i="1" s="1"/>
  <c r="AL231" i="1" s="1"/>
  <c r="W231" i="1"/>
  <c r="X231" i="1" s="1"/>
  <c r="Y231" i="1" s="1"/>
  <c r="AM231" i="1" s="1"/>
  <c r="Z231" i="1"/>
  <c r="AA231" i="1" s="1"/>
  <c r="AB231" i="1" s="1"/>
  <c r="AN231" i="1" s="1"/>
  <c r="AC231" i="1"/>
  <c r="AD231" i="1" s="1"/>
  <c r="AE231" i="1" s="1"/>
  <c r="AO231" i="1" s="1"/>
  <c r="B232" i="1"/>
  <c r="C232" i="1" s="1"/>
  <c r="D232" i="1" s="1"/>
  <c r="AF232" i="1" s="1"/>
  <c r="E232" i="1"/>
  <c r="F232" i="1" s="1"/>
  <c r="G232" i="1" s="1"/>
  <c r="AG232" i="1" s="1"/>
  <c r="H232" i="1"/>
  <c r="I232" i="1" s="1"/>
  <c r="J232" i="1" s="1"/>
  <c r="AH232" i="1" s="1"/>
  <c r="K232" i="1"/>
  <c r="L232" i="1" s="1"/>
  <c r="M232" i="1" s="1"/>
  <c r="AI232" i="1" s="1"/>
  <c r="N232" i="1"/>
  <c r="O232" i="1" s="1"/>
  <c r="P232" i="1" s="1"/>
  <c r="AJ232" i="1" s="1"/>
  <c r="Q232" i="1"/>
  <c r="R232" i="1" s="1"/>
  <c r="S232" i="1" s="1"/>
  <c r="AK232" i="1" s="1"/>
  <c r="T232" i="1"/>
  <c r="U232" i="1" s="1"/>
  <c r="V232" i="1" s="1"/>
  <c r="AL232" i="1" s="1"/>
  <c r="W232" i="1"/>
  <c r="X232" i="1" s="1"/>
  <c r="Y232" i="1" s="1"/>
  <c r="AM232" i="1" s="1"/>
  <c r="Z232" i="1"/>
  <c r="AA232" i="1" s="1"/>
  <c r="AB232" i="1" s="1"/>
  <c r="AN232" i="1" s="1"/>
  <c r="AC232" i="1"/>
  <c r="AD232" i="1" s="1"/>
  <c r="AE232" i="1" s="1"/>
  <c r="AO232" i="1" s="1"/>
  <c r="B233" i="1"/>
  <c r="C233" i="1" s="1"/>
  <c r="D233" i="1" s="1"/>
  <c r="AF233" i="1" s="1"/>
  <c r="E233" i="1"/>
  <c r="F233" i="1" s="1"/>
  <c r="G233" i="1" s="1"/>
  <c r="AG233" i="1" s="1"/>
  <c r="H233" i="1"/>
  <c r="I233" i="1" s="1"/>
  <c r="J233" i="1" s="1"/>
  <c r="AH233" i="1" s="1"/>
  <c r="K233" i="1"/>
  <c r="L233" i="1" s="1"/>
  <c r="M233" i="1" s="1"/>
  <c r="AI233" i="1" s="1"/>
  <c r="N233" i="1"/>
  <c r="O233" i="1" s="1"/>
  <c r="P233" i="1" s="1"/>
  <c r="AJ233" i="1" s="1"/>
  <c r="Q233" i="1"/>
  <c r="R233" i="1" s="1"/>
  <c r="S233" i="1" s="1"/>
  <c r="AK233" i="1" s="1"/>
  <c r="T233" i="1"/>
  <c r="U233" i="1" s="1"/>
  <c r="V233" i="1" s="1"/>
  <c r="AL233" i="1" s="1"/>
  <c r="W233" i="1"/>
  <c r="X233" i="1" s="1"/>
  <c r="Y233" i="1" s="1"/>
  <c r="AM233" i="1" s="1"/>
  <c r="Z233" i="1"/>
  <c r="AA233" i="1" s="1"/>
  <c r="AB233" i="1" s="1"/>
  <c r="AN233" i="1" s="1"/>
  <c r="AC233" i="1"/>
  <c r="AD233" i="1" s="1"/>
  <c r="AE233" i="1" s="1"/>
  <c r="AO233" i="1" s="1"/>
  <c r="B234" i="1"/>
  <c r="C234" i="1" s="1"/>
  <c r="D234" i="1" s="1"/>
  <c r="AF234" i="1" s="1"/>
  <c r="E234" i="1"/>
  <c r="F234" i="1" s="1"/>
  <c r="G234" i="1" s="1"/>
  <c r="AG234" i="1" s="1"/>
  <c r="H234" i="1"/>
  <c r="I234" i="1" s="1"/>
  <c r="J234" i="1" s="1"/>
  <c r="AH234" i="1" s="1"/>
  <c r="K234" i="1"/>
  <c r="L234" i="1" s="1"/>
  <c r="M234" i="1" s="1"/>
  <c r="AI234" i="1" s="1"/>
  <c r="N234" i="1"/>
  <c r="O234" i="1" s="1"/>
  <c r="P234" i="1" s="1"/>
  <c r="AJ234" i="1" s="1"/>
  <c r="Q234" i="1"/>
  <c r="R234" i="1" s="1"/>
  <c r="S234" i="1" s="1"/>
  <c r="AK234" i="1" s="1"/>
  <c r="T234" i="1"/>
  <c r="U234" i="1" s="1"/>
  <c r="V234" i="1" s="1"/>
  <c r="AL234" i="1" s="1"/>
  <c r="W234" i="1"/>
  <c r="X234" i="1" s="1"/>
  <c r="Y234" i="1" s="1"/>
  <c r="AM234" i="1" s="1"/>
  <c r="Z234" i="1"/>
  <c r="AA234" i="1" s="1"/>
  <c r="AB234" i="1" s="1"/>
  <c r="AN234" i="1" s="1"/>
  <c r="AC234" i="1"/>
  <c r="AD234" i="1" s="1"/>
  <c r="AE234" i="1" s="1"/>
  <c r="AO234" i="1" s="1"/>
  <c r="B235" i="1"/>
  <c r="C235" i="1" s="1"/>
  <c r="D235" i="1" s="1"/>
  <c r="AF235" i="1" s="1"/>
  <c r="E235" i="1"/>
  <c r="F235" i="1" s="1"/>
  <c r="G235" i="1" s="1"/>
  <c r="AG235" i="1" s="1"/>
  <c r="H235" i="1"/>
  <c r="I235" i="1" s="1"/>
  <c r="J235" i="1" s="1"/>
  <c r="AH235" i="1" s="1"/>
  <c r="K235" i="1"/>
  <c r="L235" i="1" s="1"/>
  <c r="M235" i="1" s="1"/>
  <c r="AI235" i="1" s="1"/>
  <c r="N235" i="1"/>
  <c r="O235" i="1" s="1"/>
  <c r="P235" i="1" s="1"/>
  <c r="AJ235" i="1" s="1"/>
  <c r="Q235" i="1"/>
  <c r="R235" i="1" s="1"/>
  <c r="S235" i="1" s="1"/>
  <c r="AK235" i="1" s="1"/>
  <c r="T235" i="1"/>
  <c r="U235" i="1" s="1"/>
  <c r="V235" i="1" s="1"/>
  <c r="AL235" i="1" s="1"/>
  <c r="W235" i="1"/>
  <c r="X235" i="1" s="1"/>
  <c r="Y235" i="1" s="1"/>
  <c r="AM235" i="1" s="1"/>
  <c r="Z235" i="1"/>
  <c r="AA235" i="1" s="1"/>
  <c r="AB235" i="1" s="1"/>
  <c r="AN235" i="1" s="1"/>
  <c r="AC235" i="1"/>
  <c r="AD235" i="1" s="1"/>
  <c r="AE235" i="1" s="1"/>
  <c r="AO235" i="1" s="1"/>
  <c r="B236" i="1"/>
  <c r="C236" i="1" s="1"/>
  <c r="D236" i="1" s="1"/>
  <c r="AF236" i="1" s="1"/>
  <c r="E236" i="1"/>
  <c r="F236" i="1" s="1"/>
  <c r="G236" i="1" s="1"/>
  <c r="AG236" i="1" s="1"/>
  <c r="H236" i="1"/>
  <c r="I236" i="1" s="1"/>
  <c r="J236" i="1" s="1"/>
  <c r="AH236" i="1" s="1"/>
  <c r="K236" i="1"/>
  <c r="L236" i="1" s="1"/>
  <c r="M236" i="1" s="1"/>
  <c r="AI236" i="1" s="1"/>
  <c r="N236" i="1"/>
  <c r="O236" i="1" s="1"/>
  <c r="P236" i="1" s="1"/>
  <c r="AJ236" i="1" s="1"/>
  <c r="Q236" i="1"/>
  <c r="R236" i="1" s="1"/>
  <c r="S236" i="1" s="1"/>
  <c r="AK236" i="1" s="1"/>
  <c r="T236" i="1"/>
  <c r="U236" i="1" s="1"/>
  <c r="V236" i="1" s="1"/>
  <c r="AL236" i="1" s="1"/>
  <c r="W236" i="1"/>
  <c r="X236" i="1" s="1"/>
  <c r="Y236" i="1" s="1"/>
  <c r="AM236" i="1" s="1"/>
  <c r="Z236" i="1"/>
  <c r="AA236" i="1" s="1"/>
  <c r="AB236" i="1" s="1"/>
  <c r="AN236" i="1" s="1"/>
  <c r="AC236" i="1"/>
  <c r="AD236" i="1" s="1"/>
  <c r="AE236" i="1" s="1"/>
  <c r="AO236" i="1" s="1"/>
  <c r="B237" i="1"/>
  <c r="C237" i="1" s="1"/>
  <c r="D237" i="1" s="1"/>
  <c r="AF237" i="1" s="1"/>
  <c r="E237" i="1"/>
  <c r="F237" i="1" s="1"/>
  <c r="G237" i="1" s="1"/>
  <c r="AG237" i="1" s="1"/>
  <c r="H237" i="1"/>
  <c r="I237" i="1" s="1"/>
  <c r="J237" i="1" s="1"/>
  <c r="AH237" i="1" s="1"/>
  <c r="K237" i="1"/>
  <c r="L237" i="1" s="1"/>
  <c r="M237" i="1" s="1"/>
  <c r="AI237" i="1" s="1"/>
  <c r="N237" i="1"/>
  <c r="O237" i="1" s="1"/>
  <c r="P237" i="1" s="1"/>
  <c r="AJ237" i="1" s="1"/>
  <c r="Q237" i="1"/>
  <c r="R237" i="1" s="1"/>
  <c r="S237" i="1" s="1"/>
  <c r="AK237" i="1" s="1"/>
  <c r="T237" i="1"/>
  <c r="U237" i="1" s="1"/>
  <c r="V237" i="1" s="1"/>
  <c r="AL237" i="1" s="1"/>
  <c r="W237" i="1"/>
  <c r="X237" i="1" s="1"/>
  <c r="Y237" i="1" s="1"/>
  <c r="AM237" i="1" s="1"/>
  <c r="Z237" i="1"/>
  <c r="AA237" i="1" s="1"/>
  <c r="AB237" i="1" s="1"/>
  <c r="AN237" i="1" s="1"/>
  <c r="AC237" i="1"/>
  <c r="AD237" i="1" s="1"/>
  <c r="AE237" i="1" s="1"/>
  <c r="AO237" i="1" s="1"/>
  <c r="B238" i="1"/>
  <c r="C238" i="1" s="1"/>
  <c r="D238" i="1" s="1"/>
  <c r="AF238" i="1" s="1"/>
  <c r="E238" i="1"/>
  <c r="F238" i="1" s="1"/>
  <c r="G238" i="1" s="1"/>
  <c r="AG238" i="1" s="1"/>
  <c r="H238" i="1"/>
  <c r="I238" i="1" s="1"/>
  <c r="J238" i="1" s="1"/>
  <c r="AH238" i="1" s="1"/>
  <c r="K238" i="1"/>
  <c r="L238" i="1" s="1"/>
  <c r="M238" i="1" s="1"/>
  <c r="AI238" i="1" s="1"/>
  <c r="N238" i="1"/>
  <c r="O238" i="1" s="1"/>
  <c r="P238" i="1" s="1"/>
  <c r="AJ238" i="1" s="1"/>
  <c r="Q238" i="1"/>
  <c r="R238" i="1" s="1"/>
  <c r="S238" i="1" s="1"/>
  <c r="AK238" i="1" s="1"/>
  <c r="T238" i="1"/>
  <c r="U238" i="1" s="1"/>
  <c r="V238" i="1" s="1"/>
  <c r="AL238" i="1" s="1"/>
  <c r="W238" i="1"/>
  <c r="X238" i="1" s="1"/>
  <c r="Y238" i="1" s="1"/>
  <c r="AM238" i="1" s="1"/>
  <c r="Z238" i="1"/>
  <c r="AA238" i="1" s="1"/>
  <c r="AB238" i="1" s="1"/>
  <c r="AN238" i="1" s="1"/>
  <c r="AC238" i="1"/>
  <c r="AD238" i="1" s="1"/>
  <c r="AE238" i="1" s="1"/>
  <c r="AO238" i="1" s="1"/>
  <c r="B239" i="1"/>
  <c r="C239" i="1" s="1"/>
  <c r="D239" i="1" s="1"/>
  <c r="AF239" i="1" s="1"/>
  <c r="E239" i="1"/>
  <c r="F239" i="1" s="1"/>
  <c r="G239" i="1" s="1"/>
  <c r="AG239" i="1" s="1"/>
  <c r="H239" i="1"/>
  <c r="I239" i="1" s="1"/>
  <c r="J239" i="1" s="1"/>
  <c r="AH239" i="1" s="1"/>
  <c r="K239" i="1"/>
  <c r="L239" i="1" s="1"/>
  <c r="M239" i="1" s="1"/>
  <c r="AI239" i="1" s="1"/>
  <c r="N239" i="1"/>
  <c r="O239" i="1" s="1"/>
  <c r="P239" i="1" s="1"/>
  <c r="AJ239" i="1" s="1"/>
  <c r="Q239" i="1"/>
  <c r="R239" i="1" s="1"/>
  <c r="S239" i="1" s="1"/>
  <c r="AK239" i="1" s="1"/>
  <c r="T239" i="1"/>
  <c r="U239" i="1" s="1"/>
  <c r="V239" i="1" s="1"/>
  <c r="AL239" i="1" s="1"/>
  <c r="W239" i="1"/>
  <c r="X239" i="1" s="1"/>
  <c r="Y239" i="1" s="1"/>
  <c r="AM239" i="1" s="1"/>
  <c r="Z239" i="1"/>
  <c r="AA239" i="1" s="1"/>
  <c r="AB239" i="1" s="1"/>
  <c r="AN239" i="1" s="1"/>
  <c r="AC239" i="1"/>
  <c r="AD239" i="1" s="1"/>
  <c r="AE239" i="1" s="1"/>
  <c r="AO239" i="1" s="1"/>
  <c r="B240" i="1"/>
  <c r="C240" i="1" s="1"/>
  <c r="D240" i="1" s="1"/>
  <c r="AF240" i="1" s="1"/>
  <c r="E240" i="1"/>
  <c r="F240" i="1" s="1"/>
  <c r="G240" i="1" s="1"/>
  <c r="AG240" i="1" s="1"/>
  <c r="H240" i="1"/>
  <c r="I240" i="1" s="1"/>
  <c r="J240" i="1" s="1"/>
  <c r="AH240" i="1" s="1"/>
  <c r="K240" i="1"/>
  <c r="L240" i="1" s="1"/>
  <c r="M240" i="1" s="1"/>
  <c r="AI240" i="1" s="1"/>
  <c r="N240" i="1"/>
  <c r="O240" i="1" s="1"/>
  <c r="P240" i="1" s="1"/>
  <c r="AJ240" i="1" s="1"/>
  <c r="Q240" i="1"/>
  <c r="R240" i="1" s="1"/>
  <c r="S240" i="1" s="1"/>
  <c r="AK240" i="1" s="1"/>
  <c r="T240" i="1"/>
  <c r="U240" i="1" s="1"/>
  <c r="V240" i="1" s="1"/>
  <c r="AL240" i="1" s="1"/>
  <c r="W240" i="1"/>
  <c r="X240" i="1" s="1"/>
  <c r="Y240" i="1" s="1"/>
  <c r="AM240" i="1" s="1"/>
  <c r="Z240" i="1"/>
  <c r="AA240" i="1" s="1"/>
  <c r="AB240" i="1" s="1"/>
  <c r="AN240" i="1" s="1"/>
  <c r="AC240" i="1"/>
  <c r="AD240" i="1" s="1"/>
  <c r="AE240" i="1" s="1"/>
  <c r="AO240" i="1" s="1"/>
  <c r="B241" i="1"/>
  <c r="C241" i="1" s="1"/>
  <c r="D241" i="1" s="1"/>
  <c r="AF241" i="1" s="1"/>
  <c r="E241" i="1"/>
  <c r="F241" i="1" s="1"/>
  <c r="G241" i="1" s="1"/>
  <c r="AG241" i="1" s="1"/>
  <c r="H241" i="1"/>
  <c r="I241" i="1" s="1"/>
  <c r="J241" i="1" s="1"/>
  <c r="AH241" i="1" s="1"/>
  <c r="K241" i="1"/>
  <c r="L241" i="1" s="1"/>
  <c r="M241" i="1" s="1"/>
  <c r="AI241" i="1" s="1"/>
  <c r="N241" i="1"/>
  <c r="O241" i="1" s="1"/>
  <c r="P241" i="1" s="1"/>
  <c r="AJ241" i="1" s="1"/>
  <c r="Q241" i="1"/>
  <c r="R241" i="1" s="1"/>
  <c r="S241" i="1" s="1"/>
  <c r="AK241" i="1" s="1"/>
  <c r="T241" i="1"/>
  <c r="U241" i="1" s="1"/>
  <c r="V241" i="1" s="1"/>
  <c r="AL241" i="1" s="1"/>
  <c r="W241" i="1"/>
  <c r="X241" i="1" s="1"/>
  <c r="Y241" i="1" s="1"/>
  <c r="AM241" i="1" s="1"/>
  <c r="Z241" i="1"/>
  <c r="AA241" i="1" s="1"/>
  <c r="AB241" i="1" s="1"/>
  <c r="AN241" i="1" s="1"/>
  <c r="AC241" i="1"/>
  <c r="AD241" i="1" s="1"/>
  <c r="AE241" i="1" s="1"/>
  <c r="AO241" i="1" s="1"/>
  <c r="B242" i="1"/>
  <c r="C242" i="1" s="1"/>
  <c r="D242" i="1" s="1"/>
  <c r="AF242" i="1" s="1"/>
  <c r="E242" i="1"/>
  <c r="F242" i="1" s="1"/>
  <c r="G242" i="1" s="1"/>
  <c r="AG242" i="1" s="1"/>
  <c r="H242" i="1"/>
  <c r="I242" i="1" s="1"/>
  <c r="J242" i="1" s="1"/>
  <c r="AH242" i="1" s="1"/>
  <c r="K242" i="1"/>
  <c r="L242" i="1" s="1"/>
  <c r="M242" i="1" s="1"/>
  <c r="AI242" i="1" s="1"/>
  <c r="N242" i="1"/>
  <c r="O242" i="1" s="1"/>
  <c r="P242" i="1" s="1"/>
  <c r="AJ242" i="1" s="1"/>
  <c r="Q242" i="1"/>
  <c r="R242" i="1" s="1"/>
  <c r="S242" i="1" s="1"/>
  <c r="AK242" i="1" s="1"/>
  <c r="T242" i="1"/>
  <c r="U242" i="1" s="1"/>
  <c r="V242" i="1" s="1"/>
  <c r="AL242" i="1" s="1"/>
  <c r="W242" i="1"/>
  <c r="X242" i="1" s="1"/>
  <c r="Y242" i="1" s="1"/>
  <c r="AM242" i="1" s="1"/>
  <c r="Z242" i="1"/>
  <c r="AA242" i="1" s="1"/>
  <c r="AB242" i="1" s="1"/>
  <c r="AN242" i="1" s="1"/>
  <c r="AC242" i="1"/>
  <c r="AD242" i="1" s="1"/>
  <c r="AE242" i="1" s="1"/>
  <c r="AO242" i="1" s="1"/>
  <c r="B243" i="1"/>
  <c r="C243" i="1" s="1"/>
  <c r="D243" i="1" s="1"/>
  <c r="AF243" i="1" s="1"/>
  <c r="E243" i="1"/>
  <c r="F243" i="1" s="1"/>
  <c r="G243" i="1" s="1"/>
  <c r="AG243" i="1" s="1"/>
  <c r="H243" i="1"/>
  <c r="I243" i="1" s="1"/>
  <c r="J243" i="1" s="1"/>
  <c r="AH243" i="1" s="1"/>
  <c r="K243" i="1"/>
  <c r="L243" i="1" s="1"/>
  <c r="M243" i="1" s="1"/>
  <c r="AI243" i="1" s="1"/>
  <c r="N243" i="1"/>
  <c r="O243" i="1" s="1"/>
  <c r="P243" i="1" s="1"/>
  <c r="AJ243" i="1" s="1"/>
  <c r="Q243" i="1"/>
  <c r="R243" i="1" s="1"/>
  <c r="S243" i="1" s="1"/>
  <c r="AK243" i="1" s="1"/>
  <c r="T243" i="1"/>
  <c r="U243" i="1" s="1"/>
  <c r="V243" i="1" s="1"/>
  <c r="AL243" i="1" s="1"/>
  <c r="W243" i="1"/>
  <c r="X243" i="1" s="1"/>
  <c r="Y243" i="1" s="1"/>
  <c r="AM243" i="1" s="1"/>
  <c r="Z243" i="1"/>
  <c r="AA243" i="1" s="1"/>
  <c r="AB243" i="1" s="1"/>
  <c r="AN243" i="1" s="1"/>
  <c r="AC243" i="1"/>
  <c r="AD243" i="1" s="1"/>
  <c r="AE243" i="1" s="1"/>
  <c r="AO243" i="1" s="1"/>
  <c r="B244" i="1"/>
  <c r="C244" i="1" s="1"/>
  <c r="D244" i="1" s="1"/>
  <c r="AF244" i="1" s="1"/>
  <c r="E244" i="1"/>
  <c r="F244" i="1" s="1"/>
  <c r="G244" i="1" s="1"/>
  <c r="AG244" i="1" s="1"/>
  <c r="H244" i="1"/>
  <c r="I244" i="1" s="1"/>
  <c r="J244" i="1" s="1"/>
  <c r="AH244" i="1" s="1"/>
  <c r="K244" i="1"/>
  <c r="L244" i="1" s="1"/>
  <c r="M244" i="1" s="1"/>
  <c r="AI244" i="1" s="1"/>
  <c r="N244" i="1"/>
  <c r="O244" i="1" s="1"/>
  <c r="P244" i="1" s="1"/>
  <c r="AJ244" i="1" s="1"/>
  <c r="Q244" i="1"/>
  <c r="R244" i="1" s="1"/>
  <c r="S244" i="1" s="1"/>
  <c r="AK244" i="1" s="1"/>
  <c r="T244" i="1"/>
  <c r="U244" i="1" s="1"/>
  <c r="V244" i="1" s="1"/>
  <c r="AL244" i="1" s="1"/>
  <c r="W244" i="1"/>
  <c r="X244" i="1" s="1"/>
  <c r="Y244" i="1" s="1"/>
  <c r="AM244" i="1" s="1"/>
  <c r="Z244" i="1"/>
  <c r="AA244" i="1" s="1"/>
  <c r="AB244" i="1" s="1"/>
  <c r="AN244" i="1" s="1"/>
  <c r="AC244" i="1"/>
  <c r="AD244" i="1" s="1"/>
  <c r="AE244" i="1" s="1"/>
  <c r="AO244" i="1" s="1"/>
  <c r="B245" i="1"/>
  <c r="C245" i="1" s="1"/>
  <c r="D245" i="1" s="1"/>
  <c r="AF245" i="1" s="1"/>
  <c r="E245" i="1"/>
  <c r="F245" i="1" s="1"/>
  <c r="G245" i="1" s="1"/>
  <c r="AG245" i="1" s="1"/>
  <c r="H245" i="1"/>
  <c r="I245" i="1" s="1"/>
  <c r="J245" i="1" s="1"/>
  <c r="AH245" i="1" s="1"/>
  <c r="K245" i="1"/>
  <c r="L245" i="1" s="1"/>
  <c r="M245" i="1" s="1"/>
  <c r="AI245" i="1" s="1"/>
  <c r="N245" i="1"/>
  <c r="O245" i="1" s="1"/>
  <c r="P245" i="1" s="1"/>
  <c r="AJ245" i="1" s="1"/>
  <c r="Q245" i="1"/>
  <c r="R245" i="1" s="1"/>
  <c r="S245" i="1" s="1"/>
  <c r="AK245" i="1" s="1"/>
  <c r="T245" i="1"/>
  <c r="U245" i="1" s="1"/>
  <c r="V245" i="1" s="1"/>
  <c r="AL245" i="1" s="1"/>
  <c r="W245" i="1"/>
  <c r="X245" i="1" s="1"/>
  <c r="Y245" i="1" s="1"/>
  <c r="AM245" i="1" s="1"/>
  <c r="Z245" i="1"/>
  <c r="AA245" i="1" s="1"/>
  <c r="AB245" i="1" s="1"/>
  <c r="AN245" i="1" s="1"/>
  <c r="AC245" i="1"/>
  <c r="AD245" i="1" s="1"/>
  <c r="AE245" i="1" s="1"/>
  <c r="AO245" i="1" s="1"/>
  <c r="B246" i="1"/>
  <c r="C246" i="1" s="1"/>
  <c r="D246" i="1" s="1"/>
  <c r="AF246" i="1" s="1"/>
  <c r="E246" i="1"/>
  <c r="F246" i="1" s="1"/>
  <c r="G246" i="1" s="1"/>
  <c r="AG246" i="1" s="1"/>
  <c r="H246" i="1"/>
  <c r="I246" i="1" s="1"/>
  <c r="J246" i="1" s="1"/>
  <c r="AH246" i="1" s="1"/>
  <c r="K246" i="1"/>
  <c r="L246" i="1" s="1"/>
  <c r="M246" i="1" s="1"/>
  <c r="AI246" i="1" s="1"/>
  <c r="N246" i="1"/>
  <c r="O246" i="1" s="1"/>
  <c r="P246" i="1" s="1"/>
  <c r="AJ246" i="1" s="1"/>
  <c r="Q246" i="1"/>
  <c r="R246" i="1" s="1"/>
  <c r="S246" i="1" s="1"/>
  <c r="AK246" i="1" s="1"/>
  <c r="T246" i="1"/>
  <c r="U246" i="1" s="1"/>
  <c r="V246" i="1" s="1"/>
  <c r="AL246" i="1" s="1"/>
  <c r="W246" i="1"/>
  <c r="X246" i="1" s="1"/>
  <c r="Y246" i="1" s="1"/>
  <c r="AM246" i="1" s="1"/>
  <c r="Z246" i="1"/>
  <c r="AA246" i="1" s="1"/>
  <c r="AB246" i="1" s="1"/>
  <c r="AN246" i="1" s="1"/>
  <c r="AC246" i="1"/>
  <c r="AD246" i="1" s="1"/>
  <c r="AE246" i="1" s="1"/>
  <c r="AO246" i="1" s="1"/>
  <c r="B247" i="1"/>
  <c r="C247" i="1" s="1"/>
  <c r="D247" i="1" s="1"/>
  <c r="AF247" i="1" s="1"/>
  <c r="E247" i="1"/>
  <c r="F247" i="1" s="1"/>
  <c r="G247" i="1" s="1"/>
  <c r="AG247" i="1" s="1"/>
  <c r="H247" i="1"/>
  <c r="I247" i="1" s="1"/>
  <c r="J247" i="1" s="1"/>
  <c r="AH247" i="1" s="1"/>
  <c r="K247" i="1"/>
  <c r="L247" i="1" s="1"/>
  <c r="M247" i="1" s="1"/>
  <c r="AI247" i="1" s="1"/>
  <c r="N247" i="1"/>
  <c r="O247" i="1" s="1"/>
  <c r="P247" i="1" s="1"/>
  <c r="AJ247" i="1" s="1"/>
  <c r="Q247" i="1"/>
  <c r="R247" i="1" s="1"/>
  <c r="S247" i="1" s="1"/>
  <c r="AK247" i="1" s="1"/>
  <c r="T247" i="1"/>
  <c r="U247" i="1" s="1"/>
  <c r="V247" i="1" s="1"/>
  <c r="AL247" i="1" s="1"/>
  <c r="W247" i="1"/>
  <c r="X247" i="1" s="1"/>
  <c r="Y247" i="1" s="1"/>
  <c r="AM247" i="1" s="1"/>
  <c r="Z247" i="1"/>
  <c r="AA247" i="1" s="1"/>
  <c r="AB247" i="1" s="1"/>
  <c r="AN247" i="1" s="1"/>
  <c r="AC247" i="1"/>
  <c r="AD247" i="1" s="1"/>
  <c r="AE247" i="1" s="1"/>
  <c r="AO247" i="1" s="1"/>
  <c r="B248" i="1"/>
  <c r="C248" i="1" s="1"/>
  <c r="D248" i="1" s="1"/>
  <c r="AF248" i="1" s="1"/>
  <c r="E248" i="1"/>
  <c r="F248" i="1" s="1"/>
  <c r="G248" i="1" s="1"/>
  <c r="AG248" i="1" s="1"/>
  <c r="H248" i="1"/>
  <c r="I248" i="1" s="1"/>
  <c r="J248" i="1" s="1"/>
  <c r="AH248" i="1" s="1"/>
  <c r="K248" i="1"/>
  <c r="L248" i="1" s="1"/>
  <c r="M248" i="1" s="1"/>
  <c r="AI248" i="1" s="1"/>
  <c r="N248" i="1"/>
  <c r="O248" i="1" s="1"/>
  <c r="P248" i="1" s="1"/>
  <c r="AJ248" i="1" s="1"/>
  <c r="Q248" i="1"/>
  <c r="R248" i="1" s="1"/>
  <c r="S248" i="1" s="1"/>
  <c r="AK248" i="1" s="1"/>
  <c r="T248" i="1"/>
  <c r="U248" i="1" s="1"/>
  <c r="V248" i="1" s="1"/>
  <c r="AL248" i="1" s="1"/>
  <c r="W248" i="1"/>
  <c r="X248" i="1" s="1"/>
  <c r="Y248" i="1" s="1"/>
  <c r="AM248" i="1" s="1"/>
  <c r="Z248" i="1"/>
  <c r="AA248" i="1" s="1"/>
  <c r="AB248" i="1" s="1"/>
  <c r="AN248" i="1" s="1"/>
  <c r="AC248" i="1"/>
  <c r="AD248" i="1" s="1"/>
  <c r="AE248" i="1" s="1"/>
  <c r="AO248" i="1" s="1"/>
  <c r="B249" i="1"/>
  <c r="C249" i="1" s="1"/>
  <c r="D249" i="1" s="1"/>
  <c r="AF249" i="1" s="1"/>
  <c r="E249" i="1"/>
  <c r="F249" i="1" s="1"/>
  <c r="G249" i="1" s="1"/>
  <c r="AG249" i="1" s="1"/>
  <c r="H249" i="1"/>
  <c r="I249" i="1" s="1"/>
  <c r="J249" i="1" s="1"/>
  <c r="AH249" i="1" s="1"/>
  <c r="K249" i="1"/>
  <c r="L249" i="1" s="1"/>
  <c r="M249" i="1" s="1"/>
  <c r="AI249" i="1" s="1"/>
  <c r="N249" i="1"/>
  <c r="O249" i="1" s="1"/>
  <c r="P249" i="1" s="1"/>
  <c r="AJ249" i="1" s="1"/>
  <c r="Q249" i="1"/>
  <c r="R249" i="1" s="1"/>
  <c r="S249" i="1" s="1"/>
  <c r="AK249" i="1" s="1"/>
  <c r="T249" i="1"/>
  <c r="U249" i="1" s="1"/>
  <c r="V249" i="1" s="1"/>
  <c r="AL249" i="1" s="1"/>
  <c r="W249" i="1"/>
  <c r="X249" i="1" s="1"/>
  <c r="Y249" i="1" s="1"/>
  <c r="AM249" i="1" s="1"/>
  <c r="Z249" i="1"/>
  <c r="AA249" i="1" s="1"/>
  <c r="AB249" i="1" s="1"/>
  <c r="AN249" i="1" s="1"/>
  <c r="AC249" i="1"/>
  <c r="AD249" i="1" s="1"/>
  <c r="AE249" i="1" s="1"/>
  <c r="AO249" i="1" s="1"/>
  <c r="B250" i="1"/>
  <c r="C250" i="1" s="1"/>
  <c r="D250" i="1" s="1"/>
  <c r="AF250" i="1" s="1"/>
  <c r="E250" i="1"/>
  <c r="F250" i="1" s="1"/>
  <c r="G250" i="1" s="1"/>
  <c r="AG250" i="1" s="1"/>
  <c r="H250" i="1"/>
  <c r="I250" i="1" s="1"/>
  <c r="J250" i="1" s="1"/>
  <c r="AH250" i="1" s="1"/>
  <c r="K250" i="1"/>
  <c r="L250" i="1" s="1"/>
  <c r="M250" i="1" s="1"/>
  <c r="AI250" i="1" s="1"/>
  <c r="N250" i="1"/>
  <c r="O250" i="1" s="1"/>
  <c r="P250" i="1" s="1"/>
  <c r="AJ250" i="1" s="1"/>
  <c r="Q250" i="1"/>
  <c r="R250" i="1" s="1"/>
  <c r="S250" i="1" s="1"/>
  <c r="AK250" i="1" s="1"/>
  <c r="T250" i="1"/>
  <c r="U250" i="1" s="1"/>
  <c r="V250" i="1" s="1"/>
  <c r="AL250" i="1" s="1"/>
  <c r="W250" i="1"/>
  <c r="X250" i="1" s="1"/>
  <c r="Y250" i="1" s="1"/>
  <c r="AM250" i="1" s="1"/>
  <c r="Z250" i="1"/>
  <c r="AA250" i="1" s="1"/>
  <c r="AB250" i="1" s="1"/>
  <c r="AN250" i="1" s="1"/>
  <c r="AC250" i="1"/>
  <c r="AD250" i="1" s="1"/>
  <c r="AE250" i="1" s="1"/>
  <c r="AO250" i="1" s="1"/>
  <c r="B251" i="1"/>
  <c r="C251" i="1" s="1"/>
  <c r="D251" i="1" s="1"/>
  <c r="AF251" i="1" s="1"/>
  <c r="E251" i="1"/>
  <c r="F251" i="1" s="1"/>
  <c r="G251" i="1" s="1"/>
  <c r="AG251" i="1" s="1"/>
  <c r="H251" i="1"/>
  <c r="I251" i="1" s="1"/>
  <c r="J251" i="1" s="1"/>
  <c r="AH251" i="1" s="1"/>
  <c r="K251" i="1"/>
  <c r="L251" i="1" s="1"/>
  <c r="M251" i="1" s="1"/>
  <c r="AI251" i="1" s="1"/>
  <c r="N251" i="1"/>
  <c r="O251" i="1" s="1"/>
  <c r="P251" i="1" s="1"/>
  <c r="AJ251" i="1" s="1"/>
  <c r="Q251" i="1"/>
  <c r="R251" i="1" s="1"/>
  <c r="S251" i="1" s="1"/>
  <c r="AK251" i="1" s="1"/>
  <c r="T251" i="1"/>
  <c r="U251" i="1" s="1"/>
  <c r="V251" i="1" s="1"/>
  <c r="AL251" i="1" s="1"/>
  <c r="W251" i="1"/>
  <c r="X251" i="1" s="1"/>
  <c r="Y251" i="1" s="1"/>
  <c r="AM251" i="1" s="1"/>
  <c r="Z251" i="1"/>
  <c r="AA251" i="1" s="1"/>
  <c r="AB251" i="1" s="1"/>
  <c r="AN251" i="1" s="1"/>
  <c r="AC251" i="1"/>
  <c r="AD251" i="1" s="1"/>
  <c r="AE251" i="1" s="1"/>
  <c r="AO251" i="1" s="1"/>
  <c r="B252" i="1"/>
  <c r="C252" i="1" s="1"/>
  <c r="D252" i="1" s="1"/>
  <c r="AF252" i="1" s="1"/>
  <c r="E252" i="1"/>
  <c r="F252" i="1" s="1"/>
  <c r="G252" i="1" s="1"/>
  <c r="AG252" i="1" s="1"/>
  <c r="H252" i="1"/>
  <c r="I252" i="1" s="1"/>
  <c r="J252" i="1" s="1"/>
  <c r="AH252" i="1" s="1"/>
  <c r="K252" i="1"/>
  <c r="L252" i="1" s="1"/>
  <c r="M252" i="1" s="1"/>
  <c r="AI252" i="1" s="1"/>
  <c r="N252" i="1"/>
  <c r="O252" i="1" s="1"/>
  <c r="P252" i="1" s="1"/>
  <c r="AJ252" i="1" s="1"/>
  <c r="Q252" i="1"/>
  <c r="R252" i="1" s="1"/>
  <c r="S252" i="1" s="1"/>
  <c r="AK252" i="1" s="1"/>
  <c r="T252" i="1"/>
  <c r="U252" i="1" s="1"/>
  <c r="V252" i="1" s="1"/>
  <c r="AL252" i="1" s="1"/>
  <c r="W252" i="1"/>
  <c r="X252" i="1" s="1"/>
  <c r="Y252" i="1" s="1"/>
  <c r="AM252" i="1" s="1"/>
  <c r="Z252" i="1"/>
  <c r="AA252" i="1" s="1"/>
  <c r="AB252" i="1" s="1"/>
  <c r="AN252" i="1" s="1"/>
  <c r="AC252" i="1"/>
  <c r="AD252" i="1" s="1"/>
  <c r="AE252" i="1" s="1"/>
  <c r="AO252" i="1" s="1"/>
  <c r="B253" i="1"/>
  <c r="C253" i="1" s="1"/>
  <c r="D253" i="1" s="1"/>
  <c r="AF253" i="1" s="1"/>
  <c r="E253" i="1"/>
  <c r="F253" i="1" s="1"/>
  <c r="G253" i="1" s="1"/>
  <c r="AG253" i="1" s="1"/>
  <c r="H253" i="1"/>
  <c r="I253" i="1" s="1"/>
  <c r="J253" i="1" s="1"/>
  <c r="AH253" i="1" s="1"/>
  <c r="K253" i="1"/>
  <c r="L253" i="1" s="1"/>
  <c r="M253" i="1" s="1"/>
  <c r="AI253" i="1" s="1"/>
  <c r="N253" i="1"/>
  <c r="O253" i="1" s="1"/>
  <c r="P253" i="1" s="1"/>
  <c r="AJ253" i="1" s="1"/>
  <c r="Q253" i="1"/>
  <c r="R253" i="1" s="1"/>
  <c r="S253" i="1" s="1"/>
  <c r="AK253" i="1" s="1"/>
  <c r="T253" i="1"/>
  <c r="U253" i="1" s="1"/>
  <c r="V253" i="1" s="1"/>
  <c r="AL253" i="1" s="1"/>
  <c r="W253" i="1"/>
  <c r="X253" i="1" s="1"/>
  <c r="Y253" i="1" s="1"/>
  <c r="AM253" i="1" s="1"/>
  <c r="Z253" i="1"/>
  <c r="AA253" i="1" s="1"/>
  <c r="AB253" i="1" s="1"/>
  <c r="AN253" i="1" s="1"/>
  <c r="AC253" i="1"/>
  <c r="AD253" i="1" s="1"/>
  <c r="AE253" i="1" s="1"/>
  <c r="AO253" i="1" s="1"/>
  <c r="B254" i="1"/>
  <c r="C254" i="1" s="1"/>
  <c r="D254" i="1" s="1"/>
  <c r="AF254" i="1" s="1"/>
  <c r="E254" i="1"/>
  <c r="F254" i="1" s="1"/>
  <c r="G254" i="1" s="1"/>
  <c r="AG254" i="1" s="1"/>
  <c r="H254" i="1"/>
  <c r="I254" i="1" s="1"/>
  <c r="J254" i="1" s="1"/>
  <c r="AH254" i="1" s="1"/>
  <c r="K254" i="1"/>
  <c r="L254" i="1" s="1"/>
  <c r="M254" i="1" s="1"/>
  <c r="AI254" i="1" s="1"/>
  <c r="N254" i="1"/>
  <c r="O254" i="1" s="1"/>
  <c r="P254" i="1" s="1"/>
  <c r="AJ254" i="1" s="1"/>
  <c r="Q254" i="1"/>
  <c r="R254" i="1" s="1"/>
  <c r="S254" i="1" s="1"/>
  <c r="AK254" i="1" s="1"/>
  <c r="T254" i="1"/>
  <c r="U254" i="1" s="1"/>
  <c r="V254" i="1" s="1"/>
  <c r="AL254" i="1" s="1"/>
  <c r="W254" i="1"/>
  <c r="X254" i="1" s="1"/>
  <c r="Y254" i="1" s="1"/>
  <c r="AM254" i="1" s="1"/>
  <c r="Z254" i="1"/>
  <c r="AA254" i="1" s="1"/>
  <c r="AB254" i="1" s="1"/>
  <c r="AN254" i="1" s="1"/>
  <c r="AC254" i="1"/>
  <c r="AD254" i="1" s="1"/>
  <c r="AE254" i="1" s="1"/>
  <c r="AO254" i="1" s="1"/>
  <c r="B255" i="1"/>
  <c r="C255" i="1" s="1"/>
  <c r="D255" i="1" s="1"/>
  <c r="AF255" i="1" s="1"/>
  <c r="E255" i="1"/>
  <c r="F255" i="1" s="1"/>
  <c r="G255" i="1" s="1"/>
  <c r="AG255" i="1" s="1"/>
  <c r="H255" i="1"/>
  <c r="I255" i="1" s="1"/>
  <c r="J255" i="1" s="1"/>
  <c r="AH255" i="1" s="1"/>
  <c r="K255" i="1"/>
  <c r="L255" i="1" s="1"/>
  <c r="M255" i="1" s="1"/>
  <c r="AI255" i="1" s="1"/>
  <c r="N255" i="1"/>
  <c r="O255" i="1" s="1"/>
  <c r="P255" i="1" s="1"/>
  <c r="AJ255" i="1" s="1"/>
  <c r="Q255" i="1"/>
  <c r="R255" i="1" s="1"/>
  <c r="S255" i="1" s="1"/>
  <c r="AK255" i="1" s="1"/>
  <c r="T255" i="1"/>
  <c r="U255" i="1" s="1"/>
  <c r="V255" i="1" s="1"/>
  <c r="AL255" i="1" s="1"/>
  <c r="W255" i="1"/>
  <c r="X255" i="1" s="1"/>
  <c r="Y255" i="1" s="1"/>
  <c r="AM255" i="1" s="1"/>
  <c r="Z255" i="1"/>
  <c r="AA255" i="1" s="1"/>
  <c r="AB255" i="1" s="1"/>
  <c r="AN255" i="1" s="1"/>
  <c r="AC255" i="1"/>
  <c r="AD255" i="1" s="1"/>
  <c r="AE255" i="1" s="1"/>
  <c r="AO255" i="1" s="1"/>
  <c r="B256" i="1"/>
  <c r="C256" i="1" s="1"/>
  <c r="D256" i="1" s="1"/>
  <c r="AF256" i="1" s="1"/>
  <c r="E256" i="1"/>
  <c r="F256" i="1" s="1"/>
  <c r="G256" i="1" s="1"/>
  <c r="AG256" i="1" s="1"/>
  <c r="H256" i="1"/>
  <c r="I256" i="1" s="1"/>
  <c r="J256" i="1" s="1"/>
  <c r="AH256" i="1" s="1"/>
  <c r="K256" i="1"/>
  <c r="L256" i="1" s="1"/>
  <c r="M256" i="1" s="1"/>
  <c r="AI256" i="1" s="1"/>
  <c r="N256" i="1"/>
  <c r="O256" i="1" s="1"/>
  <c r="P256" i="1" s="1"/>
  <c r="AJ256" i="1" s="1"/>
  <c r="Q256" i="1"/>
  <c r="R256" i="1" s="1"/>
  <c r="S256" i="1" s="1"/>
  <c r="AK256" i="1" s="1"/>
  <c r="T256" i="1"/>
  <c r="U256" i="1" s="1"/>
  <c r="V256" i="1" s="1"/>
  <c r="AL256" i="1" s="1"/>
  <c r="W256" i="1"/>
  <c r="X256" i="1" s="1"/>
  <c r="Y256" i="1" s="1"/>
  <c r="AM256" i="1" s="1"/>
  <c r="Z256" i="1"/>
  <c r="AA256" i="1" s="1"/>
  <c r="AB256" i="1" s="1"/>
  <c r="AN256" i="1" s="1"/>
  <c r="AC256" i="1"/>
  <c r="AD256" i="1" s="1"/>
  <c r="AE256" i="1" s="1"/>
  <c r="AO256" i="1" s="1"/>
  <c r="B257" i="1"/>
  <c r="C257" i="1" s="1"/>
  <c r="D257" i="1" s="1"/>
  <c r="AF257" i="1" s="1"/>
  <c r="E257" i="1"/>
  <c r="F257" i="1" s="1"/>
  <c r="G257" i="1" s="1"/>
  <c r="AG257" i="1" s="1"/>
  <c r="H257" i="1"/>
  <c r="I257" i="1" s="1"/>
  <c r="J257" i="1" s="1"/>
  <c r="AH257" i="1" s="1"/>
  <c r="K257" i="1"/>
  <c r="L257" i="1" s="1"/>
  <c r="M257" i="1" s="1"/>
  <c r="AI257" i="1" s="1"/>
  <c r="N257" i="1"/>
  <c r="O257" i="1" s="1"/>
  <c r="P257" i="1" s="1"/>
  <c r="AJ257" i="1" s="1"/>
  <c r="Q257" i="1"/>
  <c r="R257" i="1" s="1"/>
  <c r="S257" i="1" s="1"/>
  <c r="AK257" i="1" s="1"/>
  <c r="T257" i="1"/>
  <c r="U257" i="1" s="1"/>
  <c r="V257" i="1" s="1"/>
  <c r="AL257" i="1" s="1"/>
  <c r="W257" i="1"/>
  <c r="X257" i="1" s="1"/>
  <c r="Y257" i="1" s="1"/>
  <c r="AM257" i="1" s="1"/>
  <c r="Z257" i="1"/>
  <c r="AA257" i="1" s="1"/>
  <c r="AB257" i="1" s="1"/>
  <c r="AN257" i="1" s="1"/>
  <c r="AC257" i="1"/>
  <c r="AD257" i="1" s="1"/>
  <c r="AE257" i="1" s="1"/>
  <c r="AO257" i="1" s="1"/>
  <c r="B258" i="1"/>
  <c r="C258" i="1" s="1"/>
  <c r="D258" i="1" s="1"/>
  <c r="AF258" i="1" s="1"/>
  <c r="E258" i="1"/>
  <c r="F258" i="1" s="1"/>
  <c r="G258" i="1" s="1"/>
  <c r="AG258" i="1" s="1"/>
  <c r="H258" i="1"/>
  <c r="I258" i="1" s="1"/>
  <c r="J258" i="1" s="1"/>
  <c r="AH258" i="1" s="1"/>
  <c r="K258" i="1"/>
  <c r="L258" i="1" s="1"/>
  <c r="M258" i="1" s="1"/>
  <c r="AI258" i="1" s="1"/>
  <c r="N258" i="1"/>
  <c r="O258" i="1" s="1"/>
  <c r="P258" i="1" s="1"/>
  <c r="AJ258" i="1" s="1"/>
  <c r="Q258" i="1"/>
  <c r="R258" i="1" s="1"/>
  <c r="S258" i="1" s="1"/>
  <c r="AK258" i="1" s="1"/>
  <c r="T258" i="1"/>
  <c r="U258" i="1" s="1"/>
  <c r="V258" i="1" s="1"/>
  <c r="AL258" i="1" s="1"/>
  <c r="W258" i="1"/>
  <c r="X258" i="1" s="1"/>
  <c r="Y258" i="1" s="1"/>
  <c r="AM258" i="1" s="1"/>
  <c r="Z258" i="1"/>
  <c r="AA258" i="1" s="1"/>
  <c r="AB258" i="1" s="1"/>
  <c r="AN258" i="1" s="1"/>
  <c r="AC258" i="1"/>
  <c r="AD258" i="1" s="1"/>
  <c r="AE258" i="1" s="1"/>
  <c r="AO258" i="1" s="1"/>
  <c r="B259" i="1"/>
  <c r="C259" i="1" s="1"/>
  <c r="D259" i="1" s="1"/>
  <c r="AF259" i="1" s="1"/>
  <c r="E259" i="1"/>
  <c r="F259" i="1" s="1"/>
  <c r="G259" i="1" s="1"/>
  <c r="AG259" i="1" s="1"/>
  <c r="H259" i="1"/>
  <c r="I259" i="1" s="1"/>
  <c r="J259" i="1" s="1"/>
  <c r="AH259" i="1" s="1"/>
  <c r="K259" i="1"/>
  <c r="L259" i="1" s="1"/>
  <c r="M259" i="1" s="1"/>
  <c r="AI259" i="1" s="1"/>
  <c r="N259" i="1"/>
  <c r="O259" i="1" s="1"/>
  <c r="P259" i="1" s="1"/>
  <c r="AJ259" i="1" s="1"/>
  <c r="Q259" i="1"/>
  <c r="R259" i="1" s="1"/>
  <c r="S259" i="1" s="1"/>
  <c r="AK259" i="1" s="1"/>
  <c r="T259" i="1"/>
  <c r="U259" i="1" s="1"/>
  <c r="V259" i="1" s="1"/>
  <c r="AL259" i="1" s="1"/>
  <c r="W259" i="1"/>
  <c r="X259" i="1" s="1"/>
  <c r="Y259" i="1" s="1"/>
  <c r="AM259" i="1" s="1"/>
  <c r="Z259" i="1"/>
  <c r="AA259" i="1" s="1"/>
  <c r="AB259" i="1" s="1"/>
  <c r="AN259" i="1" s="1"/>
  <c r="AC259" i="1"/>
  <c r="AD259" i="1" s="1"/>
  <c r="AE259" i="1" s="1"/>
  <c r="AO259" i="1" s="1"/>
  <c r="B260" i="1"/>
  <c r="C260" i="1" s="1"/>
  <c r="D260" i="1" s="1"/>
  <c r="AF260" i="1" s="1"/>
  <c r="E260" i="1"/>
  <c r="F260" i="1" s="1"/>
  <c r="G260" i="1" s="1"/>
  <c r="AG260" i="1" s="1"/>
  <c r="H260" i="1"/>
  <c r="I260" i="1" s="1"/>
  <c r="J260" i="1" s="1"/>
  <c r="AH260" i="1" s="1"/>
  <c r="K260" i="1"/>
  <c r="L260" i="1" s="1"/>
  <c r="M260" i="1" s="1"/>
  <c r="AI260" i="1" s="1"/>
  <c r="N260" i="1"/>
  <c r="O260" i="1" s="1"/>
  <c r="P260" i="1" s="1"/>
  <c r="AJ260" i="1" s="1"/>
  <c r="Q260" i="1"/>
  <c r="R260" i="1" s="1"/>
  <c r="S260" i="1" s="1"/>
  <c r="AK260" i="1" s="1"/>
  <c r="T260" i="1"/>
  <c r="U260" i="1" s="1"/>
  <c r="V260" i="1" s="1"/>
  <c r="AL260" i="1" s="1"/>
  <c r="W260" i="1"/>
  <c r="X260" i="1" s="1"/>
  <c r="Y260" i="1" s="1"/>
  <c r="AM260" i="1" s="1"/>
  <c r="Z260" i="1"/>
  <c r="AA260" i="1" s="1"/>
  <c r="AB260" i="1" s="1"/>
  <c r="AN260" i="1" s="1"/>
  <c r="AC260" i="1"/>
  <c r="AD260" i="1" s="1"/>
  <c r="AE260" i="1" s="1"/>
  <c r="AO260" i="1" s="1"/>
  <c r="B261" i="1"/>
  <c r="C261" i="1" s="1"/>
  <c r="D261" i="1" s="1"/>
  <c r="AF261" i="1" s="1"/>
  <c r="E261" i="1"/>
  <c r="F261" i="1" s="1"/>
  <c r="G261" i="1" s="1"/>
  <c r="AG261" i="1" s="1"/>
  <c r="H261" i="1"/>
  <c r="I261" i="1" s="1"/>
  <c r="J261" i="1" s="1"/>
  <c r="AH261" i="1" s="1"/>
  <c r="K261" i="1"/>
  <c r="L261" i="1" s="1"/>
  <c r="M261" i="1" s="1"/>
  <c r="AI261" i="1" s="1"/>
  <c r="N261" i="1"/>
  <c r="O261" i="1" s="1"/>
  <c r="P261" i="1" s="1"/>
  <c r="AJ261" i="1" s="1"/>
  <c r="Q261" i="1"/>
  <c r="R261" i="1" s="1"/>
  <c r="S261" i="1" s="1"/>
  <c r="AK261" i="1" s="1"/>
  <c r="T261" i="1"/>
  <c r="U261" i="1" s="1"/>
  <c r="V261" i="1" s="1"/>
  <c r="AL261" i="1" s="1"/>
  <c r="W261" i="1"/>
  <c r="X261" i="1" s="1"/>
  <c r="Y261" i="1" s="1"/>
  <c r="AM261" i="1" s="1"/>
  <c r="Z261" i="1"/>
  <c r="AA261" i="1" s="1"/>
  <c r="AB261" i="1" s="1"/>
  <c r="AN261" i="1" s="1"/>
  <c r="AC261" i="1"/>
  <c r="AD261" i="1" s="1"/>
  <c r="AE261" i="1" s="1"/>
  <c r="AO261" i="1" s="1"/>
  <c r="B262" i="1"/>
  <c r="C262" i="1" s="1"/>
  <c r="D262" i="1" s="1"/>
  <c r="AF262" i="1" s="1"/>
  <c r="E262" i="1"/>
  <c r="F262" i="1" s="1"/>
  <c r="G262" i="1" s="1"/>
  <c r="AG262" i="1" s="1"/>
  <c r="H262" i="1"/>
  <c r="I262" i="1" s="1"/>
  <c r="J262" i="1" s="1"/>
  <c r="AH262" i="1" s="1"/>
  <c r="K262" i="1"/>
  <c r="L262" i="1" s="1"/>
  <c r="M262" i="1" s="1"/>
  <c r="AI262" i="1" s="1"/>
  <c r="N262" i="1"/>
  <c r="O262" i="1" s="1"/>
  <c r="P262" i="1" s="1"/>
  <c r="AJ262" i="1" s="1"/>
  <c r="Q262" i="1"/>
  <c r="R262" i="1" s="1"/>
  <c r="S262" i="1" s="1"/>
  <c r="AK262" i="1" s="1"/>
  <c r="T262" i="1"/>
  <c r="U262" i="1" s="1"/>
  <c r="V262" i="1" s="1"/>
  <c r="AL262" i="1" s="1"/>
  <c r="W262" i="1"/>
  <c r="X262" i="1" s="1"/>
  <c r="Y262" i="1" s="1"/>
  <c r="AM262" i="1" s="1"/>
  <c r="Z262" i="1"/>
  <c r="AA262" i="1" s="1"/>
  <c r="AB262" i="1" s="1"/>
  <c r="AN262" i="1" s="1"/>
  <c r="AC262" i="1"/>
  <c r="AD262" i="1" s="1"/>
  <c r="AE262" i="1" s="1"/>
  <c r="AO262" i="1" s="1"/>
  <c r="B263" i="1"/>
  <c r="C263" i="1" s="1"/>
  <c r="D263" i="1" s="1"/>
  <c r="AF263" i="1" s="1"/>
  <c r="E263" i="1"/>
  <c r="F263" i="1" s="1"/>
  <c r="G263" i="1" s="1"/>
  <c r="AG263" i="1" s="1"/>
  <c r="H263" i="1"/>
  <c r="I263" i="1" s="1"/>
  <c r="J263" i="1" s="1"/>
  <c r="AH263" i="1" s="1"/>
  <c r="K263" i="1"/>
  <c r="L263" i="1" s="1"/>
  <c r="M263" i="1" s="1"/>
  <c r="AI263" i="1" s="1"/>
  <c r="N263" i="1"/>
  <c r="O263" i="1" s="1"/>
  <c r="P263" i="1" s="1"/>
  <c r="AJ263" i="1" s="1"/>
  <c r="Q263" i="1"/>
  <c r="R263" i="1" s="1"/>
  <c r="S263" i="1" s="1"/>
  <c r="AK263" i="1" s="1"/>
  <c r="T263" i="1"/>
  <c r="U263" i="1" s="1"/>
  <c r="V263" i="1" s="1"/>
  <c r="AL263" i="1" s="1"/>
  <c r="W263" i="1"/>
  <c r="X263" i="1" s="1"/>
  <c r="Y263" i="1" s="1"/>
  <c r="AM263" i="1" s="1"/>
  <c r="Z263" i="1"/>
  <c r="AA263" i="1" s="1"/>
  <c r="AB263" i="1" s="1"/>
  <c r="AN263" i="1" s="1"/>
  <c r="AC263" i="1"/>
  <c r="AD263" i="1" s="1"/>
  <c r="AE263" i="1" s="1"/>
  <c r="AO263" i="1" s="1"/>
  <c r="B264" i="1"/>
  <c r="C264" i="1" s="1"/>
  <c r="D264" i="1" s="1"/>
  <c r="AF264" i="1" s="1"/>
  <c r="E264" i="1"/>
  <c r="F264" i="1" s="1"/>
  <c r="G264" i="1" s="1"/>
  <c r="AG264" i="1" s="1"/>
  <c r="H264" i="1"/>
  <c r="I264" i="1" s="1"/>
  <c r="J264" i="1" s="1"/>
  <c r="AH264" i="1" s="1"/>
  <c r="K264" i="1"/>
  <c r="L264" i="1" s="1"/>
  <c r="M264" i="1" s="1"/>
  <c r="AI264" i="1" s="1"/>
  <c r="N264" i="1"/>
  <c r="O264" i="1" s="1"/>
  <c r="P264" i="1" s="1"/>
  <c r="AJ264" i="1" s="1"/>
  <c r="Q264" i="1"/>
  <c r="R264" i="1" s="1"/>
  <c r="S264" i="1" s="1"/>
  <c r="AK264" i="1" s="1"/>
  <c r="T264" i="1"/>
  <c r="U264" i="1" s="1"/>
  <c r="V264" i="1" s="1"/>
  <c r="AL264" i="1" s="1"/>
  <c r="W264" i="1"/>
  <c r="X264" i="1" s="1"/>
  <c r="Y264" i="1" s="1"/>
  <c r="AM264" i="1" s="1"/>
  <c r="Z264" i="1"/>
  <c r="AA264" i="1" s="1"/>
  <c r="AB264" i="1" s="1"/>
  <c r="AN264" i="1" s="1"/>
  <c r="AC264" i="1"/>
  <c r="AD264" i="1" s="1"/>
  <c r="AE264" i="1" s="1"/>
  <c r="AO264" i="1" s="1"/>
  <c r="B265" i="1"/>
  <c r="C265" i="1" s="1"/>
  <c r="D265" i="1" s="1"/>
  <c r="AF265" i="1" s="1"/>
  <c r="E265" i="1"/>
  <c r="F265" i="1" s="1"/>
  <c r="G265" i="1" s="1"/>
  <c r="AG265" i="1" s="1"/>
  <c r="H265" i="1"/>
  <c r="I265" i="1" s="1"/>
  <c r="J265" i="1" s="1"/>
  <c r="AH265" i="1" s="1"/>
  <c r="K265" i="1"/>
  <c r="L265" i="1" s="1"/>
  <c r="M265" i="1" s="1"/>
  <c r="AI265" i="1" s="1"/>
  <c r="N265" i="1"/>
  <c r="O265" i="1" s="1"/>
  <c r="P265" i="1" s="1"/>
  <c r="AJ265" i="1" s="1"/>
  <c r="Q265" i="1"/>
  <c r="R265" i="1" s="1"/>
  <c r="S265" i="1" s="1"/>
  <c r="AK265" i="1" s="1"/>
  <c r="T265" i="1"/>
  <c r="U265" i="1" s="1"/>
  <c r="V265" i="1" s="1"/>
  <c r="AL265" i="1" s="1"/>
  <c r="W265" i="1"/>
  <c r="X265" i="1" s="1"/>
  <c r="Y265" i="1" s="1"/>
  <c r="AM265" i="1" s="1"/>
  <c r="Z265" i="1"/>
  <c r="AA265" i="1" s="1"/>
  <c r="AB265" i="1" s="1"/>
  <c r="AN265" i="1" s="1"/>
  <c r="AC265" i="1"/>
  <c r="AD265" i="1" s="1"/>
  <c r="AE265" i="1" s="1"/>
  <c r="AO265" i="1" s="1"/>
  <c r="B266" i="1"/>
  <c r="C266" i="1" s="1"/>
  <c r="D266" i="1" s="1"/>
  <c r="AF266" i="1" s="1"/>
  <c r="E266" i="1"/>
  <c r="F266" i="1" s="1"/>
  <c r="G266" i="1" s="1"/>
  <c r="AG266" i="1" s="1"/>
  <c r="H266" i="1"/>
  <c r="I266" i="1" s="1"/>
  <c r="J266" i="1" s="1"/>
  <c r="AH266" i="1" s="1"/>
  <c r="K266" i="1"/>
  <c r="L266" i="1" s="1"/>
  <c r="M266" i="1" s="1"/>
  <c r="AI266" i="1" s="1"/>
  <c r="N266" i="1"/>
  <c r="O266" i="1" s="1"/>
  <c r="P266" i="1" s="1"/>
  <c r="AJ266" i="1" s="1"/>
  <c r="Q266" i="1"/>
  <c r="R266" i="1" s="1"/>
  <c r="S266" i="1" s="1"/>
  <c r="AK266" i="1" s="1"/>
  <c r="T266" i="1"/>
  <c r="U266" i="1" s="1"/>
  <c r="V266" i="1" s="1"/>
  <c r="AL266" i="1" s="1"/>
  <c r="W266" i="1"/>
  <c r="X266" i="1" s="1"/>
  <c r="Y266" i="1" s="1"/>
  <c r="AM266" i="1" s="1"/>
  <c r="Z266" i="1"/>
  <c r="AA266" i="1" s="1"/>
  <c r="AB266" i="1" s="1"/>
  <c r="AN266" i="1" s="1"/>
  <c r="AC266" i="1"/>
  <c r="AD266" i="1" s="1"/>
  <c r="AE266" i="1" s="1"/>
  <c r="AO266" i="1" s="1"/>
  <c r="B267" i="1"/>
  <c r="C267" i="1" s="1"/>
  <c r="D267" i="1" s="1"/>
  <c r="AF267" i="1" s="1"/>
  <c r="E267" i="1"/>
  <c r="F267" i="1" s="1"/>
  <c r="G267" i="1" s="1"/>
  <c r="AG267" i="1" s="1"/>
  <c r="H267" i="1"/>
  <c r="I267" i="1" s="1"/>
  <c r="J267" i="1" s="1"/>
  <c r="AH267" i="1" s="1"/>
  <c r="K267" i="1"/>
  <c r="L267" i="1" s="1"/>
  <c r="M267" i="1" s="1"/>
  <c r="AI267" i="1" s="1"/>
  <c r="N267" i="1"/>
  <c r="O267" i="1" s="1"/>
  <c r="P267" i="1" s="1"/>
  <c r="AJ267" i="1" s="1"/>
  <c r="Q267" i="1"/>
  <c r="R267" i="1" s="1"/>
  <c r="S267" i="1" s="1"/>
  <c r="AK267" i="1" s="1"/>
  <c r="T267" i="1"/>
  <c r="U267" i="1" s="1"/>
  <c r="V267" i="1" s="1"/>
  <c r="AL267" i="1" s="1"/>
  <c r="W267" i="1"/>
  <c r="X267" i="1" s="1"/>
  <c r="Y267" i="1" s="1"/>
  <c r="AM267" i="1" s="1"/>
  <c r="Z267" i="1"/>
  <c r="AA267" i="1" s="1"/>
  <c r="AB267" i="1" s="1"/>
  <c r="AN267" i="1" s="1"/>
  <c r="AC267" i="1"/>
  <c r="AD267" i="1" s="1"/>
  <c r="AE267" i="1" s="1"/>
  <c r="AO267" i="1" s="1"/>
  <c r="B268" i="1"/>
  <c r="C268" i="1" s="1"/>
  <c r="D268" i="1" s="1"/>
  <c r="AF268" i="1" s="1"/>
  <c r="E268" i="1"/>
  <c r="F268" i="1" s="1"/>
  <c r="G268" i="1" s="1"/>
  <c r="AG268" i="1" s="1"/>
  <c r="H268" i="1"/>
  <c r="I268" i="1" s="1"/>
  <c r="J268" i="1" s="1"/>
  <c r="AH268" i="1" s="1"/>
  <c r="K268" i="1"/>
  <c r="L268" i="1" s="1"/>
  <c r="M268" i="1" s="1"/>
  <c r="AI268" i="1" s="1"/>
  <c r="N268" i="1"/>
  <c r="O268" i="1" s="1"/>
  <c r="P268" i="1" s="1"/>
  <c r="AJ268" i="1" s="1"/>
  <c r="Q268" i="1"/>
  <c r="R268" i="1" s="1"/>
  <c r="S268" i="1" s="1"/>
  <c r="AK268" i="1" s="1"/>
  <c r="T268" i="1"/>
  <c r="U268" i="1" s="1"/>
  <c r="V268" i="1" s="1"/>
  <c r="AL268" i="1" s="1"/>
  <c r="W268" i="1"/>
  <c r="X268" i="1" s="1"/>
  <c r="Y268" i="1" s="1"/>
  <c r="AM268" i="1" s="1"/>
  <c r="Z268" i="1"/>
  <c r="AA268" i="1" s="1"/>
  <c r="AB268" i="1" s="1"/>
  <c r="AN268" i="1" s="1"/>
  <c r="AC268" i="1"/>
  <c r="AD268" i="1" s="1"/>
  <c r="AE268" i="1" s="1"/>
  <c r="AO268" i="1" s="1"/>
  <c r="B269" i="1"/>
  <c r="C269" i="1" s="1"/>
  <c r="D269" i="1" s="1"/>
  <c r="AF269" i="1" s="1"/>
  <c r="E269" i="1"/>
  <c r="F269" i="1" s="1"/>
  <c r="G269" i="1" s="1"/>
  <c r="AG269" i="1" s="1"/>
  <c r="H269" i="1"/>
  <c r="I269" i="1" s="1"/>
  <c r="J269" i="1" s="1"/>
  <c r="AH269" i="1" s="1"/>
  <c r="K269" i="1"/>
  <c r="L269" i="1" s="1"/>
  <c r="M269" i="1" s="1"/>
  <c r="AI269" i="1" s="1"/>
  <c r="N269" i="1"/>
  <c r="O269" i="1" s="1"/>
  <c r="P269" i="1" s="1"/>
  <c r="AJ269" i="1" s="1"/>
  <c r="Q269" i="1"/>
  <c r="R269" i="1" s="1"/>
  <c r="S269" i="1" s="1"/>
  <c r="AK269" i="1" s="1"/>
  <c r="T269" i="1"/>
  <c r="U269" i="1" s="1"/>
  <c r="V269" i="1" s="1"/>
  <c r="AL269" i="1" s="1"/>
  <c r="W269" i="1"/>
  <c r="X269" i="1" s="1"/>
  <c r="Y269" i="1" s="1"/>
  <c r="AM269" i="1" s="1"/>
  <c r="Z269" i="1"/>
  <c r="AA269" i="1" s="1"/>
  <c r="AB269" i="1" s="1"/>
  <c r="AN269" i="1" s="1"/>
  <c r="AC269" i="1"/>
  <c r="AD269" i="1" s="1"/>
  <c r="AE269" i="1" s="1"/>
  <c r="AO269" i="1" s="1"/>
  <c r="B270" i="1"/>
  <c r="C270" i="1" s="1"/>
  <c r="D270" i="1" s="1"/>
  <c r="AF270" i="1" s="1"/>
  <c r="E270" i="1"/>
  <c r="F270" i="1" s="1"/>
  <c r="G270" i="1" s="1"/>
  <c r="AG270" i="1" s="1"/>
  <c r="H270" i="1"/>
  <c r="I270" i="1" s="1"/>
  <c r="J270" i="1" s="1"/>
  <c r="AH270" i="1" s="1"/>
  <c r="K270" i="1"/>
  <c r="L270" i="1" s="1"/>
  <c r="M270" i="1" s="1"/>
  <c r="AI270" i="1" s="1"/>
  <c r="N270" i="1"/>
  <c r="O270" i="1" s="1"/>
  <c r="P270" i="1" s="1"/>
  <c r="AJ270" i="1" s="1"/>
  <c r="Q270" i="1"/>
  <c r="R270" i="1" s="1"/>
  <c r="S270" i="1" s="1"/>
  <c r="AK270" i="1" s="1"/>
  <c r="T270" i="1"/>
  <c r="U270" i="1" s="1"/>
  <c r="V270" i="1" s="1"/>
  <c r="AL270" i="1" s="1"/>
  <c r="W270" i="1"/>
  <c r="X270" i="1" s="1"/>
  <c r="Y270" i="1" s="1"/>
  <c r="AM270" i="1" s="1"/>
  <c r="Z270" i="1"/>
  <c r="AA270" i="1" s="1"/>
  <c r="AB270" i="1" s="1"/>
  <c r="AN270" i="1" s="1"/>
  <c r="AC270" i="1"/>
  <c r="AD270" i="1" s="1"/>
  <c r="AE270" i="1" s="1"/>
  <c r="AO270" i="1" s="1"/>
  <c r="B271" i="1"/>
  <c r="C271" i="1" s="1"/>
  <c r="D271" i="1" s="1"/>
  <c r="AF271" i="1" s="1"/>
  <c r="E271" i="1"/>
  <c r="F271" i="1" s="1"/>
  <c r="G271" i="1" s="1"/>
  <c r="AG271" i="1" s="1"/>
  <c r="H271" i="1"/>
  <c r="I271" i="1" s="1"/>
  <c r="J271" i="1" s="1"/>
  <c r="AH271" i="1" s="1"/>
  <c r="K271" i="1"/>
  <c r="L271" i="1" s="1"/>
  <c r="M271" i="1" s="1"/>
  <c r="AI271" i="1" s="1"/>
  <c r="N271" i="1"/>
  <c r="O271" i="1" s="1"/>
  <c r="P271" i="1" s="1"/>
  <c r="AJ271" i="1" s="1"/>
  <c r="Q271" i="1"/>
  <c r="R271" i="1" s="1"/>
  <c r="S271" i="1" s="1"/>
  <c r="AK271" i="1" s="1"/>
  <c r="T271" i="1"/>
  <c r="U271" i="1" s="1"/>
  <c r="V271" i="1" s="1"/>
  <c r="AL271" i="1" s="1"/>
  <c r="W271" i="1"/>
  <c r="X271" i="1" s="1"/>
  <c r="Y271" i="1" s="1"/>
  <c r="AM271" i="1" s="1"/>
  <c r="Z271" i="1"/>
  <c r="AA271" i="1" s="1"/>
  <c r="AB271" i="1" s="1"/>
  <c r="AN271" i="1" s="1"/>
  <c r="AC271" i="1"/>
  <c r="AD271" i="1" s="1"/>
  <c r="AE271" i="1" s="1"/>
  <c r="AO271" i="1" s="1"/>
  <c r="AC27" i="1"/>
  <c r="AD27" i="1" s="1"/>
  <c r="AE27" i="1" s="1"/>
  <c r="AO27" i="1" s="1"/>
  <c r="AC26" i="1"/>
  <c r="AD26" i="1" s="1"/>
  <c r="AE26" i="1" s="1"/>
  <c r="AO26" i="1" s="1"/>
  <c r="AC25" i="1"/>
  <c r="AD25" i="1" s="1"/>
  <c r="AE25" i="1" s="1"/>
  <c r="AO25" i="1" s="1"/>
  <c r="AC24" i="1"/>
  <c r="AD24" i="1" s="1"/>
  <c r="AE24" i="1" s="1"/>
  <c r="AO24" i="1" s="1"/>
  <c r="AC23" i="1"/>
  <c r="AC22" i="1"/>
  <c r="Z27" i="1"/>
  <c r="AA27" i="1" s="1"/>
  <c r="AB27" i="1" s="1"/>
  <c r="AN27" i="1" s="1"/>
  <c r="Z26" i="1"/>
  <c r="AA26" i="1" s="1"/>
  <c r="AB26" i="1" s="1"/>
  <c r="AN26" i="1" s="1"/>
  <c r="Z25" i="1"/>
  <c r="AA25" i="1" s="1"/>
  <c r="AB25" i="1" s="1"/>
  <c r="AN25" i="1" s="1"/>
  <c r="Z24" i="1"/>
  <c r="AA24" i="1" s="1"/>
  <c r="AB24" i="1" s="1"/>
  <c r="AN24" i="1" s="1"/>
  <c r="Z23" i="1"/>
  <c r="Z22" i="1"/>
  <c r="W27" i="1"/>
  <c r="X27" i="1" s="1"/>
  <c r="Y27" i="1" s="1"/>
  <c r="AM27" i="1" s="1"/>
  <c r="W26" i="1"/>
  <c r="X26" i="1" s="1"/>
  <c r="Y26" i="1" s="1"/>
  <c r="AM26" i="1" s="1"/>
  <c r="W25" i="1"/>
  <c r="X25" i="1" s="1"/>
  <c r="Y25" i="1" s="1"/>
  <c r="AM25" i="1" s="1"/>
  <c r="W24" i="1"/>
  <c r="X24" i="1" s="1"/>
  <c r="Y24" i="1" s="1"/>
  <c r="AM24" i="1" s="1"/>
  <c r="W23" i="1"/>
  <c r="W22" i="1"/>
  <c r="T27" i="1"/>
  <c r="U27" i="1" s="1"/>
  <c r="V27" i="1" s="1"/>
  <c r="AL27" i="1" s="1"/>
  <c r="T26" i="1"/>
  <c r="U26" i="1" s="1"/>
  <c r="V26" i="1" s="1"/>
  <c r="AL26" i="1" s="1"/>
  <c r="T25" i="1"/>
  <c r="U25" i="1" s="1"/>
  <c r="V25" i="1" s="1"/>
  <c r="AL25" i="1" s="1"/>
  <c r="T24" i="1"/>
  <c r="U24" i="1" s="1"/>
  <c r="V24" i="1" s="1"/>
  <c r="AL24" i="1" s="1"/>
  <c r="T23" i="1"/>
  <c r="T22" i="1"/>
  <c r="Q27" i="1"/>
  <c r="R27" i="1" s="1"/>
  <c r="S27" i="1" s="1"/>
  <c r="AK27" i="1" s="1"/>
  <c r="Q26" i="1"/>
  <c r="R26" i="1" s="1"/>
  <c r="S26" i="1" s="1"/>
  <c r="AK26" i="1" s="1"/>
  <c r="Q25" i="1"/>
  <c r="R25" i="1" s="1"/>
  <c r="S25" i="1" s="1"/>
  <c r="AK25" i="1" s="1"/>
  <c r="Q24" i="1"/>
  <c r="R24" i="1" s="1"/>
  <c r="S24" i="1" s="1"/>
  <c r="AK24" i="1" s="1"/>
  <c r="Q23" i="1"/>
  <c r="Q22" i="1"/>
  <c r="N27" i="1"/>
  <c r="O27" i="1" s="1"/>
  <c r="P27" i="1" s="1"/>
  <c r="AJ27" i="1" s="1"/>
  <c r="N26" i="1"/>
  <c r="O26" i="1" s="1"/>
  <c r="P26" i="1" s="1"/>
  <c r="AJ26" i="1" s="1"/>
  <c r="N25" i="1"/>
  <c r="O25" i="1" s="1"/>
  <c r="P25" i="1" s="1"/>
  <c r="AJ25" i="1" s="1"/>
  <c r="N24" i="1"/>
  <c r="O24" i="1" s="1"/>
  <c r="P24" i="1" s="1"/>
  <c r="AJ24" i="1" s="1"/>
  <c r="N23" i="1"/>
  <c r="N22" i="1"/>
  <c r="K27" i="1"/>
  <c r="L27" i="1" s="1"/>
  <c r="M27" i="1" s="1"/>
  <c r="AI27" i="1" s="1"/>
  <c r="K26" i="1"/>
  <c r="L26" i="1" s="1"/>
  <c r="M26" i="1" s="1"/>
  <c r="AI26" i="1" s="1"/>
  <c r="K25" i="1"/>
  <c r="L25" i="1" s="1"/>
  <c r="M25" i="1" s="1"/>
  <c r="AI25" i="1" s="1"/>
  <c r="K24" i="1"/>
  <c r="L24" i="1" s="1"/>
  <c r="M24" i="1" s="1"/>
  <c r="AI24" i="1" s="1"/>
  <c r="K23" i="1"/>
  <c r="K22" i="1"/>
  <c r="H27" i="1"/>
  <c r="I27" i="1" s="1"/>
  <c r="J27" i="1" s="1"/>
  <c r="AH27" i="1" s="1"/>
  <c r="H26" i="1"/>
  <c r="I26" i="1" s="1"/>
  <c r="J26" i="1" s="1"/>
  <c r="AH26" i="1" s="1"/>
  <c r="H25" i="1"/>
  <c r="I25" i="1" s="1"/>
  <c r="J25" i="1" s="1"/>
  <c r="AH25" i="1" s="1"/>
  <c r="H24" i="1"/>
  <c r="I24" i="1" s="1"/>
  <c r="J24" i="1" s="1"/>
  <c r="AH24" i="1" s="1"/>
  <c r="H23" i="1"/>
  <c r="H22" i="1"/>
  <c r="G18" i="1"/>
  <c r="J18" i="1" s="1"/>
  <c r="M18" i="1" s="1"/>
  <c r="P18" i="1" s="1"/>
  <c r="S18" i="1" s="1"/>
  <c r="V18" i="1" s="1"/>
  <c r="Y18" i="1" s="1"/>
  <c r="AB18" i="1" s="1"/>
  <c r="AE18" i="1" s="1"/>
  <c r="E27" i="1"/>
  <c r="F27" i="1" s="1"/>
  <c r="G27" i="1" s="1"/>
  <c r="AG27" i="1" s="1"/>
  <c r="E26" i="1"/>
  <c r="F26" i="1" s="1"/>
  <c r="G26" i="1" s="1"/>
  <c r="AG26" i="1" s="1"/>
  <c r="E25" i="1"/>
  <c r="F25" i="1" s="1"/>
  <c r="G25" i="1" s="1"/>
  <c r="AG25" i="1" s="1"/>
  <c r="E24" i="1"/>
  <c r="F24" i="1" s="1"/>
  <c r="G24" i="1" s="1"/>
  <c r="AG24" i="1" s="1"/>
  <c r="E23" i="1"/>
  <c r="E22" i="1"/>
  <c r="B23" i="1"/>
  <c r="C23" i="1" s="1"/>
  <c r="B24" i="1"/>
  <c r="C24" i="1" s="1"/>
  <c r="D24" i="1" s="1"/>
  <c r="AF24" i="1" s="1"/>
  <c r="B25" i="1"/>
  <c r="C25" i="1" s="1"/>
  <c r="D25" i="1" s="1"/>
  <c r="AF25" i="1" s="1"/>
  <c r="B26" i="1"/>
  <c r="C26" i="1" s="1"/>
  <c r="D26" i="1" s="1"/>
  <c r="AF26" i="1" s="1"/>
  <c r="B27" i="1"/>
  <c r="C27" i="1" s="1"/>
  <c r="D27" i="1" s="1"/>
  <c r="AF27" i="1" s="1"/>
  <c r="B22" i="1"/>
  <c r="A23" i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C25" i="2" l="1"/>
  <c r="D25" i="2"/>
  <c r="A27" i="2"/>
  <c r="B26" i="2"/>
  <c r="K273" i="1"/>
  <c r="N273" i="1"/>
  <c r="A273" i="1"/>
  <c r="Q273" i="1"/>
  <c r="T273" i="1"/>
  <c r="W273" i="1"/>
  <c r="Z273" i="1"/>
  <c r="AC273" i="1"/>
  <c r="H273" i="1"/>
  <c r="B273" i="1"/>
  <c r="E273" i="1"/>
  <c r="F22" i="1"/>
  <c r="I23" i="1"/>
  <c r="O23" i="1"/>
  <c r="U23" i="1"/>
  <c r="D23" i="1"/>
  <c r="F23" i="1"/>
  <c r="I22" i="1"/>
  <c r="L22" i="1"/>
  <c r="O22" i="1"/>
  <c r="R22" i="1"/>
  <c r="U22" i="1"/>
  <c r="U273" i="1" s="1"/>
  <c r="X22" i="1"/>
  <c r="AA22" i="1"/>
  <c r="AD22" i="1"/>
  <c r="L23" i="1"/>
  <c r="R23" i="1"/>
  <c r="X23" i="1"/>
  <c r="AA23" i="1"/>
  <c r="AD23" i="1"/>
  <c r="C22" i="1"/>
  <c r="C273" i="1" s="1"/>
  <c r="AP145" i="1"/>
  <c r="AQ145" i="1" s="1"/>
  <c r="AP32" i="1"/>
  <c r="AQ32" i="1" s="1"/>
  <c r="AP40" i="1"/>
  <c r="AQ40" i="1" s="1"/>
  <c r="AP271" i="1"/>
  <c r="AQ271" i="1" s="1"/>
  <c r="AP270" i="1"/>
  <c r="AQ270" i="1" s="1"/>
  <c r="AP269" i="1"/>
  <c r="AQ269" i="1" s="1"/>
  <c r="AP268" i="1"/>
  <c r="AQ268" i="1" s="1"/>
  <c r="AP267" i="1"/>
  <c r="AQ267" i="1" s="1"/>
  <c r="AP266" i="1"/>
  <c r="AQ266" i="1" s="1"/>
  <c r="AP265" i="1"/>
  <c r="AQ265" i="1" s="1"/>
  <c r="AP264" i="1"/>
  <c r="AQ264" i="1" s="1"/>
  <c r="AP263" i="1"/>
  <c r="AQ263" i="1" s="1"/>
  <c r="AP262" i="1"/>
  <c r="AQ262" i="1" s="1"/>
  <c r="AP261" i="1"/>
  <c r="AQ261" i="1" s="1"/>
  <c r="AP260" i="1"/>
  <c r="AQ260" i="1" s="1"/>
  <c r="AP259" i="1"/>
  <c r="AQ259" i="1" s="1"/>
  <c r="AP258" i="1"/>
  <c r="AQ258" i="1" s="1"/>
  <c r="AP257" i="1"/>
  <c r="AQ257" i="1" s="1"/>
  <c r="AP256" i="1"/>
  <c r="AQ256" i="1" s="1"/>
  <c r="AP255" i="1"/>
  <c r="AQ255" i="1" s="1"/>
  <c r="AP254" i="1"/>
  <c r="AQ254" i="1" s="1"/>
  <c r="AP253" i="1"/>
  <c r="AQ253" i="1" s="1"/>
  <c r="AP252" i="1"/>
  <c r="AQ252" i="1" s="1"/>
  <c r="AP251" i="1"/>
  <c r="AQ251" i="1" s="1"/>
  <c r="AP250" i="1"/>
  <c r="AQ250" i="1" s="1"/>
  <c r="AP249" i="1"/>
  <c r="AQ249" i="1" s="1"/>
  <c r="AP248" i="1"/>
  <c r="AQ248" i="1" s="1"/>
  <c r="AP247" i="1"/>
  <c r="AQ247" i="1" s="1"/>
  <c r="AP246" i="1"/>
  <c r="AQ246" i="1" s="1"/>
  <c r="AP245" i="1"/>
  <c r="AQ245" i="1" s="1"/>
  <c r="AP244" i="1"/>
  <c r="AQ244" i="1" s="1"/>
  <c r="AP243" i="1"/>
  <c r="AQ243" i="1" s="1"/>
  <c r="AP242" i="1"/>
  <c r="AQ242" i="1" s="1"/>
  <c r="AP241" i="1"/>
  <c r="AQ241" i="1" s="1"/>
  <c r="AP240" i="1"/>
  <c r="AQ240" i="1" s="1"/>
  <c r="AP239" i="1"/>
  <c r="AQ239" i="1" s="1"/>
  <c r="AP238" i="1"/>
  <c r="AQ238" i="1" s="1"/>
  <c r="AP237" i="1"/>
  <c r="AQ237" i="1" s="1"/>
  <c r="AP236" i="1"/>
  <c r="AQ236" i="1" s="1"/>
  <c r="AP235" i="1"/>
  <c r="AQ235" i="1" s="1"/>
  <c r="AP234" i="1"/>
  <c r="AQ234" i="1" s="1"/>
  <c r="AP233" i="1"/>
  <c r="AQ233" i="1" s="1"/>
  <c r="AP232" i="1"/>
  <c r="AQ232" i="1" s="1"/>
  <c r="AP231" i="1"/>
  <c r="AQ231" i="1" s="1"/>
  <c r="AP230" i="1"/>
  <c r="AQ230" i="1" s="1"/>
  <c r="AP229" i="1"/>
  <c r="AQ229" i="1" s="1"/>
  <c r="AP228" i="1"/>
  <c r="AQ228" i="1" s="1"/>
  <c r="AP227" i="1"/>
  <c r="AQ227" i="1" s="1"/>
  <c r="AP226" i="1"/>
  <c r="AQ226" i="1" s="1"/>
  <c r="AP225" i="1"/>
  <c r="AQ225" i="1" s="1"/>
  <c r="AP224" i="1"/>
  <c r="AQ224" i="1" s="1"/>
  <c r="AP222" i="1"/>
  <c r="AQ222" i="1" s="1"/>
  <c r="AP220" i="1"/>
  <c r="AQ220" i="1" s="1"/>
  <c r="AP218" i="1"/>
  <c r="AQ218" i="1" s="1"/>
  <c r="AP216" i="1"/>
  <c r="AQ216" i="1" s="1"/>
  <c r="AP214" i="1"/>
  <c r="AQ214" i="1" s="1"/>
  <c r="AP212" i="1"/>
  <c r="AQ212" i="1" s="1"/>
  <c r="AP210" i="1"/>
  <c r="AQ210" i="1" s="1"/>
  <c r="AP223" i="1"/>
  <c r="AQ223" i="1" s="1"/>
  <c r="AP219" i="1"/>
  <c r="AQ219" i="1" s="1"/>
  <c r="AP215" i="1"/>
  <c r="AQ215" i="1" s="1"/>
  <c r="AP211" i="1"/>
  <c r="AQ211" i="1" s="1"/>
  <c r="AP209" i="1"/>
  <c r="AQ209" i="1" s="1"/>
  <c r="AP208" i="1"/>
  <c r="AQ208" i="1" s="1"/>
  <c r="AP207" i="1"/>
  <c r="AQ207" i="1" s="1"/>
  <c r="AP206" i="1"/>
  <c r="AQ206" i="1" s="1"/>
  <c r="AP205" i="1"/>
  <c r="AQ205" i="1" s="1"/>
  <c r="AP204" i="1"/>
  <c r="AQ204" i="1" s="1"/>
  <c r="AP203" i="1"/>
  <c r="AQ203" i="1" s="1"/>
  <c r="AP202" i="1"/>
  <c r="AQ202" i="1" s="1"/>
  <c r="AP201" i="1"/>
  <c r="AQ201" i="1" s="1"/>
  <c r="AP200" i="1"/>
  <c r="AQ200" i="1" s="1"/>
  <c r="AP199" i="1"/>
  <c r="AQ199" i="1" s="1"/>
  <c r="AP198" i="1"/>
  <c r="AQ198" i="1" s="1"/>
  <c r="AP197" i="1"/>
  <c r="AQ197" i="1" s="1"/>
  <c r="AP196" i="1"/>
  <c r="AQ196" i="1" s="1"/>
  <c r="AP195" i="1"/>
  <c r="AQ195" i="1" s="1"/>
  <c r="AP194" i="1"/>
  <c r="AQ194" i="1" s="1"/>
  <c r="AP193" i="1"/>
  <c r="AQ193" i="1" s="1"/>
  <c r="AP192" i="1"/>
  <c r="AQ192" i="1" s="1"/>
  <c r="AP191" i="1"/>
  <c r="AQ191" i="1" s="1"/>
  <c r="AP190" i="1"/>
  <c r="AQ190" i="1" s="1"/>
  <c r="AP189" i="1"/>
  <c r="AQ189" i="1" s="1"/>
  <c r="AP188" i="1"/>
  <c r="AQ188" i="1" s="1"/>
  <c r="AP187" i="1"/>
  <c r="AQ187" i="1" s="1"/>
  <c r="AP186" i="1"/>
  <c r="AQ186" i="1" s="1"/>
  <c r="AP185" i="1"/>
  <c r="AQ185" i="1" s="1"/>
  <c r="AP184" i="1"/>
  <c r="AQ184" i="1" s="1"/>
  <c r="AP183" i="1"/>
  <c r="AQ183" i="1" s="1"/>
  <c r="AP182" i="1"/>
  <c r="AQ182" i="1" s="1"/>
  <c r="AP181" i="1"/>
  <c r="AQ181" i="1" s="1"/>
  <c r="AP180" i="1"/>
  <c r="AQ180" i="1" s="1"/>
  <c r="AP179" i="1"/>
  <c r="AQ179" i="1" s="1"/>
  <c r="AP178" i="1"/>
  <c r="AQ178" i="1" s="1"/>
  <c r="AP177" i="1"/>
  <c r="AQ177" i="1" s="1"/>
  <c r="AP176" i="1"/>
  <c r="AQ176" i="1" s="1"/>
  <c r="AP175" i="1"/>
  <c r="AQ175" i="1" s="1"/>
  <c r="AP174" i="1"/>
  <c r="AQ174" i="1" s="1"/>
  <c r="AP173" i="1"/>
  <c r="AQ173" i="1" s="1"/>
  <c r="AP172" i="1"/>
  <c r="AQ172" i="1" s="1"/>
  <c r="AP171" i="1"/>
  <c r="AQ171" i="1" s="1"/>
  <c r="AP170" i="1"/>
  <c r="AQ170" i="1" s="1"/>
  <c r="AP169" i="1"/>
  <c r="AQ169" i="1" s="1"/>
  <c r="AP168" i="1"/>
  <c r="AQ168" i="1" s="1"/>
  <c r="AP167" i="1"/>
  <c r="AQ167" i="1" s="1"/>
  <c r="AP166" i="1"/>
  <c r="AQ166" i="1" s="1"/>
  <c r="AP165" i="1"/>
  <c r="AQ165" i="1" s="1"/>
  <c r="AP164" i="1"/>
  <c r="AQ164" i="1" s="1"/>
  <c r="AP163" i="1"/>
  <c r="AQ163" i="1" s="1"/>
  <c r="AP162" i="1"/>
  <c r="AQ162" i="1" s="1"/>
  <c r="AP161" i="1"/>
  <c r="AQ161" i="1" s="1"/>
  <c r="AP160" i="1"/>
  <c r="AQ160" i="1" s="1"/>
  <c r="AP159" i="1"/>
  <c r="AQ159" i="1" s="1"/>
  <c r="AP158" i="1"/>
  <c r="AQ158" i="1" s="1"/>
  <c r="AP157" i="1"/>
  <c r="AQ157" i="1" s="1"/>
  <c r="AP156" i="1"/>
  <c r="AQ156" i="1" s="1"/>
  <c r="AP155" i="1"/>
  <c r="AQ155" i="1" s="1"/>
  <c r="AP153" i="1"/>
  <c r="AQ153" i="1" s="1"/>
  <c r="AP151" i="1"/>
  <c r="AQ151" i="1" s="1"/>
  <c r="AP149" i="1"/>
  <c r="AQ149" i="1" s="1"/>
  <c r="AP147" i="1"/>
  <c r="AQ147" i="1" s="1"/>
  <c r="AP27" i="1"/>
  <c r="AQ27" i="1" s="1"/>
  <c r="AP25" i="1"/>
  <c r="AQ25" i="1" s="1"/>
  <c r="AP221" i="1"/>
  <c r="AQ221" i="1" s="1"/>
  <c r="AP217" i="1"/>
  <c r="AQ217" i="1" s="1"/>
  <c r="AP213" i="1"/>
  <c r="AQ213" i="1" s="1"/>
  <c r="AP152" i="1"/>
  <c r="AQ152" i="1" s="1"/>
  <c r="AP148" i="1"/>
  <c r="AQ148" i="1" s="1"/>
  <c r="AP117" i="1"/>
  <c r="AQ117" i="1" s="1"/>
  <c r="AP115" i="1"/>
  <c r="AQ115" i="1" s="1"/>
  <c r="AP113" i="1"/>
  <c r="AQ113" i="1" s="1"/>
  <c r="AP109" i="1"/>
  <c r="AQ109" i="1" s="1"/>
  <c r="AP154" i="1"/>
  <c r="AQ154" i="1" s="1"/>
  <c r="AP150" i="1"/>
  <c r="AQ150" i="1" s="1"/>
  <c r="AP146" i="1"/>
  <c r="AQ146" i="1" s="1"/>
  <c r="AP144" i="1"/>
  <c r="AQ144" i="1" s="1"/>
  <c r="AP143" i="1"/>
  <c r="AQ143" i="1" s="1"/>
  <c r="AP142" i="1"/>
  <c r="AQ142" i="1" s="1"/>
  <c r="AP141" i="1"/>
  <c r="AQ141" i="1" s="1"/>
  <c r="AP140" i="1"/>
  <c r="AQ140" i="1" s="1"/>
  <c r="AP139" i="1"/>
  <c r="AQ139" i="1" s="1"/>
  <c r="AP138" i="1"/>
  <c r="AQ138" i="1" s="1"/>
  <c r="AP137" i="1"/>
  <c r="AQ137" i="1" s="1"/>
  <c r="AP136" i="1"/>
  <c r="AQ136" i="1" s="1"/>
  <c r="AP135" i="1"/>
  <c r="AQ135" i="1" s="1"/>
  <c r="AP134" i="1"/>
  <c r="AQ134" i="1" s="1"/>
  <c r="AP133" i="1"/>
  <c r="AQ133" i="1" s="1"/>
  <c r="AP132" i="1"/>
  <c r="AQ132" i="1" s="1"/>
  <c r="AP131" i="1"/>
  <c r="AQ131" i="1" s="1"/>
  <c r="AP130" i="1"/>
  <c r="AQ130" i="1" s="1"/>
  <c r="AP129" i="1"/>
  <c r="AQ129" i="1" s="1"/>
  <c r="AP128" i="1"/>
  <c r="AQ128" i="1" s="1"/>
  <c r="AP127" i="1"/>
  <c r="AQ127" i="1" s="1"/>
  <c r="AP126" i="1"/>
  <c r="AQ126" i="1" s="1"/>
  <c r="AP125" i="1"/>
  <c r="AQ125" i="1" s="1"/>
  <c r="AP124" i="1"/>
  <c r="AQ124" i="1" s="1"/>
  <c r="AP123" i="1"/>
  <c r="AQ123" i="1" s="1"/>
  <c r="AP122" i="1"/>
  <c r="AQ122" i="1" s="1"/>
  <c r="AP121" i="1"/>
  <c r="AQ121" i="1" s="1"/>
  <c r="AP120" i="1"/>
  <c r="AQ120" i="1" s="1"/>
  <c r="AP119" i="1"/>
  <c r="AQ119" i="1" s="1"/>
  <c r="AP118" i="1"/>
  <c r="AQ118" i="1" s="1"/>
  <c r="AP111" i="1"/>
  <c r="AQ111" i="1" s="1"/>
  <c r="AP114" i="1"/>
  <c r="AQ114" i="1" s="1"/>
  <c r="AP110" i="1"/>
  <c r="AQ110" i="1" s="1"/>
  <c r="AP81" i="1"/>
  <c r="AQ81" i="1" s="1"/>
  <c r="AP80" i="1"/>
  <c r="AQ80" i="1" s="1"/>
  <c r="AP76" i="1"/>
  <c r="AQ76" i="1" s="1"/>
  <c r="AP116" i="1"/>
  <c r="AQ116" i="1" s="1"/>
  <c r="AP112" i="1"/>
  <c r="AQ112" i="1" s="1"/>
  <c r="AP108" i="1"/>
  <c r="AQ108" i="1" s="1"/>
  <c r="AP107" i="1"/>
  <c r="AQ107" i="1" s="1"/>
  <c r="AP106" i="1"/>
  <c r="AQ106" i="1" s="1"/>
  <c r="AP105" i="1"/>
  <c r="AQ105" i="1" s="1"/>
  <c r="AP104" i="1"/>
  <c r="AQ104" i="1" s="1"/>
  <c r="AP103" i="1"/>
  <c r="AQ103" i="1" s="1"/>
  <c r="AP102" i="1"/>
  <c r="AQ102" i="1" s="1"/>
  <c r="AP101" i="1"/>
  <c r="AQ101" i="1" s="1"/>
  <c r="AP100" i="1"/>
  <c r="AQ100" i="1" s="1"/>
  <c r="AP99" i="1"/>
  <c r="AQ99" i="1" s="1"/>
  <c r="AP98" i="1"/>
  <c r="AQ98" i="1" s="1"/>
  <c r="AP97" i="1"/>
  <c r="AQ97" i="1" s="1"/>
  <c r="AP96" i="1"/>
  <c r="AQ96" i="1" s="1"/>
  <c r="AP95" i="1"/>
  <c r="AQ95" i="1" s="1"/>
  <c r="AP94" i="1"/>
  <c r="AQ94" i="1" s="1"/>
  <c r="AP93" i="1"/>
  <c r="AQ93" i="1" s="1"/>
  <c r="AP92" i="1"/>
  <c r="AQ92" i="1" s="1"/>
  <c r="AP91" i="1"/>
  <c r="AQ91" i="1" s="1"/>
  <c r="AP90" i="1"/>
  <c r="AQ90" i="1" s="1"/>
  <c r="AP89" i="1"/>
  <c r="AQ89" i="1" s="1"/>
  <c r="AP88" i="1"/>
  <c r="AQ88" i="1" s="1"/>
  <c r="AP87" i="1"/>
  <c r="AQ87" i="1" s="1"/>
  <c r="AP86" i="1"/>
  <c r="AQ86" i="1" s="1"/>
  <c r="AP85" i="1"/>
  <c r="AQ85" i="1" s="1"/>
  <c r="AP84" i="1"/>
  <c r="AQ84" i="1" s="1"/>
  <c r="AP83" i="1"/>
  <c r="AQ83" i="1" s="1"/>
  <c r="AP82" i="1"/>
  <c r="AQ82" i="1" s="1"/>
  <c r="AP78" i="1"/>
  <c r="AQ78" i="1" s="1"/>
  <c r="AP79" i="1"/>
  <c r="AQ79" i="1" s="1"/>
  <c r="AP75" i="1"/>
  <c r="AQ75" i="1" s="1"/>
  <c r="AP74" i="1"/>
  <c r="AQ74" i="1" s="1"/>
  <c r="AP73" i="1"/>
  <c r="AQ73" i="1" s="1"/>
  <c r="AP72" i="1"/>
  <c r="AQ72" i="1" s="1"/>
  <c r="AP71" i="1"/>
  <c r="AQ71" i="1" s="1"/>
  <c r="AP70" i="1"/>
  <c r="AQ70" i="1" s="1"/>
  <c r="AP69" i="1"/>
  <c r="AQ69" i="1" s="1"/>
  <c r="AP68" i="1"/>
  <c r="AQ68" i="1" s="1"/>
  <c r="AP67" i="1"/>
  <c r="AQ67" i="1" s="1"/>
  <c r="AP66" i="1"/>
  <c r="AQ66" i="1" s="1"/>
  <c r="AP65" i="1"/>
  <c r="AQ65" i="1" s="1"/>
  <c r="AP63" i="1"/>
  <c r="AQ63" i="1" s="1"/>
  <c r="AP59" i="1"/>
  <c r="AQ59" i="1" s="1"/>
  <c r="AP77" i="1"/>
  <c r="AQ77" i="1" s="1"/>
  <c r="AP64" i="1"/>
  <c r="AQ64" i="1" s="1"/>
  <c r="AP62" i="1"/>
  <c r="AQ62" i="1" s="1"/>
  <c r="AP61" i="1"/>
  <c r="AQ61" i="1" s="1"/>
  <c r="AP58" i="1"/>
  <c r="AQ58" i="1" s="1"/>
  <c r="AP57" i="1"/>
  <c r="AQ57" i="1" s="1"/>
  <c r="AP56" i="1"/>
  <c r="AQ56" i="1" s="1"/>
  <c r="AP55" i="1"/>
  <c r="AQ55" i="1" s="1"/>
  <c r="AP54" i="1"/>
  <c r="AQ54" i="1" s="1"/>
  <c r="AP52" i="1"/>
  <c r="AQ52" i="1" s="1"/>
  <c r="AP49" i="1"/>
  <c r="AQ49" i="1" s="1"/>
  <c r="AP60" i="1"/>
  <c r="AQ60" i="1" s="1"/>
  <c r="AP53" i="1"/>
  <c r="AQ53" i="1" s="1"/>
  <c r="AP51" i="1"/>
  <c r="AQ51" i="1" s="1"/>
  <c r="AP48" i="1"/>
  <c r="AQ48" i="1" s="1"/>
  <c r="AP47" i="1"/>
  <c r="AQ47" i="1" s="1"/>
  <c r="AP46" i="1"/>
  <c r="AQ46" i="1" s="1"/>
  <c r="AP45" i="1"/>
  <c r="AQ45" i="1" s="1"/>
  <c r="AP44" i="1"/>
  <c r="AQ44" i="1" s="1"/>
  <c r="AP42" i="1"/>
  <c r="AQ42" i="1" s="1"/>
  <c r="AP50" i="1"/>
  <c r="AQ50" i="1" s="1"/>
  <c r="AP43" i="1"/>
  <c r="AQ43" i="1" s="1"/>
  <c r="AP39" i="1"/>
  <c r="AQ39" i="1" s="1"/>
  <c r="AP37" i="1"/>
  <c r="AQ37" i="1" s="1"/>
  <c r="AP35" i="1"/>
  <c r="AQ35" i="1" s="1"/>
  <c r="AP33" i="1"/>
  <c r="AQ33" i="1" s="1"/>
  <c r="AP41" i="1"/>
  <c r="AQ41" i="1" s="1"/>
  <c r="AP38" i="1"/>
  <c r="AQ38" i="1" s="1"/>
  <c r="AP36" i="1"/>
  <c r="AQ36" i="1" s="1"/>
  <c r="AP34" i="1"/>
  <c r="AQ34" i="1" s="1"/>
  <c r="AP30" i="1"/>
  <c r="AQ30" i="1" s="1"/>
  <c r="AP31" i="1"/>
  <c r="AQ31" i="1" s="1"/>
  <c r="AP29" i="1"/>
  <c r="AQ29" i="1" s="1"/>
  <c r="AP28" i="1"/>
  <c r="AQ28" i="1" s="1"/>
  <c r="AP26" i="1"/>
  <c r="AQ26" i="1" s="1"/>
  <c r="AP24" i="1"/>
  <c r="AQ24" i="1" s="1"/>
  <c r="I273" i="1" l="1"/>
  <c r="O273" i="1"/>
  <c r="C26" i="2"/>
  <c r="C27" i="2" s="1"/>
  <c r="D26" i="2"/>
  <c r="E24" i="2"/>
  <c r="A28" i="2"/>
  <c r="B27" i="2"/>
  <c r="AD273" i="1"/>
  <c r="AA273" i="1"/>
  <c r="X273" i="1"/>
  <c r="R273" i="1"/>
  <c r="L273" i="1"/>
  <c r="F273" i="1"/>
  <c r="AR26" i="1"/>
  <c r="AS26" i="1"/>
  <c r="AR30" i="1"/>
  <c r="AS30" i="1"/>
  <c r="AR41" i="1"/>
  <c r="AS41" i="1"/>
  <c r="AR35" i="1"/>
  <c r="AS35" i="1"/>
  <c r="AR50" i="1"/>
  <c r="AS50" i="1"/>
  <c r="AR46" i="1"/>
  <c r="AS46" i="1"/>
  <c r="AR53" i="1"/>
  <c r="AS53" i="1"/>
  <c r="AR54" i="1"/>
  <c r="AS54" i="1"/>
  <c r="AR58" i="1"/>
  <c r="AS58" i="1"/>
  <c r="AR77" i="1"/>
  <c r="AS77" i="1"/>
  <c r="AR66" i="1"/>
  <c r="AS66" i="1"/>
  <c r="AR70" i="1"/>
  <c r="AS70" i="1"/>
  <c r="AR79" i="1"/>
  <c r="AS79" i="1"/>
  <c r="AR84" i="1"/>
  <c r="AS84" i="1"/>
  <c r="AR88" i="1"/>
  <c r="AS88" i="1"/>
  <c r="AR92" i="1"/>
  <c r="AS92" i="1"/>
  <c r="AR96" i="1"/>
  <c r="AS96" i="1"/>
  <c r="AR100" i="1"/>
  <c r="AS100" i="1"/>
  <c r="AR102" i="1"/>
  <c r="AS102" i="1"/>
  <c r="AR106" i="1"/>
  <c r="AS106" i="1"/>
  <c r="AR116" i="1"/>
  <c r="AS116" i="1"/>
  <c r="AR110" i="1"/>
  <c r="AS110" i="1"/>
  <c r="AR119" i="1"/>
  <c r="AS119" i="1"/>
  <c r="AR125" i="1"/>
  <c r="AS125" i="1"/>
  <c r="AR129" i="1"/>
  <c r="AS129" i="1"/>
  <c r="AR133" i="1"/>
  <c r="AS133" i="1"/>
  <c r="AR137" i="1"/>
  <c r="AS137" i="1"/>
  <c r="AR141" i="1"/>
  <c r="AS141" i="1"/>
  <c r="AR146" i="1"/>
  <c r="AS146" i="1"/>
  <c r="AR113" i="1"/>
  <c r="AS113" i="1"/>
  <c r="AR152" i="1"/>
  <c r="AS152" i="1"/>
  <c r="AR25" i="1"/>
  <c r="AS25" i="1"/>
  <c r="AR147" i="1"/>
  <c r="AS147" i="1"/>
  <c r="AR155" i="1"/>
  <c r="AS155" i="1"/>
  <c r="AR159" i="1"/>
  <c r="AS159" i="1"/>
  <c r="AR163" i="1"/>
  <c r="AS163" i="1"/>
  <c r="AR169" i="1"/>
  <c r="AS169" i="1"/>
  <c r="AR173" i="1"/>
  <c r="AS173" i="1"/>
  <c r="AR177" i="1"/>
  <c r="AS177" i="1"/>
  <c r="AR181" i="1"/>
  <c r="AS181" i="1"/>
  <c r="AR185" i="1"/>
  <c r="AS185" i="1"/>
  <c r="AR189" i="1"/>
  <c r="AS189" i="1"/>
  <c r="AR193" i="1"/>
  <c r="AS193" i="1"/>
  <c r="AR197" i="1"/>
  <c r="AS197" i="1"/>
  <c r="AR201" i="1"/>
  <c r="AS201" i="1"/>
  <c r="AR205" i="1"/>
  <c r="AS205" i="1"/>
  <c r="AR209" i="1"/>
  <c r="AS209" i="1"/>
  <c r="AR223" i="1"/>
  <c r="AS223" i="1"/>
  <c r="AR216" i="1"/>
  <c r="AS216" i="1"/>
  <c r="AR224" i="1"/>
  <c r="AS224" i="1"/>
  <c r="AR228" i="1"/>
  <c r="AS228" i="1"/>
  <c r="AR232" i="1"/>
  <c r="AS232" i="1"/>
  <c r="AR236" i="1"/>
  <c r="AS236" i="1"/>
  <c r="AR240" i="1"/>
  <c r="AS240" i="1"/>
  <c r="AR244" i="1"/>
  <c r="AS244" i="1"/>
  <c r="AR248" i="1"/>
  <c r="AS248" i="1"/>
  <c r="AR252" i="1"/>
  <c r="AS252" i="1"/>
  <c r="AR256" i="1"/>
  <c r="AS256" i="1"/>
  <c r="AR260" i="1"/>
  <c r="AS260" i="1"/>
  <c r="AR264" i="1"/>
  <c r="AS264" i="1"/>
  <c r="AR40" i="1"/>
  <c r="AS40" i="1"/>
  <c r="AR29" i="1"/>
  <c r="AS29" i="1"/>
  <c r="AR36" i="1"/>
  <c r="AS36" i="1"/>
  <c r="AR39" i="1"/>
  <c r="AS39" i="1"/>
  <c r="AR44" i="1"/>
  <c r="AS44" i="1"/>
  <c r="AR48" i="1"/>
  <c r="AS48" i="1"/>
  <c r="AR49" i="1"/>
  <c r="AS49" i="1"/>
  <c r="AR56" i="1"/>
  <c r="AS56" i="1"/>
  <c r="AR62" i="1"/>
  <c r="AS62" i="1"/>
  <c r="AR63" i="1"/>
  <c r="AS63" i="1"/>
  <c r="AR68" i="1"/>
  <c r="AS68" i="1"/>
  <c r="AR72" i="1"/>
  <c r="AS72" i="1"/>
  <c r="AR74" i="1"/>
  <c r="AS74" i="1"/>
  <c r="AR82" i="1"/>
  <c r="AS82" i="1"/>
  <c r="AR86" i="1"/>
  <c r="AS86" i="1"/>
  <c r="AR90" i="1"/>
  <c r="AS90" i="1"/>
  <c r="AR94" i="1"/>
  <c r="AS94" i="1"/>
  <c r="AR98" i="1"/>
  <c r="AS98" i="1"/>
  <c r="AR104" i="1"/>
  <c r="AS104" i="1"/>
  <c r="AR108" i="1"/>
  <c r="AS108" i="1"/>
  <c r="AR80" i="1"/>
  <c r="AS80" i="1"/>
  <c r="AR111" i="1"/>
  <c r="AS111" i="1"/>
  <c r="AR121" i="1"/>
  <c r="AS121" i="1"/>
  <c r="AR123" i="1"/>
  <c r="AS123" i="1"/>
  <c r="AR127" i="1"/>
  <c r="AS127" i="1"/>
  <c r="AR131" i="1"/>
  <c r="AS131" i="1"/>
  <c r="AR135" i="1"/>
  <c r="AS135" i="1"/>
  <c r="AR139" i="1"/>
  <c r="AS139" i="1"/>
  <c r="AR143" i="1"/>
  <c r="AS143" i="1"/>
  <c r="AR154" i="1"/>
  <c r="AS154" i="1"/>
  <c r="AR117" i="1"/>
  <c r="AS117" i="1"/>
  <c r="AR217" i="1"/>
  <c r="AS217" i="1"/>
  <c r="AR151" i="1"/>
  <c r="AS151" i="1"/>
  <c r="AR157" i="1"/>
  <c r="AS157" i="1"/>
  <c r="AR161" i="1"/>
  <c r="AS161" i="1"/>
  <c r="AR165" i="1"/>
  <c r="AS165" i="1"/>
  <c r="AR167" i="1"/>
  <c r="AS167" i="1"/>
  <c r="AR171" i="1"/>
  <c r="AS171" i="1"/>
  <c r="AR175" i="1"/>
  <c r="AS175" i="1"/>
  <c r="AR179" i="1"/>
  <c r="AS179" i="1"/>
  <c r="AR183" i="1"/>
  <c r="AS183" i="1"/>
  <c r="AR187" i="1"/>
  <c r="AS187" i="1"/>
  <c r="AR191" i="1"/>
  <c r="AS191" i="1"/>
  <c r="AR195" i="1"/>
  <c r="AS195" i="1"/>
  <c r="AR199" i="1"/>
  <c r="AS199" i="1"/>
  <c r="AR203" i="1"/>
  <c r="AS203" i="1"/>
  <c r="AR207" i="1"/>
  <c r="AS207" i="1"/>
  <c r="AR215" i="1"/>
  <c r="AS215" i="1"/>
  <c r="AR212" i="1"/>
  <c r="AS212" i="1"/>
  <c r="AR220" i="1"/>
  <c r="AS220" i="1"/>
  <c r="AR226" i="1"/>
  <c r="AS226" i="1"/>
  <c r="AR230" i="1"/>
  <c r="AS230" i="1"/>
  <c r="AR234" i="1"/>
  <c r="AS234" i="1"/>
  <c r="AR238" i="1"/>
  <c r="AS238" i="1"/>
  <c r="AR242" i="1"/>
  <c r="AS242" i="1"/>
  <c r="AR246" i="1"/>
  <c r="AS246" i="1"/>
  <c r="AR250" i="1"/>
  <c r="AS250" i="1"/>
  <c r="AR254" i="1"/>
  <c r="AS254" i="1"/>
  <c r="AR258" i="1"/>
  <c r="AS258" i="1"/>
  <c r="AR262" i="1"/>
  <c r="AS262" i="1"/>
  <c r="AR266" i="1"/>
  <c r="AS266" i="1"/>
  <c r="AR268" i="1"/>
  <c r="AS268" i="1"/>
  <c r="AR270" i="1"/>
  <c r="AS270" i="1"/>
  <c r="AR145" i="1"/>
  <c r="AS145" i="1"/>
  <c r="AR24" i="1"/>
  <c r="AS24" i="1"/>
  <c r="AR28" i="1"/>
  <c r="AS28" i="1"/>
  <c r="AR31" i="1"/>
  <c r="AS31" i="1"/>
  <c r="AR34" i="1"/>
  <c r="AS34" i="1"/>
  <c r="AR38" i="1"/>
  <c r="AS38" i="1"/>
  <c r="AR33" i="1"/>
  <c r="AS33" i="1"/>
  <c r="AR37" i="1"/>
  <c r="AS37" i="1"/>
  <c r="AR43" i="1"/>
  <c r="AS43" i="1"/>
  <c r="AR42" i="1"/>
  <c r="AS42" i="1"/>
  <c r="AR45" i="1"/>
  <c r="AS45" i="1"/>
  <c r="AR47" i="1"/>
  <c r="AS47" i="1"/>
  <c r="AR51" i="1"/>
  <c r="AS51" i="1"/>
  <c r="AR60" i="1"/>
  <c r="AS60" i="1"/>
  <c r="AR52" i="1"/>
  <c r="AS52" i="1"/>
  <c r="AR55" i="1"/>
  <c r="AS55" i="1"/>
  <c r="AR57" i="1"/>
  <c r="AS57" i="1"/>
  <c r="AR61" i="1"/>
  <c r="AS61" i="1"/>
  <c r="AR64" i="1"/>
  <c r="AS64" i="1"/>
  <c r="AR59" i="1"/>
  <c r="AS59" i="1"/>
  <c r="AR65" i="1"/>
  <c r="AS65" i="1"/>
  <c r="AR67" i="1"/>
  <c r="AS67" i="1"/>
  <c r="AR69" i="1"/>
  <c r="AS69" i="1"/>
  <c r="AR71" i="1"/>
  <c r="AS71" i="1"/>
  <c r="AR73" i="1"/>
  <c r="AS73" i="1"/>
  <c r="AR75" i="1"/>
  <c r="AS75" i="1"/>
  <c r="AR78" i="1"/>
  <c r="AS78" i="1"/>
  <c r="AR83" i="1"/>
  <c r="AS83" i="1"/>
  <c r="AR85" i="1"/>
  <c r="AS85" i="1"/>
  <c r="AR87" i="1"/>
  <c r="AS87" i="1"/>
  <c r="AR89" i="1"/>
  <c r="AS89" i="1"/>
  <c r="AR91" i="1"/>
  <c r="AS91" i="1"/>
  <c r="AR93" i="1"/>
  <c r="AS93" i="1"/>
  <c r="AR95" i="1"/>
  <c r="AS95" i="1"/>
  <c r="AR97" i="1"/>
  <c r="AS97" i="1"/>
  <c r="AR99" i="1"/>
  <c r="AS99" i="1"/>
  <c r="AR101" i="1"/>
  <c r="AS101" i="1"/>
  <c r="AR103" i="1"/>
  <c r="AS103" i="1"/>
  <c r="AR105" i="1"/>
  <c r="AS105" i="1"/>
  <c r="AR107" i="1"/>
  <c r="AS107" i="1"/>
  <c r="AR112" i="1"/>
  <c r="AS112" i="1"/>
  <c r="AR76" i="1"/>
  <c r="AS76" i="1"/>
  <c r="AR81" i="1"/>
  <c r="AS81" i="1"/>
  <c r="AR114" i="1"/>
  <c r="AS114" i="1"/>
  <c r="AR118" i="1"/>
  <c r="AS118" i="1"/>
  <c r="AR120" i="1"/>
  <c r="AS120" i="1"/>
  <c r="AR122" i="1"/>
  <c r="AS122" i="1"/>
  <c r="AR124" i="1"/>
  <c r="AS124" i="1"/>
  <c r="AR126" i="1"/>
  <c r="AS126" i="1"/>
  <c r="AR128" i="1"/>
  <c r="AS128" i="1"/>
  <c r="AR130" i="1"/>
  <c r="AS130" i="1"/>
  <c r="AR132" i="1"/>
  <c r="AS132" i="1"/>
  <c r="AR134" i="1"/>
  <c r="AS134" i="1"/>
  <c r="AR136" i="1"/>
  <c r="AS136" i="1"/>
  <c r="AR138" i="1"/>
  <c r="AS138" i="1"/>
  <c r="AR140" i="1"/>
  <c r="AS140" i="1"/>
  <c r="AR142" i="1"/>
  <c r="AS142" i="1"/>
  <c r="AR144" i="1"/>
  <c r="AS144" i="1"/>
  <c r="AR150" i="1"/>
  <c r="AS150" i="1"/>
  <c r="AR109" i="1"/>
  <c r="AS109" i="1"/>
  <c r="AR115" i="1"/>
  <c r="AS115" i="1"/>
  <c r="AR148" i="1"/>
  <c r="AS148" i="1"/>
  <c r="AR213" i="1"/>
  <c r="AS213" i="1"/>
  <c r="AR221" i="1"/>
  <c r="AS221" i="1"/>
  <c r="AR27" i="1"/>
  <c r="AS27" i="1"/>
  <c r="AR149" i="1"/>
  <c r="AS149" i="1"/>
  <c r="AR153" i="1"/>
  <c r="AS153" i="1"/>
  <c r="AR156" i="1"/>
  <c r="AS156" i="1"/>
  <c r="AR158" i="1"/>
  <c r="AS158" i="1"/>
  <c r="AR160" i="1"/>
  <c r="AS160" i="1"/>
  <c r="AR162" i="1"/>
  <c r="AS162" i="1"/>
  <c r="AR164" i="1"/>
  <c r="AS164" i="1"/>
  <c r="AR166" i="1"/>
  <c r="AS166" i="1"/>
  <c r="AR168" i="1"/>
  <c r="AS168" i="1"/>
  <c r="AR170" i="1"/>
  <c r="AS170" i="1"/>
  <c r="AR172" i="1"/>
  <c r="AS172" i="1"/>
  <c r="AR174" i="1"/>
  <c r="AS174" i="1"/>
  <c r="AR176" i="1"/>
  <c r="AS176" i="1"/>
  <c r="AR178" i="1"/>
  <c r="AS178" i="1"/>
  <c r="AR180" i="1"/>
  <c r="AS180" i="1"/>
  <c r="AR182" i="1"/>
  <c r="AS182" i="1"/>
  <c r="AR184" i="1"/>
  <c r="AS184" i="1"/>
  <c r="AR186" i="1"/>
  <c r="AS186" i="1"/>
  <c r="AR188" i="1"/>
  <c r="AS188" i="1"/>
  <c r="AR190" i="1"/>
  <c r="AS190" i="1"/>
  <c r="AR192" i="1"/>
  <c r="AS192" i="1"/>
  <c r="AR194" i="1"/>
  <c r="AS194" i="1"/>
  <c r="AR196" i="1"/>
  <c r="AS196" i="1"/>
  <c r="AR198" i="1"/>
  <c r="AS198" i="1"/>
  <c r="AR200" i="1"/>
  <c r="AS200" i="1"/>
  <c r="AR202" i="1"/>
  <c r="AS202" i="1"/>
  <c r="AR204" i="1"/>
  <c r="AS204" i="1"/>
  <c r="AR206" i="1"/>
  <c r="AS206" i="1"/>
  <c r="AR208" i="1"/>
  <c r="AS208" i="1"/>
  <c r="AR211" i="1"/>
  <c r="AS211" i="1"/>
  <c r="AR219" i="1"/>
  <c r="AS219" i="1"/>
  <c r="AR210" i="1"/>
  <c r="AS210" i="1"/>
  <c r="AR214" i="1"/>
  <c r="AS214" i="1"/>
  <c r="AR218" i="1"/>
  <c r="AS218" i="1"/>
  <c r="AR222" i="1"/>
  <c r="AS222" i="1"/>
  <c r="AR225" i="1"/>
  <c r="AS225" i="1"/>
  <c r="AR227" i="1"/>
  <c r="AS227" i="1"/>
  <c r="AR229" i="1"/>
  <c r="AS229" i="1"/>
  <c r="AR231" i="1"/>
  <c r="AS231" i="1"/>
  <c r="AR233" i="1"/>
  <c r="AS233" i="1"/>
  <c r="AR235" i="1"/>
  <c r="AS235" i="1"/>
  <c r="AR237" i="1"/>
  <c r="AS237" i="1"/>
  <c r="AR239" i="1"/>
  <c r="AS239" i="1"/>
  <c r="AR241" i="1"/>
  <c r="AS241" i="1"/>
  <c r="AR243" i="1"/>
  <c r="AS243" i="1"/>
  <c r="AR245" i="1"/>
  <c r="AS245" i="1"/>
  <c r="AR247" i="1"/>
  <c r="AS247" i="1"/>
  <c r="AR249" i="1"/>
  <c r="AS249" i="1"/>
  <c r="AR251" i="1"/>
  <c r="AS251" i="1"/>
  <c r="AR253" i="1"/>
  <c r="AS253" i="1"/>
  <c r="AR255" i="1"/>
  <c r="AS255" i="1"/>
  <c r="AR257" i="1"/>
  <c r="AS257" i="1"/>
  <c r="AR259" i="1"/>
  <c r="AS259" i="1"/>
  <c r="AR261" i="1"/>
  <c r="AS261" i="1"/>
  <c r="AR263" i="1"/>
  <c r="AS263" i="1"/>
  <c r="AR265" i="1"/>
  <c r="AS265" i="1"/>
  <c r="AR267" i="1"/>
  <c r="AS267" i="1"/>
  <c r="AR269" i="1"/>
  <c r="AS269" i="1"/>
  <c r="AR271" i="1"/>
  <c r="AS271" i="1"/>
  <c r="AR32" i="1"/>
  <c r="AS32" i="1"/>
  <c r="D22" i="1"/>
  <c r="D273" i="1" s="1"/>
  <c r="AE23" i="1"/>
  <c r="AB23" i="1"/>
  <c r="Y23" i="1"/>
  <c r="S23" i="1"/>
  <c r="M23" i="1"/>
  <c r="AE22" i="1"/>
  <c r="AB22" i="1"/>
  <c r="Y22" i="1"/>
  <c r="V22" i="1"/>
  <c r="S22" i="1"/>
  <c r="P22" i="1"/>
  <c r="M22" i="1"/>
  <c r="J22" i="1"/>
  <c r="G23" i="1"/>
  <c r="AF23" i="1"/>
  <c r="V23" i="1"/>
  <c r="P23" i="1"/>
  <c r="J23" i="1"/>
  <c r="G22" i="1"/>
  <c r="S273" i="1" l="1"/>
  <c r="AE273" i="1"/>
  <c r="Y273" i="1"/>
  <c r="M273" i="1"/>
  <c r="AB273" i="1"/>
  <c r="G273" i="1"/>
  <c r="D27" i="2"/>
  <c r="D28" i="2" s="1"/>
  <c r="D29" i="2" s="1"/>
  <c r="C28" i="2"/>
  <c r="A29" i="2"/>
  <c r="B28" i="2"/>
  <c r="E25" i="2"/>
  <c r="J273" i="1"/>
  <c r="P273" i="1"/>
  <c r="V273" i="1"/>
  <c r="AG22" i="1"/>
  <c r="AH23" i="1"/>
  <c r="AJ23" i="1"/>
  <c r="AL23" i="1"/>
  <c r="AG23" i="1"/>
  <c r="AH22" i="1"/>
  <c r="AI22" i="1"/>
  <c r="AJ22" i="1"/>
  <c r="AK22" i="1"/>
  <c r="AL22" i="1"/>
  <c r="AM22" i="1"/>
  <c r="AN22" i="1"/>
  <c r="AO22" i="1"/>
  <c r="AI23" i="1"/>
  <c r="AK23" i="1"/>
  <c r="AM23" i="1"/>
  <c r="AN23" i="1"/>
  <c r="AO23" i="1"/>
  <c r="AF22" i="1"/>
  <c r="AF273" i="1" s="1"/>
  <c r="C29" i="2" l="1"/>
  <c r="E26" i="2"/>
  <c r="A30" i="2"/>
  <c r="B29" i="2"/>
  <c r="D30" i="2" s="1"/>
  <c r="AI273" i="1"/>
  <c r="AH273" i="1"/>
  <c r="AG273" i="1"/>
  <c r="AO273" i="1"/>
  <c r="AN273" i="1"/>
  <c r="AM273" i="1"/>
  <c r="AL273" i="1"/>
  <c r="AK273" i="1"/>
  <c r="AJ273" i="1"/>
  <c r="AP23" i="1"/>
  <c r="AQ23" i="1" s="1"/>
  <c r="AQ12" i="1" s="1"/>
  <c r="AP22" i="1"/>
  <c r="D31" i="2" l="1"/>
  <c r="C30" i="2"/>
  <c r="A31" i="2"/>
  <c r="B30" i="2"/>
  <c r="E27" i="2"/>
  <c r="AQ22" i="1"/>
  <c r="AQ10" i="1" s="1"/>
  <c r="AP273" i="1"/>
  <c r="AR23" i="1"/>
  <c r="AS23" i="1"/>
  <c r="AR22" i="1"/>
  <c r="AR11" i="1" s="1"/>
  <c r="C31" i="2" l="1"/>
  <c r="E28" i="2"/>
  <c r="A32" i="2"/>
  <c r="B32" i="2" s="1"/>
  <c r="B31" i="2"/>
  <c r="D32" i="2" s="1"/>
  <c r="AR273" i="1"/>
  <c r="AQ273" i="1"/>
  <c r="AQ11" i="1"/>
  <c r="AS22" i="1"/>
  <c r="C32" i="2" l="1"/>
  <c r="E29" i="2"/>
  <c r="AS273" i="1"/>
  <c r="AS11" i="1"/>
  <c r="E30" i="2" l="1"/>
  <c r="E31" i="2" l="1"/>
  <c r="E32" i="2"/>
</calcChain>
</file>

<file path=xl/sharedStrings.xml><?xml version="1.0" encoding="utf-8"?>
<sst xmlns="http://schemas.openxmlformats.org/spreadsheetml/2006/main" count="232" uniqueCount="99">
  <si>
    <t>Name</t>
  </si>
  <si>
    <t>Value</t>
  </si>
  <si>
    <t>Description</t>
  </si>
  <si>
    <t>mu</t>
  </si>
  <si>
    <t>sigma</t>
  </si>
  <si>
    <t>Parameter of lognormal</t>
  </si>
  <si>
    <t>Sample</t>
  </si>
  <si>
    <t>number</t>
  </si>
  <si>
    <t>UNIF[0,1]</t>
  </si>
  <si>
    <t>sample</t>
  </si>
  <si>
    <t>N(0,1)</t>
  </si>
  <si>
    <t>(1)</t>
  </si>
  <si>
    <t>(2)</t>
  </si>
  <si>
    <t>(3)</t>
  </si>
  <si>
    <t>Empirical mean:</t>
  </si>
  <si>
    <t>from</t>
  </si>
  <si>
    <t>year</t>
  </si>
  <si>
    <t>interest</t>
  </si>
  <si>
    <t>rate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</si>
  <si>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</si>
  <si>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</si>
  <si>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</si>
  <si>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</si>
  <si>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</si>
  <si>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</si>
  <si>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</si>
  <si>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</si>
  <si>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</si>
  <si>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</si>
  <si>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</si>
  <si>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</si>
  <si>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</si>
  <si>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</si>
  <si>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</si>
  <si>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</si>
  <si>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</si>
  <si>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</si>
  <si>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</si>
  <si>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</si>
  <si>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</si>
  <si>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</si>
  <si>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</si>
  <si>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</si>
  <si>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</si>
  <si>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</si>
  <si>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</si>
  <si>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</si>
  <si>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accumulation</t>
  </si>
  <si>
    <t>factor</t>
  </si>
  <si>
    <t>(32)</t>
  </si>
  <si>
    <t>(33)</t>
  </si>
  <si>
    <t>(34)</t>
  </si>
  <si>
    <t>(35)</t>
  </si>
  <si>
    <t>(36)</t>
  </si>
  <si>
    <t>(37)</t>
  </si>
  <si>
    <t>(38)</t>
  </si>
  <si>
    <t>(39)</t>
  </si>
  <si>
    <t>(40)</t>
  </si>
  <si>
    <t>(41)</t>
  </si>
  <si>
    <t>to</t>
  </si>
  <si>
    <t>(42)</t>
  </si>
  <si>
    <t>initial_amount</t>
  </si>
  <si>
    <t>Amount to be accumulated from time 0</t>
  </si>
  <si>
    <t>of</t>
  </si>
  <si>
    <t>initial</t>
  </si>
  <si>
    <t>amount</t>
  </si>
  <si>
    <t>(43)</t>
  </si>
  <si>
    <t>Empirical std dev:</t>
  </si>
  <si>
    <t>upper_amount</t>
  </si>
  <si>
    <t>lower_amount</t>
  </si>
  <si>
    <t>indicator</t>
  </si>
  <si>
    <t>if</t>
  </si>
  <si>
    <t>exceeds</t>
  </si>
  <si>
    <t>(44)</t>
  </si>
  <si>
    <t>(45)</t>
  </si>
  <si>
    <t>below</t>
  </si>
  <si>
    <t>Empirical median:</t>
  </si>
  <si>
    <t>Question 2</t>
  </si>
  <si>
    <t>Variables</t>
  </si>
  <si>
    <t>mean_i</t>
  </si>
  <si>
    <t>mean_i2</t>
  </si>
  <si>
    <t>Expected value E((1+i)^2)</t>
  </si>
  <si>
    <t>mean_i3</t>
  </si>
  <si>
    <t>Expected value E((1+i)^3)</t>
  </si>
  <si>
    <t>Calculations</t>
  </si>
  <si>
    <t>E(A_n)</t>
  </si>
  <si>
    <t>E(A^2_n)</t>
  </si>
  <si>
    <t>E(A^3_n)</t>
  </si>
  <si>
    <t>Iteration</t>
  </si>
  <si>
    <t>n</t>
  </si>
  <si>
    <t>var(A_n)</t>
  </si>
  <si>
    <t>Question 1</t>
  </si>
  <si>
    <t>Expected value E(i^2)</t>
  </si>
  <si>
    <t>Expected value E(i^3)</t>
  </si>
  <si>
    <t>Expected value E(i)</t>
  </si>
  <si>
    <t>mean_1plusi2</t>
  </si>
  <si>
    <t>mean_1plusi3</t>
  </si>
  <si>
    <t>Amount for Q1.4</t>
  </si>
  <si>
    <t>Amount for Q1.5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</si>
</sst>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00"/>
    <numFmt numFmtId="165" formatCode="#,##0.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4" fontId="0" fillId="0" borderId="0" xfId="0" applyNumberFormat="1"/>
    <xf numFmtId="164" fontId="0" fillId="0" borderId="0" xfId="0" applyNumberFormat="1"/>
    <xf numFmtId="164" fontId="1" fillId="0" borderId="0" xfId="0" applyNumberFormat="1" applyFont="1"/>
    <xf numFmtId="4" fontId="1" fillId="0" borderId="0" xfId="0" applyNumberFormat="1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165" fontId="0" fillId="0" borderId="0" xfId="0" applyNumberForma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75"/>
  <sheetViews>
    <sheetView tabSelected="1" workbookViewId="0">
      <pane xSplit="1" ySplit="21" topLeftCell="B22" activePane="bottomRight" state="frozen"/>
      <selection pane="topRight" activeCell="B1" sqref="B1"/>
      <selection pane="bottomLeft" activeCell="A20" sqref="A20"/>
      <selection pane="bottomRight"/>
    </sheetView>
  </sheetViews>
  <sheetFormatPr defaultRowHeight="15" x14ac:dyDescent="0.25"/>
  <cols>
    <col min="1" max="1" width="17.28515625" bestFit="1" customWidth="1"/>
    <col min="2" max="2" width="10.5703125" bestFit="1" customWidth="1"/>
    <col min="3" max="3" width="12.140625" customWidth="1"/>
    <col min="4" max="4" width="9.5703125" bestFit="1" customWidth="1"/>
    <col min="5" max="5" width="10.5703125" bestFit="1" customWidth="1"/>
    <col min="6" max="6" width="9.28515625" bestFit="1" customWidth="1"/>
    <col min="7" max="7" width="9.5703125" bestFit="1" customWidth="1"/>
    <col min="8" max="8" width="10.5703125" bestFit="1" customWidth="1"/>
    <col min="9" max="9" width="9.28515625" bestFit="1" customWidth="1"/>
    <col min="10" max="10" width="9.5703125" bestFit="1" customWidth="1"/>
    <col min="11" max="11" width="10.5703125" bestFit="1" customWidth="1"/>
    <col min="12" max="13" width="9.5703125" bestFit="1" customWidth="1"/>
    <col min="14" max="14" width="10.5703125" bestFit="1" customWidth="1"/>
    <col min="15" max="15" width="9.28515625" bestFit="1" customWidth="1"/>
    <col min="16" max="16" width="9.5703125" bestFit="1" customWidth="1"/>
    <col min="17" max="17" width="10.5703125" bestFit="1" customWidth="1"/>
    <col min="18" max="18" width="9.28515625" bestFit="1" customWidth="1"/>
    <col min="19" max="19" width="9.5703125" bestFit="1" customWidth="1"/>
    <col min="20" max="20" width="10.5703125" bestFit="1" customWidth="1"/>
    <col min="21" max="21" width="10.28515625" bestFit="1" customWidth="1"/>
    <col min="22" max="22" width="9.5703125" bestFit="1" customWidth="1"/>
    <col min="23" max="23" width="10.5703125" bestFit="1" customWidth="1"/>
    <col min="24" max="24" width="9.28515625" bestFit="1" customWidth="1"/>
    <col min="25" max="25" width="9.5703125" bestFit="1" customWidth="1"/>
    <col min="26" max="26" width="10.5703125" bestFit="1" customWidth="1"/>
    <col min="27" max="27" width="10.28515625" bestFit="1" customWidth="1"/>
    <col min="28" max="28" width="9.5703125" bestFit="1" customWidth="1"/>
    <col min="29" max="29" width="10.5703125" bestFit="1" customWidth="1"/>
    <col min="30" max="30" width="9.28515625" bestFit="1" customWidth="1"/>
    <col min="31" max="31" width="9.5703125" bestFit="1" customWidth="1"/>
    <col min="32" max="42" width="13" bestFit="1" customWidth="1"/>
    <col min="43" max="45" width="12.85546875" bestFit="1" customWidth="1"/>
  </cols>
  <sheetData>
    <row r="1" spans="1:45" x14ac:dyDescent="0.25">
      <c r="A1" s="14" t="s">
        <v>91</v>
      </c>
    </row>
    <row r="3" spans="1:45" x14ac:dyDescent="0.25">
      <c r="A3" s="1" t="s">
        <v>0</v>
      </c>
      <c r="B3" s="1" t="s">
        <v>1</v>
      </c>
      <c r="C3" s="1" t="s">
        <v>2</v>
      </c>
    </row>
    <row r="4" spans="1:45" x14ac:dyDescent="0.25">
      <c r="A4" t="s">
        <v>3</v>
      </c>
      <c r="B4">
        <v>8.6699999999999999E-2</v>
      </c>
      <c r="C4" t="s">
        <v>5</v>
      </c>
    </row>
    <row r="5" spans="1:45" x14ac:dyDescent="0.25">
      <c r="A5" t="s">
        <v>4</v>
      </c>
      <c r="B5">
        <v>0.15</v>
      </c>
      <c r="C5" t="s">
        <v>5</v>
      </c>
    </row>
    <row r="6" spans="1:45" x14ac:dyDescent="0.25">
      <c r="A6" t="s">
        <v>61</v>
      </c>
      <c r="B6">
        <v>10000</v>
      </c>
      <c r="C6" t="s">
        <v>62</v>
      </c>
    </row>
    <row r="7" spans="1:45" x14ac:dyDescent="0.25">
      <c r="A7" t="s">
        <v>68</v>
      </c>
      <c r="B7">
        <v>25000</v>
      </c>
      <c r="C7" t="s">
        <v>97</v>
      </c>
    </row>
    <row r="8" spans="1:45" x14ac:dyDescent="0.25">
      <c r="A8" t="s">
        <v>69</v>
      </c>
      <c r="B8">
        <v>5000</v>
      </c>
      <c r="C8" t="s">
        <v>98</v>
      </c>
    </row>
    <row r="9" spans="1:45" x14ac:dyDescent="0.25"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5" x14ac:dyDescent="0.25">
      <c r="AP10" s="8" t="s">
        <v>76</v>
      </c>
      <c r="AQ10" s="7">
        <f ca="1">MEDIAN(AQ22:AQ271)</f>
        <v>23996.634840253893</v>
      </c>
    </row>
    <row r="11" spans="1:45" x14ac:dyDescent="0.25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8" t="s">
        <v>14</v>
      </c>
      <c r="AQ11" s="7">
        <f t="shared" ref="C11:AS11" ca="1" si="0">AVERAGE(AQ22:AQ271)</f>
        <v>27209.25401098996</v>
      </c>
      <c r="AR11" s="6">
        <f t="shared" ca="1" si="0"/>
        <v>0.47199999999999998</v>
      </c>
      <c r="AS11" s="6">
        <f t="shared" ca="1" si="0"/>
        <v>0</v>
      </c>
    </row>
    <row r="12" spans="1:45" x14ac:dyDescent="0.25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13" t="s">
        <v>67</v>
      </c>
      <c r="AQ12" s="4">
        <f t="shared" ref="C12:AQ12" ca="1" si="1">_xlfn.STDEV.S(AQ23:AQ271)</f>
        <v>14641.553121422394</v>
      </c>
    </row>
    <row r="13" spans="1:45" x14ac:dyDescent="0.2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Q13" s="4"/>
    </row>
    <row r="14" spans="1:45" x14ac:dyDescent="0.25">
      <c r="AQ14" s="2" t="s">
        <v>47</v>
      </c>
    </row>
    <row r="15" spans="1:45" s="2" customFormat="1" x14ac:dyDescent="0.25">
      <c r="D15" s="2" t="s">
        <v>9</v>
      </c>
      <c r="G15" s="2" t="s">
        <v>9</v>
      </c>
      <c r="J15" s="2" t="s">
        <v>9</v>
      </c>
      <c r="M15" s="2" t="s">
        <v>9</v>
      </c>
      <c r="P15" s="2" t="s">
        <v>9</v>
      </c>
      <c r="S15" s="2" t="s">
        <v>9</v>
      </c>
      <c r="V15" s="2" t="s">
        <v>9</v>
      </c>
      <c r="Y15" s="2" t="s">
        <v>9</v>
      </c>
      <c r="AB15" s="2" t="s">
        <v>9</v>
      </c>
      <c r="AE15" s="2" t="s">
        <v>9</v>
      </c>
      <c r="AQ15" s="2" t="s">
        <v>63</v>
      </c>
      <c r="AR15" s="2" t="s">
        <v>70</v>
      </c>
      <c r="AS15" s="2" t="s">
        <v>70</v>
      </c>
    </row>
    <row r="16" spans="1:45" s="2" customFormat="1" x14ac:dyDescent="0.25">
      <c r="D16" s="2" t="s">
        <v>15</v>
      </c>
      <c r="G16" s="2" t="s">
        <v>15</v>
      </c>
      <c r="J16" s="2" t="s">
        <v>15</v>
      </c>
      <c r="M16" s="2" t="s">
        <v>15</v>
      </c>
      <c r="P16" s="2" t="s">
        <v>15</v>
      </c>
      <c r="S16" s="2" t="s">
        <v>15</v>
      </c>
      <c r="V16" s="2" t="s">
        <v>15</v>
      </c>
      <c r="Y16" s="2" t="s">
        <v>15</v>
      </c>
      <c r="AB16" s="2" t="s">
        <v>15</v>
      </c>
      <c r="AE16" s="2" t="s">
        <v>15</v>
      </c>
      <c r="AP16" s="2" t="s">
        <v>47</v>
      </c>
      <c r="AQ16" s="2" t="s">
        <v>64</v>
      </c>
      <c r="AR16" s="2">
        <v>1</v>
      </c>
      <c r="AS16" s="2">
        <v>1</v>
      </c>
    </row>
    <row r="17" spans="1:45" s="2" customFormat="1" x14ac:dyDescent="0.25">
      <c r="D17" s="2" t="s">
        <v>16</v>
      </c>
      <c r="G17" s="2" t="s">
        <v>16</v>
      </c>
      <c r="J17" s="2" t="s">
        <v>16</v>
      </c>
      <c r="M17" s="2" t="s">
        <v>16</v>
      </c>
      <c r="P17" s="2" t="s">
        <v>16</v>
      </c>
      <c r="S17" s="2" t="s">
        <v>16</v>
      </c>
      <c r="V17" s="2" t="s">
        <v>16</v>
      </c>
      <c r="Y17" s="2" t="s">
        <v>16</v>
      </c>
      <c r="AB17" s="2" t="s">
        <v>16</v>
      </c>
      <c r="AE17" s="2" t="s">
        <v>16</v>
      </c>
      <c r="AF17" s="2" t="s">
        <v>16</v>
      </c>
      <c r="AG17" s="2" t="s">
        <v>16</v>
      </c>
      <c r="AH17" s="2" t="s">
        <v>16</v>
      </c>
      <c r="AI17" s="2" t="s">
        <v>16</v>
      </c>
      <c r="AJ17" s="2" t="s">
        <v>16</v>
      </c>
      <c r="AK17" s="2" t="s">
        <v>16</v>
      </c>
      <c r="AL17" s="2" t="s">
        <v>16</v>
      </c>
      <c r="AM17" s="2" t="s">
        <v>16</v>
      </c>
      <c r="AN17" s="2" t="s">
        <v>16</v>
      </c>
      <c r="AO17" s="2" t="s">
        <v>16</v>
      </c>
      <c r="AP17" s="2" t="s">
        <v>48</v>
      </c>
      <c r="AQ17" s="2" t="s">
        <v>65</v>
      </c>
      <c r="AR17" s="2" t="s">
        <v>71</v>
      </c>
      <c r="AS17" s="2" t="s">
        <v>71</v>
      </c>
    </row>
    <row r="18" spans="1:45" s="2" customFormat="1" x14ac:dyDescent="0.25">
      <c r="D18" s="2">
        <v>1</v>
      </c>
      <c r="G18" s="2">
        <f>D18+1</f>
        <v>2</v>
      </c>
      <c r="J18" s="2">
        <f>G18+1</f>
        <v>3</v>
      </c>
      <c r="M18" s="2">
        <f>J18+1</f>
        <v>4</v>
      </c>
      <c r="P18" s="2">
        <f>M18+1</f>
        <v>5</v>
      </c>
      <c r="S18" s="2">
        <f>P18+1</f>
        <v>6</v>
      </c>
      <c r="V18" s="2">
        <f>S18+1</f>
        <v>7</v>
      </c>
      <c r="Y18" s="2">
        <f>V18+1</f>
        <v>8</v>
      </c>
      <c r="AB18" s="2">
        <f>Y18+1</f>
        <v>9</v>
      </c>
      <c r="AE18" s="2">
        <f>AB18+1</f>
        <v>10</v>
      </c>
      <c r="AF18" s="2">
        <v>1</v>
      </c>
      <c r="AG18" s="2">
        <v>2</v>
      </c>
      <c r="AH18" s="2">
        <v>3</v>
      </c>
      <c r="AI18" s="2">
        <v>4</v>
      </c>
      <c r="AJ18" s="2">
        <v>5</v>
      </c>
      <c r="AK18" s="2">
        <v>6</v>
      </c>
      <c r="AL18" s="2">
        <v>7</v>
      </c>
      <c r="AM18" s="2">
        <v>8</v>
      </c>
      <c r="AN18" s="2">
        <v>9</v>
      </c>
      <c r="AO18" s="2">
        <v>10</v>
      </c>
      <c r="AP18" s="2" t="s">
        <v>59</v>
      </c>
      <c r="AQ18" s="2" t="s">
        <v>59</v>
      </c>
      <c r="AR18" s="2" t="s">
        <v>47</v>
      </c>
      <c r="AS18" s="2" t="s">
        <v>47</v>
      </c>
    </row>
    <row r="19" spans="1:45" s="2" customFormat="1" x14ac:dyDescent="0.25">
      <c r="A19" s="2" t="s">
        <v>6</v>
      </c>
      <c r="B19" s="2" t="s">
        <v>8</v>
      </c>
      <c r="C19" s="2" t="s">
        <v>10</v>
      </c>
      <c r="D19" s="2" t="s">
        <v>17</v>
      </c>
      <c r="E19" s="2" t="s">
        <v>8</v>
      </c>
      <c r="F19" s="2" t="s">
        <v>10</v>
      </c>
      <c r="G19" s="2" t="s">
        <v>17</v>
      </c>
      <c r="H19" s="2" t="s">
        <v>8</v>
      </c>
      <c r="I19" s="2" t="s">
        <v>10</v>
      </c>
      <c r="J19" s="2" t="s">
        <v>17</v>
      </c>
      <c r="K19" s="2" t="s">
        <v>8</v>
      </c>
      <c r="L19" s="2" t="s">
        <v>10</v>
      </c>
      <c r="M19" s="2" t="s">
        <v>17</v>
      </c>
      <c r="N19" s="2" t="s">
        <v>8</v>
      </c>
      <c r="O19" s="2" t="s">
        <v>10</v>
      </c>
      <c r="P19" s="2" t="s">
        <v>17</v>
      </c>
      <c r="Q19" s="2" t="s">
        <v>8</v>
      </c>
      <c r="R19" s="2" t="s">
        <v>10</v>
      </c>
      <c r="S19" s="2" t="s">
        <v>17</v>
      </c>
      <c r="T19" s="2" t="s">
        <v>8</v>
      </c>
      <c r="U19" s="2" t="s">
        <v>10</v>
      </c>
      <c r="V19" s="2" t="s">
        <v>17</v>
      </c>
      <c r="W19" s="2" t="s">
        <v>8</v>
      </c>
      <c r="X19" s="2" t="s">
        <v>10</v>
      </c>
      <c r="Y19" s="2" t="s">
        <v>17</v>
      </c>
      <c r="Z19" s="2" t="s">
        <v>8</v>
      </c>
      <c r="AA19" s="2" t="s">
        <v>10</v>
      </c>
      <c r="AB19" s="2" t="s">
        <v>17</v>
      </c>
      <c r="AC19" s="2" t="s">
        <v>8</v>
      </c>
      <c r="AD19" s="2" t="s">
        <v>10</v>
      </c>
      <c r="AE19" s="2" t="s">
        <v>17</v>
      </c>
      <c r="AF19" s="2" t="s">
        <v>47</v>
      </c>
      <c r="AG19" s="2" t="s">
        <v>47</v>
      </c>
      <c r="AH19" s="2" t="s">
        <v>47</v>
      </c>
      <c r="AI19" s="2" t="s">
        <v>47</v>
      </c>
      <c r="AJ19" s="2" t="s">
        <v>47</v>
      </c>
      <c r="AK19" s="2" t="s">
        <v>47</v>
      </c>
      <c r="AL19" s="2" t="s">
        <v>47</v>
      </c>
      <c r="AM19" s="2" t="s">
        <v>47</v>
      </c>
      <c r="AN19" s="2" t="s">
        <v>47</v>
      </c>
      <c r="AO19" s="2" t="s">
        <v>47</v>
      </c>
      <c r="AP19" s="2" t="s">
        <v>16</v>
      </c>
      <c r="AQ19" s="2" t="s">
        <v>16</v>
      </c>
      <c r="AR19" s="2" t="s">
        <v>72</v>
      </c>
      <c r="AS19" s="2" t="s">
        <v>75</v>
      </c>
    </row>
    <row r="20" spans="1:45" s="2" customFormat="1" x14ac:dyDescent="0.25">
      <c r="A20" s="2" t="s">
        <v>7</v>
      </c>
      <c r="B20" s="2" t="s">
        <v>9</v>
      </c>
      <c r="C20" s="2" t="s">
        <v>9</v>
      </c>
      <c r="D20" s="2" t="s">
        <v>18</v>
      </c>
      <c r="E20" s="2" t="s">
        <v>9</v>
      </c>
      <c r="F20" s="2" t="s">
        <v>9</v>
      </c>
      <c r="G20" s="2" t="s">
        <v>18</v>
      </c>
      <c r="H20" s="2" t="s">
        <v>9</v>
      </c>
      <c r="I20" s="2" t="s">
        <v>9</v>
      </c>
      <c r="J20" s="2" t="s">
        <v>18</v>
      </c>
      <c r="K20" s="2" t="s">
        <v>9</v>
      </c>
      <c r="L20" s="2" t="s">
        <v>9</v>
      </c>
      <c r="M20" s="2" t="s">
        <v>18</v>
      </c>
      <c r="N20" s="2" t="s">
        <v>9</v>
      </c>
      <c r="O20" s="2" t="s">
        <v>9</v>
      </c>
      <c r="P20" s="2" t="s">
        <v>18</v>
      </c>
      <c r="Q20" s="2" t="s">
        <v>9</v>
      </c>
      <c r="R20" s="2" t="s">
        <v>9</v>
      </c>
      <c r="S20" s="2" t="s">
        <v>18</v>
      </c>
      <c r="T20" s="2" t="s">
        <v>9</v>
      </c>
      <c r="U20" s="2" t="s">
        <v>9</v>
      </c>
      <c r="V20" s="2" t="s">
        <v>18</v>
      </c>
      <c r="W20" s="2" t="s">
        <v>9</v>
      </c>
      <c r="X20" s="2" t="s">
        <v>9</v>
      </c>
      <c r="Y20" s="2" t="s">
        <v>18</v>
      </c>
      <c r="Z20" s="2" t="s">
        <v>9</v>
      </c>
      <c r="AA20" s="2" t="s">
        <v>9</v>
      </c>
      <c r="AB20" s="2" t="s">
        <v>18</v>
      </c>
      <c r="AC20" s="2" t="s">
        <v>9</v>
      </c>
      <c r="AD20" s="2" t="s">
        <v>9</v>
      </c>
      <c r="AE20" s="2" t="s">
        <v>18</v>
      </c>
      <c r="AF20" s="2" t="s">
        <v>48</v>
      </c>
      <c r="AG20" s="2" t="s">
        <v>48</v>
      </c>
      <c r="AH20" s="2" t="s">
        <v>48</v>
      </c>
      <c r="AI20" s="2" t="s">
        <v>48</v>
      </c>
      <c r="AJ20" s="2" t="s">
        <v>48</v>
      </c>
      <c r="AK20" s="2" t="s">
        <v>48</v>
      </c>
      <c r="AL20" s="2" t="s">
        <v>48</v>
      </c>
      <c r="AM20" s="2" t="s">
        <v>48</v>
      </c>
      <c r="AN20" s="2" t="s">
        <v>48</v>
      </c>
      <c r="AO20" s="2" t="s">
        <v>48</v>
      </c>
      <c r="AP20" s="2">
        <v>10</v>
      </c>
      <c r="AQ20" s="2">
        <v>10</v>
      </c>
      <c r="AR20" s="2">
        <f>upper_amount</f>
        <v>25000</v>
      </c>
      <c r="AS20" s="2">
        <f>lower_amount</f>
        <v>5000</v>
      </c>
    </row>
    <row r="21" spans="1:45" s="2" customFormat="1" x14ac:dyDescent="0.25">
      <c r="A21" s="3" t="s">
        <v>11</v>
      </c>
      <c r="B21" s="3" t="s">
        <v>12</v>
      </c>
      <c r="C21" s="3" t="s">
        <v>13</v>
      </c>
      <c r="D21" s="3" t="s">
        <v>19</v>
      </c>
      <c r="E21" s="3" t="s">
        <v>20</v>
      </c>
      <c r="F21" s="3" t="s">
        <v>21</v>
      </c>
      <c r="G21" s="3" t="s">
        <v>22</v>
      </c>
      <c r="H21" s="3" t="s">
        <v>23</v>
      </c>
      <c r="I21" s="3" t="s">
        <v>24</v>
      </c>
      <c r="J21" s="3" t="s">
        <v>25</v>
      </c>
      <c r="K21" s="3" t="s">
        <v>26</v>
      </c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49</v>
      </c>
      <c r="AG21" s="3" t="s">
        <v>50</v>
      </c>
      <c r="AH21" s="3" t="s">
        <v>51</v>
      </c>
      <c r="AI21" s="3" t="s">
        <v>52</v>
      </c>
      <c r="AJ21" s="3" t="s">
        <v>53</v>
      </c>
      <c r="AK21" s="3" t="s">
        <v>54</v>
      </c>
      <c r="AL21" s="3" t="s">
        <v>55</v>
      </c>
      <c r="AM21" s="3" t="s">
        <v>56</v>
      </c>
      <c r="AN21" s="3" t="s">
        <v>57</v>
      </c>
      <c r="AO21" s="3" t="s">
        <v>58</v>
      </c>
      <c r="AP21" s="3" t="s">
        <v>60</v>
      </c>
      <c r="AQ21" s="3" t="s">
        <v>66</v>
      </c>
      <c r="AR21" s="3" t="s">
        <v>73</v>
      </c>
      <c r="AS21" s="3" t="s">
        <v>74</v>
      </c>
    </row>
    <row r="22" spans="1:45" x14ac:dyDescent="0.25">
      <c r="A22" s="10">
        <v>1</v>
      </c>
      <c r="B22" s="5">
        <f ca="1">RAND()</f>
        <v>0.44149449888821124</v>
      </c>
      <c r="C22" s="5">
        <f ca="1">_xlfn.NORM.S.INV(B22)</f>
        <v>-0.14718120182127503</v>
      </c>
      <c r="D22" s="5">
        <f t="shared" ref="D22:D85" ca="1" si="2">EXP(mu+sigma*C22)-1</f>
        <v>6.6756588951961016E-2</v>
      </c>
      <c r="E22" s="5">
        <f ca="1">RAND()</f>
        <v>0.31284413002489098</v>
      </c>
      <c r="F22" s="5">
        <f ca="1">_xlfn.NORM.S.INV(E22)</f>
        <v>-0.48780458981946384</v>
      </c>
      <c r="G22" s="5">
        <f t="shared" ref="G22:G85" ca="1" si="3">EXP(mu+sigma*F22)-1</f>
        <v>1.3621246801400977E-2</v>
      </c>
      <c r="H22" s="5">
        <f ca="1">RAND()</f>
        <v>0.49328584988441637</v>
      </c>
      <c r="I22" s="5">
        <f ca="1">_xlfn.NORM.S.INV(H22)</f>
        <v>-1.6830673094571529E-2</v>
      </c>
      <c r="J22" s="5">
        <f t="shared" ref="J22:J85" ca="1" si="4">EXP(mu+sigma*I22)-1</f>
        <v>8.7819679599456801E-2</v>
      </c>
      <c r="K22" s="5">
        <f ca="1">RAND()</f>
        <v>0.86524722474912219</v>
      </c>
      <c r="L22" s="5">
        <f ca="1">_xlfn.NORM.S.INV(K22)</f>
        <v>1.1042019349379955</v>
      </c>
      <c r="M22" s="5">
        <f t="shared" ref="M22:M85" ca="1" si="5">EXP(mu+sigma*L22)-1</f>
        <v>0.28702105758584318</v>
      </c>
      <c r="N22" s="5">
        <f ca="1">RAND()</f>
        <v>0.37739728938184491</v>
      </c>
      <c r="O22" s="5">
        <f ca="1">_xlfn.NORM.S.INV(N22)</f>
        <v>-0.31232363619895798</v>
      </c>
      <c r="P22" s="5">
        <f t="shared" ref="P22:P85" ca="1" si="6">EXP(mu+sigma*O22)-1</f>
        <v>4.0656177991113651E-2</v>
      </c>
      <c r="Q22" s="5">
        <f ca="1">RAND()</f>
        <v>0.36015664797009361</v>
      </c>
      <c r="R22" s="5">
        <f ca="1">_xlfn.NORM.S.INV(Q22)</f>
        <v>-0.35804011156443488</v>
      </c>
      <c r="S22" s="5">
        <f t="shared" ref="S22:S85" ca="1" si="7">EXP(mu+sigma*R22)-1</f>
        <v>3.3544320660655602E-2</v>
      </c>
      <c r="T22" s="5">
        <f ca="1">RAND()</f>
        <v>0.88525808592465072</v>
      </c>
      <c r="U22" s="5">
        <f ca="1">_xlfn.NORM.S.INV(T22)</f>
        <v>1.2016895583596789</v>
      </c>
      <c r="V22" s="5">
        <f t="shared" ref="V22:V85" ca="1" si="8">EXP(mu+sigma*U22)-1</f>
        <v>0.30597963034587883</v>
      </c>
      <c r="W22" s="5">
        <f ca="1">RAND()</f>
        <v>0.82961092763266742</v>
      </c>
      <c r="X22" s="5">
        <f ca="1">_xlfn.NORM.S.INV(W22)</f>
        <v>0.95262886914867151</v>
      </c>
      <c r="Y22" s="5">
        <f t="shared" ref="Y22:Y85" ca="1" si="9">EXP(mu+sigma*X22)-1</f>
        <v>0.25808953768057163</v>
      </c>
      <c r="Z22" s="5">
        <f ca="1">RAND()</f>
        <v>0.19233700223038175</v>
      </c>
      <c r="AA22" s="5">
        <f ca="1">_xlfn.NORM.S.INV(Z22)</f>
        <v>-0.86931656571520188</v>
      </c>
      <c r="AB22" s="5">
        <f t="shared" ref="AB22:AB85" ca="1" si="10">EXP(mu+sigma*AA22)-1</f>
        <v>-4.275650567149869E-2</v>
      </c>
      <c r="AC22" s="5">
        <f ca="1">RAND()</f>
        <v>0.55363811737008406</v>
      </c>
      <c r="AD22" s="5">
        <f ca="1">_xlfn.NORM.S.INV(AC22)</f>
        <v>0.13485848314189408</v>
      </c>
      <c r="AE22" s="5">
        <f t="shared" ref="AE22:AE85" ca="1" si="11">EXP(mu+sigma*AD22)-1</f>
        <v>0.1128549857458474</v>
      </c>
      <c r="AF22" s="5">
        <f ca="1">1+D22</f>
        <v>1.066756588951961</v>
      </c>
      <c r="AG22" s="5">
        <f ca="1">1+G22</f>
        <v>1.013621246801401</v>
      </c>
      <c r="AH22" s="5">
        <f ca="1">1+J22</f>
        <v>1.0878196795994568</v>
      </c>
      <c r="AI22" s="5">
        <f ca="1">1+M22</f>
        <v>1.2870210575858432</v>
      </c>
      <c r="AJ22" s="5">
        <f ca="1">1+P22</f>
        <v>1.0406561779911137</v>
      </c>
      <c r="AK22" s="5">
        <f ca="1">1+S22</f>
        <v>1.0335443206606556</v>
      </c>
      <c r="AL22" s="5">
        <f ca="1">1+V22</f>
        <v>1.3059796303458788</v>
      </c>
      <c r="AM22" s="5">
        <f ca="1">1+Y22</f>
        <v>1.2580895376805716</v>
      </c>
      <c r="AN22" s="5">
        <f ca="1">1+AB22</f>
        <v>0.95724349432850131</v>
      </c>
      <c r="AO22" s="5">
        <f ca="1">1+AE22</f>
        <v>1.1128549857458474</v>
      </c>
      <c r="AP22" s="5">
        <f ca="1">PRODUCT(AF22:AO22)</f>
        <v>2.8498954520205744</v>
      </c>
      <c r="AQ22" s="4">
        <f t="shared" ref="AQ22:AQ85" ca="1" si="12">initial_amount*AP22</f>
        <v>28498.954520205745</v>
      </c>
      <c r="AR22">
        <f t="shared" ref="AR22:AR85" ca="1" si="13">IF(AQ22&gt;upper_amount,1,0)</f>
        <v>1</v>
      </c>
      <c r="AS22">
        <f t="shared" ref="AS22:AS85" ca="1" si="14">IF(AQ22&lt;lower_amount,1,0)</f>
        <v>0</v>
      </c>
    </row>
    <row r="23" spans="1:45" x14ac:dyDescent="0.25">
      <c r="A23" s="10">
        <f>A22+1</f>
        <v>2</v>
      </c>
      <c r="B23" s="5">
        <f t="shared" ref="B23:B86" ca="1" si="15">RAND()</f>
        <v>0.32351884227074035</v>
      </c>
      <c r="C23" s="5">
        <f t="shared" ref="C23:C86" ca="1" si="16">_xlfn.NORM.S.INV(B23)</f>
        <v>-0.4578813526798638</v>
      </c>
      <c r="D23" s="5">
        <f t="shared" ca="1" si="2"/>
        <v>1.818109689733105E-2</v>
      </c>
      <c r="E23" s="5">
        <f t="shared" ref="E23:E86" ca="1" si="17">RAND()</f>
        <v>0.26237657912243306</v>
      </c>
      <c r="F23" s="5">
        <f t="shared" ref="F23:F86" ca="1" si="18">_xlfn.NORM.S.INV(E23)</f>
        <v>-0.63603569278543726</v>
      </c>
      <c r="G23" s="5">
        <f t="shared" ca="1" si="3"/>
        <v>-8.667572038762672E-3</v>
      </c>
      <c r="H23" s="5">
        <f t="shared" ref="H23:H86" ca="1" si="19">RAND()</f>
        <v>0.1288686022904364</v>
      </c>
      <c r="I23" s="5">
        <f t="shared" ref="I23:I86" ca="1" si="20">_xlfn.NORM.S.INV(H23)</f>
        <v>-1.13175558683054</v>
      </c>
      <c r="J23" s="5">
        <f t="shared" ca="1" si="4"/>
        <v>-7.9707144157411203E-2</v>
      </c>
      <c r="K23" s="5">
        <f t="shared" ref="K23:K86" ca="1" si="21">RAND()</f>
        <v>0.86273465262650528</v>
      </c>
      <c r="L23" s="5">
        <f t="shared" ref="L23:L86" ca="1" si="22">_xlfn.NORM.S.INV(K23)</f>
        <v>1.0926882630573755</v>
      </c>
      <c r="M23" s="5">
        <f t="shared" ca="1" si="5"/>
        <v>0.2848002251589663</v>
      </c>
      <c r="N23" s="5">
        <f t="shared" ref="N23:N86" ca="1" si="23">RAND()</f>
        <v>9.4808269303813697E-2</v>
      </c>
      <c r="O23" s="5">
        <f t="shared" ref="O23:O86" ca="1" si="24">_xlfn.NORM.S.INV(N23)</f>
        <v>-1.3117143337333856</v>
      </c>
      <c r="P23" s="5">
        <f t="shared" ca="1" si="6"/>
        <v>-0.10421706021513377</v>
      </c>
      <c r="Q23" s="5">
        <f t="shared" ref="Q23:Q86" ca="1" si="25">RAND()</f>
        <v>0.51761847306468423</v>
      </c>
      <c r="R23" s="5">
        <f t="shared" ref="R23:R86" ca="1" si="26">_xlfn.NORM.S.INV(Q23)</f>
        <v>4.4177328213851202E-2</v>
      </c>
      <c r="S23" s="5">
        <f t="shared" ca="1" si="7"/>
        <v>9.7820223965935371E-2</v>
      </c>
      <c r="T23" s="5">
        <f t="shared" ref="T23:T86" ca="1" si="27">RAND()</f>
        <v>5.0982526719733579E-2</v>
      </c>
      <c r="U23" s="5">
        <f t="shared" ref="U23:U86" ca="1" si="28">_xlfn.NORM.S.INV(T23)</f>
        <v>-1.6354008066203556</v>
      </c>
      <c r="V23" s="5">
        <f t="shared" ca="1" si="8"/>
        <v>-0.14667101081894962</v>
      </c>
      <c r="W23" s="5">
        <f t="shared" ref="W23:W86" ca="1" si="29">RAND()</f>
        <v>0.56044686248456277</v>
      </c>
      <c r="X23" s="5">
        <f t="shared" ref="X23:X86" ca="1" si="30">_xlfn.NORM.S.INV(W23)</f>
        <v>0.15210226849009703</v>
      </c>
      <c r="Y23" s="5">
        <f t="shared" ca="1" si="9"/>
        <v>0.11573718651748011</v>
      </c>
      <c r="Z23" s="5">
        <f t="shared" ref="Z23:Z86" ca="1" si="31">RAND()</f>
        <v>0.2066344247768771</v>
      </c>
      <c r="AA23" s="5">
        <f t="shared" ref="AA23:AA86" ca="1" si="32">_xlfn.NORM.S.INV(Z23)</f>
        <v>-0.81815471486560754</v>
      </c>
      <c r="AB23" s="5">
        <f t="shared" ca="1" si="10"/>
        <v>-3.5382092886118044E-2</v>
      </c>
      <c r="AC23" s="5">
        <f t="shared" ref="AC23:AC86" ca="1" si="33">RAND()</f>
        <v>0.36140154144335679</v>
      </c>
      <c r="AD23" s="5">
        <f t="shared" ref="AD23:AD86" ca="1" si="34">_xlfn.NORM.S.INV(AC23)</f>
        <v>-0.35471503937118354</v>
      </c>
      <c r="AE23" s="5">
        <f t="shared" ca="1" si="11"/>
        <v>3.4059940657663379E-2</v>
      </c>
      <c r="AF23" s="5">
        <f t="shared" ref="AF23:AF27" ca="1" si="35">1+D23</f>
        <v>1.0181810968973311</v>
      </c>
      <c r="AG23" s="5">
        <f t="shared" ref="AG23:AG27" ca="1" si="36">1+G23</f>
        <v>0.99133242796123733</v>
      </c>
      <c r="AH23" s="5">
        <f t="shared" ref="AH23:AH27" ca="1" si="37">1+J23</f>
        <v>0.9202928558425888</v>
      </c>
      <c r="AI23" s="5">
        <f t="shared" ref="AI23:AI27" ca="1" si="38">1+M23</f>
        <v>1.2848002251589663</v>
      </c>
      <c r="AJ23" s="5">
        <f t="shared" ref="AJ23:AJ27" ca="1" si="39">1+P23</f>
        <v>0.89578293978486623</v>
      </c>
      <c r="AK23" s="5">
        <f t="shared" ref="AK23:AK27" ca="1" si="40">1+S23</f>
        <v>1.0978202239659354</v>
      </c>
      <c r="AL23" s="5">
        <f t="shared" ref="AL23:AL27" ca="1" si="41">1+V23</f>
        <v>0.85332898918105038</v>
      </c>
      <c r="AM23" s="5">
        <f t="shared" ref="AM23:AM27" ca="1" si="42">1+Y23</f>
        <v>1.1157371865174801</v>
      </c>
      <c r="AN23" s="5">
        <f t="shared" ref="AN23:AN27" ca="1" si="43">1+AB23</f>
        <v>0.96461790711388196</v>
      </c>
      <c r="AO23" s="5">
        <f t="shared" ref="AO23:AO27" ca="1" si="44">1+AE23</f>
        <v>1.0340599406576634</v>
      </c>
      <c r="AP23" s="5">
        <f t="shared" ref="AP23:AP27" ca="1" si="45">PRODUCT(AF23:AO23)</f>
        <v>1.1146010630814029</v>
      </c>
      <c r="AQ23" s="4">
        <f t="shared" ca="1" si="12"/>
        <v>11146.010630814029</v>
      </c>
      <c r="AR23">
        <f t="shared" ca="1" si="13"/>
        <v>0</v>
      </c>
      <c r="AS23">
        <f t="shared" ca="1" si="14"/>
        <v>0</v>
      </c>
    </row>
    <row r="24" spans="1:45" x14ac:dyDescent="0.25">
      <c r="A24" s="10">
        <f t="shared" ref="A24:A27" si="46">A23+1</f>
        <v>3</v>
      </c>
      <c r="B24" s="5">
        <f t="shared" ca="1" si="15"/>
        <v>0.6769729593056828</v>
      </c>
      <c r="C24" s="5">
        <f t="shared" ca="1" si="16"/>
        <v>0.45925079018050846</v>
      </c>
      <c r="D24" s="5">
        <f t="shared" ca="1" si="2"/>
        <v>0.16834430018939028</v>
      </c>
      <c r="E24" s="5">
        <f t="shared" ca="1" si="17"/>
        <v>0.67165975447607962</v>
      </c>
      <c r="F24" s="5">
        <f t="shared" ca="1" si="18"/>
        <v>0.44450088237718177</v>
      </c>
      <c r="G24" s="5">
        <f t="shared" ca="1" si="3"/>
        <v>0.16576221205328312</v>
      </c>
      <c r="H24" s="5">
        <f t="shared" ca="1" si="19"/>
        <v>0.28349450726677994</v>
      </c>
      <c r="I24" s="5">
        <f t="shared" ca="1" si="20"/>
        <v>-0.57249154165765948</v>
      </c>
      <c r="J24" s="5">
        <f t="shared" ca="1" si="4"/>
        <v>8.2661020541352492E-4</v>
      </c>
      <c r="K24" s="5">
        <f t="shared" ca="1" si="21"/>
        <v>0.85958469140193261</v>
      </c>
      <c r="L24" s="5">
        <f t="shared" ca="1" si="22"/>
        <v>1.078455305651143</v>
      </c>
      <c r="M24" s="5">
        <f t="shared" ca="1" si="5"/>
        <v>0.28206017509388426</v>
      </c>
      <c r="N24" s="5">
        <f t="shared" ca="1" si="23"/>
        <v>0.46459838933179176</v>
      </c>
      <c r="O24" s="5">
        <f t="shared" ca="1" si="24"/>
        <v>-8.8855463251550526E-2</v>
      </c>
      <c r="P24" s="5">
        <f t="shared" ca="1" si="6"/>
        <v>7.6130439305084563E-2</v>
      </c>
      <c r="Q24" s="5">
        <f t="shared" ca="1" si="25"/>
        <v>0.21563620695713281</v>
      </c>
      <c r="R24" s="5">
        <f t="shared" ca="1" si="26"/>
        <v>-0.78701614700424072</v>
      </c>
      <c r="S24" s="5">
        <f t="shared" ca="1" si="7"/>
        <v>-3.0866031295486929E-2</v>
      </c>
      <c r="T24" s="5">
        <f t="shared" ca="1" si="27"/>
        <v>0.61751722795687403</v>
      </c>
      <c r="U24" s="5">
        <f t="shared" ca="1" si="28"/>
        <v>0.29896658156270661</v>
      </c>
      <c r="V24" s="5">
        <f t="shared" ca="1" si="8"/>
        <v>0.14058921852273176</v>
      </c>
      <c r="W24" s="5">
        <f t="shared" ca="1" si="29"/>
        <v>0.41804142786434595</v>
      </c>
      <c r="X24" s="5">
        <f t="shared" ca="1" si="30"/>
        <v>-0.20690653120153898</v>
      </c>
      <c r="Y24" s="5">
        <f t="shared" ca="1" si="9"/>
        <v>5.7242412090385608E-2</v>
      </c>
      <c r="Z24" s="5">
        <f t="shared" ca="1" si="31"/>
        <v>0.27059836301386786</v>
      </c>
      <c r="AA24" s="5">
        <f t="shared" ca="1" si="32"/>
        <v>-0.61100431145588463</v>
      </c>
      <c r="AB24" s="5">
        <f t="shared" ca="1" si="10"/>
        <v>-4.9384124644004102E-3</v>
      </c>
      <c r="AC24" s="5">
        <f t="shared" ca="1" si="33"/>
        <v>0.17490178166160186</v>
      </c>
      <c r="AD24" s="5">
        <f t="shared" ca="1" si="34"/>
        <v>-0.93497038205707894</v>
      </c>
      <c r="AE24" s="5">
        <f t="shared" ca="1" si="11"/>
        <v>-5.2137242055979249E-2</v>
      </c>
      <c r="AF24" s="5">
        <f t="shared" ca="1" si="35"/>
        <v>1.1683443001893903</v>
      </c>
      <c r="AG24" s="5">
        <f t="shared" ca="1" si="36"/>
        <v>1.1657622120532831</v>
      </c>
      <c r="AH24" s="5">
        <f t="shared" ca="1" si="37"/>
        <v>1.0008266102054135</v>
      </c>
      <c r="AI24" s="5">
        <f t="shared" ca="1" si="38"/>
        <v>1.2820601750938843</v>
      </c>
      <c r="AJ24" s="5">
        <f t="shared" ca="1" si="39"/>
        <v>1.0761304393050846</v>
      </c>
      <c r="AK24" s="5">
        <f t="shared" ca="1" si="40"/>
        <v>0.96913396870451307</v>
      </c>
      <c r="AL24" s="5">
        <f t="shared" ca="1" si="41"/>
        <v>1.1405892185227318</v>
      </c>
      <c r="AM24" s="5">
        <f t="shared" ca="1" si="42"/>
        <v>1.0572424120903856</v>
      </c>
      <c r="AN24" s="5">
        <f t="shared" ca="1" si="43"/>
        <v>0.99506158753559959</v>
      </c>
      <c r="AO24" s="5">
        <f t="shared" ca="1" si="44"/>
        <v>0.94786275794402075</v>
      </c>
      <c r="AP24" s="5">
        <f t="shared" ca="1" si="45"/>
        <v>2.0729845438067183</v>
      </c>
      <c r="AQ24" s="4">
        <f t="shared" ca="1" si="12"/>
        <v>20729.845438067183</v>
      </c>
      <c r="AR24">
        <f t="shared" ca="1" si="13"/>
        <v>0</v>
      </c>
      <c r="AS24">
        <f t="shared" ca="1" si="14"/>
        <v>0</v>
      </c>
    </row>
    <row r="25" spans="1:45" x14ac:dyDescent="0.25">
      <c r="A25" s="10">
        <f t="shared" si="46"/>
        <v>4</v>
      </c>
      <c r="B25" s="5">
        <f t="shared" ca="1" si="15"/>
        <v>0.50175842332630782</v>
      </c>
      <c r="C25" s="5">
        <f t="shared" ca="1" si="16"/>
        <v>4.4077279007231664E-3</v>
      </c>
      <c r="D25" s="5">
        <f t="shared" ca="1" si="2"/>
        <v>9.1290738228804402E-2</v>
      </c>
      <c r="E25" s="5">
        <f t="shared" ca="1" si="17"/>
        <v>0.81782177260686328</v>
      </c>
      <c r="F25" s="5">
        <f t="shared" ca="1" si="18"/>
        <v>0.90709520262915955</v>
      </c>
      <c r="G25" s="5">
        <f t="shared" ca="1" si="3"/>
        <v>0.24952600124285951</v>
      </c>
      <c r="H25" s="5">
        <f t="shared" ca="1" si="19"/>
        <v>0.63301052518192369</v>
      </c>
      <c r="I25" s="5">
        <f t="shared" ca="1" si="20"/>
        <v>0.33983744190736132</v>
      </c>
      <c r="J25" s="5">
        <f t="shared" ca="1" si="4"/>
        <v>0.1476032260929343</v>
      </c>
      <c r="K25" s="5">
        <f t="shared" ca="1" si="21"/>
        <v>0.71952410046421433</v>
      </c>
      <c r="L25" s="5">
        <f t="shared" ca="1" si="22"/>
        <v>0.58142834404044008</v>
      </c>
      <c r="M25" s="5">
        <f t="shared" ca="1" si="5"/>
        <v>0.18995352484188888</v>
      </c>
      <c r="N25" s="5">
        <f t="shared" ca="1" si="23"/>
        <v>0.79872887188028463</v>
      </c>
      <c r="O25" s="5">
        <f t="shared" ca="1" si="24"/>
        <v>0.83708951023186839</v>
      </c>
      <c r="P25" s="5">
        <f t="shared" ca="1" si="6"/>
        <v>0.23647356212645043</v>
      </c>
      <c r="Q25" s="5">
        <f t="shared" ca="1" si="25"/>
        <v>0.86332216730934386</v>
      </c>
      <c r="R25" s="5">
        <f t="shared" ca="1" si="26"/>
        <v>1.0953675024277436</v>
      </c>
      <c r="S25" s="5">
        <f t="shared" ca="1" si="7"/>
        <v>0.28531667203032018</v>
      </c>
      <c r="T25" s="5">
        <f t="shared" ca="1" si="27"/>
        <v>0.47103767924649687</v>
      </c>
      <c r="U25" s="5">
        <f t="shared" ca="1" si="28"/>
        <v>-7.2661660327078367E-2</v>
      </c>
      <c r="V25" s="5">
        <f t="shared" ca="1" si="8"/>
        <v>7.8747613306493491E-2</v>
      </c>
      <c r="W25" s="5">
        <f t="shared" ca="1" si="29"/>
        <v>0.83556721486798402</v>
      </c>
      <c r="X25" s="5">
        <f t="shared" ca="1" si="30"/>
        <v>0.97640143580935568</v>
      </c>
      <c r="Y25" s="5">
        <f t="shared" ca="1" si="9"/>
        <v>0.26258374844770294</v>
      </c>
      <c r="Z25" s="5">
        <f t="shared" ca="1" si="31"/>
        <v>0.51259451762667851</v>
      </c>
      <c r="AA25" s="5">
        <f t="shared" ca="1" si="32"/>
        <v>3.1575019824267456E-2</v>
      </c>
      <c r="AB25" s="5">
        <f t="shared" ca="1" si="10"/>
        <v>9.574692385807082E-2</v>
      </c>
      <c r="AC25" s="5">
        <f t="shared" ca="1" si="33"/>
        <v>9.1678307598850095E-2</v>
      </c>
      <c r="AD25" s="5">
        <f t="shared" ca="1" si="34"/>
        <v>-1.3304908011298013</v>
      </c>
      <c r="AE25" s="5">
        <f t="shared" ca="1" si="11"/>
        <v>-0.1067364565219816</v>
      </c>
      <c r="AF25" s="5">
        <f t="shared" ca="1" si="35"/>
        <v>1.0912907382288044</v>
      </c>
      <c r="AG25" s="5">
        <f t="shared" ca="1" si="36"/>
        <v>1.2495260012428595</v>
      </c>
      <c r="AH25" s="5">
        <f t="shared" ca="1" si="37"/>
        <v>1.1476032260929343</v>
      </c>
      <c r="AI25" s="5">
        <f t="shared" ca="1" si="38"/>
        <v>1.1899535248418889</v>
      </c>
      <c r="AJ25" s="5">
        <f t="shared" ca="1" si="39"/>
        <v>1.2364735621264504</v>
      </c>
      <c r="AK25" s="5">
        <f t="shared" ca="1" si="40"/>
        <v>1.2853166720303202</v>
      </c>
      <c r="AL25" s="5">
        <f t="shared" ca="1" si="41"/>
        <v>1.0787476133064935</v>
      </c>
      <c r="AM25" s="5">
        <f t="shared" ca="1" si="42"/>
        <v>1.2625837484477029</v>
      </c>
      <c r="AN25" s="5">
        <f t="shared" ca="1" si="43"/>
        <v>1.0957469238580708</v>
      </c>
      <c r="AO25" s="5">
        <f t="shared" ca="1" si="44"/>
        <v>0.8932635434780184</v>
      </c>
      <c r="AP25" s="5">
        <f t="shared" ca="1" si="45"/>
        <v>3.9452308058176029</v>
      </c>
      <c r="AQ25" s="4">
        <f t="shared" ca="1" si="12"/>
        <v>39452.30805817603</v>
      </c>
      <c r="AR25">
        <f t="shared" ca="1" si="13"/>
        <v>1</v>
      </c>
      <c r="AS25">
        <f t="shared" ca="1" si="14"/>
        <v>0</v>
      </c>
    </row>
    <row r="26" spans="1:45" x14ac:dyDescent="0.25">
      <c r="A26" s="10">
        <f t="shared" si="46"/>
        <v>5</v>
      </c>
      <c r="B26" s="5">
        <f t="shared" ca="1" si="15"/>
        <v>0.41376401663957496</v>
      </c>
      <c r="C26" s="5">
        <f t="shared" ca="1" si="16"/>
        <v>-0.21787304030222227</v>
      </c>
      <c r="D26" s="5">
        <f t="shared" ca="1" si="2"/>
        <v>5.5504702947393625E-2</v>
      </c>
      <c r="E26" s="5">
        <f t="shared" ca="1" si="17"/>
        <v>2.3782115275092663E-2</v>
      </c>
      <c r="F26" s="5">
        <f t="shared" ca="1" si="18"/>
        <v>-1.9812412033426698</v>
      </c>
      <c r="G26" s="5">
        <f t="shared" ca="1" si="3"/>
        <v>-0.18980974850097043</v>
      </c>
      <c r="H26" s="5">
        <f t="shared" ca="1" si="19"/>
        <v>0.31543919895666428</v>
      </c>
      <c r="I26" s="5">
        <f t="shared" ca="1" si="20"/>
        <v>-0.48049086401518393</v>
      </c>
      <c r="J26" s="5">
        <f t="shared" ca="1" si="4"/>
        <v>1.473385917072112E-2</v>
      </c>
      <c r="K26" s="5">
        <f t="shared" ca="1" si="21"/>
        <v>7.9273899619417554E-2</v>
      </c>
      <c r="L26" s="5">
        <f t="shared" ca="1" si="22"/>
        <v>-1.409972513353394</v>
      </c>
      <c r="M26" s="5">
        <f t="shared" ca="1" si="5"/>
        <v>-0.1173229411164175</v>
      </c>
      <c r="N26" s="5">
        <f t="shared" ca="1" si="23"/>
        <v>0.92798409703498774</v>
      </c>
      <c r="O26" s="5">
        <f t="shared" ca="1" si="24"/>
        <v>1.4609403721539871</v>
      </c>
      <c r="P26" s="5">
        <f t="shared" ca="1" si="6"/>
        <v>0.35776648032054625</v>
      </c>
      <c r="Q26" s="5">
        <f t="shared" ca="1" si="25"/>
        <v>8.6473945408150898E-3</v>
      </c>
      <c r="R26" s="5">
        <f t="shared" ca="1" si="26"/>
        <v>-2.3803800829093076</v>
      </c>
      <c r="S26" s="5">
        <f t="shared" ca="1" si="7"/>
        <v>-0.23689299299273792</v>
      </c>
      <c r="T26" s="5">
        <f t="shared" ca="1" si="27"/>
        <v>0.7583201976516053</v>
      </c>
      <c r="U26" s="5">
        <f t="shared" ca="1" si="28"/>
        <v>0.70090932485440927</v>
      </c>
      <c r="V26" s="5">
        <f t="shared" ca="1" si="8"/>
        <v>0.21147230234180014</v>
      </c>
      <c r="W26" s="5">
        <f t="shared" ca="1" si="29"/>
        <v>0.58264451088891156</v>
      </c>
      <c r="X26" s="5">
        <f t="shared" ca="1" si="30"/>
        <v>0.2086634454823123</v>
      </c>
      <c r="Y26" s="5">
        <f t="shared" ca="1" si="9"/>
        <v>0.1252435676746646</v>
      </c>
      <c r="Z26" s="5">
        <f t="shared" ca="1" si="31"/>
        <v>0.83887937190181916</v>
      </c>
      <c r="AA26" s="5">
        <f t="shared" ca="1" si="32"/>
        <v>0.98986265290277708</v>
      </c>
      <c r="AB26" s="5">
        <f t="shared" ca="1" si="10"/>
        <v>0.26513571111038114</v>
      </c>
      <c r="AC26" s="5">
        <f t="shared" ca="1" si="33"/>
        <v>0.37080774177192588</v>
      </c>
      <c r="AD26" s="5">
        <f t="shared" ca="1" si="34"/>
        <v>-0.32971478176327912</v>
      </c>
      <c r="AE26" s="5">
        <f t="shared" ca="1" si="11"/>
        <v>3.7944985373455697E-2</v>
      </c>
      <c r="AF26" s="5">
        <f t="shared" ca="1" si="35"/>
        <v>1.0555047029473936</v>
      </c>
      <c r="AG26" s="5">
        <f t="shared" ca="1" si="36"/>
        <v>0.81019025149902957</v>
      </c>
      <c r="AH26" s="5">
        <f t="shared" ca="1" si="37"/>
        <v>1.0147338591707211</v>
      </c>
      <c r="AI26" s="5">
        <f t="shared" ca="1" si="38"/>
        <v>0.8826770588835825</v>
      </c>
      <c r="AJ26" s="5">
        <f t="shared" ca="1" si="39"/>
        <v>1.3577664803205463</v>
      </c>
      <c r="AK26" s="5">
        <f t="shared" ca="1" si="40"/>
        <v>0.76310700700726208</v>
      </c>
      <c r="AL26" s="5">
        <f t="shared" ca="1" si="41"/>
        <v>1.2114723023418001</v>
      </c>
      <c r="AM26" s="5">
        <f t="shared" ca="1" si="42"/>
        <v>1.1252435676746646</v>
      </c>
      <c r="AN26" s="5">
        <f t="shared" ca="1" si="43"/>
        <v>1.2651357111103811</v>
      </c>
      <c r="AO26" s="5">
        <f t="shared" ca="1" si="44"/>
        <v>1.0379449853734557</v>
      </c>
      <c r="AP26" s="5">
        <f t="shared" ca="1" si="45"/>
        <v>1.4206371901959711</v>
      </c>
      <c r="AQ26" s="4">
        <f t="shared" ca="1" si="12"/>
        <v>14206.371901959712</v>
      </c>
      <c r="AR26">
        <f t="shared" ca="1" si="13"/>
        <v>0</v>
      </c>
      <c r="AS26">
        <f t="shared" ca="1" si="14"/>
        <v>0</v>
      </c>
    </row>
    <row r="27" spans="1:45" x14ac:dyDescent="0.25">
      <c r="A27" s="10">
        <f t="shared" si="46"/>
        <v>6</v>
      </c>
      <c r="B27" s="5">
        <f t="shared" ca="1" si="15"/>
        <v>2.4070708687290332E-2</v>
      </c>
      <c r="C27" s="5">
        <f t="shared" ca="1" si="16"/>
        <v>-1.9761179721064086</v>
      </c>
      <c r="D27" s="5">
        <f t="shared" ca="1" si="2"/>
        <v>-0.18918689040259984</v>
      </c>
      <c r="E27" s="5">
        <f t="shared" ca="1" si="17"/>
        <v>0.37356498002871308</v>
      </c>
      <c r="F27" s="5">
        <f t="shared" ca="1" si="18"/>
        <v>-0.32242603940651493</v>
      </c>
      <c r="G27" s="5">
        <f t="shared" ca="1" si="3"/>
        <v>3.9080402979668305E-2</v>
      </c>
      <c r="H27" s="5">
        <f t="shared" ca="1" si="19"/>
        <v>0.94753050447277565</v>
      </c>
      <c r="I27" s="5">
        <f t="shared" ca="1" si="20"/>
        <v>1.6213668257133953</v>
      </c>
      <c r="J27" s="5">
        <f t="shared" ca="1" si="4"/>
        <v>0.39083602594930866</v>
      </c>
      <c r="K27" s="5">
        <f t="shared" ca="1" si="21"/>
        <v>0.55096398407113534</v>
      </c>
      <c r="L27" s="5">
        <f t="shared" ca="1" si="22"/>
        <v>0.12809722528951967</v>
      </c>
      <c r="M27" s="5">
        <f t="shared" ca="1" si="5"/>
        <v>0.11172691295522674</v>
      </c>
      <c r="N27" s="5">
        <f t="shared" ca="1" si="23"/>
        <v>0.95512588224626815</v>
      </c>
      <c r="O27" s="5">
        <f t="shared" ca="1" si="24"/>
        <v>1.6967272648914402</v>
      </c>
      <c r="P27" s="5">
        <f t="shared" ca="1" si="6"/>
        <v>0.4066473256307932</v>
      </c>
      <c r="Q27" s="5">
        <f t="shared" ca="1" si="25"/>
        <v>0.75589212259201988</v>
      </c>
      <c r="R27" s="5">
        <f t="shared" ca="1" si="26"/>
        <v>0.69314947022580597</v>
      </c>
      <c r="S27" s="5">
        <f t="shared" ca="1" si="7"/>
        <v>0.21006299535930184</v>
      </c>
      <c r="T27" s="5">
        <f t="shared" ca="1" si="27"/>
        <v>0.44132103616665974</v>
      </c>
      <c r="U27" s="5">
        <f t="shared" ca="1" si="28"/>
        <v>-0.14762075766914171</v>
      </c>
      <c r="V27" s="5">
        <f t="shared" ca="1" si="8"/>
        <v>6.6686256406079059E-2</v>
      </c>
      <c r="W27" s="5">
        <f t="shared" ca="1" si="29"/>
        <v>0.1241088165352715</v>
      </c>
      <c r="X27" s="5">
        <f t="shared" ca="1" si="30"/>
        <v>-1.15468942138144</v>
      </c>
      <c r="Y27" s="5">
        <f t="shared" ca="1" si="9"/>
        <v>-8.2867581583625172E-2</v>
      </c>
      <c r="Z27" s="5">
        <f t="shared" ca="1" si="31"/>
        <v>0.20540726547421728</v>
      </c>
      <c r="AA27" s="5">
        <f t="shared" ca="1" si="32"/>
        <v>-0.82246107614142228</v>
      </c>
      <c r="AB27" s="5">
        <f t="shared" ca="1" si="10"/>
        <v>-3.6004990662917069E-2</v>
      </c>
      <c r="AC27" s="5">
        <f t="shared" ca="1" si="33"/>
        <v>0.17498380549261705</v>
      </c>
      <c r="AD27" s="5">
        <f t="shared" ca="1" si="34"/>
        <v>-0.93465211704817708</v>
      </c>
      <c r="AE27" s="5">
        <f t="shared" ca="1" si="11"/>
        <v>-5.2091990243468556E-2</v>
      </c>
      <c r="AF27" s="5">
        <f t="shared" ca="1" si="35"/>
        <v>0.81081310959740016</v>
      </c>
      <c r="AG27" s="5">
        <f t="shared" ca="1" si="36"/>
        <v>1.0390804029796683</v>
      </c>
      <c r="AH27" s="5">
        <f t="shared" ca="1" si="37"/>
        <v>1.3908360259493087</v>
      </c>
      <c r="AI27" s="5">
        <f t="shared" ca="1" si="38"/>
        <v>1.1117269129552267</v>
      </c>
      <c r="AJ27" s="5">
        <f t="shared" ca="1" si="39"/>
        <v>1.4066473256307932</v>
      </c>
      <c r="AK27" s="5">
        <f t="shared" ca="1" si="40"/>
        <v>1.2100629953593018</v>
      </c>
      <c r="AL27" s="5">
        <f t="shared" ca="1" si="41"/>
        <v>1.0666862564060791</v>
      </c>
      <c r="AM27" s="5">
        <f t="shared" ca="1" si="42"/>
        <v>0.91713241841637483</v>
      </c>
      <c r="AN27" s="5">
        <f t="shared" ca="1" si="43"/>
        <v>0.96399500933708293</v>
      </c>
      <c r="AO27" s="5">
        <f t="shared" ca="1" si="44"/>
        <v>0.94790800975653144</v>
      </c>
      <c r="AP27" s="5">
        <f t="shared" ca="1" si="45"/>
        <v>1.9821973663806347</v>
      </c>
      <c r="AQ27" s="4">
        <f t="shared" ca="1" si="12"/>
        <v>19821.973663806348</v>
      </c>
      <c r="AR27">
        <f t="shared" ca="1" si="13"/>
        <v>0</v>
      </c>
      <c r="AS27">
        <f t="shared" ca="1" si="14"/>
        <v>0</v>
      </c>
    </row>
    <row r="28" spans="1:45" x14ac:dyDescent="0.25">
      <c r="A28" s="10">
        <f t="shared" ref="A28:A91" si="47">A27+1</f>
        <v>7</v>
      </c>
      <c r="B28" s="5">
        <f t="shared" ca="1" si="15"/>
        <v>0.95339673862836138</v>
      </c>
      <c r="C28" s="5">
        <f t="shared" ca="1" si="16"/>
        <v>1.6787205307545805</v>
      </c>
      <c r="D28" s="5">
        <f t="shared" ca="1" si="2"/>
        <v>0.40285308341828419</v>
      </c>
      <c r="E28" s="5">
        <f t="shared" ca="1" si="17"/>
        <v>0.76924879169427074</v>
      </c>
      <c r="F28" s="5">
        <f t="shared" ca="1" si="18"/>
        <v>0.73637516110081791</v>
      </c>
      <c r="G28" s="5">
        <f t="shared" ca="1" si="3"/>
        <v>0.21793435750961532</v>
      </c>
      <c r="H28" s="5">
        <f t="shared" ca="1" si="19"/>
        <v>6.5920537831404724E-2</v>
      </c>
      <c r="I28" s="5">
        <f t="shared" ca="1" si="20"/>
        <v>-1.5068813383562438</v>
      </c>
      <c r="J28" s="5">
        <f t="shared" ca="1" si="4"/>
        <v>-0.1300610139357552</v>
      </c>
      <c r="K28" s="5">
        <f t="shared" ca="1" si="21"/>
        <v>0.73931975786913251</v>
      </c>
      <c r="L28" s="5">
        <f t="shared" ca="1" si="22"/>
        <v>0.64124966849179499</v>
      </c>
      <c r="M28" s="5">
        <f t="shared" ca="1" si="5"/>
        <v>0.20067926435328487</v>
      </c>
      <c r="N28" s="5">
        <f t="shared" ca="1" si="23"/>
        <v>4.017504688129292E-2</v>
      </c>
      <c r="O28" s="5">
        <f t="shared" ca="1" si="24"/>
        <v>-1.7486583489315022</v>
      </c>
      <c r="P28" s="5">
        <f t="shared" ca="1" si="6"/>
        <v>-0.16104545564160211</v>
      </c>
      <c r="Q28" s="5">
        <f t="shared" ca="1" si="25"/>
        <v>0.92258832958583492</v>
      </c>
      <c r="R28" s="5">
        <f t="shared" ca="1" si="26"/>
        <v>1.4226993096927354</v>
      </c>
      <c r="S28" s="5">
        <f t="shared" ca="1" si="7"/>
        <v>0.35000041040488483</v>
      </c>
      <c r="T28" s="5">
        <f t="shared" ca="1" si="27"/>
        <v>0.36951713439341094</v>
      </c>
      <c r="U28" s="5">
        <f t="shared" ca="1" si="28"/>
        <v>-0.33313249855954236</v>
      </c>
      <c r="V28" s="5">
        <f t="shared" ca="1" si="8"/>
        <v>3.7413011443808264E-2</v>
      </c>
      <c r="W28" s="5">
        <f t="shared" ca="1" si="29"/>
        <v>0.30283687739227261</v>
      </c>
      <c r="X28" s="5">
        <f t="shared" ca="1" si="30"/>
        <v>-0.51625867491151378</v>
      </c>
      <c r="Y28" s="5">
        <f t="shared" ca="1" si="9"/>
        <v>9.3042163601586569E-3</v>
      </c>
      <c r="Z28" s="5">
        <f t="shared" ca="1" si="31"/>
        <v>0.11753667280922597</v>
      </c>
      <c r="AA28" s="5">
        <f t="shared" ca="1" si="32"/>
        <v>-1.1873912098263946</v>
      </c>
      <c r="AB28" s="5">
        <f t="shared" ca="1" si="10"/>
        <v>-8.7355346288602309E-2</v>
      </c>
      <c r="AC28" s="5">
        <f t="shared" ca="1" si="33"/>
        <v>0.69063598057649178</v>
      </c>
      <c r="AD28" s="5">
        <f t="shared" ca="1" si="34"/>
        <v>0.49765385362793779</v>
      </c>
      <c r="AE28" s="5">
        <f t="shared" ca="1" si="11"/>
        <v>0.17509392203004537</v>
      </c>
      <c r="AF28" s="5">
        <f t="shared" ref="AF28:AF91" ca="1" si="48">1+D28</f>
        <v>1.4028530834182842</v>
      </c>
      <c r="AG28" s="5">
        <f t="shared" ref="AG28:AG91" ca="1" si="49">1+G28</f>
        <v>1.2179343575096153</v>
      </c>
      <c r="AH28" s="5">
        <f t="shared" ref="AH28:AH91" ca="1" si="50">1+J28</f>
        <v>0.8699389860642448</v>
      </c>
      <c r="AI28" s="5">
        <f t="shared" ref="AI28:AI91" ca="1" si="51">1+M28</f>
        <v>1.2006792643532849</v>
      </c>
      <c r="AJ28" s="5">
        <f t="shared" ref="AJ28:AJ91" ca="1" si="52">1+P28</f>
        <v>0.83895454435839789</v>
      </c>
      <c r="AK28" s="5">
        <f t="shared" ref="AK28:AK91" ca="1" si="53">1+S28</f>
        <v>1.3500004104048848</v>
      </c>
      <c r="AL28" s="5">
        <f t="shared" ref="AL28:AL91" ca="1" si="54">1+V28</f>
        <v>1.0374130114438083</v>
      </c>
      <c r="AM28" s="5">
        <f t="shared" ref="AM28:AM91" ca="1" si="55">1+Y28</f>
        <v>1.0093042163601587</v>
      </c>
      <c r="AN28" s="5">
        <f t="shared" ref="AN28:AN91" ca="1" si="56">1+AB28</f>
        <v>0.91264465371139769</v>
      </c>
      <c r="AO28" s="5">
        <f t="shared" ref="AO28:AO91" ca="1" si="57">1+AE28</f>
        <v>1.1750939220300454</v>
      </c>
      <c r="AP28" s="5">
        <f t="shared" ref="AP28:AP91" ca="1" si="58">PRODUCT(AF28:AO28)</f>
        <v>2.2697199820571887</v>
      </c>
      <c r="AQ28" s="4">
        <f t="shared" ca="1" si="12"/>
        <v>22697.199820571888</v>
      </c>
      <c r="AR28">
        <f t="shared" ca="1" si="13"/>
        <v>0</v>
      </c>
      <c r="AS28">
        <f t="shared" ca="1" si="14"/>
        <v>0</v>
      </c>
    </row>
    <row r="29" spans="1:45" x14ac:dyDescent="0.25">
      <c r="A29" s="10">
        <f t="shared" si="47"/>
        <v>8</v>
      </c>
      <c r="B29" s="5">
        <f t="shared" ca="1" si="15"/>
        <v>0.67228217429630355</v>
      </c>
      <c r="C29" s="5">
        <f t="shared" ca="1" si="16"/>
        <v>0.44622371870405914</v>
      </c>
      <c r="D29" s="5">
        <f t="shared" ca="1" si="2"/>
        <v>0.16606351360671479</v>
      </c>
      <c r="E29" s="5">
        <f t="shared" ca="1" si="17"/>
        <v>0.21524445867421704</v>
      </c>
      <c r="F29" s="5">
        <f t="shared" ca="1" si="18"/>
        <v>-0.78835528641229824</v>
      </c>
      <c r="G29" s="5">
        <f t="shared" ca="1" si="3"/>
        <v>-3.1060682568320064E-2</v>
      </c>
      <c r="H29" s="5">
        <f t="shared" ca="1" si="19"/>
        <v>0.61029273730673539</v>
      </c>
      <c r="I29" s="5">
        <f t="shared" ca="1" si="20"/>
        <v>0.28008208966723619</v>
      </c>
      <c r="J29" s="5">
        <f t="shared" ca="1" si="4"/>
        <v>0.1373628730941614</v>
      </c>
      <c r="K29" s="5">
        <f t="shared" ca="1" si="21"/>
        <v>0.62438422778904767</v>
      </c>
      <c r="L29" s="5">
        <f t="shared" ca="1" si="22"/>
        <v>0.317015890997839</v>
      </c>
      <c r="M29" s="5">
        <f t="shared" ca="1" si="5"/>
        <v>0.14368142971618147</v>
      </c>
      <c r="N29" s="5">
        <f t="shared" ca="1" si="23"/>
        <v>6.4625107817248173E-2</v>
      </c>
      <c r="O29" s="5">
        <f t="shared" ca="1" si="24"/>
        <v>-1.5170652305926255</v>
      </c>
      <c r="P29" s="5">
        <f t="shared" ca="1" si="6"/>
        <v>-0.13138890417864513</v>
      </c>
      <c r="Q29" s="5">
        <f t="shared" ca="1" si="25"/>
        <v>0.15788605815821621</v>
      </c>
      <c r="R29" s="5">
        <f t="shared" ca="1" si="26"/>
        <v>-1.0031839482441836</v>
      </c>
      <c r="S29" s="5">
        <f t="shared" ca="1" si="7"/>
        <v>-6.1786357674263992E-2</v>
      </c>
      <c r="T29" s="5">
        <f t="shared" ca="1" si="27"/>
        <v>8.5765938748233017E-2</v>
      </c>
      <c r="U29" s="5">
        <f t="shared" ca="1" si="28"/>
        <v>-1.3672981303672729</v>
      </c>
      <c r="V29" s="5">
        <f t="shared" ca="1" si="8"/>
        <v>-0.11165466387400003</v>
      </c>
      <c r="W29" s="5">
        <f t="shared" ca="1" si="29"/>
        <v>0.47856189799678717</v>
      </c>
      <c r="X29" s="5">
        <f t="shared" ca="1" si="30"/>
        <v>-5.3763241727561251E-2</v>
      </c>
      <c r="Y29" s="5">
        <f t="shared" ca="1" si="9"/>
        <v>8.1809945342159685E-2</v>
      </c>
      <c r="Z29" s="5">
        <f t="shared" ca="1" si="31"/>
        <v>0.20126351549686361</v>
      </c>
      <c r="AA29" s="5">
        <f t="shared" ca="1" si="32"/>
        <v>-0.8371165989426903</v>
      </c>
      <c r="AB29" s="5">
        <f t="shared" ca="1" si="10"/>
        <v>-3.8121840670598539E-2</v>
      </c>
      <c r="AC29" s="5">
        <f t="shared" ca="1" si="33"/>
        <v>0.68073675039131354</v>
      </c>
      <c r="AD29" s="5">
        <f t="shared" ca="1" si="34"/>
        <v>0.4697599946445567</v>
      </c>
      <c r="AE29" s="5">
        <f t="shared" ca="1" si="11"/>
        <v>0.1701875079765236</v>
      </c>
      <c r="AF29" s="5">
        <f t="shared" ca="1" si="48"/>
        <v>1.1660635136067148</v>
      </c>
      <c r="AG29" s="5">
        <f t="shared" ca="1" si="49"/>
        <v>0.96893931743167994</v>
      </c>
      <c r="AH29" s="5">
        <f t="shared" ca="1" si="50"/>
        <v>1.1373628730941614</v>
      </c>
      <c r="AI29" s="5">
        <f t="shared" ca="1" si="51"/>
        <v>1.1436814297161815</v>
      </c>
      <c r="AJ29" s="5">
        <f t="shared" ca="1" si="52"/>
        <v>0.86861109582135487</v>
      </c>
      <c r="AK29" s="5">
        <f t="shared" ca="1" si="53"/>
        <v>0.93821364232573601</v>
      </c>
      <c r="AL29" s="5">
        <f t="shared" ca="1" si="54"/>
        <v>0.88834533612599997</v>
      </c>
      <c r="AM29" s="5">
        <f t="shared" ca="1" si="55"/>
        <v>1.0818099453421597</v>
      </c>
      <c r="AN29" s="5">
        <f t="shared" ca="1" si="56"/>
        <v>0.96187815932940146</v>
      </c>
      <c r="AO29" s="5">
        <f t="shared" ca="1" si="57"/>
        <v>1.1701875079765236</v>
      </c>
      <c r="AP29" s="5">
        <f t="shared" ca="1" si="58"/>
        <v>1.2955624026792478</v>
      </c>
      <c r="AQ29" s="4">
        <f t="shared" ca="1" si="12"/>
        <v>12955.624026792479</v>
      </c>
      <c r="AR29">
        <f t="shared" ca="1" si="13"/>
        <v>0</v>
      </c>
      <c r="AS29">
        <f t="shared" ca="1" si="14"/>
        <v>0</v>
      </c>
    </row>
    <row r="30" spans="1:45" x14ac:dyDescent="0.25">
      <c r="A30" s="10">
        <f t="shared" si="47"/>
        <v>9</v>
      </c>
      <c r="B30" s="5">
        <f t="shared" ca="1" si="15"/>
        <v>0.12393402445006674</v>
      </c>
      <c r="C30" s="5">
        <f t="shared" ca="1" si="16"/>
        <v>-1.1555432090719751</v>
      </c>
      <c r="D30" s="5">
        <f t="shared" ca="1" si="2"/>
        <v>-8.2985029518209852E-2</v>
      </c>
      <c r="E30" s="5">
        <f t="shared" ca="1" si="17"/>
        <v>0.12306642159810277</v>
      </c>
      <c r="F30" s="5">
        <f t="shared" ca="1" si="18"/>
        <v>-1.1597936177676056</v>
      </c>
      <c r="G30" s="5">
        <f t="shared" ca="1" si="3"/>
        <v>-8.3569496442348346E-2</v>
      </c>
      <c r="H30" s="5">
        <f t="shared" ca="1" si="19"/>
        <v>0.61429683656554124</v>
      </c>
      <c r="I30" s="5">
        <f t="shared" ca="1" si="20"/>
        <v>0.29053585227164219</v>
      </c>
      <c r="J30" s="5">
        <f t="shared" ca="1" si="4"/>
        <v>0.13914773033453964</v>
      </c>
      <c r="K30" s="5">
        <f t="shared" ca="1" si="21"/>
        <v>0.96854230796762653</v>
      </c>
      <c r="L30" s="5">
        <f t="shared" ca="1" si="22"/>
        <v>1.8597890014221627</v>
      </c>
      <c r="M30" s="5">
        <f t="shared" ca="1" si="5"/>
        <v>0.44147709779859623</v>
      </c>
      <c r="N30" s="5">
        <f t="shared" ca="1" si="23"/>
        <v>0.96717948936429843</v>
      </c>
      <c r="O30" s="5">
        <f t="shared" ca="1" si="24"/>
        <v>1.8408672055225721</v>
      </c>
      <c r="P30" s="5">
        <f t="shared" ca="1" si="6"/>
        <v>0.43739159809983752</v>
      </c>
      <c r="Q30" s="5">
        <f t="shared" ca="1" si="25"/>
        <v>0.33381563099576528</v>
      </c>
      <c r="R30" s="5">
        <f t="shared" ca="1" si="26"/>
        <v>-0.4294012256507424</v>
      </c>
      <c r="S30" s="5">
        <f t="shared" ca="1" si="7"/>
        <v>2.2540090165870996E-2</v>
      </c>
      <c r="T30" s="5">
        <f t="shared" ca="1" si="27"/>
        <v>0.37514556573775104</v>
      </c>
      <c r="U30" s="5">
        <f t="shared" ca="1" si="28"/>
        <v>-0.31825550672396952</v>
      </c>
      <c r="V30" s="5">
        <f t="shared" ca="1" si="8"/>
        <v>3.9730634161305067E-2</v>
      </c>
      <c r="W30" s="5">
        <f t="shared" ca="1" si="29"/>
        <v>0.80239223177936247</v>
      </c>
      <c r="X30" s="5">
        <f t="shared" ca="1" si="30"/>
        <v>0.85019705923839095</v>
      </c>
      <c r="Y30" s="5">
        <f t="shared" ca="1" si="9"/>
        <v>0.2389070242684832</v>
      </c>
      <c r="Z30" s="5">
        <f t="shared" ca="1" si="31"/>
        <v>0.11777960727150494</v>
      </c>
      <c r="AA30" s="5">
        <f t="shared" ca="1" si="32"/>
        <v>-1.1861597590614168</v>
      </c>
      <c r="AB30" s="5">
        <f t="shared" ca="1" si="10"/>
        <v>-8.7186749174108402E-2</v>
      </c>
      <c r="AC30" s="5">
        <f t="shared" ca="1" si="33"/>
        <v>0.83952903902931475</v>
      </c>
      <c r="AD30" s="5">
        <f t="shared" ca="1" si="34"/>
        <v>0.99252411475846913</v>
      </c>
      <c r="AE30" s="5">
        <f t="shared" ca="1" si="11"/>
        <v>0.26564087850556239</v>
      </c>
      <c r="AF30" s="5">
        <f t="shared" ca="1" si="48"/>
        <v>0.91701497048179015</v>
      </c>
      <c r="AG30" s="5">
        <f t="shared" ca="1" si="49"/>
        <v>0.91643050355765165</v>
      </c>
      <c r="AH30" s="5">
        <f t="shared" ca="1" si="50"/>
        <v>1.1391477303345396</v>
      </c>
      <c r="AI30" s="5">
        <f t="shared" ca="1" si="51"/>
        <v>1.4414770977985962</v>
      </c>
      <c r="AJ30" s="5">
        <f t="shared" ca="1" si="52"/>
        <v>1.4373915980998375</v>
      </c>
      <c r="AK30" s="5">
        <f t="shared" ca="1" si="53"/>
        <v>1.022540090165871</v>
      </c>
      <c r="AL30" s="5">
        <f t="shared" ca="1" si="54"/>
        <v>1.0397306341613051</v>
      </c>
      <c r="AM30" s="5">
        <f t="shared" ca="1" si="55"/>
        <v>1.2389070242684832</v>
      </c>
      <c r="AN30" s="5">
        <f t="shared" ca="1" si="56"/>
        <v>0.9128132508258916</v>
      </c>
      <c r="AO30" s="5">
        <f t="shared" ca="1" si="57"/>
        <v>1.2656408785055624</v>
      </c>
      <c r="AP30" s="5">
        <f t="shared" ca="1" si="58"/>
        <v>3.0183610555645726</v>
      </c>
      <c r="AQ30" s="4">
        <f t="shared" ca="1" si="12"/>
        <v>30183.610555645726</v>
      </c>
      <c r="AR30">
        <f t="shared" ca="1" si="13"/>
        <v>1</v>
      </c>
      <c r="AS30">
        <f t="shared" ca="1" si="14"/>
        <v>0</v>
      </c>
    </row>
    <row r="31" spans="1:45" x14ac:dyDescent="0.25">
      <c r="A31" s="10">
        <f t="shared" si="47"/>
        <v>10</v>
      </c>
      <c r="B31" s="5">
        <f t="shared" ca="1" si="15"/>
        <v>0.14517546029582551</v>
      </c>
      <c r="C31" s="5">
        <f t="shared" ca="1" si="16"/>
        <v>-1.057352106915836</v>
      </c>
      <c r="D31" s="5">
        <f t="shared" ca="1" si="2"/>
        <v>-6.9378667114549208E-2</v>
      </c>
      <c r="E31" s="5">
        <f t="shared" ca="1" si="17"/>
        <v>0.84603456526669085</v>
      </c>
      <c r="F31" s="5">
        <f t="shared" ca="1" si="18"/>
        <v>1.0195733078524547</v>
      </c>
      <c r="G31" s="5">
        <f t="shared" ca="1" si="3"/>
        <v>0.27078649498107055</v>
      </c>
      <c r="H31" s="5">
        <f t="shared" ca="1" si="19"/>
        <v>3.5973968557201363E-3</v>
      </c>
      <c r="I31" s="5">
        <f t="shared" ca="1" si="20"/>
        <v>-2.6876910210567977</v>
      </c>
      <c r="J31" s="5">
        <f t="shared" ca="1" si="4"/>
        <v>-0.27127121494538597</v>
      </c>
      <c r="K31" s="5">
        <f t="shared" ca="1" si="21"/>
        <v>0.25873784740746231</v>
      </c>
      <c r="L31" s="5">
        <f t="shared" ca="1" si="22"/>
        <v>-0.64724144040805776</v>
      </c>
      <c r="M31" s="5">
        <f t="shared" ca="1" si="5"/>
        <v>-1.0332465568202442E-2</v>
      </c>
      <c r="N31" s="5">
        <f t="shared" ca="1" si="23"/>
        <v>0.10351869771760502</v>
      </c>
      <c r="O31" s="5">
        <f t="shared" ca="1" si="24"/>
        <v>-1.2617537882137559</v>
      </c>
      <c r="P31" s="5">
        <f t="shared" ca="1" si="6"/>
        <v>-9.7478772460267815E-2</v>
      </c>
      <c r="Q31" s="5">
        <f t="shared" ca="1" si="25"/>
        <v>0.78980503570345606</v>
      </c>
      <c r="R31" s="5">
        <f t="shared" ca="1" si="26"/>
        <v>0.80574494485324577</v>
      </c>
      <c r="S31" s="5">
        <f t="shared" ca="1" si="7"/>
        <v>0.2306736984151796</v>
      </c>
      <c r="T31" s="5">
        <f t="shared" ca="1" si="27"/>
        <v>3.6674070027943206E-2</v>
      </c>
      <c r="U31" s="5">
        <f t="shared" ca="1" si="28"/>
        <v>-1.7906583325400538</v>
      </c>
      <c r="V31" s="5">
        <f t="shared" ca="1" si="8"/>
        <v>-0.1663142530763434</v>
      </c>
      <c r="W31" s="5">
        <f t="shared" ca="1" si="29"/>
        <v>0.24270760036142514</v>
      </c>
      <c r="X31" s="5">
        <f t="shared" ca="1" si="30"/>
        <v>-0.69761947220771603</v>
      </c>
      <c r="Y31" s="5">
        <f t="shared" ca="1" si="9"/>
        <v>-1.7782905106316416E-2</v>
      </c>
      <c r="Z31" s="5">
        <f t="shared" ca="1" si="31"/>
        <v>5.3230641916882204E-2</v>
      </c>
      <c r="AA31" s="5">
        <f t="shared" ca="1" si="32"/>
        <v>-1.6143050105293348</v>
      </c>
      <c r="AB31" s="5">
        <f t="shared" ca="1" si="10"/>
        <v>-0.14396648586453242</v>
      </c>
      <c r="AC31" s="5">
        <f t="shared" ca="1" si="33"/>
        <v>0.71455664649291151</v>
      </c>
      <c r="AD31" s="5">
        <f t="shared" ca="1" si="34"/>
        <v>0.56674608277182015</v>
      </c>
      <c r="AE31" s="5">
        <f t="shared" ca="1" si="11"/>
        <v>0.18733572725670089</v>
      </c>
      <c r="AF31" s="5">
        <f t="shared" ca="1" si="48"/>
        <v>0.93062133288545079</v>
      </c>
      <c r="AG31" s="5">
        <f t="shared" ca="1" si="49"/>
        <v>1.2707864949810705</v>
      </c>
      <c r="AH31" s="5">
        <f t="shared" ca="1" si="50"/>
        <v>0.72872878505461403</v>
      </c>
      <c r="AI31" s="5">
        <f t="shared" ca="1" si="51"/>
        <v>0.98966753443179756</v>
      </c>
      <c r="AJ31" s="5">
        <f t="shared" ca="1" si="52"/>
        <v>0.90252122753973218</v>
      </c>
      <c r="AK31" s="5">
        <f t="shared" ca="1" si="53"/>
        <v>1.2306736984151796</v>
      </c>
      <c r="AL31" s="5">
        <f t="shared" ca="1" si="54"/>
        <v>0.8336857469236566</v>
      </c>
      <c r="AM31" s="5">
        <f t="shared" ca="1" si="55"/>
        <v>0.98221709489368358</v>
      </c>
      <c r="AN31" s="5">
        <f t="shared" ca="1" si="56"/>
        <v>0.85603351413546758</v>
      </c>
      <c r="AO31" s="5">
        <f t="shared" ca="1" si="57"/>
        <v>1.1873357272567009</v>
      </c>
      <c r="AP31" s="5">
        <f t="shared" ca="1" si="58"/>
        <v>0.78845217665439904</v>
      </c>
      <c r="AQ31" s="4">
        <f t="shared" ca="1" si="12"/>
        <v>7884.5217665439905</v>
      </c>
      <c r="AR31">
        <f t="shared" ca="1" si="13"/>
        <v>0</v>
      </c>
      <c r="AS31">
        <f t="shared" ca="1" si="14"/>
        <v>0</v>
      </c>
    </row>
    <row r="32" spans="1:45" x14ac:dyDescent="0.25">
      <c r="A32" s="10">
        <f t="shared" si="47"/>
        <v>11</v>
      </c>
      <c r="B32" s="5">
        <f t="shared" ca="1" si="15"/>
        <v>0.13947401328894549</v>
      </c>
      <c r="C32" s="5">
        <f t="shared" ca="1" si="16"/>
        <v>-1.0826855352112961</v>
      </c>
      <c r="D32" s="5">
        <f t="shared" ca="1" si="2"/>
        <v>-7.2908330802043286E-2</v>
      </c>
      <c r="E32" s="5">
        <f t="shared" ca="1" si="17"/>
        <v>0.50485587083838912</v>
      </c>
      <c r="F32" s="5">
        <f t="shared" ca="1" si="18"/>
        <v>1.2172163709262013E-2</v>
      </c>
      <c r="G32" s="5">
        <f t="shared" ca="1" si="3"/>
        <v>9.2562467187206066E-2</v>
      </c>
      <c r="H32" s="5">
        <f t="shared" ca="1" si="19"/>
        <v>0.18862939070824747</v>
      </c>
      <c r="I32" s="5">
        <f t="shared" ca="1" si="20"/>
        <v>-0.8829583386897637</v>
      </c>
      <c r="J32" s="5">
        <f t="shared" ca="1" si="4"/>
        <v>-4.4713277715366928E-2</v>
      </c>
      <c r="K32" s="5">
        <f t="shared" ca="1" si="21"/>
        <v>0.85111322447072402</v>
      </c>
      <c r="L32" s="5">
        <f t="shared" ca="1" si="22"/>
        <v>1.0412197941425041</v>
      </c>
      <c r="M32" s="5">
        <f t="shared" ca="1" si="5"/>
        <v>0.2749194104485464</v>
      </c>
      <c r="N32" s="5">
        <f t="shared" ca="1" si="23"/>
        <v>0.59750017748530693</v>
      </c>
      <c r="O32" s="5">
        <f t="shared" ca="1" si="24"/>
        <v>0.24688187351091059</v>
      </c>
      <c r="P32" s="5">
        <f t="shared" ca="1" si="6"/>
        <v>0.13171284943648098</v>
      </c>
      <c r="Q32" s="5">
        <f t="shared" ca="1" si="25"/>
        <v>0.87203295636886902</v>
      </c>
      <c r="R32" s="5">
        <f t="shared" ca="1" si="26"/>
        <v>1.1360537081214899</v>
      </c>
      <c r="S32" s="5">
        <f t="shared" ca="1" si="7"/>
        <v>0.2931848558749075</v>
      </c>
      <c r="T32" s="5">
        <f t="shared" ca="1" si="27"/>
        <v>0.95230694708123198</v>
      </c>
      <c r="U32" s="5">
        <f t="shared" ca="1" si="28"/>
        <v>1.6676455726222279</v>
      </c>
      <c r="V32" s="5">
        <f t="shared" ca="1" si="8"/>
        <v>0.40052453722046644</v>
      </c>
      <c r="W32" s="5">
        <f t="shared" ca="1" si="29"/>
        <v>0.80385686558471048</v>
      </c>
      <c r="X32" s="5">
        <f t="shared" ca="1" si="30"/>
        <v>0.8554785598485718</v>
      </c>
      <c r="Y32" s="5">
        <f t="shared" ca="1" si="9"/>
        <v>0.23988890638364802</v>
      </c>
      <c r="Z32" s="5">
        <f t="shared" ca="1" si="31"/>
        <v>0.62854723838536475</v>
      </c>
      <c r="AA32" s="5">
        <f t="shared" ca="1" si="32"/>
        <v>0.32800811984250217</v>
      </c>
      <c r="AB32" s="5">
        <f t="shared" ca="1" si="10"/>
        <v>0.14556872640851615</v>
      </c>
      <c r="AC32" s="5">
        <f t="shared" ca="1" si="33"/>
        <v>0.35990209758507796</v>
      </c>
      <c r="AD32" s="5">
        <f t="shared" ca="1" si="34"/>
        <v>-0.35872049435267594</v>
      </c>
      <c r="AE32" s="5">
        <f t="shared" ca="1" si="11"/>
        <v>3.3438845178025645E-2</v>
      </c>
      <c r="AF32" s="5">
        <f t="shared" ca="1" si="48"/>
        <v>0.92709166919795671</v>
      </c>
      <c r="AG32" s="5">
        <f t="shared" ca="1" si="49"/>
        <v>1.0925624671872061</v>
      </c>
      <c r="AH32" s="5">
        <f t="shared" ca="1" si="50"/>
        <v>0.95528672228463307</v>
      </c>
      <c r="AI32" s="5">
        <f t="shared" ca="1" si="51"/>
        <v>1.2749194104485464</v>
      </c>
      <c r="AJ32" s="5">
        <f t="shared" ca="1" si="52"/>
        <v>1.131712849436481</v>
      </c>
      <c r="AK32" s="5">
        <f t="shared" ca="1" si="53"/>
        <v>1.2931848558749075</v>
      </c>
      <c r="AL32" s="5">
        <f t="shared" ca="1" si="54"/>
        <v>1.4005245372204664</v>
      </c>
      <c r="AM32" s="5">
        <f t="shared" ca="1" si="55"/>
        <v>1.239888906383648</v>
      </c>
      <c r="AN32" s="5">
        <f t="shared" ca="1" si="56"/>
        <v>1.1455687264085161</v>
      </c>
      <c r="AO32" s="5">
        <f t="shared" ca="1" si="57"/>
        <v>1.0334388451780256</v>
      </c>
      <c r="AP32" s="5">
        <f t="shared" ca="1" si="58"/>
        <v>3.7116046878824522</v>
      </c>
      <c r="AQ32" s="4">
        <f t="shared" ca="1" si="12"/>
        <v>37116.04687882452</v>
      </c>
      <c r="AR32">
        <f t="shared" ca="1" si="13"/>
        <v>1</v>
      </c>
      <c r="AS32">
        <f t="shared" ca="1" si="14"/>
        <v>0</v>
      </c>
    </row>
    <row r="33" spans="1:45" x14ac:dyDescent="0.25">
      <c r="A33" s="10">
        <f t="shared" si="47"/>
        <v>12</v>
      </c>
      <c r="B33" s="5">
        <f t="shared" ca="1" si="15"/>
        <v>9.2098095715779871E-2</v>
      </c>
      <c r="C33" s="5">
        <f t="shared" ca="1" si="16"/>
        <v>-1.3279452595375387</v>
      </c>
      <c r="D33" s="5">
        <f t="shared" ca="1" si="2"/>
        <v>-0.10639531547155512</v>
      </c>
      <c r="E33" s="5">
        <f t="shared" ca="1" si="17"/>
        <v>4.3673869455359005E-2</v>
      </c>
      <c r="F33" s="5">
        <f t="shared" ca="1" si="18"/>
        <v>-1.7095574537092195</v>
      </c>
      <c r="G33" s="5">
        <f t="shared" ca="1" si="3"/>
        <v>-0.15611041639440271</v>
      </c>
      <c r="H33" s="5">
        <f t="shared" ca="1" si="19"/>
        <v>4.8398338810631159E-2</v>
      </c>
      <c r="I33" s="5">
        <f t="shared" ca="1" si="20"/>
        <v>-1.6605857264093382</v>
      </c>
      <c r="J33" s="5">
        <f t="shared" ca="1" si="4"/>
        <v>-0.14988858274248162</v>
      </c>
      <c r="K33" s="5">
        <f t="shared" ca="1" si="21"/>
        <v>0.95888594124148807</v>
      </c>
      <c r="L33" s="5">
        <f t="shared" ca="1" si="22"/>
        <v>1.7379018054438362</v>
      </c>
      <c r="M33" s="5">
        <f t="shared" ca="1" si="5"/>
        <v>0.41536191798217437</v>
      </c>
      <c r="N33" s="5">
        <f t="shared" ca="1" si="23"/>
        <v>2.0551322931561145E-2</v>
      </c>
      <c r="O33" s="5">
        <f t="shared" ca="1" si="24"/>
        <v>-2.042493072851078</v>
      </c>
      <c r="P33" s="5">
        <f t="shared" ca="1" si="6"/>
        <v>-0.19721950689399703</v>
      </c>
      <c r="Q33" s="5">
        <f t="shared" ca="1" si="25"/>
        <v>0.41357076024949613</v>
      </c>
      <c r="R33" s="5">
        <f t="shared" ca="1" si="26"/>
        <v>-0.21836912402059216</v>
      </c>
      <c r="S33" s="5">
        <f t="shared" ca="1" si="7"/>
        <v>5.5426163064937306E-2</v>
      </c>
      <c r="T33" s="5">
        <f t="shared" ca="1" si="27"/>
        <v>0.28825471707395722</v>
      </c>
      <c r="U33" s="5">
        <f t="shared" ca="1" si="28"/>
        <v>-0.55849058158497866</v>
      </c>
      <c r="V33" s="5">
        <f t="shared" ca="1" si="8"/>
        <v>2.9306988880519746E-3</v>
      </c>
      <c r="W33" s="5">
        <f t="shared" ca="1" si="29"/>
        <v>0.49991684581985241</v>
      </c>
      <c r="X33" s="5">
        <f t="shared" ca="1" si="30"/>
        <v>-2.0843662062100052E-4</v>
      </c>
      <c r="Y33" s="5">
        <f t="shared" ca="1" si="9"/>
        <v>9.0535363140918479E-2</v>
      </c>
      <c r="Z33" s="5">
        <f t="shared" ca="1" si="31"/>
        <v>0.36292592969842963</v>
      </c>
      <c r="AA33" s="5">
        <f t="shared" ca="1" si="32"/>
        <v>-0.35064877559900687</v>
      </c>
      <c r="AB33" s="5">
        <f t="shared" ca="1" si="10"/>
        <v>3.4690847116753076E-2</v>
      </c>
      <c r="AC33" s="5">
        <f t="shared" ca="1" si="33"/>
        <v>0.82747908177688778</v>
      </c>
      <c r="AD33" s="5">
        <f t="shared" ca="1" si="34"/>
        <v>0.944250143944937</v>
      </c>
      <c r="AE33" s="5">
        <f t="shared" ca="1" si="11"/>
        <v>0.25650935290593435</v>
      </c>
      <c r="AF33" s="5">
        <f t="shared" ca="1" si="48"/>
        <v>0.89360468452844488</v>
      </c>
      <c r="AG33" s="5">
        <f t="shared" ca="1" si="49"/>
        <v>0.84388958360559729</v>
      </c>
      <c r="AH33" s="5">
        <f t="shared" ca="1" si="50"/>
        <v>0.85011141725751838</v>
      </c>
      <c r="AI33" s="5">
        <f t="shared" ca="1" si="51"/>
        <v>1.4153619179821744</v>
      </c>
      <c r="AJ33" s="5">
        <f t="shared" ca="1" si="52"/>
        <v>0.80278049310600297</v>
      </c>
      <c r="AK33" s="5">
        <f t="shared" ca="1" si="53"/>
        <v>1.0554261630649373</v>
      </c>
      <c r="AL33" s="5">
        <f t="shared" ca="1" si="54"/>
        <v>1.002930698888052</v>
      </c>
      <c r="AM33" s="5">
        <f t="shared" ca="1" si="55"/>
        <v>1.0905353631409185</v>
      </c>
      <c r="AN33" s="5">
        <f t="shared" ca="1" si="56"/>
        <v>1.0346908471167531</v>
      </c>
      <c r="AO33" s="5">
        <f t="shared" ca="1" si="57"/>
        <v>1.2565093529059344</v>
      </c>
      <c r="AP33" s="5">
        <f t="shared" ca="1" si="58"/>
        <v>1.0931659503966811</v>
      </c>
      <c r="AQ33" s="4">
        <f t="shared" ca="1" si="12"/>
        <v>10931.65950396681</v>
      </c>
      <c r="AR33">
        <f t="shared" ca="1" si="13"/>
        <v>0</v>
      </c>
      <c r="AS33">
        <f t="shared" ca="1" si="14"/>
        <v>0</v>
      </c>
    </row>
    <row r="34" spans="1:45" x14ac:dyDescent="0.25">
      <c r="A34" s="10">
        <f t="shared" si="47"/>
        <v>13</v>
      </c>
      <c r="B34" s="5">
        <f t="shared" ca="1" si="15"/>
        <v>0.48748180450503997</v>
      </c>
      <c r="C34" s="5">
        <f t="shared" ca="1" si="16"/>
        <v>-3.1383613797469651E-2</v>
      </c>
      <c r="D34" s="5">
        <f t="shared" ca="1" si="2"/>
        <v>8.5447623277133289E-2</v>
      </c>
      <c r="E34" s="5">
        <f t="shared" ca="1" si="17"/>
        <v>0.86140808279783454</v>
      </c>
      <c r="F34" s="5">
        <f t="shared" ca="1" si="18"/>
        <v>1.0866673816432439</v>
      </c>
      <c r="G34" s="5">
        <f t="shared" ca="1" si="3"/>
        <v>0.28364040450401728</v>
      </c>
      <c r="H34" s="5">
        <f t="shared" ca="1" si="19"/>
        <v>0.60807643580953596</v>
      </c>
      <c r="I34" s="5">
        <f t="shared" ca="1" si="20"/>
        <v>0.27430905245597359</v>
      </c>
      <c r="J34" s="5">
        <f t="shared" ca="1" si="4"/>
        <v>0.1363783936850389</v>
      </c>
      <c r="K34" s="5">
        <f t="shared" ca="1" si="21"/>
        <v>5.5118589260799711E-2</v>
      </c>
      <c r="L34" s="5">
        <f t="shared" ca="1" si="22"/>
        <v>-1.5971279972452335</v>
      </c>
      <c r="M34" s="5">
        <f t="shared" ca="1" si="5"/>
        <v>-0.14175802712531849</v>
      </c>
      <c r="N34" s="5">
        <f t="shared" ca="1" si="23"/>
        <v>0.90758958666882372</v>
      </c>
      <c r="O34" s="5">
        <f t="shared" ca="1" si="24"/>
        <v>1.3260569730630727</v>
      </c>
      <c r="P34" s="5">
        <f t="shared" ca="1" si="6"/>
        <v>0.33057149570486444</v>
      </c>
      <c r="Q34" s="5">
        <f t="shared" ca="1" si="25"/>
        <v>0.37799485071282568</v>
      </c>
      <c r="R34" s="5">
        <f t="shared" ca="1" si="26"/>
        <v>-0.31075129130611223</v>
      </c>
      <c r="S34" s="5">
        <f t="shared" ca="1" si="7"/>
        <v>4.0901647501181637E-2</v>
      </c>
      <c r="T34" s="5">
        <f t="shared" ca="1" si="27"/>
        <v>0.7394831630983898</v>
      </c>
      <c r="U34" s="5">
        <f t="shared" ca="1" si="28"/>
        <v>0.64175284129394272</v>
      </c>
      <c r="V34" s="5">
        <f t="shared" ca="1" si="8"/>
        <v>0.20076989014576307</v>
      </c>
      <c r="W34" s="5">
        <f t="shared" ca="1" si="29"/>
        <v>0.83293521837189599</v>
      </c>
      <c r="X34" s="5">
        <f t="shared" ca="1" si="30"/>
        <v>0.96582938239201599</v>
      </c>
      <c r="Y34" s="5">
        <f t="shared" ca="1" si="9"/>
        <v>0.26058311974860837</v>
      </c>
      <c r="Z34" s="5">
        <f t="shared" ca="1" si="31"/>
        <v>0.49891627062402144</v>
      </c>
      <c r="AA34" s="5">
        <f t="shared" ca="1" si="32"/>
        <v>-2.7165100369201884E-3</v>
      </c>
      <c r="AB34" s="5">
        <f t="shared" ca="1" si="10"/>
        <v>9.0125168892479124E-2</v>
      </c>
      <c r="AC34" s="5">
        <f t="shared" ca="1" si="33"/>
        <v>0.34556613732941099</v>
      </c>
      <c r="AD34" s="5">
        <f t="shared" ca="1" si="34"/>
        <v>-0.39731895041427373</v>
      </c>
      <c r="AE34" s="5">
        <f t="shared" ca="1" si="11"/>
        <v>2.7472761387019151E-2</v>
      </c>
      <c r="AF34" s="5">
        <f t="shared" ca="1" si="48"/>
        <v>1.0854476232771333</v>
      </c>
      <c r="AG34" s="5">
        <f t="shared" ca="1" si="49"/>
        <v>1.2836404045040173</v>
      </c>
      <c r="AH34" s="5">
        <f t="shared" ca="1" si="50"/>
        <v>1.1363783936850389</v>
      </c>
      <c r="AI34" s="5">
        <f t="shared" ca="1" si="51"/>
        <v>0.85824197287468151</v>
      </c>
      <c r="AJ34" s="5">
        <f t="shared" ca="1" si="52"/>
        <v>1.3305714957048644</v>
      </c>
      <c r="AK34" s="5">
        <f t="shared" ca="1" si="53"/>
        <v>1.0409016475011816</v>
      </c>
      <c r="AL34" s="5">
        <f t="shared" ca="1" si="54"/>
        <v>1.2007698901457631</v>
      </c>
      <c r="AM34" s="5">
        <f t="shared" ca="1" si="55"/>
        <v>1.2605831197486084</v>
      </c>
      <c r="AN34" s="5">
        <f t="shared" ca="1" si="56"/>
        <v>1.0901251688924791</v>
      </c>
      <c r="AO34" s="5">
        <f t="shared" ca="1" si="57"/>
        <v>1.0274727613870192</v>
      </c>
      <c r="AP34" s="5">
        <f t="shared" ca="1" si="58"/>
        <v>3.1908827102850417</v>
      </c>
      <c r="AQ34" s="4">
        <f t="shared" ca="1" si="12"/>
        <v>31908.827102850417</v>
      </c>
      <c r="AR34">
        <f t="shared" ca="1" si="13"/>
        <v>1</v>
      </c>
      <c r="AS34">
        <f t="shared" ca="1" si="14"/>
        <v>0</v>
      </c>
    </row>
    <row r="35" spans="1:45" x14ac:dyDescent="0.25">
      <c r="A35" s="10">
        <f t="shared" si="47"/>
        <v>14</v>
      </c>
      <c r="B35" s="5">
        <f t="shared" ca="1" si="15"/>
        <v>0.24700880367476008</v>
      </c>
      <c r="C35" s="5">
        <f t="shared" ca="1" si="16"/>
        <v>-0.68393278984879979</v>
      </c>
      <c r="D35" s="5">
        <f t="shared" ca="1" si="2"/>
        <v>-1.5764339747794676E-2</v>
      </c>
      <c r="E35" s="5">
        <f t="shared" ca="1" si="17"/>
        <v>0.48631944457930054</v>
      </c>
      <c r="F35" s="5">
        <f t="shared" ca="1" si="18"/>
        <v>-3.4298790733513454E-2</v>
      </c>
      <c r="G35" s="5">
        <f t="shared" ca="1" si="3"/>
        <v>8.4973086255148988E-2</v>
      </c>
      <c r="H35" s="5">
        <f t="shared" ca="1" si="19"/>
        <v>0.79206028956314489</v>
      </c>
      <c r="I35" s="5">
        <f t="shared" ca="1" si="20"/>
        <v>0.81359078115624128</v>
      </c>
      <c r="J35" s="5">
        <f t="shared" ca="1" si="4"/>
        <v>0.23212290067021302</v>
      </c>
      <c r="K35" s="5">
        <f t="shared" ca="1" si="21"/>
        <v>0.6304437230448029</v>
      </c>
      <c r="L35" s="5">
        <f t="shared" ca="1" si="22"/>
        <v>0.33302878630280092</v>
      </c>
      <c r="M35" s="5">
        <f t="shared" ca="1" si="5"/>
        <v>0.14643177912260863</v>
      </c>
      <c r="N35" s="5">
        <f t="shared" ca="1" si="23"/>
        <v>0.17846705834998033</v>
      </c>
      <c r="O35" s="5">
        <f t="shared" ca="1" si="24"/>
        <v>-0.9212228003939632</v>
      </c>
      <c r="P35" s="5">
        <f t="shared" ca="1" si="6"/>
        <v>-5.0180602218863668E-2</v>
      </c>
      <c r="Q35" s="5">
        <f t="shared" ca="1" si="25"/>
        <v>0.15191460387088573</v>
      </c>
      <c r="R35" s="5">
        <f t="shared" ca="1" si="26"/>
        <v>-1.0282564567058354</v>
      </c>
      <c r="S35" s="5">
        <f t="shared" ca="1" si="7"/>
        <v>-6.5308236271176545E-2</v>
      </c>
      <c r="T35" s="5">
        <f t="shared" ca="1" si="27"/>
        <v>0.19791883966801938</v>
      </c>
      <c r="U35" s="5">
        <f t="shared" ca="1" si="28"/>
        <v>-0.84907838080712505</v>
      </c>
      <c r="V35" s="5">
        <f t="shared" ca="1" si="8"/>
        <v>-3.9846159771631195E-2</v>
      </c>
      <c r="W35" s="5">
        <f t="shared" ca="1" si="29"/>
        <v>0.59813603331747656</v>
      </c>
      <c r="X35" s="5">
        <f t="shared" ca="1" si="30"/>
        <v>0.24852538279360151</v>
      </c>
      <c r="Y35" s="5">
        <f t="shared" ca="1" si="9"/>
        <v>0.13199188091538794</v>
      </c>
      <c r="Z35" s="5">
        <f t="shared" ca="1" si="31"/>
        <v>0.32104120743623921</v>
      </c>
      <c r="AA35" s="5">
        <f t="shared" ca="1" si="32"/>
        <v>-0.46478921084958469</v>
      </c>
      <c r="AB35" s="5">
        <f t="shared" ca="1" si="10"/>
        <v>1.7126625710713439E-2</v>
      </c>
      <c r="AC35" s="5">
        <f t="shared" ca="1" si="33"/>
        <v>0.18699218226078385</v>
      </c>
      <c r="AD35" s="5">
        <f t="shared" ca="1" si="34"/>
        <v>-0.88903482403377276</v>
      </c>
      <c r="AE35" s="5">
        <f t="shared" ca="1" si="11"/>
        <v>-4.5583598883169762E-2</v>
      </c>
      <c r="AF35" s="5">
        <f t="shared" ca="1" si="48"/>
        <v>0.98423566025220532</v>
      </c>
      <c r="AG35" s="5">
        <f t="shared" ca="1" si="49"/>
        <v>1.084973086255149</v>
      </c>
      <c r="AH35" s="5">
        <f t="shared" ca="1" si="50"/>
        <v>1.232122900670213</v>
      </c>
      <c r="AI35" s="5">
        <f t="shared" ca="1" si="51"/>
        <v>1.1464317791226086</v>
      </c>
      <c r="AJ35" s="5">
        <f t="shared" ca="1" si="52"/>
        <v>0.94981939778113633</v>
      </c>
      <c r="AK35" s="5">
        <f t="shared" ca="1" si="53"/>
        <v>0.93469176372882345</v>
      </c>
      <c r="AL35" s="5">
        <f t="shared" ca="1" si="54"/>
        <v>0.9601538402283688</v>
      </c>
      <c r="AM35" s="5">
        <f t="shared" ca="1" si="55"/>
        <v>1.1319918809153879</v>
      </c>
      <c r="AN35" s="5">
        <f t="shared" ca="1" si="56"/>
        <v>1.0171266257107134</v>
      </c>
      <c r="AO35" s="5">
        <f t="shared" ca="1" si="57"/>
        <v>0.95441640111683024</v>
      </c>
      <c r="AP35" s="5">
        <f t="shared" ca="1" si="58"/>
        <v>1.4129500525050549</v>
      </c>
      <c r="AQ35" s="4">
        <f t="shared" ca="1" si="12"/>
        <v>14129.500525050549</v>
      </c>
      <c r="AR35">
        <f t="shared" ca="1" si="13"/>
        <v>0</v>
      </c>
      <c r="AS35">
        <f t="shared" ca="1" si="14"/>
        <v>0</v>
      </c>
    </row>
    <row r="36" spans="1:45" x14ac:dyDescent="0.25">
      <c r="A36" s="10">
        <f t="shared" si="47"/>
        <v>15</v>
      </c>
      <c r="B36" s="5">
        <f t="shared" ca="1" si="15"/>
        <v>0.40018506472451754</v>
      </c>
      <c r="C36" s="5">
        <f t="shared" ca="1" si="16"/>
        <v>-0.25286811496610667</v>
      </c>
      <c r="D36" s="5">
        <f t="shared" ca="1" si="2"/>
        <v>4.9978599733019102E-2</v>
      </c>
      <c r="E36" s="5">
        <f t="shared" ca="1" si="17"/>
        <v>0.25574898791201217</v>
      </c>
      <c r="F36" s="5">
        <f t="shared" ca="1" si="18"/>
        <v>-0.65650698334884028</v>
      </c>
      <c r="G36" s="5">
        <f t="shared" ca="1" si="3"/>
        <v>-1.170698123001257E-2</v>
      </c>
      <c r="H36" s="5">
        <f t="shared" ca="1" si="19"/>
        <v>0.71584373304787674</v>
      </c>
      <c r="I36" s="5">
        <f t="shared" ca="1" si="20"/>
        <v>0.57053847547168524</v>
      </c>
      <c r="J36" s="5">
        <f t="shared" ca="1" si="4"/>
        <v>0.18801134590597468</v>
      </c>
      <c r="K36" s="5">
        <f t="shared" ca="1" si="21"/>
        <v>0.57061370889643304</v>
      </c>
      <c r="L36" s="5">
        <f t="shared" ca="1" si="22"/>
        <v>0.17793683508921165</v>
      </c>
      <c r="M36" s="5">
        <f t="shared" ca="1" si="5"/>
        <v>0.12006926289272912</v>
      </c>
      <c r="N36" s="5">
        <f t="shared" ca="1" si="23"/>
        <v>0.33518221649262114</v>
      </c>
      <c r="O36" s="5">
        <f t="shared" ca="1" si="24"/>
        <v>-0.42564789759090876</v>
      </c>
      <c r="P36" s="5">
        <f t="shared" ca="1" si="6"/>
        <v>2.3115941514495919E-2</v>
      </c>
      <c r="Q36" s="5">
        <f t="shared" ca="1" si="25"/>
        <v>0.19106281540083792</v>
      </c>
      <c r="R36" s="5">
        <f t="shared" ca="1" si="26"/>
        <v>-0.87398645387687368</v>
      </c>
      <c r="S36" s="5">
        <f t="shared" ca="1" si="7"/>
        <v>-4.3426803887062992E-2</v>
      </c>
      <c r="T36" s="5">
        <f t="shared" ca="1" si="27"/>
        <v>0.86959032250772261</v>
      </c>
      <c r="U36" s="5">
        <f t="shared" ca="1" si="28"/>
        <v>1.1244566405998806</v>
      </c>
      <c r="V36" s="5">
        <f t="shared" ca="1" si="8"/>
        <v>0.29093723856070075</v>
      </c>
      <c r="W36" s="5">
        <f t="shared" ca="1" si="29"/>
        <v>0.96358034919088642</v>
      </c>
      <c r="X36" s="5">
        <f t="shared" ca="1" si="30"/>
        <v>1.7938362971000799</v>
      </c>
      <c r="Y36" s="5">
        <f t="shared" ca="1" si="9"/>
        <v>0.42728700722081592</v>
      </c>
      <c r="Z36" s="5">
        <f t="shared" ca="1" si="31"/>
        <v>0.17194704034895136</v>
      </c>
      <c r="AA36" s="5">
        <f t="shared" ca="1" si="32"/>
        <v>-0.94649910077093047</v>
      </c>
      <c r="AB36" s="5">
        <f t="shared" ca="1" si="10"/>
        <v>-5.3774972045565028E-2</v>
      </c>
      <c r="AC36" s="5">
        <f t="shared" ca="1" si="33"/>
        <v>0.96796977573003062</v>
      </c>
      <c r="AD36" s="5">
        <f t="shared" ca="1" si="34"/>
        <v>1.8517589234981102</v>
      </c>
      <c r="AE36" s="5">
        <f t="shared" ca="1" si="11"/>
        <v>0.43974186704809437</v>
      </c>
      <c r="AF36" s="5">
        <f t="shared" ca="1" si="48"/>
        <v>1.0499785997330191</v>
      </c>
      <c r="AG36" s="5">
        <f t="shared" ca="1" si="49"/>
        <v>0.98829301876998743</v>
      </c>
      <c r="AH36" s="5">
        <f t="shared" ca="1" si="50"/>
        <v>1.1880113459059747</v>
      </c>
      <c r="AI36" s="5">
        <f t="shared" ca="1" si="51"/>
        <v>1.1200692628927291</v>
      </c>
      <c r="AJ36" s="5">
        <f t="shared" ca="1" si="52"/>
        <v>1.0231159415144959</v>
      </c>
      <c r="AK36" s="5">
        <f t="shared" ca="1" si="53"/>
        <v>0.95657319611293701</v>
      </c>
      <c r="AL36" s="5">
        <f t="shared" ca="1" si="54"/>
        <v>1.2909372385607008</v>
      </c>
      <c r="AM36" s="5">
        <f t="shared" ca="1" si="55"/>
        <v>1.4272870072208159</v>
      </c>
      <c r="AN36" s="5">
        <f t="shared" ca="1" si="56"/>
        <v>0.94622502795443497</v>
      </c>
      <c r="AO36" s="5">
        <f t="shared" ca="1" si="57"/>
        <v>1.4397418670480944</v>
      </c>
      <c r="AP36" s="5">
        <f t="shared" ca="1" si="58"/>
        <v>3.3921121931072618</v>
      </c>
      <c r="AQ36" s="4">
        <f t="shared" ca="1" si="12"/>
        <v>33921.121931072616</v>
      </c>
      <c r="AR36">
        <f t="shared" ca="1" si="13"/>
        <v>1</v>
      </c>
      <c r="AS36">
        <f t="shared" ca="1" si="14"/>
        <v>0</v>
      </c>
    </row>
    <row r="37" spans="1:45" x14ac:dyDescent="0.25">
      <c r="A37" s="10">
        <f t="shared" si="47"/>
        <v>16</v>
      </c>
      <c r="B37" s="5">
        <f t="shared" ca="1" si="15"/>
        <v>9.032595249547315E-2</v>
      </c>
      <c r="C37" s="5">
        <f t="shared" ca="1" si="16"/>
        <v>-1.3387505159138924</v>
      </c>
      <c r="D37" s="5">
        <f t="shared" ca="1" si="2"/>
        <v>-0.10784248653299133</v>
      </c>
      <c r="E37" s="5">
        <f t="shared" ca="1" si="17"/>
        <v>0.73969010806235813</v>
      </c>
      <c r="F37" s="5">
        <f t="shared" ca="1" si="18"/>
        <v>0.64239031904973831</v>
      </c>
      <c r="G37" s="5">
        <f t="shared" ca="1" si="3"/>
        <v>0.2008847152497788</v>
      </c>
      <c r="H37" s="5">
        <f t="shared" ca="1" si="19"/>
        <v>0.76366408527333918</v>
      </c>
      <c r="I37" s="5">
        <f t="shared" ca="1" si="20"/>
        <v>0.71813860396345464</v>
      </c>
      <c r="J37" s="5">
        <f t="shared" ca="1" si="4"/>
        <v>0.21460727075483055</v>
      </c>
      <c r="K37" s="5">
        <f t="shared" ca="1" si="21"/>
        <v>0.23956484375396092</v>
      </c>
      <c r="L37" s="5">
        <f t="shared" ca="1" si="22"/>
        <v>-0.70770304269240214</v>
      </c>
      <c r="M37" s="5">
        <f t="shared" ca="1" si="5"/>
        <v>-1.9267420428325299E-2</v>
      </c>
      <c r="N37" s="5">
        <f t="shared" ca="1" si="23"/>
        <v>0.30523500668185322</v>
      </c>
      <c r="O37" s="5">
        <f t="shared" ca="1" si="24"/>
        <v>-0.50940265837190057</v>
      </c>
      <c r="P37" s="5">
        <f t="shared" ca="1" si="6"/>
        <v>1.0342721229252616E-2</v>
      </c>
      <c r="Q37" s="5">
        <f t="shared" ca="1" si="25"/>
        <v>0.25439475113916965</v>
      </c>
      <c r="R37" s="5">
        <f t="shared" ca="1" si="26"/>
        <v>-0.66072373076054336</v>
      </c>
      <c r="S37" s="5">
        <f t="shared" ca="1" si="7"/>
        <v>-1.233189088205211E-2</v>
      </c>
      <c r="T37" s="5">
        <f t="shared" ca="1" si="27"/>
        <v>0.39422323140455617</v>
      </c>
      <c r="U37" s="5">
        <f t="shared" ca="1" si="28"/>
        <v>-0.26832850998983954</v>
      </c>
      <c r="V37" s="5">
        <f t="shared" ca="1" si="8"/>
        <v>4.7546458375241185E-2</v>
      </c>
      <c r="W37" s="5">
        <f t="shared" ca="1" si="29"/>
        <v>0.54912098952210853</v>
      </c>
      <c r="X37" s="5">
        <f t="shared" ca="1" si="30"/>
        <v>0.12344083716069484</v>
      </c>
      <c r="Y37" s="5">
        <f t="shared" ca="1" si="9"/>
        <v>0.11095068926669382</v>
      </c>
      <c r="Z37" s="5">
        <f t="shared" ca="1" si="31"/>
        <v>0.85003453023377784</v>
      </c>
      <c r="AA37" s="5">
        <f t="shared" ca="1" si="32"/>
        <v>1.0365814983703086</v>
      </c>
      <c r="AB37" s="5">
        <f t="shared" ca="1" si="10"/>
        <v>0.27403270094917787</v>
      </c>
      <c r="AC37" s="5">
        <f t="shared" ca="1" si="33"/>
        <v>0.3364930737791415</v>
      </c>
      <c r="AD37" s="5">
        <f t="shared" ca="1" si="34"/>
        <v>-0.42205325355278484</v>
      </c>
      <c r="AE37" s="5">
        <f t="shared" ca="1" si="11"/>
        <v>2.3667750910924878E-2</v>
      </c>
      <c r="AF37" s="5">
        <f t="shared" ca="1" si="48"/>
        <v>0.89215751346700867</v>
      </c>
      <c r="AG37" s="5">
        <f t="shared" ca="1" si="49"/>
        <v>1.2008847152497788</v>
      </c>
      <c r="AH37" s="5">
        <f t="shared" ca="1" si="50"/>
        <v>1.2146072707548305</v>
      </c>
      <c r="AI37" s="5">
        <f t="shared" ca="1" si="51"/>
        <v>0.9807325795716747</v>
      </c>
      <c r="AJ37" s="5">
        <f t="shared" ca="1" si="52"/>
        <v>1.0103427212292526</v>
      </c>
      <c r="AK37" s="5">
        <f t="shared" ca="1" si="53"/>
        <v>0.98766810911794789</v>
      </c>
      <c r="AL37" s="5">
        <f t="shared" ca="1" si="54"/>
        <v>1.0475464583752412</v>
      </c>
      <c r="AM37" s="5">
        <f t="shared" ca="1" si="55"/>
        <v>1.1109506892666938</v>
      </c>
      <c r="AN37" s="5">
        <f t="shared" ca="1" si="56"/>
        <v>1.2740327009491779</v>
      </c>
      <c r="AO37" s="5">
        <f t="shared" ca="1" si="57"/>
        <v>1.0236677509109249</v>
      </c>
      <c r="AP37" s="5">
        <f t="shared" ca="1" si="58"/>
        <v>1.9329327943599399</v>
      </c>
      <c r="AQ37" s="4">
        <f t="shared" ca="1" si="12"/>
        <v>19329.327943599401</v>
      </c>
      <c r="AR37">
        <f t="shared" ca="1" si="13"/>
        <v>0</v>
      </c>
      <c r="AS37">
        <f t="shared" ca="1" si="14"/>
        <v>0</v>
      </c>
    </row>
    <row r="38" spans="1:45" x14ac:dyDescent="0.25">
      <c r="A38" s="10">
        <f t="shared" si="47"/>
        <v>17</v>
      </c>
      <c r="B38" s="5">
        <f t="shared" ca="1" si="15"/>
        <v>0.38981183209618964</v>
      </c>
      <c r="C38" s="5">
        <f t="shared" ca="1" si="16"/>
        <v>-0.27980949816286166</v>
      </c>
      <c r="D38" s="5">
        <f t="shared" ca="1" si="2"/>
        <v>4.5743980612768631E-2</v>
      </c>
      <c r="E38" s="5">
        <f t="shared" ca="1" si="17"/>
        <v>0.17917597971225785</v>
      </c>
      <c r="F38" s="5">
        <f t="shared" ca="1" si="18"/>
        <v>-0.91850993619712451</v>
      </c>
      <c r="G38" s="5">
        <f t="shared" ca="1" si="3"/>
        <v>-4.9794013911424462E-2</v>
      </c>
      <c r="H38" s="5">
        <f t="shared" ca="1" si="19"/>
        <v>1.0170659488477174E-2</v>
      </c>
      <c r="I38" s="5">
        <f t="shared" ca="1" si="20"/>
        <v>-2.3199918361115928</v>
      </c>
      <c r="J38" s="5">
        <f t="shared" ca="1" si="4"/>
        <v>-0.22994918701087164</v>
      </c>
      <c r="K38" s="5">
        <f t="shared" ca="1" si="21"/>
        <v>0.96713001037226054</v>
      </c>
      <c r="L38" s="5">
        <f t="shared" ca="1" si="22"/>
        <v>1.8401925098440028</v>
      </c>
      <c r="M38" s="5">
        <f t="shared" ca="1" si="5"/>
        <v>0.43724613517575461</v>
      </c>
      <c r="N38" s="5">
        <f t="shared" ca="1" si="23"/>
        <v>0.39675975398842411</v>
      </c>
      <c r="O38" s="5">
        <f t="shared" ca="1" si="24"/>
        <v>-0.261743102044108</v>
      </c>
      <c r="P38" s="5">
        <f t="shared" ca="1" si="6"/>
        <v>4.8581747741845094E-2</v>
      </c>
      <c r="Q38" s="5">
        <f t="shared" ca="1" si="25"/>
        <v>8.4958367023280079E-2</v>
      </c>
      <c r="R38" s="5">
        <f t="shared" ca="1" si="26"/>
        <v>-1.3724714071309969</v>
      </c>
      <c r="S38" s="5">
        <f t="shared" ca="1" si="7"/>
        <v>-0.11234374492173027</v>
      </c>
      <c r="T38" s="5">
        <f t="shared" ca="1" si="27"/>
        <v>0.68657487080473467</v>
      </c>
      <c r="U38" s="5">
        <f t="shared" ca="1" si="28"/>
        <v>0.48616489565652293</v>
      </c>
      <c r="V38" s="5">
        <f t="shared" ca="1" si="8"/>
        <v>0.17307057528933378</v>
      </c>
      <c r="W38" s="5">
        <f t="shared" ca="1" si="29"/>
        <v>0.22503911266896548</v>
      </c>
      <c r="X38" s="5">
        <f t="shared" ca="1" si="30"/>
        <v>-0.75528461918952761</v>
      </c>
      <c r="Y38" s="5">
        <f t="shared" ca="1" si="9"/>
        <v>-2.62422207592935E-2</v>
      </c>
      <c r="Z38" s="5">
        <f t="shared" ca="1" si="31"/>
        <v>8.949299705447733E-2</v>
      </c>
      <c r="AA38" s="5">
        <f t="shared" ca="1" si="32"/>
        <v>-1.3438837111839093</v>
      </c>
      <c r="AB38" s="5">
        <f t="shared" ca="1" si="10"/>
        <v>-0.10852916494422338</v>
      </c>
      <c r="AC38" s="5">
        <f t="shared" ca="1" si="33"/>
        <v>8.5765842242315871E-2</v>
      </c>
      <c r="AD38" s="5">
        <f t="shared" ca="1" si="34"/>
        <v>-1.3672987463970894</v>
      </c>
      <c r="AE38" s="5">
        <f t="shared" ca="1" si="11"/>
        <v>-0.11165474596107838</v>
      </c>
      <c r="AF38" s="5">
        <f t="shared" ca="1" si="48"/>
        <v>1.0457439806127686</v>
      </c>
      <c r="AG38" s="5">
        <f t="shared" ca="1" si="49"/>
        <v>0.95020598608857554</v>
      </c>
      <c r="AH38" s="5">
        <f t="shared" ca="1" si="50"/>
        <v>0.77005081298912836</v>
      </c>
      <c r="AI38" s="5">
        <f t="shared" ca="1" si="51"/>
        <v>1.4372461351757546</v>
      </c>
      <c r="AJ38" s="5">
        <f t="shared" ca="1" si="52"/>
        <v>1.0485817477418451</v>
      </c>
      <c r="AK38" s="5">
        <f t="shared" ca="1" si="53"/>
        <v>0.88765625507826973</v>
      </c>
      <c r="AL38" s="5">
        <f t="shared" ca="1" si="54"/>
        <v>1.1730705752893338</v>
      </c>
      <c r="AM38" s="5">
        <f t="shared" ca="1" si="55"/>
        <v>0.9737577792407065</v>
      </c>
      <c r="AN38" s="5">
        <f t="shared" ca="1" si="56"/>
        <v>0.89147083505577662</v>
      </c>
      <c r="AO38" s="5">
        <f t="shared" ca="1" si="57"/>
        <v>0.88834525403892162</v>
      </c>
      <c r="AP38" s="5">
        <f t="shared" ca="1" si="58"/>
        <v>0.92598678301709481</v>
      </c>
      <c r="AQ38" s="4">
        <f t="shared" ca="1" si="12"/>
        <v>9259.8678301709479</v>
      </c>
      <c r="AR38">
        <f t="shared" ca="1" si="13"/>
        <v>0</v>
      </c>
      <c r="AS38">
        <f t="shared" ca="1" si="14"/>
        <v>0</v>
      </c>
    </row>
    <row r="39" spans="1:45" x14ac:dyDescent="0.25">
      <c r="A39" s="10">
        <f t="shared" si="47"/>
        <v>18</v>
      </c>
      <c r="B39" s="5">
        <f t="shared" ca="1" si="15"/>
        <v>0.36251889691529959</v>
      </c>
      <c r="C39" s="5">
        <f t="shared" ca="1" si="16"/>
        <v>-0.35173395434370691</v>
      </c>
      <c r="D39" s="5">
        <f t="shared" ca="1" si="2"/>
        <v>3.4522437146550011E-2</v>
      </c>
      <c r="E39" s="5">
        <f t="shared" ca="1" si="17"/>
        <v>0.75518870784124348</v>
      </c>
      <c r="F39" s="5">
        <f t="shared" ca="1" si="18"/>
        <v>0.69090923165510909</v>
      </c>
      <c r="G39" s="5">
        <f t="shared" ca="1" si="3"/>
        <v>0.20965643920255972</v>
      </c>
      <c r="H39" s="5">
        <f t="shared" ca="1" si="19"/>
        <v>0.57247218214359408</v>
      </c>
      <c r="I39" s="5">
        <f t="shared" ca="1" si="20"/>
        <v>0.18267168280936419</v>
      </c>
      <c r="J39" s="5">
        <f t="shared" ca="1" si="4"/>
        <v>0.12086504906312623</v>
      </c>
      <c r="K39" s="5">
        <f t="shared" ca="1" si="21"/>
        <v>0.37761889643285718</v>
      </c>
      <c r="L39" s="5">
        <f t="shared" ca="1" si="22"/>
        <v>-0.31174043845332755</v>
      </c>
      <c r="M39" s="5">
        <f t="shared" ca="1" si="5"/>
        <v>4.0747218223687209E-2</v>
      </c>
      <c r="N39" s="5">
        <f t="shared" ca="1" si="23"/>
        <v>0.52326292386865469</v>
      </c>
      <c r="O39" s="5">
        <f t="shared" ca="1" si="24"/>
        <v>5.8344587537620417E-2</v>
      </c>
      <c r="P39" s="5">
        <f t="shared" ca="1" si="6"/>
        <v>0.10015567017300309</v>
      </c>
      <c r="Q39" s="5">
        <f t="shared" ca="1" si="25"/>
        <v>0.33875549785723613</v>
      </c>
      <c r="R39" s="5">
        <f t="shared" ca="1" si="26"/>
        <v>-0.41586198851672174</v>
      </c>
      <c r="S39" s="5">
        <f t="shared" ca="1" si="7"/>
        <v>2.4618862239454087E-2</v>
      </c>
      <c r="T39" s="5">
        <f t="shared" ca="1" si="27"/>
        <v>0.42375816550893974</v>
      </c>
      <c r="U39" s="5">
        <f t="shared" ca="1" si="28"/>
        <v>-0.19228836590398934</v>
      </c>
      <c r="V39" s="5">
        <f t="shared" ca="1" si="8"/>
        <v>5.9563197233006404E-2</v>
      </c>
      <c r="W39" s="5">
        <f t="shared" ca="1" si="29"/>
        <v>0.42025352658978232</v>
      </c>
      <c r="X39" s="5">
        <f t="shared" ca="1" si="30"/>
        <v>-0.20124494001823695</v>
      </c>
      <c r="Y39" s="5">
        <f t="shared" ca="1" si="9"/>
        <v>5.8140644591127444E-2</v>
      </c>
      <c r="Z39" s="5">
        <f t="shared" ca="1" si="31"/>
        <v>1.8326437011154995E-2</v>
      </c>
      <c r="AA39" s="5">
        <f t="shared" ca="1" si="32"/>
        <v>-2.0896097050629572</v>
      </c>
      <c r="AB39" s="5">
        <f t="shared" ca="1" si="10"/>
        <v>-0.20287315179398946</v>
      </c>
      <c r="AC39" s="5">
        <f t="shared" ca="1" si="33"/>
        <v>0.79960801610636212</v>
      </c>
      <c r="AD39" s="5">
        <f t="shared" ca="1" si="34"/>
        <v>0.84022192452098543</v>
      </c>
      <c r="AE39" s="5">
        <f t="shared" ca="1" si="11"/>
        <v>0.23705467075435016</v>
      </c>
      <c r="AF39" s="5">
        <f t="shared" ca="1" si="48"/>
        <v>1.03452243714655</v>
      </c>
      <c r="AG39" s="5">
        <f t="shared" ca="1" si="49"/>
        <v>1.2096564392025597</v>
      </c>
      <c r="AH39" s="5">
        <f t="shared" ca="1" si="50"/>
        <v>1.1208650490631262</v>
      </c>
      <c r="AI39" s="5">
        <f t="shared" ca="1" si="51"/>
        <v>1.0407472182236872</v>
      </c>
      <c r="AJ39" s="5">
        <f t="shared" ca="1" si="52"/>
        <v>1.1001556701730031</v>
      </c>
      <c r="AK39" s="5">
        <f t="shared" ca="1" si="53"/>
        <v>1.0246188622394541</v>
      </c>
      <c r="AL39" s="5">
        <f t="shared" ca="1" si="54"/>
        <v>1.0595631972330064</v>
      </c>
      <c r="AM39" s="5">
        <f t="shared" ca="1" si="55"/>
        <v>1.0581406445911274</v>
      </c>
      <c r="AN39" s="5">
        <f t="shared" ca="1" si="56"/>
        <v>0.79712684820601054</v>
      </c>
      <c r="AO39" s="5">
        <f t="shared" ca="1" si="57"/>
        <v>1.2370546707543502</v>
      </c>
      <c r="AP39" s="5">
        <f t="shared" ca="1" si="58"/>
        <v>1.8192970771386188</v>
      </c>
      <c r="AQ39" s="4">
        <f t="shared" ca="1" si="12"/>
        <v>18192.970771386186</v>
      </c>
      <c r="AR39">
        <f t="shared" ca="1" si="13"/>
        <v>0</v>
      </c>
      <c r="AS39">
        <f t="shared" ca="1" si="14"/>
        <v>0</v>
      </c>
    </row>
    <row r="40" spans="1:45" x14ac:dyDescent="0.25">
      <c r="A40" s="10">
        <f t="shared" si="47"/>
        <v>19</v>
      </c>
      <c r="B40" s="5">
        <f t="shared" ca="1" si="15"/>
        <v>0.35066114431070117</v>
      </c>
      <c r="C40" s="5">
        <f t="shared" ca="1" si="16"/>
        <v>-0.38353612736423648</v>
      </c>
      <c r="D40" s="5">
        <f t="shared" ca="1" si="2"/>
        <v>2.9599180022340521E-2</v>
      </c>
      <c r="E40" s="5">
        <f t="shared" ca="1" si="17"/>
        <v>0.89066067707431118</v>
      </c>
      <c r="F40" s="5">
        <f t="shared" ca="1" si="18"/>
        <v>1.2300492950527508</v>
      </c>
      <c r="G40" s="5">
        <f t="shared" ca="1" si="3"/>
        <v>0.31154704950720902</v>
      </c>
      <c r="H40" s="5">
        <f t="shared" ca="1" si="19"/>
        <v>0.84026546629480869</v>
      </c>
      <c r="I40" s="5">
        <f t="shared" ca="1" si="20"/>
        <v>0.99554952994833712</v>
      </c>
      <c r="J40" s="5">
        <f t="shared" ca="1" si="4"/>
        <v>0.26621537222266656</v>
      </c>
      <c r="K40" s="5">
        <f t="shared" ca="1" si="21"/>
        <v>0.49697655914363137</v>
      </c>
      <c r="L40" s="5">
        <f t="shared" ca="1" si="22"/>
        <v>-7.5787148862957142E-3</v>
      </c>
      <c r="M40" s="5">
        <f t="shared" ca="1" si="5"/>
        <v>8.9330396971108339E-2</v>
      </c>
      <c r="N40" s="5">
        <f t="shared" ca="1" si="23"/>
        <v>0.86504577599074339</v>
      </c>
      <c r="O40" s="5">
        <f t="shared" ca="1" si="24"/>
        <v>1.1032734148633605</v>
      </c>
      <c r="P40" s="5">
        <f t="shared" ca="1" si="6"/>
        <v>0.28684181633504835</v>
      </c>
      <c r="Q40" s="5">
        <f t="shared" ca="1" si="25"/>
        <v>0.82660511513217561</v>
      </c>
      <c r="R40" s="5">
        <f t="shared" ca="1" si="26"/>
        <v>0.94083432097957587</v>
      </c>
      <c r="S40" s="5">
        <f t="shared" ca="1" si="7"/>
        <v>0.2558657157857227</v>
      </c>
      <c r="T40" s="5">
        <f t="shared" ca="1" si="27"/>
        <v>0.26815507544556549</v>
      </c>
      <c r="U40" s="5">
        <f t="shared" ca="1" si="28"/>
        <v>-0.61840234731124377</v>
      </c>
      <c r="V40" s="5">
        <f t="shared" ca="1" si="8"/>
        <v>-6.0420252040825906E-3</v>
      </c>
      <c r="W40" s="5">
        <f t="shared" ca="1" si="29"/>
        <v>0.50211478046745261</v>
      </c>
      <c r="X40" s="5">
        <f t="shared" ca="1" si="30"/>
        <v>5.3009933410368658E-3</v>
      </c>
      <c r="Y40" s="5">
        <f t="shared" ca="1" si="9"/>
        <v>9.1436969870630103E-2</v>
      </c>
      <c r="Z40" s="5">
        <f t="shared" ca="1" si="31"/>
        <v>6.5961948269087634E-2</v>
      </c>
      <c r="AA40" s="5">
        <f t="shared" ca="1" si="32"/>
        <v>-1.5065583637022852</v>
      </c>
      <c r="AB40" s="5">
        <f t="shared" ca="1" si="10"/>
        <v>-0.13001886767840209</v>
      </c>
      <c r="AC40" s="5">
        <f t="shared" ca="1" si="33"/>
        <v>0.79491899222670082</v>
      </c>
      <c r="AD40" s="5">
        <f t="shared" ca="1" si="34"/>
        <v>0.82360855126843369</v>
      </c>
      <c r="AE40" s="5">
        <f t="shared" ca="1" si="11"/>
        <v>0.23397576103158446</v>
      </c>
      <c r="AF40" s="5">
        <f t="shared" ca="1" si="48"/>
        <v>1.0295991800223405</v>
      </c>
      <c r="AG40" s="5">
        <f t="shared" ca="1" si="49"/>
        <v>1.311547049507209</v>
      </c>
      <c r="AH40" s="5">
        <f t="shared" ca="1" si="50"/>
        <v>1.2662153722226666</v>
      </c>
      <c r="AI40" s="5">
        <f t="shared" ca="1" si="51"/>
        <v>1.0893303969711083</v>
      </c>
      <c r="AJ40" s="5">
        <f t="shared" ca="1" si="52"/>
        <v>1.2868418163350483</v>
      </c>
      <c r="AK40" s="5">
        <f t="shared" ca="1" si="53"/>
        <v>1.2558657157857227</v>
      </c>
      <c r="AL40" s="5">
        <f t="shared" ca="1" si="54"/>
        <v>0.99395797479591741</v>
      </c>
      <c r="AM40" s="5">
        <f t="shared" ca="1" si="55"/>
        <v>1.0914369698706301</v>
      </c>
      <c r="AN40" s="5">
        <f t="shared" ca="1" si="56"/>
        <v>0.86998113232159791</v>
      </c>
      <c r="AO40" s="5">
        <f t="shared" ca="1" si="57"/>
        <v>1.2339757610315845</v>
      </c>
      <c r="AP40" s="5">
        <f t="shared" ca="1" si="58"/>
        <v>3.5056679846525642</v>
      </c>
      <c r="AQ40" s="4">
        <f t="shared" ca="1" si="12"/>
        <v>35056.679846525643</v>
      </c>
      <c r="AR40">
        <f t="shared" ca="1" si="13"/>
        <v>1</v>
      </c>
      <c r="AS40">
        <f t="shared" ca="1" si="14"/>
        <v>0</v>
      </c>
    </row>
    <row r="41" spans="1:45" x14ac:dyDescent="0.25">
      <c r="A41" s="10">
        <f t="shared" si="47"/>
        <v>20</v>
      </c>
      <c r="B41" s="5">
        <f t="shared" ca="1" si="15"/>
        <v>0.9637804804782466</v>
      </c>
      <c r="C41" s="5">
        <f t="shared" ca="1" si="16"/>
        <v>1.7963489396596057</v>
      </c>
      <c r="D41" s="5">
        <f t="shared" ca="1" si="2"/>
        <v>0.4278250479190937</v>
      </c>
      <c r="E41" s="5">
        <f t="shared" ca="1" si="17"/>
        <v>0.3828209788827529</v>
      </c>
      <c r="F41" s="5">
        <f t="shared" ca="1" si="18"/>
        <v>-0.29808019396031793</v>
      </c>
      <c r="G41" s="5">
        <f t="shared" ca="1" si="3"/>
        <v>4.288193375044913E-2</v>
      </c>
      <c r="H41" s="5">
        <f t="shared" ca="1" si="19"/>
        <v>0.98872020179734921</v>
      </c>
      <c r="I41" s="5">
        <f t="shared" ca="1" si="20"/>
        <v>2.280811621342314</v>
      </c>
      <c r="J41" s="5">
        <f t="shared" ca="1" si="4"/>
        <v>0.53544730607982527</v>
      </c>
      <c r="K41" s="5">
        <f t="shared" ca="1" si="21"/>
        <v>8.9087756841579546E-2</v>
      </c>
      <c r="L41" s="5">
        <f t="shared" ca="1" si="22"/>
        <v>-1.346393910758209</v>
      </c>
      <c r="M41" s="5">
        <f t="shared" ca="1" si="5"/>
        <v>-0.10886476721470628</v>
      </c>
      <c r="N41" s="5">
        <f t="shared" ca="1" si="23"/>
        <v>0.22969029255158269</v>
      </c>
      <c r="O41" s="5">
        <f t="shared" ca="1" si="24"/>
        <v>-0.73986718909011129</v>
      </c>
      <c r="P41" s="5">
        <f t="shared" ca="1" si="6"/>
        <v>-2.3987688457754786E-2</v>
      </c>
      <c r="Q41" s="5">
        <f t="shared" ca="1" si="25"/>
        <v>0.6042992519313215</v>
      </c>
      <c r="R41" s="5">
        <f t="shared" ca="1" si="26"/>
        <v>0.26449113341841896</v>
      </c>
      <c r="S41" s="5">
        <f t="shared" ca="1" si="7"/>
        <v>0.13470609471468875</v>
      </c>
      <c r="T41" s="5">
        <f t="shared" ca="1" si="27"/>
        <v>0.90505369525975343</v>
      </c>
      <c r="U41" s="5">
        <f t="shared" ca="1" si="28"/>
        <v>1.3108968670563339</v>
      </c>
      <c r="V41" s="5">
        <f t="shared" ca="1" si="8"/>
        <v>0.32754919265119886</v>
      </c>
      <c r="W41" s="5">
        <f t="shared" ca="1" si="29"/>
        <v>0.46027144718513635</v>
      </c>
      <c r="X41" s="5">
        <f t="shared" ca="1" si="30"/>
        <v>-9.9749886422905998E-2</v>
      </c>
      <c r="Y41" s="5">
        <f t="shared" ca="1" si="9"/>
        <v>7.4373302361621763E-2</v>
      </c>
      <c r="Z41" s="5">
        <f t="shared" ca="1" si="31"/>
        <v>0.27519038491221059</v>
      </c>
      <c r="AA41" s="5">
        <f t="shared" ca="1" si="32"/>
        <v>-0.59718964808070585</v>
      </c>
      <c r="AB41" s="5">
        <f t="shared" ca="1" si="10"/>
        <v>-2.874308454946517E-3</v>
      </c>
      <c r="AC41" s="5">
        <f t="shared" ca="1" si="33"/>
        <v>0.80416248218179542</v>
      </c>
      <c r="AD41" s="5">
        <f t="shared" ca="1" si="34"/>
        <v>0.85658363047849961</v>
      </c>
      <c r="AE41" s="5">
        <f t="shared" ca="1" si="11"/>
        <v>0.24009444814076208</v>
      </c>
      <c r="AF41" s="5">
        <f t="shared" ca="1" si="48"/>
        <v>1.4278250479190937</v>
      </c>
      <c r="AG41" s="5">
        <f t="shared" ca="1" si="49"/>
        <v>1.0428819337504491</v>
      </c>
      <c r="AH41" s="5">
        <f t="shared" ca="1" si="50"/>
        <v>1.5354473060798253</v>
      </c>
      <c r="AI41" s="5">
        <f t="shared" ca="1" si="51"/>
        <v>0.89113523278529372</v>
      </c>
      <c r="AJ41" s="5">
        <f t="shared" ca="1" si="52"/>
        <v>0.97601231154224521</v>
      </c>
      <c r="AK41" s="5">
        <f t="shared" ca="1" si="53"/>
        <v>1.1347060947146888</v>
      </c>
      <c r="AL41" s="5">
        <f t="shared" ca="1" si="54"/>
        <v>1.3275491926511989</v>
      </c>
      <c r="AM41" s="5">
        <f t="shared" ca="1" si="55"/>
        <v>1.0743733023616218</v>
      </c>
      <c r="AN41" s="5">
        <f t="shared" ca="1" si="56"/>
        <v>0.99712569154505348</v>
      </c>
      <c r="AO41" s="5">
        <f t="shared" ca="1" si="57"/>
        <v>1.2400944481407621</v>
      </c>
      <c r="AP41" s="5">
        <f t="shared" ca="1" si="58"/>
        <v>3.9795856448659803</v>
      </c>
      <c r="AQ41" s="4">
        <f t="shared" ca="1" si="12"/>
        <v>39795.856448659804</v>
      </c>
      <c r="AR41">
        <f t="shared" ca="1" si="13"/>
        <v>1</v>
      </c>
      <c r="AS41">
        <f t="shared" ca="1" si="14"/>
        <v>0</v>
      </c>
    </row>
    <row r="42" spans="1:45" x14ac:dyDescent="0.25">
      <c r="A42" s="10">
        <f t="shared" si="47"/>
        <v>21</v>
      </c>
      <c r="B42" s="5">
        <f t="shared" ca="1" si="15"/>
        <v>0.60848347957923354</v>
      </c>
      <c r="C42" s="5">
        <f t="shared" ca="1" si="16"/>
        <v>0.27536863204358253</v>
      </c>
      <c r="D42" s="5">
        <f t="shared" ca="1" si="2"/>
        <v>0.13655902054126079</v>
      </c>
      <c r="E42" s="5">
        <f t="shared" ca="1" si="17"/>
        <v>0.59959803616398277</v>
      </c>
      <c r="F42" s="5">
        <f t="shared" ca="1" si="18"/>
        <v>0.25230680623353641</v>
      </c>
      <c r="G42" s="5">
        <f t="shared" ca="1" si="3"/>
        <v>0.13263414414320662</v>
      </c>
      <c r="H42" s="5">
        <f t="shared" ca="1" si="19"/>
        <v>0.3761246640387832</v>
      </c>
      <c r="I42" s="5">
        <f t="shared" ca="1" si="20"/>
        <v>-0.31567483683782743</v>
      </c>
      <c r="J42" s="5">
        <f t="shared" ca="1" si="4"/>
        <v>4.0133192302095333E-2</v>
      </c>
      <c r="K42" s="5">
        <f t="shared" ca="1" si="21"/>
        <v>0.79953250690071076</v>
      </c>
      <c r="L42" s="5">
        <f t="shared" ca="1" si="22"/>
        <v>0.83995255977362648</v>
      </c>
      <c r="M42" s="5">
        <f t="shared" ca="1" si="5"/>
        <v>0.23700468892627913</v>
      </c>
      <c r="N42" s="5">
        <f t="shared" ca="1" si="23"/>
        <v>0.5337351419699814</v>
      </c>
      <c r="O42" s="5">
        <f t="shared" ca="1" si="24"/>
        <v>8.4662491815081883E-2</v>
      </c>
      <c r="P42" s="5">
        <f t="shared" ca="1" si="6"/>
        <v>0.10450732274244867</v>
      </c>
      <c r="Q42" s="5">
        <f t="shared" ca="1" si="25"/>
        <v>0.47605978811663352</v>
      </c>
      <c r="R42" s="5">
        <f t="shared" ca="1" si="26"/>
        <v>-6.0045274057232048E-2</v>
      </c>
      <c r="S42" s="5">
        <f t="shared" ca="1" si="7"/>
        <v>8.0791030723967205E-2</v>
      </c>
      <c r="T42" s="5">
        <f t="shared" ca="1" si="27"/>
        <v>0.46250931518259031</v>
      </c>
      <c r="U42" s="5">
        <f t="shared" ca="1" si="28"/>
        <v>-9.4113960959006038E-2</v>
      </c>
      <c r="V42" s="5">
        <f t="shared" ca="1" si="8"/>
        <v>7.5281949565476181E-2</v>
      </c>
      <c r="W42" s="5">
        <f t="shared" ca="1" si="29"/>
        <v>0.46989530282645819</v>
      </c>
      <c r="X42" s="5">
        <f t="shared" ca="1" si="30"/>
        <v>-7.5533046084069314E-2</v>
      </c>
      <c r="Y42" s="5">
        <f t="shared" ca="1" si="9"/>
        <v>7.8283088271132062E-2</v>
      </c>
      <c r="Z42" s="5">
        <f t="shared" ca="1" si="31"/>
        <v>0.39915182453723508</v>
      </c>
      <c r="AA42" s="5">
        <f t="shared" ca="1" si="32"/>
        <v>-0.25554311324416273</v>
      </c>
      <c r="AB42" s="5">
        <f t="shared" ca="1" si="10"/>
        <v>4.9557380603761692E-2</v>
      </c>
      <c r="AC42" s="5">
        <f t="shared" ca="1" si="33"/>
        <v>0.85415118173456528</v>
      </c>
      <c r="AD42" s="5">
        <f t="shared" ca="1" si="34"/>
        <v>1.0544047761256758</v>
      </c>
      <c r="AE42" s="5">
        <f t="shared" ca="1" si="11"/>
        <v>0.27744337392532925</v>
      </c>
      <c r="AF42" s="5">
        <f t="shared" ca="1" si="48"/>
        <v>1.1365590205412608</v>
      </c>
      <c r="AG42" s="5">
        <f t="shared" ca="1" si="49"/>
        <v>1.1326341441432066</v>
      </c>
      <c r="AH42" s="5">
        <f t="shared" ca="1" si="50"/>
        <v>1.0401331923020953</v>
      </c>
      <c r="AI42" s="5">
        <f t="shared" ca="1" si="51"/>
        <v>1.2370046889262791</v>
      </c>
      <c r="AJ42" s="5">
        <f t="shared" ca="1" si="52"/>
        <v>1.1045073227424487</v>
      </c>
      <c r="AK42" s="5">
        <f t="shared" ca="1" si="53"/>
        <v>1.0807910307239672</v>
      </c>
      <c r="AL42" s="5">
        <f t="shared" ca="1" si="54"/>
        <v>1.0752819495654762</v>
      </c>
      <c r="AM42" s="5">
        <f t="shared" ca="1" si="55"/>
        <v>1.0782830882711321</v>
      </c>
      <c r="AN42" s="5">
        <f t="shared" ca="1" si="56"/>
        <v>1.0495573806037617</v>
      </c>
      <c r="AO42" s="5">
        <f t="shared" ca="1" si="57"/>
        <v>1.2774433739253293</v>
      </c>
      <c r="AP42" s="5">
        <f t="shared" ca="1" si="58"/>
        <v>3.0736560697042181</v>
      </c>
      <c r="AQ42" s="4">
        <f t="shared" ca="1" si="12"/>
        <v>30736.56069704218</v>
      </c>
      <c r="AR42">
        <f t="shared" ca="1" si="13"/>
        <v>1</v>
      </c>
      <c r="AS42">
        <f t="shared" ca="1" si="14"/>
        <v>0</v>
      </c>
    </row>
    <row r="43" spans="1:45" x14ac:dyDescent="0.25">
      <c r="A43" s="10">
        <f t="shared" si="47"/>
        <v>22</v>
      </c>
      <c r="B43" s="5">
        <f t="shared" ca="1" si="15"/>
        <v>0.91280357798748912</v>
      </c>
      <c r="C43" s="5">
        <f t="shared" ca="1" si="16"/>
        <v>1.3582232853698921</v>
      </c>
      <c r="D43" s="5">
        <f t="shared" ca="1" si="2"/>
        <v>0.33700694531279041</v>
      </c>
      <c r="E43" s="5">
        <f t="shared" ca="1" si="17"/>
        <v>0.11955728400345755</v>
      </c>
      <c r="F43" s="5">
        <f t="shared" ca="1" si="18"/>
        <v>-1.1772028083972452</v>
      </c>
      <c r="G43" s="5">
        <f t="shared" ca="1" si="3"/>
        <v>-8.5959521454366916E-2</v>
      </c>
      <c r="H43" s="5">
        <f t="shared" ca="1" si="19"/>
        <v>0.59456926864826865</v>
      </c>
      <c r="I43" s="5">
        <f t="shared" ca="1" si="20"/>
        <v>0.23931483527093009</v>
      </c>
      <c r="J43" s="5">
        <f t="shared" ca="1" si="4"/>
        <v>0.13042902102146492</v>
      </c>
      <c r="K43" s="5">
        <f t="shared" ca="1" si="21"/>
        <v>0.14888051111571787</v>
      </c>
      <c r="L43" s="5">
        <f t="shared" ca="1" si="22"/>
        <v>-1.0412467960334546</v>
      </c>
      <c r="M43" s="5">
        <f t="shared" ca="1" si="5"/>
        <v>-6.7127757457286052E-2</v>
      </c>
      <c r="N43" s="5">
        <f t="shared" ca="1" si="23"/>
        <v>8.9962706502226042E-2</v>
      </c>
      <c r="O43" s="5">
        <f t="shared" ca="1" si="24"/>
        <v>-1.3409847220735478</v>
      </c>
      <c r="P43" s="5">
        <f t="shared" ca="1" si="6"/>
        <v>-0.10814142601005738</v>
      </c>
      <c r="Q43" s="5">
        <f t="shared" ca="1" si="25"/>
        <v>0.30846646708412162</v>
      </c>
      <c r="R43" s="5">
        <f t="shared" ca="1" si="26"/>
        <v>-0.50020188079883243</v>
      </c>
      <c r="S43" s="5">
        <f t="shared" ca="1" si="7"/>
        <v>1.173807468061816E-2</v>
      </c>
      <c r="T43" s="5">
        <f t="shared" ca="1" si="27"/>
        <v>0.92766503381633236</v>
      </c>
      <c r="U43" s="5">
        <f t="shared" ca="1" si="28"/>
        <v>1.4586192498755526</v>
      </c>
      <c r="V43" s="5">
        <f t="shared" ca="1" si="8"/>
        <v>0.3572938313020757</v>
      </c>
      <c r="W43" s="5">
        <f t="shared" ca="1" si="29"/>
        <v>0.38863382591110285</v>
      </c>
      <c r="X43" s="5">
        <f t="shared" ca="1" si="30"/>
        <v>-0.28288153215528844</v>
      </c>
      <c r="Y43" s="5">
        <f t="shared" ca="1" si="9"/>
        <v>4.5262207464682458E-2</v>
      </c>
      <c r="Z43" s="5">
        <f t="shared" ca="1" si="31"/>
        <v>0.50994159339017298</v>
      </c>
      <c r="AA43" s="5">
        <f t="shared" ca="1" si="32"/>
        <v>2.4922458856471645E-2</v>
      </c>
      <c r="AB43" s="5">
        <f t="shared" ca="1" si="10"/>
        <v>9.4654040751685375E-2</v>
      </c>
      <c r="AC43" s="5">
        <f t="shared" ca="1" si="33"/>
        <v>0.43656027414661058</v>
      </c>
      <c r="AD43" s="5">
        <f t="shared" ca="1" si="34"/>
        <v>-0.15969600470706838</v>
      </c>
      <c r="AE43" s="5">
        <f t="shared" ca="1" si="11"/>
        <v>6.475593011262859E-2</v>
      </c>
      <c r="AF43" s="5">
        <f t="shared" ca="1" si="48"/>
        <v>1.3370069453127904</v>
      </c>
      <c r="AG43" s="5">
        <f t="shared" ca="1" si="49"/>
        <v>0.91404047854563308</v>
      </c>
      <c r="AH43" s="5">
        <f t="shared" ca="1" si="50"/>
        <v>1.1304290210214649</v>
      </c>
      <c r="AI43" s="5">
        <f t="shared" ca="1" si="51"/>
        <v>0.93287224254271395</v>
      </c>
      <c r="AJ43" s="5">
        <f t="shared" ca="1" si="52"/>
        <v>0.89185857398994262</v>
      </c>
      <c r="AK43" s="5">
        <f t="shared" ca="1" si="53"/>
        <v>1.0117380746806182</v>
      </c>
      <c r="AL43" s="5">
        <f t="shared" ca="1" si="54"/>
        <v>1.3572938313020757</v>
      </c>
      <c r="AM43" s="5">
        <f t="shared" ca="1" si="55"/>
        <v>1.0452622074646825</v>
      </c>
      <c r="AN43" s="5">
        <f t="shared" ca="1" si="56"/>
        <v>1.0946540407516854</v>
      </c>
      <c r="AO43" s="5">
        <f t="shared" ca="1" si="57"/>
        <v>1.0647559301126286</v>
      </c>
      <c r="AP43" s="5">
        <f t="shared" ca="1" si="58"/>
        <v>1.922891250068645</v>
      </c>
      <c r="AQ43" s="4">
        <f t="shared" ca="1" si="12"/>
        <v>19228.912500686449</v>
      </c>
      <c r="AR43">
        <f t="shared" ca="1" si="13"/>
        <v>0</v>
      </c>
      <c r="AS43">
        <f t="shared" ca="1" si="14"/>
        <v>0</v>
      </c>
    </row>
    <row r="44" spans="1:45" x14ac:dyDescent="0.25">
      <c r="A44" s="10">
        <f t="shared" si="47"/>
        <v>23</v>
      </c>
      <c r="B44" s="5">
        <f t="shared" ca="1" si="15"/>
        <v>0.81355928828819324</v>
      </c>
      <c r="C44" s="5">
        <f t="shared" ca="1" si="16"/>
        <v>0.89108900421923853</v>
      </c>
      <c r="D44" s="5">
        <f t="shared" ca="1" si="2"/>
        <v>0.24652957562184663</v>
      </c>
      <c r="E44" s="5">
        <f t="shared" ca="1" si="17"/>
        <v>0.7959633458540909</v>
      </c>
      <c r="F44" s="5">
        <f t="shared" ca="1" si="18"/>
        <v>0.82728894480783255</v>
      </c>
      <c r="G44" s="5">
        <f t="shared" ca="1" si="3"/>
        <v>0.23465717656787977</v>
      </c>
      <c r="H44" s="5">
        <f t="shared" ca="1" si="19"/>
        <v>0.76763846496697707</v>
      </c>
      <c r="I44" s="5">
        <f t="shared" ca="1" si="20"/>
        <v>0.73109182052482946</v>
      </c>
      <c r="J44" s="5">
        <f t="shared" ca="1" si="4"/>
        <v>0.21696952557380333</v>
      </c>
      <c r="K44" s="5">
        <f t="shared" ca="1" si="21"/>
        <v>0.11090342561703659</v>
      </c>
      <c r="L44" s="5">
        <f t="shared" ca="1" si="22"/>
        <v>-1.2217376562983127</v>
      </c>
      <c r="M44" s="5">
        <f t="shared" ca="1" si="5"/>
        <v>-9.2045170118451813E-2</v>
      </c>
      <c r="N44" s="5">
        <f t="shared" ca="1" si="23"/>
        <v>0.13215432775394709</v>
      </c>
      <c r="O44" s="5">
        <f t="shared" ca="1" si="24"/>
        <v>-1.1162651474211343</v>
      </c>
      <c r="P44" s="5">
        <f t="shared" ca="1" si="6"/>
        <v>-7.756629681229954E-2</v>
      </c>
      <c r="Q44" s="5">
        <f t="shared" ca="1" si="25"/>
        <v>6.1823461064045571E-2</v>
      </c>
      <c r="R44" s="5">
        <f t="shared" ca="1" si="26"/>
        <v>-1.5396449508099863</v>
      </c>
      <c r="S44" s="5">
        <f t="shared" ca="1" si="7"/>
        <v>-0.13432587699738696</v>
      </c>
      <c r="T44" s="5">
        <f t="shared" ca="1" si="27"/>
        <v>0.27818772250652424</v>
      </c>
      <c r="U44" s="5">
        <f t="shared" ca="1" si="28"/>
        <v>-0.58823369294403927</v>
      </c>
      <c r="V44" s="5">
        <f t="shared" ca="1" si="8"/>
        <v>-1.533876348937202E-3</v>
      </c>
      <c r="W44" s="5">
        <f t="shared" ca="1" si="29"/>
        <v>0.43491385349327305</v>
      </c>
      <c r="X44" s="5">
        <f t="shared" ca="1" si="30"/>
        <v>-0.16387733871699575</v>
      </c>
      <c r="Y44" s="5">
        <f t="shared" ca="1" si="9"/>
        <v>6.4088324468249969E-2</v>
      </c>
      <c r="Z44" s="5">
        <f t="shared" ca="1" si="31"/>
        <v>0.54388323058922683</v>
      </c>
      <c r="AA44" s="5">
        <f t="shared" ca="1" si="32"/>
        <v>0.1102217178951678</v>
      </c>
      <c r="AB44" s="5">
        <f t="shared" ca="1" si="10"/>
        <v>0.10875000337350826</v>
      </c>
      <c r="AC44" s="5">
        <f t="shared" ca="1" si="33"/>
        <v>0.75448060737764588</v>
      </c>
      <c r="AD44" s="5">
        <f t="shared" ca="1" si="34"/>
        <v>0.68865756671665102</v>
      </c>
      <c r="AE44" s="5">
        <f t="shared" ca="1" si="11"/>
        <v>0.20924794704174365</v>
      </c>
      <c r="AF44" s="5">
        <f t="shared" ca="1" si="48"/>
        <v>1.2465295756218466</v>
      </c>
      <c r="AG44" s="5">
        <f t="shared" ca="1" si="49"/>
        <v>1.2346571765678798</v>
      </c>
      <c r="AH44" s="5">
        <f t="shared" ca="1" si="50"/>
        <v>1.2169695255738033</v>
      </c>
      <c r="AI44" s="5">
        <f t="shared" ca="1" si="51"/>
        <v>0.90795482988154819</v>
      </c>
      <c r="AJ44" s="5">
        <f t="shared" ca="1" si="52"/>
        <v>0.92243370318770046</v>
      </c>
      <c r="AK44" s="5">
        <f t="shared" ca="1" si="53"/>
        <v>0.86567412300261304</v>
      </c>
      <c r="AL44" s="5">
        <f t="shared" ca="1" si="54"/>
        <v>0.9984661236510628</v>
      </c>
      <c r="AM44" s="5">
        <f t="shared" ca="1" si="55"/>
        <v>1.06408832446825</v>
      </c>
      <c r="AN44" s="5">
        <f t="shared" ca="1" si="56"/>
        <v>1.1087500033735083</v>
      </c>
      <c r="AO44" s="5">
        <f t="shared" ca="1" si="57"/>
        <v>1.2092479470417437</v>
      </c>
      <c r="AP44" s="5">
        <f t="shared" ca="1" si="58"/>
        <v>1.9343832468485056</v>
      </c>
      <c r="AQ44" s="4">
        <f t="shared" ca="1" si="12"/>
        <v>19343.832468485056</v>
      </c>
      <c r="AR44">
        <f t="shared" ca="1" si="13"/>
        <v>0</v>
      </c>
      <c r="AS44">
        <f t="shared" ca="1" si="14"/>
        <v>0</v>
      </c>
    </row>
    <row r="45" spans="1:45" x14ac:dyDescent="0.25">
      <c r="A45" s="10">
        <f t="shared" si="47"/>
        <v>24</v>
      </c>
      <c r="B45" s="5">
        <f t="shared" ca="1" si="15"/>
        <v>0.97165352337748778</v>
      </c>
      <c r="C45" s="5">
        <f t="shared" ca="1" si="16"/>
        <v>1.9056706212528578</v>
      </c>
      <c r="D45" s="5">
        <f t="shared" ca="1" si="2"/>
        <v>0.45143190985297177</v>
      </c>
      <c r="E45" s="5">
        <f t="shared" ca="1" si="17"/>
        <v>3.1797351271248941E-2</v>
      </c>
      <c r="F45" s="5">
        <f t="shared" ca="1" si="18"/>
        <v>-1.8550106725495861</v>
      </c>
      <c r="G45" s="5">
        <f t="shared" ca="1" si="3"/>
        <v>-0.17432298165553628</v>
      </c>
      <c r="H45" s="5">
        <f t="shared" ca="1" si="19"/>
        <v>5.2896621530991172E-2</v>
      </c>
      <c r="I45" s="5">
        <f t="shared" ca="1" si="20"/>
        <v>-1.6173940788031169</v>
      </c>
      <c r="J45" s="5">
        <f t="shared" ca="1" si="4"/>
        <v>-0.1443630458778371</v>
      </c>
      <c r="K45" s="5">
        <f t="shared" ca="1" si="21"/>
        <v>0.86884260025709725</v>
      </c>
      <c r="L45" s="5">
        <f t="shared" ca="1" si="22"/>
        <v>1.1209367193270299</v>
      </c>
      <c r="M45" s="5">
        <f t="shared" ca="1" si="5"/>
        <v>0.29025581885012208</v>
      </c>
      <c r="N45" s="5">
        <f t="shared" ca="1" si="23"/>
        <v>0.50991147162666506</v>
      </c>
      <c r="O45" s="5">
        <f t="shared" ca="1" si="24"/>
        <v>2.4846931410871159E-2</v>
      </c>
      <c r="P45" s="5">
        <f t="shared" ca="1" si="6"/>
        <v>9.4641639358406859E-2</v>
      </c>
      <c r="Q45" s="5">
        <f t="shared" ca="1" si="25"/>
        <v>0.59032344322157526</v>
      </c>
      <c r="R45" s="5">
        <f t="shared" ca="1" si="26"/>
        <v>0.22837707051226891</v>
      </c>
      <c r="S45" s="5">
        <f t="shared" ca="1" si="7"/>
        <v>0.12857588661701991</v>
      </c>
      <c r="T45" s="5">
        <f t="shared" ca="1" si="27"/>
        <v>0.27855966579635449</v>
      </c>
      <c r="U45" s="5">
        <f t="shared" ca="1" si="28"/>
        <v>-0.58712563556008224</v>
      </c>
      <c r="V45" s="5">
        <f t="shared" ca="1" si="8"/>
        <v>-1.3679088925679928E-3</v>
      </c>
      <c r="W45" s="5">
        <f t="shared" ca="1" si="29"/>
        <v>0.66408564932168435</v>
      </c>
      <c r="X45" s="5">
        <f t="shared" ca="1" si="30"/>
        <v>0.42363955791127339</v>
      </c>
      <c r="Y45" s="5">
        <f t="shared" ca="1" si="9"/>
        <v>0.16212001204563165</v>
      </c>
      <c r="Z45" s="5">
        <f t="shared" ca="1" si="31"/>
        <v>0.84639654854402546</v>
      </c>
      <c r="AA45" s="5">
        <f t="shared" ca="1" si="32"/>
        <v>1.0211003381724739</v>
      </c>
      <c r="AB45" s="5">
        <f t="shared" ca="1" si="10"/>
        <v>0.27107760774636525</v>
      </c>
      <c r="AC45" s="5">
        <f t="shared" ca="1" si="33"/>
        <v>0.16242975810687188</v>
      </c>
      <c r="AD45" s="5">
        <f t="shared" ca="1" si="34"/>
        <v>-0.98452078647472607</v>
      </c>
      <c r="AE45" s="5">
        <f t="shared" ca="1" si="11"/>
        <v>-5.9156172877524504E-2</v>
      </c>
      <c r="AF45" s="5">
        <f t="shared" ca="1" si="48"/>
        <v>1.4514319098529718</v>
      </c>
      <c r="AG45" s="5">
        <f t="shared" ca="1" si="49"/>
        <v>0.82567701834446372</v>
      </c>
      <c r="AH45" s="5">
        <f t="shared" ca="1" si="50"/>
        <v>0.8556369541221629</v>
      </c>
      <c r="AI45" s="5">
        <f t="shared" ca="1" si="51"/>
        <v>1.2902558188501221</v>
      </c>
      <c r="AJ45" s="5">
        <f t="shared" ca="1" si="52"/>
        <v>1.0946416393584069</v>
      </c>
      <c r="AK45" s="5">
        <f t="shared" ca="1" si="53"/>
        <v>1.1285758866170199</v>
      </c>
      <c r="AL45" s="5">
        <f t="shared" ca="1" si="54"/>
        <v>0.99863209110743201</v>
      </c>
      <c r="AM45" s="5">
        <f t="shared" ca="1" si="55"/>
        <v>1.1621200120456316</v>
      </c>
      <c r="AN45" s="5">
        <f t="shared" ca="1" si="56"/>
        <v>1.2710776077463652</v>
      </c>
      <c r="AO45" s="5">
        <f t="shared" ca="1" si="57"/>
        <v>0.9408438271224755</v>
      </c>
      <c r="AP45" s="5">
        <f t="shared" ca="1" si="58"/>
        <v>2.2684074236282412</v>
      </c>
      <c r="AQ45" s="4">
        <f t="shared" ca="1" si="12"/>
        <v>22684.074236282413</v>
      </c>
      <c r="AR45">
        <f t="shared" ca="1" si="13"/>
        <v>0</v>
      </c>
      <c r="AS45">
        <f t="shared" ca="1" si="14"/>
        <v>0</v>
      </c>
    </row>
    <row r="46" spans="1:45" x14ac:dyDescent="0.25">
      <c r="A46" s="10">
        <f t="shared" si="47"/>
        <v>25</v>
      </c>
      <c r="B46" s="5">
        <f t="shared" ca="1" si="15"/>
        <v>0.2844672130801611</v>
      </c>
      <c r="C46" s="5">
        <f t="shared" ca="1" si="16"/>
        <v>-0.56962152465525351</v>
      </c>
      <c r="D46" s="5">
        <f t="shared" ca="1" si="2"/>
        <v>1.2575613697078936E-3</v>
      </c>
      <c r="E46" s="5">
        <f t="shared" ca="1" si="17"/>
        <v>0.14253877162103301</v>
      </c>
      <c r="F46" s="5">
        <f t="shared" ca="1" si="18"/>
        <v>-1.0689825261110606</v>
      </c>
      <c r="G46" s="5">
        <f t="shared" ca="1" si="3"/>
        <v>-7.1000779196900177E-2</v>
      </c>
      <c r="H46" s="5">
        <f t="shared" ca="1" si="19"/>
        <v>0.97765003650047366</v>
      </c>
      <c r="I46" s="5">
        <f t="shared" ca="1" si="20"/>
        <v>2.0074673196482942</v>
      </c>
      <c r="J46" s="5">
        <f t="shared" ca="1" si="4"/>
        <v>0.4737646271559961</v>
      </c>
      <c r="K46" s="5">
        <f t="shared" ca="1" si="21"/>
        <v>0.79350984541455483</v>
      </c>
      <c r="L46" s="5">
        <f t="shared" ca="1" si="22"/>
        <v>0.81866020159790442</v>
      </c>
      <c r="M46" s="5">
        <f t="shared" ca="1" si="5"/>
        <v>0.23306017933741696</v>
      </c>
      <c r="N46" s="5">
        <f t="shared" ca="1" si="23"/>
        <v>0.14485016578604082</v>
      </c>
      <c r="O46" s="5">
        <f t="shared" ca="1" si="24"/>
        <v>-1.0587792372707665</v>
      </c>
      <c r="P46" s="5">
        <f t="shared" ca="1" si="6"/>
        <v>-6.9577863485815516E-2</v>
      </c>
      <c r="Q46" s="5">
        <f t="shared" ca="1" si="25"/>
        <v>0.85937304834458073</v>
      </c>
      <c r="R46" s="5">
        <f t="shared" ca="1" si="26"/>
        <v>1.0775068251043503</v>
      </c>
      <c r="S46" s="5">
        <f t="shared" ca="1" si="7"/>
        <v>0.28187778669819608</v>
      </c>
      <c r="T46" s="5">
        <f t="shared" ca="1" si="27"/>
        <v>5.0391208051789649E-2</v>
      </c>
      <c r="U46" s="5">
        <f t="shared" ca="1" si="28"/>
        <v>-1.6410722607267354</v>
      </c>
      <c r="V46" s="5">
        <f t="shared" ca="1" si="8"/>
        <v>-0.14739664455027368</v>
      </c>
      <c r="W46" s="5">
        <f t="shared" ca="1" si="29"/>
        <v>0.85338371025709214</v>
      </c>
      <c r="X46" s="5">
        <f t="shared" ca="1" si="30"/>
        <v>1.0510566343824173</v>
      </c>
      <c r="Y46" s="5">
        <f t="shared" ca="1" si="9"/>
        <v>0.27680197577797094</v>
      </c>
      <c r="Z46" s="5">
        <f t="shared" ca="1" si="31"/>
        <v>0.86357322208828591</v>
      </c>
      <c r="AA46" s="5">
        <f t="shared" ca="1" si="32"/>
        <v>1.0965147869872773</v>
      </c>
      <c r="AB46" s="5">
        <f t="shared" ca="1" si="10"/>
        <v>0.28553788466010155</v>
      </c>
      <c r="AC46" s="5">
        <f t="shared" ca="1" si="33"/>
        <v>0.15913023503166712</v>
      </c>
      <c r="AD46" s="5">
        <f t="shared" ca="1" si="34"/>
        <v>-0.99803895356487149</v>
      </c>
      <c r="AE46" s="5">
        <f t="shared" ca="1" si="11"/>
        <v>-6.1062012574165436E-2</v>
      </c>
      <c r="AF46" s="5">
        <f t="shared" ca="1" si="48"/>
        <v>1.0012575613697079</v>
      </c>
      <c r="AG46" s="5">
        <f t="shared" ca="1" si="49"/>
        <v>0.92899922080309982</v>
      </c>
      <c r="AH46" s="5">
        <f t="shared" ca="1" si="50"/>
        <v>1.4737646271559961</v>
      </c>
      <c r="AI46" s="5">
        <f t="shared" ca="1" si="51"/>
        <v>1.233060179337417</v>
      </c>
      <c r="AJ46" s="5">
        <f t="shared" ca="1" si="52"/>
        <v>0.93042213651418448</v>
      </c>
      <c r="AK46" s="5">
        <f t="shared" ca="1" si="53"/>
        <v>1.2818777866981961</v>
      </c>
      <c r="AL46" s="5">
        <f t="shared" ca="1" si="54"/>
        <v>0.85260335544972632</v>
      </c>
      <c r="AM46" s="5">
        <f t="shared" ca="1" si="55"/>
        <v>1.2768019757779709</v>
      </c>
      <c r="AN46" s="5">
        <f t="shared" ca="1" si="56"/>
        <v>1.2855378846601015</v>
      </c>
      <c r="AO46" s="5">
        <f t="shared" ca="1" si="57"/>
        <v>0.93893798742583456</v>
      </c>
      <c r="AP46" s="5">
        <f t="shared" ca="1" si="58"/>
        <v>2.6490648470390115</v>
      </c>
      <c r="AQ46" s="4">
        <f t="shared" ca="1" si="12"/>
        <v>26490.648470390115</v>
      </c>
      <c r="AR46">
        <f t="shared" ca="1" si="13"/>
        <v>1</v>
      </c>
      <c r="AS46">
        <f t="shared" ca="1" si="14"/>
        <v>0</v>
      </c>
    </row>
    <row r="47" spans="1:45" x14ac:dyDescent="0.25">
      <c r="A47" s="10">
        <f t="shared" si="47"/>
        <v>26</v>
      </c>
      <c r="B47" s="5">
        <f t="shared" ca="1" si="15"/>
        <v>0.1019312190639512</v>
      </c>
      <c r="C47" s="5">
        <f t="shared" ca="1" si="16"/>
        <v>-1.2706240182493735</v>
      </c>
      <c r="D47" s="5">
        <f t="shared" ca="1" si="2"/>
        <v>-9.8678809572882997E-2</v>
      </c>
      <c r="E47" s="5">
        <f t="shared" ca="1" si="17"/>
        <v>0.48732844275647347</v>
      </c>
      <c r="F47" s="5">
        <f t="shared" ca="1" si="18"/>
        <v>-3.1768226384078405E-2</v>
      </c>
      <c r="G47" s="5">
        <f t="shared" ca="1" si="3"/>
        <v>8.5385003560772832E-2</v>
      </c>
      <c r="H47" s="5">
        <f t="shared" ca="1" si="19"/>
        <v>0.96935295126649901</v>
      </c>
      <c r="I47" s="5">
        <f t="shared" ca="1" si="20"/>
        <v>1.8713679544432602</v>
      </c>
      <c r="J47" s="5">
        <f t="shared" ca="1" si="4"/>
        <v>0.44398289259415247</v>
      </c>
      <c r="K47" s="5">
        <f t="shared" ca="1" si="21"/>
        <v>0.97278385384659605</v>
      </c>
      <c r="L47" s="5">
        <f t="shared" ca="1" si="22"/>
        <v>1.9233804134993562</v>
      </c>
      <c r="M47" s="5">
        <f t="shared" ca="1" si="5"/>
        <v>0.45529271928002935</v>
      </c>
      <c r="N47" s="5">
        <f t="shared" ca="1" si="23"/>
        <v>5.826767994271842E-3</v>
      </c>
      <c r="O47" s="5">
        <f t="shared" ca="1" si="24"/>
        <v>-2.5224655629979726</v>
      </c>
      <c r="P47" s="5">
        <f t="shared" ca="1" si="6"/>
        <v>-0.25298486607517945</v>
      </c>
      <c r="Q47" s="5">
        <f t="shared" ca="1" si="25"/>
        <v>0.6333516088266461</v>
      </c>
      <c r="R47" s="5">
        <f t="shared" ca="1" si="26"/>
        <v>0.34074337466475146</v>
      </c>
      <c r="S47" s="5">
        <f t="shared" ca="1" si="7"/>
        <v>0.14775918439252478</v>
      </c>
      <c r="T47" s="5">
        <f t="shared" ca="1" si="27"/>
        <v>0.48237880392366272</v>
      </c>
      <c r="U47" s="5">
        <f t="shared" ca="1" si="28"/>
        <v>-4.4184160456657802E-2</v>
      </c>
      <c r="V47" s="5">
        <f t="shared" ca="1" si="8"/>
        <v>8.3365474422911312E-2</v>
      </c>
      <c r="W47" s="5">
        <f t="shared" ca="1" si="29"/>
        <v>0.69951709490360703</v>
      </c>
      <c r="X47" s="5">
        <f t="shared" ca="1" si="30"/>
        <v>0.52301213268659963</v>
      </c>
      <c r="Y47" s="5">
        <f t="shared" ca="1" si="9"/>
        <v>0.17957218765303118</v>
      </c>
      <c r="Z47" s="5">
        <f t="shared" ca="1" si="31"/>
        <v>0.31977967663326468</v>
      </c>
      <c r="AA47" s="5">
        <f t="shared" ca="1" si="32"/>
        <v>-0.4683149858670197</v>
      </c>
      <c r="AB47" s="5">
        <f t="shared" ca="1" si="10"/>
        <v>1.6588843983576629E-2</v>
      </c>
      <c r="AC47" s="5">
        <f t="shared" ca="1" si="33"/>
        <v>0.77641733381270683</v>
      </c>
      <c r="AD47" s="5">
        <f t="shared" ca="1" si="34"/>
        <v>0.76014932386492606</v>
      </c>
      <c r="AE47" s="5">
        <f t="shared" ca="1" si="11"/>
        <v>0.22228541655515399</v>
      </c>
      <c r="AF47" s="5">
        <f t="shared" ca="1" si="48"/>
        <v>0.901321190427117</v>
      </c>
      <c r="AG47" s="5">
        <f t="shared" ca="1" si="49"/>
        <v>1.0853850035607728</v>
      </c>
      <c r="AH47" s="5">
        <f t="shared" ca="1" si="50"/>
        <v>1.4439828925941525</v>
      </c>
      <c r="AI47" s="5">
        <f t="shared" ca="1" si="51"/>
        <v>1.4552927192800293</v>
      </c>
      <c r="AJ47" s="5">
        <f t="shared" ca="1" si="52"/>
        <v>0.74701513392482055</v>
      </c>
      <c r="AK47" s="5">
        <f t="shared" ca="1" si="53"/>
        <v>1.1477591843925248</v>
      </c>
      <c r="AL47" s="5">
        <f t="shared" ca="1" si="54"/>
        <v>1.0833654744229113</v>
      </c>
      <c r="AM47" s="5">
        <f t="shared" ca="1" si="55"/>
        <v>1.1795721876530312</v>
      </c>
      <c r="AN47" s="5">
        <f t="shared" ca="1" si="56"/>
        <v>1.0165888439835766</v>
      </c>
      <c r="AO47" s="5">
        <f t="shared" ca="1" si="57"/>
        <v>1.222285416555154</v>
      </c>
      <c r="AP47" s="5">
        <f t="shared" ca="1" si="58"/>
        <v>2.7988103076942101</v>
      </c>
      <c r="AQ47" s="4">
        <f t="shared" ca="1" si="12"/>
        <v>27988.103076942101</v>
      </c>
      <c r="AR47">
        <f t="shared" ca="1" si="13"/>
        <v>1</v>
      </c>
      <c r="AS47">
        <f t="shared" ca="1" si="14"/>
        <v>0</v>
      </c>
    </row>
    <row r="48" spans="1:45" x14ac:dyDescent="0.25">
      <c r="A48" s="10">
        <f t="shared" si="47"/>
        <v>27</v>
      </c>
      <c r="B48" s="5">
        <f t="shared" ca="1" si="15"/>
        <v>0.87820858136451951</v>
      </c>
      <c r="C48" s="5">
        <f t="shared" ca="1" si="16"/>
        <v>1.1660781813944874</v>
      </c>
      <c r="D48" s="5">
        <f t="shared" ca="1" si="2"/>
        <v>0.29902206957487842</v>
      </c>
      <c r="E48" s="5">
        <f t="shared" ca="1" si="17"/>
        <v>2.2166601171051736E-2</v>
      </c>
      <c r="F48" s="5">
        <f t="shared" ca="1" si="18"/>
        <v>-2.0109266746603858</v>
      </c>
      <c r="G48" s="5">
        <f t="shared" ca="1" si="3"/>
        <v>-0.19340936026137023</v>
      </c>
      <c r="H48" s="5">
        <f t="shared" ca="1" si="19"/>
        <v>6.2486732632803799E-3</v>
      </c>
      <c r="I48" s="5">
        <f t="shared" ca="1" si="20"/>
        <v>-2.4977807398609722</v>
      </c>
      <c r="J48" s="5">
        <f t="shared" ca="1" si="4"/>
        <v>-0.25021374843080746</v>
      </c>
      <c r="K48" s="5">
        <f t="shared" ca="1" si="21"/>
        <v>0.11869791742323532</v>
      </c>
      <c r="L48" s="5">
        <f t="shared" ca="1" si="22"/>
        <v>-1.1815209527259589</v>
      </c>
      <c r="M48" s="5">
        <f t="shared" ca="1" si="5"/>
        <v>-8.6551373562259837E-2</v>
      </c>
      <c r="N48" s="5">
        <f t="shared" ca="1" si="23"/>
        <v>0.79000017859090532</v>
      </c>
      <c r="O48" s="5">
        <f t="shared" ca="1" si="24"/>
        <v>0.8064218666926174</v>
      </c>
      <c r="P48" s="5">
        <f t="shared" ca="1" si="6"/>
        <v>0.23079866524506998</v>
      </c>
      <c r="Q48" s="5">
        <f t="shared" ca="1" si="25"/>
        <v>0.47868045809935877</v>
      </c>
      <c r="R48" s="5">
        <f t="shared" ca="1" si="26"/>
        <v>-5.3465628182156846E-2</v>
      </c>
      <c r="S48" s="5">
        <f t="shared" ca="1" si="7"/>
        <v>8.1858240614144373E-2</v>
      </c>
      <c r="T48" s="5">
        <f t="shared" ca="1" si="27"/>
        <v>0.91519057776352786</v>
      </c>
      <c r="U48" s="5">
        <f t="shared" ca="1" si="28"/>
        <v>1.373429563218856</v>
      </c>
      <c r="V48" s="5">
        <f t="shared" ca="1" si="8"/>
        <v>0.3400600608427804</v>
      </c>
      <c r="W48" s="5">
        <f t="shared" ca="1" si="29"/>
        <v>0.85542556216418997</v>
      </c>
      <c r="X48" s="5">
        <f t="shared" ca="1" si="30"/>
        <v>1.0599906002343027</v>
      </c>
      <c r="Y48" s="5">
        <f t="shared" ca="1" si="9"/>
        <v>0.27851415855310147</v>
      </c>
      <c r="Z48" s="5">
        <f t="shared" ca="1" si="31"/>
        <v>0.30740504163076754</v>
      </c>
      <c r="AA48" s="5">
        <f t="shared" ca="1" si="32"/>
        <v>-0.50321931947869392</v>
      </c>
      <c r="AB48" s="5">
        <f t="shared" ca="1" si="10"/>
        <v>1.1280249657789509E-2</v>
      </c>
      <c r="AC48" s="5">
        <f t="shared" ca="1" si="33"/>
        <v>0.67510217454226684</v>
      </c>
      <c r="AD48" s="5">
        <f t="shared" ca="1" si="34"/>
        <v>0.4540460940045542</v>
      </c>
      <c r="AE48" s="5">
        <f t="shared" ca="1" si="11"/>
        <v>0.16743252458261781</v>
      </c>
      <c r="AF48" s="5">
        <f t="shared" ca="1" si="48"/>
        <v>1.2990220695748784</v>
      </c>
      <c r="AG48" s="5">
        <f t="shared" ca="1" si="49"/>
        <v>0.80659063973862977</v>
      </c>
      <c r="AH48" s="5">
        <f t="shared" ca="1" si="50"/>
        <v>0.74978625156919254</v>
      </c>
      <c r="AI48" s="5">
        <f t="shared" ca="1" si="51"/>
        <v>0.91344862643774016</v>
      </c>
      <c r="AJ48" s="5">
        <f t="shared" ca="1" si="52"/>
        <v>1.23079866524507</v>
      </c>
      <c r="AK48" s="5">
        <f t="shared" ca="1" si="53"/>
        <v>1.0818582406141444</v>
      </c>
      <c r="AL48" s="5">
        <f t="shared" ca="1" si="54"/>
        <v>1.3400600608427804</v>
      </c>
      <c r="AM48" s="5">
        <f t="shared" ca="1" si="55"/>
        <v>1.2785141585531015</v>
      </c>
      <c r="AN48" s="5">
        <f t="shared" ca="1" si="56"/>
        <v>1.0112802496577895</v>
      </c>
      <c r="AO48" s="5">
        <f t="shared" ca="1" si="57"/>
        <v>1.1674325245826178</v>
      </c>
      <c r="AP48" s="5">
        <f t="shared" ca="1" si="58"/>
        <v>1.9327772314353315</v>
      </c>
      <c r="AQ48" s="4">
        <f t="shared" ca="1" si="12"/>
        <v>19327.772314353315</v>
      </c>
      <c r="AR48">
        <f t="shared" ca="1" si="13"/>
        <v>0</v>
      </c>
      <c r="AS48">
        <f t="shared" ca="1" si="14"/>
        <v>0</v>
      </c>
    </row>
    <row r="49" spans="1:45" x14ac:dyDescent="0.25">
      <c r="A49" s="10">
        <f t="shared" si="47"/>
        <v>28</v>
      </c>
      <c r="B49" s="5">
        <f t="shared" ca="1" si="15"/>
        <v>0.50719171610200209</v>
      </c>
      <c r="C49" s="5">
        <f t="shared" ca="1" si="16"/>
        <v>1.8027935409355846E-2</v>
      </c>
      <c r="D49" s="5">
        <f t="shared" ca="1" si="2"/>
        <v>9.3522558237419062E-2</v>
      </c>
      <c r="E49" s="5">
        <f t="shared" ca="1" si="17"/>
        <v>0.31133417181032763</v>
      </c>
      <c r="F49" s="5">
        <f t="shared" ca="1" si="18"/>
        <v>-0.49207214407627081</v>
      </c>
      <c r="G49" s="5">
        <f t="shared" ca="1" si="3"/>
        <v>1.2972601883117552E-2</v>
      </c>
      <c r="H49" s="5">
        <f t="shared" ca="1" si="19"/>
        <v>0.88622083768948079</v>
      </c>
      <c r="I49" s="5">
        <f t="shared" ca="1" si="20"/>
        <v>1.2066724198461338</v>
      </c>
      <c r="J49" s="5">
        <f t="shared" ca="1" si="4"/>
        <v>0.30695612257015292</v>
      </c>
      <c r="K49" s="5">
        <f t="shared" ca="1" si="21"/>
        <v>0.3317168734966669</v>
      </c>
      <c r="L49" s="5">
        <f t="shared" ca="1" si="22"/>
        <v>-0.43517728783106274</v>
      </c>
      <c r="M49" s="5">
        <f t="shared" ca="1" si="5"/>
        <v>2.1654535576244971E-2</v>
      </c>
      <c r="N49" s="5">
        <f t="shared" ca="1" si="23"/>
        <v>0.14933148194674339</v>
      </c>
      <c r="O49" s="5">
        <f t="shared" ca="1" si="24"/>
        <v>-1.0393048845001078</v>
      </c>
      <c r="P49" s="5">
        <f t="shared" ca="1" si="6"/>
        <v>-6.6855984572250171E-2</v>
      </c>
      <c r="Q49" s="5">
        <f t="shared" ca="1" si="25"/>
        <v>0.44260202646117042</v>
      </c>
      <c r="R49" s="5">
        <f t="shared" ca="1" si="26"/>
        <v>-0.14437538519520568</v>
      </c>
      <c r="S49" s="5">
        <f t="shared" ca="1" si="7"/>
        <v>6.7205651950452028E-2</v>
      </c>
      <c r="T49" s="5">
        <f t="shared" ca="1" si="27"/>
        <v>0.2147687026696492</v>
      </c>
      <c r="U49" s="5">
        <f t="shared" ca="1" si="28"/>
        <v>-0.78998349858822781</v>
      </c>
      <c r="V49" s="5">
        <f t="shared" ca="1" si="8"/>
        <v>-3.1297299491609087E-2</v>
      </c>
      <c r="W49" s="5">
        <f t="shared" ca="1" si="29"/>
        <v>0.77877474445375017</v>
      </c>
      <c r="X49" s="5">
        <f t="shared" ca="1" si="30"/>
        <v>0.76806173121468213</v>
      </c>
      <c r="Y49" s="5">
        <f t="shared" ca="1" si="9"/>
        <v>0.22373696079247662</v>
      </c>
      <c r="Z49" s="5">
        <f t="shared" ca="1" si="31"/>
        <v>0.7369925783500082</v>
      </c>
      <c r="AA49" s="5">
        <f t="shared" ca="1" si="32"/>
        <v>0.63410110252298502</v>
      </c>
      <c r="AB49" s="5">
        <f t="shared" ca="1" si="10"/>
        <v>0.19939248413478339</v>
      </c>
      <c r="AC49" s="5">
        <f t="shared" ca="1" si="33"/>
        <v>0.41080999084758185</v>
      </c>
      <c r="AD49" s="5">
        <f t="shared" ca="1" si="34"/>
        <v>-0.22546187433694018</v>
      </c>
      <c r="AE49" s="5">
        <f t="shared" ca="1" si="11"/>
        <v>5.4303879039031999E-2</v>
      </c>
      <c r="AF49" s="5">
        <f t="shared" ca="1" si="48"/>
        <v>1.0935225582374191</v>
      </c>
      <c r="AG49" s="5">
        <f t="shared" ca="1" si="49"/>
        <v>1.0129726018831176</v>
      </c>
      <c r="AH49" s="5">
        <f t="shared" ca="1" si="50"/>
        <v>1.3069561225701529</v>
      </c>
      <c r="AI49" s="5">
        <f t="shared" ca="1" si="51"/>
        <v>1.021654535576245</v>
      </c>
      <c r="AJ49" s="5">
        <f t="shared" ca="1" si="52"/>
        <v>0.93314401542774983</v>
      </c>
      <c r="AK49" s="5">
        <f t="shared" ca="1" si="53"/>
        <v>1.067205651950452</v>
      </c>
      <c r="AL49" s="5">
        <f t="shared" ca="1" si="54"/>
        <v>0.96870270050839091</v>
      </c>
      <c r="AM49" s="5">
        <f t="shared" ca="1" si="55"/>
        <v>1.2237369607924766</v>
      </c>
      <c r="AN49" s="5">
        <f t="shared" ca="1" si="56"/>
        <v>1.1993924841347834</v>
      </c>
      <c r="AO49" s="5">
        <f t="shared" ca="1" si="57"/>
        <v>1.054303879039032</v>
      </c>
      <c r="AP49" s="5">
        <f t="shared" ca="1" si="58"/>
        <v>2.2079692841845824</v>
      </c>
      <c r="AQ49" s="4">
        <f t="shared" ca="1" si="12"/>
        <v>22079.692841845823</v>
      </c>
      <c r="AR49">
        <f t="shared" ca="1" si="13"/>
        <v>0</v>
      </c>
      <c r="AS49">
        <f t="shared" ca="1" si="14"/>
        <v>0</v>
      </c>
    </row>
    <row r="50" spans="1:45" x14ac:dyDescent="0.25">
      <c r="A50" s="10">
        <f t="shared" si="47"/>
        <v>29</v>
      </c>
      <c r="B50" s="5">
        <f t="shared" ca="1" si="15"/>
        <v>0.70383714825246779</v>
      </c>
      <c r="C50" s="5">
        <f t="shared" ca="1" si="16"/>
        <v>0.53546883334403439</v>
      </c>
      <c r="D50" s="5">
        <f t="shared" ca="1" si="2"/>
        <v>0.18177828470979729</v>
      </c>
      <c r="E50" s="5">
        <f t="shared" ca="1" si="17"/>
        <v>0.23740471699885446</v>
      </c>
      <c r="F50" s="5">
        <f t="shared" ca="1" si="18"/>
        <v>-0.71467573632566261</v>
      </c>
      <c r="G50" s="5">
        <f t="shared" ca="1" si="3"/>
        <v>-2.0292636368144379E-2</v>
      </c>
      <c r="H50" s="5">
        <f t="shared" ca="1" si="19"/>
        <v>0.53173059057170013</v>
      </c>
      <c r="I50" s="5">
        <f t="shared" ca="1" si="20"/>
        <v>7.9620841328028144E-2</v>
      </c>
      <c r="J50" s="5">
        <f t="shared" ca="1" si="4"/>
        <v>0.10367235752020521</v>
      </c>
      <c r="K50" s="5">
        <f t="shared" ca="1" si="21"/>
        <v>0.82956061520452895</v>
      </c>
      <c r="L50" s="5">
        <f t="shared" ca="1" si="22"/>
        <v>0.95243035765671591</v>
      </c>
      <c r="M50" s="5">
        <f t="shared" ca="1" si="5"/>
        <v>0.25805207645364003</v>
      </c>
      <c r="N50" s="5">
        <f t="shared" ca="1" si="23"/>
        <v>0.17505908273568382</v>
      </c>
      <c r="O50" s="5">
        <f t="shared" ca="1" si="24"/>
        <v>-0.93436011312274336</v>
      </c>
      <c r="P50" s="5">
        <f t="shared" ca="1" si="6"/>
        <v>-5.2050470405208715E-2</v>
      </c>
      <c r="Q50" s="5">
        <f t="shared" ca="1" si="25"/>
        <v>0.37458108745862073</v>
      </c>
      <c r="R50" s="5">
        <f t="shared" ca="1" si="26"/>
        <v>-0.31974429970390561</v>
      </c>
      <c r="S50" s="5">
        <f t="shared" ca="1" si="7"/>
        <v>3.9498468535386744E-2</v>
      </c>
      <c r="T50" s="5">
        <f t="shared" ca="1" si="27"/>
        <v>0.66370518258193711</v>
      </c>
      <c r="U50" s="5">
        <f t="shared" ca="1" si="28"/>
        <v>0.42259656278892566</v>
      </c>
      <c r="V50" s="5">
        <f t="shared" ca="1" si="8"/>
        <v>0.16193821344150994</v>
      </c>
      <c r="W50" s="5">
        <f t="shared" ca="1" si="29"/>
        <v>0.5954595226993582</v>
      </c>
      <c r="X50" s="5">
        <f t="shared" ca="1" si="30"/>
        <v>0.24161183002797521</v>
      </c>
      <c r="Y50" s="5">
        <f t="shared" ca="1" si="9"/>
        <v>0.13081857655831275</v>
      </c>
      <c r="Z50" s="5">
        <f t="shared" ca="1" si="31"/>
        <v>0.52547668915210399</v>
      </c>
      <c r="AA50" s="5">
        <f t="shared" ca="1" si="32"/>
        <v>6.3904057212907067E-2</v>
      </c>
      <c r="AB50" s="5">
        <f t="shared" ca="1" si="10"/>
        <v>0.10107349512927732</v>
      </c>
      <c r="AC50" s="5">
        <f t="shared" ca="1" si="33"/>
        <v>0.49105337771927082</v>
      </c>
      <c r="AD50" s="5">
        <f t="shared" ca="1" si="34"/>
        <v>-2.242773643393527E-2</v>
      </c>
      <c r="AE50" s="5">
        <f t="shared" ca="1" si="11"/>
        <v>8.6906773525284642E-2</v>
      </c>
      <c r="AF50" s="5">
        <f t="shared" ca="1" si="48"/>
        <v>1.1817782847097973</v>
      </c>
      <c r="AG50" s="5">
        <f t="shared" ca="1" si="49"/>
        <v>0.97970736363185562</v>
      </c>
      <c r="AH50" s="5">
        <f t="shared" ca="1" si="50"/>
        <v>1.1036723575202052</v>
      </c>
      <c r="AI50" s="5">
        <f t="shared" ca="1" si="51"/>
        <v>1.25805207645364</v>
      </c>
      <c r="AJ50" s="5">
        <f t="shared" ca="1" si="52"/>
        <v>0.94794952959479128</v>
      </c>
      <c r="AK50" s="5">
        <f t="shared" ca="1" si="53"/>
        <v>1.0394984685353867</v>
      </c>
      <c r="AL50" s="5">
        <f t="shared" ca="1" si="54"/>
        <v>1.1619382134415099</v>
      </c>
      <c r="AM50" s="5">
        <f t="shared" ca="1" si="55"/>
        <v>1.1308185765583127</v>
      </c>
      <c r="AN50" s="5">
        <f t="shared" ca="1" si="56"/>
        <v>1.1010734951292773</v>
      </c>
      <c r="AO50" s="5">
        <f t="shared" ca="1" si="57"/>
        <v>1.0869067735252846</v>
      </c>
      <c r="AP50" s="5">
        <f t="shared" ca="1" si="58"/>
        <v>2.490948818536205</v>
      </c>
      <c r="AQ50" s="4">
        <f t="shared" ca="1" si="12"/>
        <v>24909.48818536205</v>
      </c>
      <c r="AR50">
        <f t="shared" ca="1" si="13"/>
        <v>0</v>
      </c>
      <c r="AS50">
        <f t="shared" ca="1" si="14"/>
        <v>0</v>
      </c>
    </row>
    <row r="51" spans="1:45" x14ac:dyDescent="0.25">
      <c r="A51" s="10">
        <f t="shared" si="47"/>
        <v>30</v>
      </c>
      <c r="B51" s="5">
        <f t="shared" ca="1" si="15"/>
        <v>0.61652868923021975</v>
      </c>
      <c r="C51" s="5">
        <f t="shared" ca="1" si="16"/>
        <v>0.29637643233468242</v>
      </c>
      <c r="D51" s="5">
        <f t="shared" ca="1" si="2"/>
        <v>0.14014616015477444</v>
      </c>
      <c r="E51" s="5">
        <f t="shared" ca="1" si="17"/>
        <v>7.4176286479423648E-2</v>
      </c>
      <c r="F51" s="5">
        <f t="shared" ca="1" si="18"/>
        <v>-1.4453750309813949</v>
      </c>
      <c r="G51" s="5">
        <f t="shared" ca="1" si="3"/>
        <v>-0.12199786584297201</v>
      </c>
      <c r="H51" s="5">
        <f t="shared" ca="1" si="19"/>
        <v>0.21530877661603354</v>
      </c>
      <c r="I51" s="5">
        <f t="shared" ca="1" si="20"/>
        <v>-0.788135327120704</v>
      </c>
      <c r="J51" s="5">
        <f t="shared" ca="1" si="4"/>
        <v>-3.1028712960043059E-2</v>
      </c>
      <c r="K51" s="5">
        <f t="shared" ca="1" si="21"/>
        <v>0.34831744254178543</v>
      </c>
      <c r="L51" s="5">
        <f t="shared" ca="1" si="22"/>
        <v>-0.38986701617165365</v>
      </c>
      <c r="M51" s="5">
        <f t="shared" ca="1" si="5"/>
        <v>2.8621902434724289E-2</v>
      </c>
      <c r="N51" s="5">
        <f t="shared" ca="1" si="23"/>
        <v>0.48217008866266331</v>
      </c>
      <c r="O51" s="5">
        <f t="shared" ca="1" si="24"/>
        <v>-4.470784904143215E-2</v>
      </c>
      <c r="P51" s="5">
        <f t="shared" ca="1" si="6"/>
        <v>8.328037584552761E-2</v>
      </c>
      <c r="Q51" s="5">
        <f t="shared" ca="1" si="25"/>
        <v>0.32531548793168508</v>
      </c>
      <c r="R51" s="5">
        <f t="shared" ca="1" si="26"/>
        <v>-0.45288580094669467</v>
      </c>
      <c r="S51" s="5">
        <f t="shared" ca="1" si="7"/>
        <v>1.8944339274369115E-2</v>
      </c>
      <c r="T51" s="5">
        <f t="shared" ca="1" si="27"/>
        <v>0.4944554503663634</v>
      </c>
      <c r="U51" s="5">
        <f t="shared" ca="1" si="28"/>
        <v>-1.3898572334064364E-2</v>
      </c>
      <c r="V51" s="5">
        <f t="shared" ca="1" si="8"/>
        <v>8.8298224363829947E-2</v>
      </c>
      <c r="W51" s="5">
        <f t="shared" ca="1" si="29"/>
        <v>0.78864751099909924</v>
      </c>
      <c r="X51" s="5">
        <f t="shared" ca="1" si="30"/>
        <v>0.80173722491565802</v>
      </c>
      <c r="Y51" s="5">
        <f t="shared" ca="1" si="9"/>
        <v>0.22993409142011045</v>
      </c>
      <c r="Z51" s="5">
        <f t="shared" ca="1" si="31"/>
        <v>0.81009617085875563</v>
      </c>
      <c r="AA51" s="5">
        <f t="shared" ca="1" si="32"/>
        <v>0.87825074653435775</v>
      </c>
      <c r="AB51" s="5">
        <f t="shared" ca="1" si="10"/>
        <v>0.24413139531168926</v>
      </c>
      <c r="AC51" s="5">
        <f t="shared" ca="1" si="33"/>
        <v>0.7077593794968301</v>
      </c>
      <c r="AD51" s="5">
        <f t="shared" ca="1" si="34"/>
        <v>0.54685079748945076</v>
      </c>
      <c r="AE51" s="5">
        <f t="shared" ca="1" si="11"/>
        <v>0.18379765175619234</v>
      </c>
      <c r="AF51" s="5">
        <f t="shared" ca="1" si="48"/>
        <v>1.1401461601547744</v>
      </c>
      <c r="AG51" s="5">
        <f t="shared" ca="1" si="49"/>
        <v>0.87800213415702799</v>
      </c>
      <c r="AH51" s="5">
        <f t="shared" ca="1" si="50"/>
        <v>0.96897128703995694</v>
      </c>
      <c r="AI51" s="5">
        <f t="shared" ca="1" si="51"/>
        <v>1.0286219024347243</v>
      </c>
      <c r="AJ51" s="5">
        <f t="shared" ca="1" si="52"/>
        <v>1.0832803758455276</v>
      </c>
      <c r="AK51" s="5">
        <f t="shared" ca="1" si="53"/>
        <v>1.0189443392743691</v>
      </c>
      <c r="AL51" s="5">
        <f t="shared" ca="1" si="54"/>
        <v>1.0882982243638299</v>
      </c>
      <c r="AM51" s="5">
        <f t="shared" ca="1" si="55"/>
        <v>1.2299340914201105</v>
      </c>
      <c r="AN51" s="5">
        <f t="shared" ca="1" si="56"/>
        <v>1.2441313953116893</v>
      </c>
      <c r="AO51" s="5">
        <f t="shared" ca="1" si="57"/>
        <v>1.1837976517561923</v>
      </c>
      <c r="AP51" s="5">
        <f t="shared" ca="1" si="58"/>
        <v>2.1711388394672362</v>
      </c>
      <c r="AQ51" s="4">
        <f t="shared" ca="1" si="12"/>
        <v>21711.388394672362</v>
      </c>
      <c r="AR51">
        <f t="shared" ca="1" si="13"/>
        <v>0</v>
      </c>
      <c r="AS51">
        <f t="shared" ca="1" si="14"/>
        <v>0</v>
      </c>
    </row>
    <row r="52" spans="1:45" x14ac:dyDescent="0.25">
      <c r="A52" s="10">
        <f t="shared" si="47"/>
        <v>31</v>
      </c>
      <c r="B52" s="5">
        <f t="shared" ca="1" si="15"/>
        <v>0.14124595510955373</v>
      </c>
      <c r="C52" s="5">
        <f t="shared" ca="1" si="16"/>
        <v>-1.0747383021663854</v>
      </c>
      <c r="D52" s="5">
        <f t="shared" ca="1" si="2"/>
        <v>-7.1802499778367501E-2</v>
      </c>
      <c r="E52" s="5">
        <f t="shared" ca="1" si="17"/>
        <v>0.78133600148465554</v>
      </c>
      <c r="F52" s="5">
        <f t="shared" ca="1" si="18"/>
        <v>0.7767132004098718</v>
      </c>
      <c r="G52" s="5">
        <f t="shared" ca="1" si="3"/>
        <v>0.22532606006561506</v>
      </c>
      <c r="H52" s="5">
        <f t="shared" ca="1" si="19"/>
        <v>0.1552238709671212</v>
      </c>
      <c r="I52" s="5">
        <f t="shared" ca="1" si="20"/>
        <v>-1.0142829822982351</v>
      </c>
      <c r="J52" s="5">
        <f t="shared" ca="1" si="4"/>
        <v>-6.334704792713064E-2</v>
      </c>
      <c r="K52" s="5">
        <f t="shared" ca="1" si="21"/>
        <v>0.16694304473128496</v>
      </c>
      <c r="L52" s="5">
        <f t="shared" ca="1" si="22"/>
        <v>-0.96631598553126241</v>
      </c>
      <c r="M52" s="5">
        <f t="shared" ca="1" si="5"/>
        <v>-5.6583480636193895E-2</v>
      </c>
      <c r="N52" s="5">
        <f t="shared" ca="1" si="23"/>
        <v>0.63508082642819974</v>
      </c>
      <c r="O52" s="5">
        <f t="shared" ca="1" si="24"/>
        <v>0.34534057392229323</v>
      </c>
      <c r="P52" s="5">
        <f t="shared" ca="1" si="6"/>
        <v>0.14855092899727773</v>
      </c>
      <c r="Q52" s="5">
        <f t="shared" ca="1" si="25"/>
        <v>1.2834677362016045E-2</v>
      </c>
      <c r="R52" s="5">
        <f t="shared" ca="1" si="26"/>
        <v>-2.2311777874165926</v>
      </c>
      <c r="S52" s="5">
        <f t="shared" ca="1" si="7"/>
        <v>-0.2196218492391443</v>
      </c>
      <c r="T52" s="5">
        <f t="shared" ca="1" si="27"/>
        <v>0.53189923787068294</v>
      </c>
      <c r="U52" s="5">
        <f t="shared" ca="1" si="28"/>
        <v>8.0044926677625861E-2</v>
      </c>
      <c r="V52" s="5">
        <f t="shared" ca="1" si="8"/>
        <v>0.10374256744494348</v>
      </c>
      <c r="W52" s="5">
        <f t="shared" ca="1" si="29"/>
        <v>0.81782228222680897</v>
      </c>
      <c r="X52" s="5">
        <f t="shared" ca="1" si="30"/>
        <v>0.90709713019931815</v>
      </c>
      <c r="Y52" s="5">
        <f t="shared" ca="1" si="9"/>
        <v>0.24952636252526661</v>
      </c>
      <c r="Z52" s="5">
        <f t="shared" ca="1" si="31"/>
        <v>0.89445098795671263</v>
      </c>
      <c r="AA52" s="5">
        <f t="shared" ca="1" si="32"/>
        <v>1.2505518581507886</v>
      </c>
      <c r="AB52" s="5">
        <f t="shared" ca="1" si="10"/>
        <v>0.31558676959021792</v>
      </c>
      <c r="AC52" s="5">
        <f t="shared" ca="1" si="33"/>
        <v>0.60088918620861143</v>
      </c>
      <c r="AD52" s="5">
        <f t="shared" ca="1" si="34"/>
        <v>0.25564932527355161</v>
      </c>
      <c r="AE52" s="5">
        <f t="shared" ca="1" si="11"/>
        <v>0.13320216420647379</v>
      </c>
      <c r="AF52" s="5">
        <f t="shared" ca="1" si="48"/>
        <v>0.9281975002216325</v>
      </c>
      <c r="AG52" s="5">
        <f t="shared" ca="1" si="49"/>
        <v>1.2253260600656151</v>
      </c>
      <c r="AH52" s="5">
        <f t="shared" ca="1" si="50"/>
        <v>0.93665295207286936</v>
      </c>
      <c r="AI52" s="5">
        <f t="shared" ca="1" si="51"/>
        <v>0.94341651936380611</v>
      </c>
      <c r="AJ52" s="5">
        <f t="shared" ca="1" si="52"/>
        <v>1.1485509289972777</v>
      </c>
      <c r="AK52" s="5">
        <f t="shared" ca="1" si="53"/>
        <v>0.7803781507608557</v>
      </c>
      <c r="AL52" s="5">
        <f t="shared" ca="1" si="54"/>
        <v>1.1037425674449435</v>
      </c>
      <c r="AM52" s="5">
        <f t="shared" ca="1" si="55"/>
        <v>1.2495263625252666</v>
      </c>
      <c r="AN52" s="5">
        <f t="shared" ca="1" si="56"/>
        <v>1.3155867695902179</v>
      </c>
      <c r="AO52" s="5">
        <f t="shared" ca="1" si="57"/>
        <v>1.1332021642064738</v>
      </c>
      <c r="AP52" s="5">
        <f t="shared" ca="1" si="58"/>
        <v>1.8521225274821647</v>
      </c>
      <c r="AQ52" s="4">
        <f t="shared" ca="1" si="12"/>
        <v>18521.225274821645</v>
      </c>
      <c r="AR52">
        <f t="shared" ca="1" si="13"/>
        <v>0</v>
      </c>
      <c r="AS52">
        <f t="shared" ca="1" si="14"/>
        <v>0</v>
      </c>
    </row>
    <row r="53" spans="1:45" x14ac:dyDescent="0.25">
      <c r="A53" s="10">
        <f t="shared" si="47"/>
        <v>32</v>
      </c>
      <c r="B53" s="5">
        <f t="shared" ca="1" si="15"/>
        <v>0.2955190837309577</v>
      </c>
      <c r="C53" s="5">
        <f t="shared" ca="1" si="16"/>
        <v>-0.537332199387068</v>
      </c>
      <c r="D53" s="5">
        <f t="shared" ca="1" si="2"/>
        <v>6.118814020614316E-3</v>
      </c>
      <c r="E53" s="5">
        <f t="shared" ca="1" si="17"/>
        <v>0.49429013367742081</v>
      </c>
      <c r="F53" s="5">
        <f t="shared" ca="1" si="18"/>
        <v>-1.4313001051858142E-2</v>
      </c>
      <c r="G53" s="5">
        <f t="shared" ca="1" si="3"/>
        <v>8.823057316094185E-2</v>
      </c>
      <c r="H53" s="5">
        <f t="shared" ca="1" si="19"/>
        <v>0.87074343582998137</v>
      </c>
      <c r="I53" s="5">
        <f t="shared" ca="1" si="20"/>
        <v>1.1299124239091063</v>
      </c>
      <c r="J53" s="5">
        <f t="shared" ca="1" si="4"/>
        <v>0.29199413204126046</v>
      </c>
      <c r="K53" s="5">
        <f t="shared" ca="1" si="21"/>
        <v>0.96911134786140551</v>
      </c>
      <c r="L53" s="5">
        <f t="shared" ca="1" si="22"/>
        <v>1.8678907227431418</v>
      </c>
      <c r="M53" s="5">
        <f t="shared" ca="1" si="5"/>
        <v>0.44322992951497087</v>
      </c>
      <c r="N53" s="5">
        <f t="shared" ca="1" si="23"/>
        <v>0.23906999660526529</v>
      </c>
      <c r="O53" s="5">
        <f t="shared" ca="1" si="24"/>
        <v>-0.7092973167298039</v>
      </c>
      <c r="P53" s="5">
        <f t="shared" ca="1" si="6"/>
        <v>-1.950192586065036E-2</v>
      </c>
      <c r="Q53" s="5">
        <f t="shared" ca="1" si="25"/>
        <v>0.50005343782689049</v>
      </c>
      <c r="R53" s="5">
        <f t="shared" ca="1" si="26"/>
        <v>1.3394876821909668E-4</v>
      </c>
      <c r="S53" s="5">
        <f t="shared" ca="1" si="7"/>
        <v>9.059137208530732E-2</v>
      </c>
      <c r="T53" s="5">
        <f t="shared" ca="1" si="27"/>
        <v>0.12847976200278877</v>
      </c>
      <c r="U53" s="5">
        <f t="shared" ca="1" si="28"/>
        <v>-1.1336067889793926</v>
      </c>
      <c r="V53" s="5">
        <f t="shared" ca="1" si="8"/>
        <v>-7.9962655897324653E-2</v>
      </c>
      <c r="W53" s="5">
        <f t="shared" ca="1" si="29"/>
        <v>1.7641242062263918E-2</v>
      </c>
      <c r="X53" s="5">
        <f t="shared" ca="1" si="30"/>
        <v>-2.1051013802966785</v>
      </c>
      <c r="Y53" s="5">
        <f t="shared" ca="1" si="9"/>
        <v>-0.20472332582716857</v>
      </c>
      <c r="Z53" s="5">
        <f t="shared" ca="1" si="31"/>
        <v>0.32955633986721267</v>
      </c>
      <c r="AA53" s="5">
        <f t="shared" ca="1" si="32"/>
        <v>-0.44113857340163837</v>
      </c>
      <c r="AB53" s="5">
        <f t="shared" ca="1" si="10"/>
        <v>2.0741387736061379E-2</v>
      </c>
      <c r="AC53" s="5">
        <f t="shared" ca="1" si="33"/>
        <v>0.58535484470318966</v>
      </c>
      <c r="AD53" s="5">
        <f t="shared" ca="1" si="34"/>
        <v>0.21561185962186213</v>
      </c>
      <c r="AE53" s="5">
        <f t="shared" ca="1" si="11"/>
        <v>0.12641697781632244</v>
      </c>
      <c r="AF53" s="5">
        <f t="shared" ca="1" si="48"/>
        <v>1.0061188140206143</v>
      </c>
      <c r="AG53" s="5">
        <f t="shared" ca="1" si="49"/>
        <v>1.0882305731609418</v>
      </c>
      <c r="AH53" s="5">
        <f t="shared" ca="1" si="50"/>
        <v>1.2919941320412605</v>
      </c>
      <c r="AI53" s="5">
        <f t="shared" ca="1" si="51"/>
        <v>1.4432299295149709</v>
      </c>
      <c r="AJ53" s="5">
        <f t="shared" ca="1" si="52"/>
        <v>0.98049807413934964</v>
      </c>
      <c r="AK53" s="5">
        <f t="shared" ca="1" si="53"/>
        <v>1.0905913720853073</v>
      </c>
      <c r="AL53" s="5">
        <f t="shared" ca="1" si="54"/>
        <v>0.92003734410267535</v>
      </c>
      <c r="AM53" s="5">
        <f t="shared" ca="1" si="55"/>
        <v>0.79527667417283143</v>
      </c>
      <c r="AN53" s="5">
        <f t="shared" ca="1" si="56"/>
        <v>1.0207413877360614</v>
      </c>
      <c r="AO53" s="5">
        <f t="shared" ca="1" si="57"/>
        <v>1.1264169778163224</v>
      </c>
      <c r="AP53" s="5">
        <f t="shared" ca="1" si="58"/>
        <v>1.8365961763535632</v>
      </c>
      <c r="AQ53" s="4">
        <f t="shared" ca="1" si="12"/>
        <v>18365.961763535634</v>
      </c>
      <c r="AR53">
        <f t="shared" ca="1" si="13"/>
        <v>0</v>
      </c>
      <c r="AS53">
        <f t="shared" ca="1" si="14"/>
        <v>0</v>
      </c>
    </row>
    <row r="54" spans="1:45" x14ac:dyDescent="0.25">
      <c r="A54" s="10">
        <f t="shared" si="47"/>
        <v>33</v>
      </c>
      <c r="B54" s="5">
        <f t="shared" ca="1" si="15"/>
        <v>0.19402201277481701</v>
      </c>
      <c r="C54" s="5">
        <f t="shared" ca="1" si="16"/>
        <v>-0.86316996349570863</v>
      </c>
      <c r="D54" s="5">
        <f t="shared" ca="1" si="2"/>
        <v>-4.1873529438246848E-2</v>
      </c>
      <c r="E54" s="5">
        <f t="shared" ca="1" si="17"/>
        <v>0.64126306421796297</v>
      </c>
      <c r="F54" s="5">
        <f t="shared" ca="1" si="18"/>
        <v>0.36183695898883284</v>
      </c>
      <c r="G54" s="5">
        <f t="shared" ca="1" si="3"/>
        <v>0.15139648891324331</v>
      </c>
      <c r="H54" s="5">
        <f t="shared" ca="1" si="19"/>
        <v>0.25436082485163403</v>
      </c>
      <c r="I54" s="5">
        <f t="shared" ca="1" si="20"/>
        <v>-0.6608295192337883</v>
      </c>
      <c r="J54" s="5">
        <f t="shared" ca="1" si="4"/>
        <v>-1.2347563342904766E-2</v>
      </c>
      <c r="K54" s="5">
        <f t="shared" ca="1" si="21"/>
        <v>0.66071954359798091</v>
      </c>
      <c r="L54" s="5">
        <f t="shared" ca="1" si="22"/>
        <v>0.41442769093211057</v>
      </c>
      <c r="M54" s="5">
        <f t="shared" ca="1" si="5"/>
        <v>0.1605153267173185</v>
      </c>
      <c r="N54" s="5">
        <f t="shared" ca="1" si="23"/>
        <v>0.16762378132684264</v>
      </c>
      <c r="O54" s="5">
        <f t="shared" ca="1" si="24"/>
        <v>-0.96359789488830305</v>
      </c>
      <c r="P54" s="5">
        <f t="shared" ca="1" si="6"/>
        <v>-5.6198758471240118E-2</v>
      </c>
      <c r="Q54" s="5">
        <f t="shared" ca="1" si="25"/>
        <v>0.36871986957159397</v>
      </c>
      <c r="R54" s="5">
        <f t="shared" ca="1" si="26"/>
        <v>-0.33524571569715961</v>
      </c>
      <c r="S54" s="5">
        <f t="shared" ca="1" si="7"/>
        <v>3.7084221713682641E-2</v>
      </c>
      <c r="T54" s="5">
        <f t="shared" ca="1" si="27"/>
        <v>0.19360969335755862</v>
      </c>
      <c r="U54" s="5">
        <f t="shared" ca="1" si="28"/>
        <v>-0.86467100756815374</v>
      </c>
      <c r="V54" s="5">
        <f t="shared" ca="1" si="8"/>
        <v>-4.2089233662612857E-2</v>
      </c>
      <c r="W54" s="5">
        <f t="shared" ca="1" si="29"/>
        <v>1.0489837226004384E-2</v>
      </c>
      <c r="X54" s="5">
        <f t="shared" ca="1" si="30"/>
        <v>-2.308350055996732</v>
      </c>
      <c r="Y54" s="5">
        <f t="shared" ca="1" si="9"/>
        <v>-0.22860329787567368</v>
      </c>
      <c r="Z54" s="5">
        <f t="shared" ca="1" si="31"/>
        <v>0.6890032684158589</v>
      </c>
      <c r="AA54" s="5">
        <f t="shared" ca="1" si="32"/>
        <v>0.49302706592725976</v>
      </c>
      <c r="AB54" s="5">
        <f t="shared" ca="1" si="10"/>
        <v>0.17427866844732343</v>
      </c>
      <c r="AC54" s="5">
        <f t="shared" ca="1" si="33"/>
        <v>0.64914732575845424</v>
      </c>
      <c r="AD54" s="5">
        <f t="shared" ca="1" si="34"/>
        <v>0.38301944228072837</v>
      </c>
      <c r="AE54" s="5">
        <f t="shared" ca="1" si="11"/>
        <v>0.15506072268160054</v>
      </c>
      <c r="AF54" s="5">
        <f t="shared" ca="1" si="48"/>
        <v>0.95812647056175315</v>
      </c>
      <c r="AG54" s="5">
        <f t="shared" ca="1" si="49"/>
        <v>1.1513964889132433</v>
      </c>
      <c r="AH54" s="5">
        <f t="shared" ca="1" si="50"/>
        <v>0.98765243665709523</v>
      </c>
      <c r="AI54" s="5">
        <f t="shared" ca="1" si="51"/>
        <v>1.1605153267173185</v>
      </c>
      <c r="AJ54" s="5">
        <f t="shared" ca="1" si="52"/>
        <v>0.94380124152875988</v>
      </c>
      <c r="AK54" s="5">
        <f t="shared" ca="1" si="53"/>
        <v>1.0370842217136826</v>
      </c>
      <c r="AL54" s="5">
        <f t="shared" ca="1" si="54"/>
        <v>0.95791076633738714</v>
      </c>
      <c r="AM54" s="5">
        <f t="shared" ca="1" si="55"/>
        <v>0.77139670212432632</v>
      </c>
      <c r="AN54" s="5">
        <f t="shared" ca="1" si="56"/>
        <v>1.1742786684473234</v>
      </c>
      <c r="AO54" s="5">
        <f t="shared" ca="1" si="57"/>
        <v>1.1550607226816005</v>
      </c>
      <c r="AP54" s="5">
        <f t="shared" ca="1" si="58"/>
        <v>1.2404411099475807</v>
      </c>
      <c r="AQ54" s="4">
        <f t="shared" ca="1" si="12"/>
        <v>12404.411099475807</v>
      </c>
      <c r="AR54">
        <f t="shared" ca="1" si="13"/>
        <v>0</v>
      </c>
      <c r="AS54">
        <f t="shared" ca="1" si="14"/>
        <v>0</v>
      </c>
    </row>
    <row r="55" spans="1:45" x14ac:dyDescent="0.25">
      <c r="A55" s="10">
        <f t="shared" si="47"/>
        <v>34</v>
      </c>
      <c r="B55" s="5">
        <f t="shared" ca="1" si="15"/>
        <v>0.46825970696871966</v>
      </c>
      <c r="C55" s="5">
        <f t="shared" ca="1" si="16"/>
        <v>-7.9645239023064418E-2</v>
      </c>
      <c r="D55" s="5">
        <f t="shared" ca="1" si="2"/>
        <v>7.7618177145152956E-2</v>
      </c>
      <c r="E55" s="5">
        <f t="shared" ca="1" si="17"/>
        <v>0.13037814775600998</v>
      </c>
      <c r="F55" s="5">
        <f t="shared" ca="1" si="18"/>
        <v>-1.1246053738799344</v>
      </c>
      <c r="G55" s="5">
        <f t="shared" ca="1" si="3"/>
        <v>-7.8719571165861479E-2</v>
      </c>
      <c r="H55" s="5">
        <f t="shared" ca="1" si="19"/>
        <v>0.7437679957168406</v>
      </c>
      <c r="I55" s="5">
        <f t="shared" ca="1" si="20"/>
        <v>0.655005817432325</v>
      </c>
      <c r="J55" s="5">
        <f t="shared" ca="1" si="4"/>
        <v>0.2031593306039261</v>
      </c>
      <c r="K55" s="5">
        <f t="shared" ca="1" si="21"/>
        <v>0.9702243342745468</v>
      </c>
      <c r="L55" s="5">
        <f t="shared" ca="1" si="22"/>
        <v>1.8841008783751958</v>
      </c>
      <c r="M55" s="5">
        <f t="shared" ca="1" si="5"/>
        <v>0.44674344664889687</v>
      </c>
      <c r="N55" s="5">
        <f t="shared" ca="1" si="23"/>
        <v>1.4168039029618829E-2</v>
      </c>
      <c r="O55" s="5">
        <f t="shared" ca="1" si="24"/>
        <v>-2.1926018453776579</v>
      </c>
      <c r="P55" s="5">
        <f t="shared" ca="1" si="6"/>
        <v>-0.21509318621999352</v>
      </c>
      <c r="Q55" s="5">
        <f t="shared" ca="1" si="25"/>
        <v>0.53357584094725374</v>
      </c>
      <c r="R55" s="5">
        <f t="shared" ca="1" si="26"/>
        <v>8.4261756518089523E-2</v>
      </c>
      <c r="S55" s="5">
        <f t="shared" ca="1" si="7"/>
        <v>0.10444093247733655</v>
      </c>
      <c r="T55" s="5">
        <f t="shared" ca="1" si="27"/>
        <v>0.82755351000411559</v>
      </c>
      <c r="U55" s="5">
        <f t="shared" ca="1" si="28"/>
        <v>0.94454154938412571</v>
      </c>
      <c r="V55" s="5">
        <f t="shared" ca="1" si="8"/>
        <v>0.25656427715529184</v>
      </c>
      <c r="W55" s="5">
        <f t="shared" ca="1" si="29"/>
        <v>0.87309786715299276</v>
      </c>
      <c r="X55" s="5">
        <f t="shared" ca="1" si="30"/>
        <v>1.1411577908921053</v>
      </c>
      <c r="Y55" s="5">
        <f t="shared" ca="1" si="9"/>
        <v>0.29417531336111469</v>
      </c>
      <c r="Z55" s="5">
        <f t="shared" ca="1" si="31"/>
        <v>1.0318446494134159E-3</v>
      </c>
      <c r="AA55" s="5">
        <f t="shared" ca="1" si="32"/>
        <v>-3.0809101249367612</v>
      </c>
      <c r="AB55" s="5">
        <f t="shared" ca="1" si="10"/>
        <v>-0.31301067038789276</v>
      </c>
      <c r="AC55" s="5">
        <f t="shared" ca="1" si="33"/>
        <v>0.69638632321159399</v>
      </c>
      <c r="AD55" s="5">
        <f t="shared" ca="1" si="34"/>
        <v>0.51403523893007486</v>
      </c>
      <c r="AE55" s="5">
        <f t="shared" ca="1" si="11"/>
        <v>0.17798492241520902</v>
      </c>
      <c r="AF55" s="5">
        <f t="shared" ca="1" si="48"/>
        <v>1.077618177145153</v>
      </c>
      <c r="AG55" s="5">
        <f t="shared" ca="1" si="49"/>
        <v>0.92128042883413852</v>
      </c>
      <c r="AH55" s="5">
        <f t="shared" ca="1" si="50"/>
        <v>1.2031593306039261</v>
      </c>
      <c r="AI55" s="5">
        <f t="shared" ca="1" si="51"/>
        <v>1.4467434466488969</v>
      </c>
      <c r="AJ55" s="5">
        <f t="shared" ca="1" si="52"/>
        <v>0.78490681378000648</v>
      </c>
      <c r="AK55" s="5">
        <f t="shared" ca="1" si="53"/>
        <v>1.1044409324773365</v>
      </c>
      <c r="AL55" s="5">
        <f t="shared" ca="1" si="54"/>
        <v>1.2565642771552918</v>
      </c>
      <c r="AM55" s="5">
        <f t="shared" ca="1" si="55"/>
        <v>1.2941753133611147</v>
      </c>
      <c r="AN55" s="5">
        <f t="shared" ca="1" si="56"/>
        <v>0.68698932961210724</v>
      </c>
      <c r="AO55" s="5">
        <f t="shared" ca="1" si="57"/>
        <v>1.177984922415209</v>
      </c>
      <c r="AP55" s="5">
        <f t="shared" ca="1" si="58"/>
        <v>1.9715126036655652</v>
      </c>
      <c r="AQ55" s="4">
        <f t="shared" ca="1" si="12"/>
        <v>19715.126036655653</v>
      </c>
      <c r="AR55">
        <f t="shared" ca="1" si="13"/>
        <v>0</v>
      </c>
      <c r="AS55">
        <f t="shared" ca="1" si="14"/>
        <v>0</v>
      </c>
    </row>
    <row r="56" spans="1:45" x14ac:dyDescent="0.25">
      <c r="A56" s="10">
        <f t="shared" si="47"/>
        <v>35</v>
      </c>
      <c r="B56" s="5">
        <f t="shared" ca="1" si="15"/>
        <v>0.63393319339283483</v>
      </c>
      <c r="C56" s="5">
        <f t="shared" ca="1" si="16"/>
        <v>0.34228873380848324</v>
      </c>
      <c r="D56" s="5">
        <f t="shared" ca="1" si="2"/>
        <v>0.14802527025376033</v>
      </c>
      <c r="E56" s="5">
        <f t="shared" ca="1" si="17"/>
        <v>0.25263440135195614</v>
      </c>
      <c r="F56" s="5">
        <f t="shared" ca="1" si="18"/>
        <v>-0.66622264193880554</v>
      </c>
      <c r="G56" s="5">
        <f t="shared" ca="1" si="3"/>
        <v>-1.3146219872519738E-2</v>
      </c>
      <c r="H56" s="5">
        <f t="shared" ca="1" si="19"/>
        <v>0.39234223542221158</v>
      </c>
      <c r="I56" s="5">
        <f t="shared" ca="1" si="20"/>
        <v>-0.27321952649306874</v>
      </c>
      <c r="J56" s="5">
        <f t="shared" ca="1" si="4"/>
        <v>4.6778205172760323E-2</v>
      </c>
      <c r="K56" s="5">
        <f t="shared" ca="1" si="21"/>
        <v>0.12274436845150838</v>
      </c>
      <c r="L56" s="5">
        <f t="shared" ca="1" si="22"/>
        <v>-1.1613767079706065</v>
      </c>
      <c r="M56" s="5">
        <f t="shared" ca="1" si="5"/>
        <v>-8.3787089428913442E-2</v>
      </c>
      <c r="N56" s="5">
        <f t="shared" ca="1" si="23"/>
        <v>0.542549176976731</v>
      </c>
      <c r="O56" s="5">
        <f t="shared" ca="1" si="24"/>
        <v>0.10685798417018953</v>
      </c>
      <c r="P56" s="5">
        <f t="shared" ca="1" si="6"/>
        <v>0.10819071351619769</v>
      </c>
      <c r="Q56" s="5">
        <f t="shared" ca="1" si="25"/>
        <v>0.57660401959463004</v>
      </c>
      <c r="R56" s="5">
        <f t="shared" ca="1" si="26"/>
        <v>0.19321325184384924</v>
      </c>
      <c r="S56" s="5">
        <f t="shared" ca="1" si="7"/>
        <v>0.1226388024983267</v>
      </c>
      <c r="T56" s="5">
        <f t="shared" ca="1" si="27"/>
        <v>0.40871793408394697</v>
      </c>
      <c r="U56" s="5">
        <f t="shared" ca="1" si="28"/>
        <v>-0.23084416607578248</v>
      </c>
      <c r="V56" s="5">
        <f t="shared" ca="1" si="8"/>
        <v>5.3453036887541217E-2</v>
      </c>
      <c r="W56" s="5">
        <f t="shared" ca="1" si="29"/>
        <v>0.47750402939411585</v>
      </c>
      <c r="X56" s="5">
        <f t="shared" ca="1" si="30"/>
        <v>-5.6418952878614002E-2</v>
      </c>
      <c r="Y56" s="5">
        <f t="shared" ca="1" si="9"/>
        <v>8.1379084955637726E-2</v>
      </c>
      <c r="Z56" s="5">
        <f t="shared" ca="1" si="31"/>
        <v>0.57213918454712698</v>
      </c>
      <c r="AA56" s="5">
        <f t="shared" ca="1" si="32"/>
        <v>0.18182300392945627</v>
      </c>
      <c r="AB56" s="5">
        <f t="shared" ca="1" si="10"/>
        <v>0.12072236997081887</v>
      </c>
      <c r="AC56" s="5">
        <f t="shared" ca="1" si="33"/>
        <v>0.98930668719155279</v>
      </c>
      <c r="AD56" s="5">
        <f t="shared" ca="1" si="34"/>
        <v>2.3010885638352336</v>
      </c>
      <c r="AE56" s="5">
        <f t="shared" ca="1" si="11"/>
        <v>0.54012454198628301</v>
      </c>
      <c r="AF56" s="5">
        <f t="shared" ca="1" si="48"/>
        <v>1.1480252702537603</v>
      </c>
      <c r="AG56" s="5">
        <f t="shared" ca="1" si="49"/>
        <v>0.98685378012748026</v>
      </c>
      <c r="AH56" s="5">
        <f t="shared" ca="1" si="50"/>
        <v>1.0467782051727603</v>
      </c>
      <c r="AI56" s="5">
        <f t="shared" ca="1" si="51"/>
        <v>0.91621291057108656</v>
      </c>
      <c r="AJ56" s="5">
        <f t="shared" ca="1" si="52"/>
        <v>1.1081907135161977</v>
      </c>
      <c r="AK56" s="5">
        <f t="shared" ca="1" si="53"/>
        <v>1.1226388024983267</v>
      </c>
      <c r="AL56" s="5">
        <f t="shared" ca="1" si="54"/>
        <v>1.0534530368875412</v>
      </c>
      <c r="AM56" s="5">
        <f t="shared" ca="1" si="55"/>
        <v>1.0813790849556377</v>
      </c>
      <c r="AN56" s="5">
        <f t="shared" ca="1" si="56"/>
        <v>1.1207223699708189</v>
      </c>
      <c r="AO56" s="5">
        <f t="shared" ca="1" si="57"/>
        <v>1.540124541986283</v>
      </c>
      <c r="AP56" s="5">
        <f t="shared" ca="1" si="58"/>
        <v>2.6580118840601816</v>
      </c>
      <c r="AQ56" s="4">
        <f t="shared" ca="1" si="12"/>
        <v>26580.118840601815</v>
      </c>
      <c r="AR56">
        <f t="shared" ca="1" si="13"/>
        <v>1</v>
      </c>
      <c r="AS56">
        <f t="shared" ca="1" si="14"/>
        <v>0</v>
      </c>
    </row>
    <row r="57" spans="1:45" x14ac:dyDescent="0.25">
      <c r="A57" s="10">
        <f t="shared" si="47"/>
        <v>36</v>
      </c>
      <c r="B57" s="5">
        <f t="shared" ca="1" si="15"/>
        <v>0.52529187849534142</v>
      </c>
      <c r="C57" s="5">
        <f t="shared" ca="1" si="16"/>
        <v>6.3439865600159476E-2</v>
      </c>
      <c r="D57" s="5">
        <f t="shared" ca="1" si="2"/>
        <v>0.10099683143608806</v>
      </c>
      <c r="E57" s="5">
        <f t="shared" ca="1" si="17"/>
        <v>0.57810195419996901</v>
      </c>
      <c r="F57" s="5">
        <f t="shared" ca="1" si="18"/>
        <v>0.197040184341157</v>
      </c>
      <c r="G57" s="5">
        <f t="shared" ca="1" si="3"/>
        <v>0.12328342693809446</v>
      </c>
      <c r="H57" s="5">
        <f t="shared" ca="1" si="19"/>
        <v>0.1137446625578683</v>
      </c>
      <c r="I57" s="5">
        <f t="shared" ca="1" si="20"/>
        <v>-1.2068515348218432</v>
      </c>
      <c r="J57" s="5">
        <f t="shared" ca="1" si="4"/>
        <v>-9.0015516052071476E-2</v>
      </c>
      <c r="K57" s="5">
        <f t="shared" ca="1" si="21"/>
        <v>0.8261904066452781</v>
      </c>
      <c r="L57" s="5">
        <f t="shared" ca="1" si="22"/>
        <v>0.93921730354441424</v>
      </c>
      <c r="M57" s="5">
        <f t="shared" ca="1" si="5"/>
        <v>0.25556113921134105</v>
      </c>
      <c r="N57" s="5">
        <f t="shared" ca="1" si="23"/>
        <v>0.82329830338286514</v>
      </c>
      <c r="O57" s="5">
        <f t="shared" ca="1" si="24"/>
        <v>0.92800805129616715</v>
      </c>
      <c r="P57" s="5">
        <f t="shared" ca="1" si="6"/>
        <v>0.25345182776519892</v>
      </c>
      <c r="Q57" s="5">
        <f t="shared" ca="1" si="25"/>
        <v>0.6520406991239811</v>
      </c>
      <c r="R57" s="5">
        <f t="shared" ca="1" si="26"/>
        <v>0.39083581240301923</v>
      </c>
      <c r="S57" s="5">
        <f t="shared" ca="1" si="7"/>
        <v>0.15641577421352681</v>
      </c>
      <c r="T57" s="5">
        <f t="shared" ca="1" si="27"/>
        <v>0.69704575930996959</v>
      </c>
      <c r="U57" s="5">
        <f t="shared" ca="1" si="28"/>
        <v>0.51592258203565922</v>
      </c>
      <c r="V57" s="5">
        <f t="shared" ca="1" si="8"/>
        <v>0.17831845888358333</v>
      </c>
      <c r="W57" s="5">
        <f t="shared" ca="1" si="29"/>
        <v>5.3741564004397113E-2</v>
      </c>
      <c r="X57" s="5">
        <f t="shared" ca="1" si="30"/>
        <v>-1.6096095227129446</v>
      </c>
      <c r="Y57" s="5">
        <f t="shared" ca="1" si="9"/>
        <v>-0.14336334924751115</v>
      </c>
      <c r="Z57" s="5">
        <f t="shared" ca="1" si="31"/>
        <v>0.12244762323750158</v>
      </c>
      <c r="AA57" s="5">
        <f t="shared" ca="1" si="32"/>
        <v>-1.1628379749666664</v>
      </c>
      <c r="AB57" s="5">
        <f t="shared" ca="1" si="10"/>
        <v>-8.3987892174264944E-2</v>
      </c>
      <c r="AC57" s="5">
        <f t="shared" ca="1" si="33"/>
        <v>0.75827270590078277</v>
      </c>
      <c r="AD57" s="5">
        <f t="shared" ca="1" si="34"/>
        <v>0.70075714270214318</v>
      </c>
      <c r="AE57" s="5">
        <f t="shared" ca="1" si="11"/>
        <v>0.2114446479880816</v>
      </c>
      <c r="AF57" s="5">
        <f t="shared" ca="1" si="48"/>
        <v>1.1009968314360881</v>
      </c>
      <c r="AG57" s="5">
        <f t="shared" ca="1" si="49"/>
        <v>1.1232834269380945</v>
      </c>
      <c r="AH57" s="5">
        <f t="shared" ca="1" si="50"/>
        <v>0.90998448394792852</v>
      </c>
      <c r="AI57" s="5">
        <f t="shared" ca="1" si="51"/>
        <v>1.255561139211341</v>
      </c>
      <c r="AJ57" s="5">
        <f t="shared" ca="1" si="52"/>
        <v>1.2534518277651989</v>
      </c>
      <c r="AK57" s="5">
        <f t="shared" ca="1" si="53"/>
        <v>1.1564157742135268</v>
      </c>
      <c r="AL57" s="5">
        <f t="shared" ca="1" si="54"/>
        <v>1.1783184588835833</v>
      </c>
      <c r="AM57" s="5">
        <f t="shared" ca="1" si="55"/>
        <v>0.85663665075248885</v>
      </c>
      <c r="AN57" s="5">
        <f t="shared" ca="1" si="56"/>
        <v>0.91601210782573506</v>
      </c>
      <c r="AO57" s="5">
        <f t="shared" ca="1" si="57"/>
        <v>1.2114446479880816</v>
      </c>
      <c r="AP57" s="5">
        <f t="shared" ca="1" si="58"/>
        <v>2.2942093776721539</v>
      </c>
      <c r="AQ57" s="4">
        <f t="shared" ca="1" si="12"/>
        <v>22942.09377672154</v>
      </c>
      <c r="AR57">
        <f t="shared" ca="1" si="13"/>
        <v>0</v>
      </c>
      <c r="AS57">
        <f t="shared" ca="1" si="14"/>
        <v>0</v>
      </c>
    </row>
    <row r="58" spans="1:45" x14ac:dyDescent="0.25">
      <c r="A58" s="10">
        <f t="shared" si="47"/>
        <v>37</v>
      </c>
      <c r="B58" s="5">
        <f t="shared" ca="1" si="15"/>
        <v>0.77834349548519577</v>
      </c>
      <c r="C58" s="5">
        <f t="shared" ca="1" si="16"/>
        <v>0.76661070461957781</v>
      </c>
      <c r="D58" s="5">
        <f t="shared" ca="1" si="2"/>
        <v>0.22347063854524962</v>
      </c>
      <c r="E58" s="5">
        <f t="shared" ca="1" si="17"/>
        <v>0.61590045531334692</v>
      </c>
      <c r="F58" s="5">
        <f t="shared" ca="1" si="18"/>
        <v>0.29473138034379726</v>
      </c>
      <c r="G58" s="5">
        <f t="shared" ca="1" si="3"/>
        <v>0.13986485490673428</v>
      </c>
      <c r="H58" s="5">
        <f t="shared" ca="1" si="19"/>
        <v>0.21664808075575093</v>
      </c>
      <c r="I58" s="5">
        <f t="shared" ca="1" si="20"/>
        <v>-0.78356370187040558</v>
      </c>
      <c r="J58" s="5">
        <f t="shared" ca="1" si="4"/>
        <v>-3.0364019040830637E-2</v>
      </c>
      <c r="K58" s="5">
        <f t="shared" ca="1" si="21"/>
        <v>0.25841967711844205</v>
      </c>
      <c r="L58" s="5">
        <f t="shared" ca="1" si="22"/>
        <v>-0.64822512420282175</v>
      </c>
      <c r="M58" s="5">
        <f t="shared" ca="1" si="5"/>
        <v>-1.0478482782703691E-2</v>
      </c>
      <c r="N58" s="5">
        <f t="shared" ca="1" si="23"/>
        <v>0.18022945776655752</v>
      </c>
      <c r="O58" s="5">
        <f t="shared" ca="1" si="24"/>
        <v>-0.91449097963050519</v>
      </c>
      <c r="P58" s="5">
        <f t="shared" ca="1" si="6"/>
        <v>-4.9221015726551576E-2</v>
      </c>
      <c r="Q58" s="5">
        <f t="shared" ca="1" si="25"/>
        <v>0.22530541194594356</v>
      </c>
      <c r="R58" s="5">
        <f t="shared" ca="1" si="26"/>
        <v>-0.75439708088582569</v>
      </c>
      <c r="S58" s="5">
        <f t="shared" ca="1" si="7"/>
        <v>-2.6112575030428076E-2</v>
      </c>
      <c r="T58" s="5">
        <f t="shared" ca="1" si="27"/>
        <v>0.18537709008846581</v>
      </c>
      <c r="U58" s="5">
        <f t="shared" ca="1" si="28"/>
        <v>-0.89506156177298279</v>
      </c>
      <c r="V58" s="5">
        <f t="shared" ca="1" si="8"/>
        <v>-4.644601161081674E-2</v>
      </c>
      <c r="W58" s="5">
        <f t="shared" ca="1" si="29"/>
        <v>0.1544894554298486</v>
      </c>
      <c r="X58" s="5">
        <f t="shared" ca="1" si="30"/>
        <v>-1.0173669235451053</v>
      </c>
      <c r="Y58" s="5">
        <f t="shared" ca="1" si="9"/>
        <v>-6.3780235126050577E-2</v>
      </c>
      <c r="Z58" s="5">
        <f t="shared" ca="1" si="31"/>
        <v>0.46178507457187634</v>
      </c>
      <c r="AA58" s="5">
        <f t="shared" ca="1" si="32"/>
        <v>-9.5937578179407693E-2</v>
      </c>
      <c r="AB58" s="5">
        <f t="shared" ca="1" si="10"/>
        <v>7.4987854389084951E-2</v>
      </c>
      <c r="AC58" s="5">
        <f t="shared" ca="1" si="33"/>
        <v>0.47283399437022633</v>
      </c>
      <c r="AD58" s="5">
        <f t="shared" ca="1" si="34"/>
        <v>-6.814778885995891E-2</v>
      </c>
      <c r="AE58" s="5">
        <f t="shared" ca="1" si="11"/>
        <v>7.9478259842711063E-2</v>
      </c>
      <c r="AF58" s="5">
        <f t="shared" ca="1" si="48"/>
        <v>1.2234706385452496</v>
      </c>
      <c r="AG58" s="5">
        <f t="shared" ca="1" si="49"/>
        <v>1.1398648549067343</v>
      </c>
      <c r="AH58" s="5">
        <f t="shared" ca="1" si="50"/>
        <v>0.96963598095916936</v>
      </c>
      <c r="AI58" s="5">
        <f t="shared" ca="1" si="51"/>
        <v>0.98952151721729631</v>
      </c>
      <c r="AJ58" s="5">
        <f t="shared" ca="1" si="52"/>
        <v>0.95077898427344842</v>
      </c>
      <c r="AK58" s="5">
        <f t="shared" ca="1" si="53"/>
        <v>0.97388742496957192</v>
      </c>
      <c r="AL58" s="5">
        <f t="shared" ca="1" si="54"/>
        <v>0.95355398838918326</v>
      </c>
      <c r="AM58" s="5">
        <f t="shared" ca="1" si="55"/>
        <v>0.93621976487394942</v>
      </c>
      <c r="AN58" s="5">
        <f t="shared" ca="1" si="56"/>
        <v>1.074987854389085</v>
      </c>
      <c r="AO58" s="5">
        <f t="shared" ca="1" si="57"/>
        <v>1.0794782598427111</v>
      </c>
      <c r="AP58" s="5">
        <f t="shared" ca="1" si="58"/>
        <v>1.2835410477223157</v>
      </c>
      <c r="AQ58" s="4">
        <f t="shared" ca="1" si="12"/>
        <v>12835.410477223157</v>
      </c>
      <c r="AR58">
        <f t="shared" ca="1" si="13"/>
        <v>0</v>
      </c>
      <c r="AS58">
        <f t="shared" ca="1" si="14"/>
        <v>0</v>
      </c>
    </row>
    <row r="59" spans="1:45" x14ac:dyDescent="0.25">
      <c r="A59" s="10">
        <f t="shared" si="47"/>
        <v>38</v>
      </c>
      <c r="B59" s="5">
        <f t="shared" ca="1" si="15"/>
        <v>0.57266834443941161</v>
      </c>
      <c r="C59" s="5">
        <f t="shared" ca="1" si="16"/>
        <v>0.18317168429561015</v>
      </c>
      <c r="D59" s="5">
        <f t="shared" ca="1" si="2"/>
        <v>0.12094911734421854</v>
      </c>
      <c r="E59" s="5">
        <f t="shared" ca="1" si="17"/>
        <v>0.50299733663250568</v>
      </c>
      <c r="F59" s="5">
        <f t="shared" ca="1" si="18"/>
        <v>7.5132794376733319E-3</v>
      </c>
      <c r="G59" s="5">
        <f t="shared" ca="1" si="3"/>
        <v>9.1799215596714667E-2</v>
      </c>
      <c r="H59" s="5">
        <f t="shared" ca="1" si="19"/>
        <v>0.31012068886736066</v>
      </c>
      <c r="I59" s="5">
        <f t="shared" ca="1" si="20"/>
        <v>-0.4955082814441798</v>
      </c>
      <c r="J59" s="5">
        <f t="shared" ca="1" si="4"/>
        <v>1.2450629460844187E-2</v>
      </c>
      <c r="K59" s="5">
        <f t="shared" ca="1" si="21"/>
        <v>0.62284403494948881</v>
      </c>
      <c r="L59" s="5">
        <f t="shared" ca="1" si="22"/>
        <v>0.31295884427424808</v>
      </c>
      <c r="M59" s="5">
        <f t="shared" ca="1" si="5"/>
        <v>0.14298564610006337</v>
      </c>
      <c r="N59" s="5">
        <f t="shared" ca="1" si="23"/>
        <v>0.1771829467213516</v>
      </c>
      <c r="O59" s="5">
        <f t="shared" ca="1" si="24"/>
        <v>-0.92615411696806471</v>
      </c>
      <c r="P59" s="5">
        <f t="shared" ca="1" si="6"/>
        <v>-5.0882921455755903E-2</v>
      </c>
      <c r="Q59" s="5">
        <f t="shared" ca="1" si="25"/>
        <v>0.11052064370750858</v>
      </c>
      <c r="R59" s="5">
        <f t="shared" ca="1" si="26"/>
        <v>-1.2237639499419628</v>
      </c>
      <c r="S59" s="5">
        <f t="shared" ca="1" si="7"/>
        <v>-9.2321095648443041E-2</v>
      </c>
      <c r="T59" s="5">
        <f t="shared" ca="1" si="27"/>
        <v>0.82706051325507313</v>
      </c>
      <c r="U59" s="5">
        <f t="shared" ca="1" si="28"/>
        <v>0.94261283278192043</v>
      </c>
      <c r="V59" s="5">
        <f t="shared" ca="1" si="8"/>
        <v>0.25620079627923387</v>
      </c>
      <c r="W59" s="5">
        <f t="shared" ca="1" si="29"/>
        <v>0.26451960147024389</v>
      </c>
      <c r="X59" s="5">
        <f t="shared" ca="1" si="30"/>
        <v>-0.62947336162469436</v>
      </c>
      <c r="Y59" s="5">
        <f t="shared" ca="1" si="9"/>
        <v>-7.6912738557953775E-3</v>
      </c>
      <c r="Z59" s="5">
        <f t="shared" ca="1" si="31"/>
        <v>0.33690310957350034</v>
      </c>
      <c r="AA59" s="5">
        <f t="shared" ca="1" si="32"/>
        <v>-0.42092997089125894</v>
      </c>
      <c r="AB59" s="5">
        <f t="shared" ca="1" si="10"/>
        <v>2.3840245677909433E-2</v>
      </c>
      <c r="AC59" s="5">
        <f t="shared" ca="1" si="33"/>
        <v>9.731336136040547E-2</v>
      </c>
      <c r="AD59" s="5">
        <f t="shared" ca="1" si="34"/>
        <v>-1.2970129742528202</v>
      </c>
      <c r="AE59" s="5">
        <f t="shared" ca="1" si="11"/>
        <v>-0.10223949649874697</v>
      </c>
      <c r="AF59" s="5">
        <f t="shared" ca="1" si="48"/>
        <v>1.1209491173442185</v>
      </c>
      <c r="AG59" s="5">
        <f t="shared" ca="1" si="49"/>
        <v>1.0917992155967147</v>
      </c>
      <c r="AH59" s="5">
        <f t="shared" ca="1" si="50"/>
        <v>1.0124506294608442</v>
      </c>
      <c r="AI59" s="5">
        <f t="shared" ca="1" si="51"/>
        <v>1.1429856461000634</v>
      </c>
      <c r="AJ59" s="5">
        <f t="shared" ca="1" si="52"/>
        <v>0.9491170785442441</v>
      </c>
      <c r="AK59" s="5">
        <f t="shared" ca="1" si="53"/>
        <v>0.90767890435155696</v>
      </c>
      <c r="AL59" s="5">
        <f t="shared" ca="1" si="54"/>
        <v>1.2562007962792339</v>
      </c>
      <c r="AM59" s="5">
        <f t="shared" ca="1" si="55"/>
        <v>0.99230872614420462</v>
      </c>
      <c r="AN59" s="5">
        <f t="shared" ca="1" si="56"/>
        <v>1.0238402456779094</v>
      </c>
      <c r="AO59" s="5">
        <f t="shared" ca="1" si="57"/>
        <v>0.89776050350125303</v>
      </c>
      <c r="AP59" s="5">
        <f t="shared" ca="1" si="58"/>
        <v>1.3979572973978149</v>
      </c>
      <c r="AQ59" s="4">
        <f t="shared" ca="1" si="12"/>
        <v>13979.572973978149</v>
      </c>
      <c r="AR59">
        <f t="shared" ca="1" si="13"/>
        <v>0</v>
      </c>
      <c r="AS59">
        <f t="shared" ca="1" si="14"/>
        <v>0</v>
      </c>
    </row>
    <row r="60" spans="1:45" x14ac:dyDescent="0.25">
      <c r="A60" s="10">
        <f t="shared" si="47"/>
        <v>39</v>
      </c>
      <c r="B60" s="5">
        <f t="shared" ca="1" si="15"/>
        <v>0.3356774944888602</v>
      </c>
      <c r="C60" s="5">
        <f t="shared" ca="1" si="16"/>
        <v>-0.42428909801824061</v>
      </c>
      <c r="D60" s="5">
        <f t="shared" ca="1" si="2"/>
        <v>2.3324494192988654E-2</v>
      </c>
      <c r="E60" s="5">
        <f t="shared" ca="1" si="17"/>
        <v>0.820741585443438</v>
      </c>
      <c r="F60" s="5">
        <f t="shared" ca="1" si="18"/>
        <v>0.91819491739099168</v>
      </c>
      <c r="G60" s="5">
        <f t="shared" ca="1" si="3"/>
        <v>0.25160814142922616</v>
      </c>
      <c r="H60" s="5">
        <f t="shared" ca="1" si="19"/>
        <v>0.2839765212657297</v>
      </c>
      <c r="I60" s="5">
        <f t="shared" ca="1" si="20"/>
        <v>-0.57106874738608271</v>
      </c>
      <c r="J60" s="5">
        <f t="shared" ca="1" si="4"/>
        <v>1.040228554901379E-3</v>
      </c>
      <c r="K60" s="5">
        <f t="shared" ca="1" si="21"/>
        <v>0.3422021716937399</v>
      </c>
      <c r="L60" s="5">
        <f t="shared" ca="1" si="22"/>
        <v>-0.40646040608211231</v>
      </c>
      <c r="M60" s="5">
        <f t="shared" ca="1" si="5"/>
        <v>2.6064837388513729E-2</v>
      </c>
      <c r="N60" s="5">
        <f t="shared" ca="1" si="23"/>
        <v>0.96734255609256581</v>
      </c>
      <c r="O60" s="5">
        <f t="shared" ca="1" si="24"/>
        <v>1.843096736059789</v>
      </c>
      <c r="P60" s="5">
        <f t="shared" ca="1" si="6"/>
        <v>0.43787238475928225</v>
      </c>
      <c r="Q60" s="5">
        <f t="shared" ca="1" si="25"/>
        <v>0.94433459187996138</v>
      </c>
      <c r="R60" s="5">
        <f t="shared" ca="1" si="26"/>
        <v>1.5922398773871194</v>
      </c>
      <c r="S60" s="5">
        <f t="shared" ca="1" si="7"/>
        <v>0.38477265978711239</v>
      </c>
      <c r="T60" s="5">
        <f t="shared" ca="1" si="27"/>
        <v>0.29903981901225607</v>
      </c>
      <c r="U60" s="5">
        <f t="shared" ca="1" si="28"/>
        <v>-0.527164097836331</v>
      </c>
      <c r="V60" s="5">
        <f t="shared" ca="1" si="8"/>
        <v>7.6545326145613934E-3</v>
      </c>
      <c r="W60" s="5">
        <f t="shared" ca="1" si="29"/>
        <v>0.36456823481661327</v>
      </c>
      <c r="X60" s="5">
        <f t="shared" ca="1" si="30"/>
        <v>-0.3462744480891185</v>
      </c>
      <c r="Y60" s="5">
        <f t="shared" ca="1" si="9"/>
        <v>3.5369981394584915E-2</v>
      </c>
      <c r="Z60" s="5">
        <f t="shared" ca="1" si="31"/>
        <v>0.78924180862015092</v>
      </c>
      <c r="AA60" s="5">
        <f t="shared" ca="1" si="32"/>
        <v>0.80379326033275</v>
      </c>
      <c r="AB60" s="5">
        <f t="shared" ca="1" si="10"/>
        <v>0.23031346812589648</v>
      </c>
      <c r="AC60" s="5">
        <f t="shared" ca="1" si="33"/>
        <v>0.20447326028967694</v>
      </c>
      <c r="AD60" s="5">
        <f t="shared" ca="1" si="34"/>
        <v>-0.82574894608824478</v>
      </c>
      <c r="AE60" s="5">
        <f t="shared" ca="1" si="11"/>
        <v>-3.6480296980394233E-2</v>
      </c>
      <c r="AF60" s="5">
        <f t="shared" ca="1" si="48"/>
        <v>1.0233244941929887</v>
      </c>
      <c r="AG60" s="5">
        <f t="shared" ca="1" si="49"/>
        <v>1.2516081414292262</v>
      </c>
      <c r="AH60" s="5">
        <f t="shared" ca="1" si="50"/>
        <v>1.0010402285549014</v>
      </c>
      <c r="AI60" s="5">
        <f t="shared" ca="1" si="51"/>
        <v>1.0260648373885137</v>
      </c>
      <c r="AJ60" s="5">
        <f t="shared" ca="1" si="52"/>
        <v>1.4378723847592823</v>
      </c>
      <c r="AK60" s="5">
        <f t="shared" ca="1" si="53"/>
        <v>1.3847726597871124</v>
      </c>
      <c r="AL60" s="5">
        <f t="shared" ca="1" si="54"/>
        <v>1.0076545326145614</v>
      </c>
      <c r="AM60" s="5">
        <f t="shared" ca="1" si="55"/>
        <v>1.0353699813945849</v>
      </c>
      <c r="AN60" s="5">
        <f t="shared" ca="1" si="56"/>
        <v>1.2303134681258965</v>
      </c>
      <c r="AO60" s="5">
        <f t="shared" ca="1" si="57"/>
        <v>0.96351970301960577</v>
      </c>
      <c r="AP60" s="5">
        <f t="shared" ca="1" si="58"/>
        <v>3.2395934941053612</v>
      </c>
      <c r="AQ60" s="4">
        <f t="shared" ca="1" si="12"/>
        <v>32395.934941053612</v>
      </c>
      <c r="AR60">
        <f t="shared" ca="1" si="13"/>
        <v>1</v>
      </c>
      <c r="AS60">
        <f t="shared" ca="1" si="14"/>
        <v>0</v>
      </c>
    </row>
    <row r="61" spans="1:45" x14ac:dyDescent="0.25">
      <c r="A61" s="10">
        <f t="shared" si="47"/>
        <v>40</v>
      </c>
      <c r="B61" s="5">
        <f t="shared" ca="1" si="15"/>
        <v>0.11604603008980408</v>
      </c>
      <c r="C61" s="5">
        <f t="shared" ca="1" si="16"/>
        <v>-1.1949871257551972</v>
      </c>
      <c r="D61" s="5">
        <f t="shared" ca="1" si="2"/>
        <v>-8.8394609923600487E-2</v>
      </c>
      <c r="E61" s="5">
        <f t="shared" ca="1" si="17"/>
        <v>0.8558639373420367</v>
      </c>
      <c r="F61" s="5">
        <f t="shared" ca="1" si="18"/>
        <v>1.0619197343980282</v>
      </c>
      <c r="G61" s="5">
        <f t="shared" ca="1" si="3"/>
        <v>0.27888417588781134</v>
      </c>
      <c r="H61" s="5">
        <f t="shared" ca="1" si="19"/>
        <v>0.52098573286582495</v>
      </c>
      <c r="I61" s="5">
        <f t="shared" ca="1" si="20"/>
        <v>5.2627714898944272E-2</v>
      </c>
      <c r="J61" s="5">
        <f t="shared" ca="1" si="4"/>
        <v>9.9212657084855493E-2</v>
      </c>
      <c r="K61" s="5">
        <f t="shared" ca="1" si="21"/>
        <v>0.12883453832603031</v>
      </c>
      <c r="L61" s="5">
        <f t="shared" ca="1" si="22"/>
        <v>-1.1319176045381993</v>
      </c>
      <c r="M61" s="5">
        <f t="shared" ca="1" si="5"/>
        <v>-7.9729509446474056E-2</v>
      </c>
      <c r="N61" s="5">
        <f t="shared" ca="1" si="23"/>
        <v>0.45659073362538527</v>
      </c>
      <c r="O61" s="5">
        <f t="shared" ca="1" si="24"/>
        <v>-0.10902650555727561</v>
      </c>
      <c r="P61" s="5">
        <f t="shared" ca="1" si="6"/>
        <v>7.2879359218170681E-2</v>
      </c>
      <c r="Q61" s="5">
        <f t="shared" ca="1" si="25"/>
        <v>0.55033791637145935</v>
      </c>
      <c r="R61" s="5">
        <f t="shared" ca="1" si="26"/>
        <v>0.1265151375950965</v>
      </c>
      <c r="S61" s="5">
        <f t="shared" ca="1" si="7"/>
        <v>0.11146311683732724</v>
      </c>
      <c r="T61" s="5">
        <f t="shared" ca="1" si="27"/>
        <v>9.5792817284859111E-2</v>
      </c>
      <c r="U61" s="5">
        <f t="shared" ca="1" si="28"/>
        <v>-1.3059027403740877</v>
      </c>
      <c r="V61" s="5">
        <f t="shared" ca="1" si="8"/>
        <v>-0.10343583082290697</v>
      </c>
      <c r="W61" s="5">
        <f t="shared" ca="1" si="29"/>
        <v>0.97779064561426077</v>
      </c>
      <c r="X61" s="5">
        <f t="shared" ca="1" si="30"/>
        <v>2.0101179303548995</v>
      </c>
      <c r="Y61" s="5">
        <f t="shared" ca="1" si="9"/>
        <v>0.47435070010208102</v>
      </c>
      <c r="Z61" s="5">
        <f t="shared" ca="1" si="31"/>
        <v>0.7704602758509701</v>
      </c>
      <c r="AA61" s="5">
        <f t="shared" ca="1" si="32"/>
        <v>0.74036351926951605</v>
      </c>
      <c r="AB61" s="5">
        <f t="shared" ca="1" si="10"/>
        <v>0.21866320927357519</v>
      </c>
      <c r="AC61" s="5">
        <f t="shared" ca="1" si="33"/>
        <v>2.1826119365916719E-2</v>
      </c>
      <c r="AD61" s="5">
        <f t="shared" ca="1" si="34"/>
        <v>-2.0174148511043266</v>
      </c>
      <c r="AE61" s="5">
        <f t="shared" ca="1" si="11"/>
        <v>-0.19419397375442971</v>
      </c>
      <c r="AF61" s="5">
        <f t="shared" ca="1" si="48"/>
        <v>0.91160539007639951</v>
      </c>
      <c r="AG61" s="5">
        <f t="shared" ca="1" si="49"/>
        <v>1.2788841758878113</v>
      </c>
      <c r="AH61" s="5">
        <f t="shared" ca="1" si="50"/>
        <v>1.0992126570848555</v>
      </c>
      <c r="AI61" s="5">
        <f t="shared" ca="1" si="51"/>
        <v>0.92027049055352594</v>
      </c>
      <c r="AJ61" s="5">
        <f t="shared" ca="1" si="52"/>
        <v>1.0728793592181707</v>
      </c>
      <c r="AK61" s="5">
        <f t="shared" ca="1" si="53"/>
        <v>1.1114631168373272</v>
      </c>
      <c r="AL61" s="5">
        <f t="shared" ca="1" si="54"/>
        <v>0.89656416917709303</v>
      </c>
      <c r="AM61" s="5">
        <f t="shared" ca="1" si="55"/>
        <v>1.474350700102081</v>
      </c>
      <c r="AN61" s="5">
        <f t="shared" ca="1" si="56"/>
        <v>1.2186632092735752</v>
      </c>
      <c r="AO61" s="5">
        <f t="shared" ca="1" si="57"/>
        <v>0.80580602624557029</v>
      </c>
      <c r="AP61" s="5">
        <f t="shared" ca="1" si="58"/>
        <v>1.8254824009222792</v>
      </c>
      <c r="AQ61" s="4">
        <f t="shared" ca="1" si="12"/>
        <v>18254.824009222793</v>
      </c>
      <c r="AR61">
        <f t="shared" ca="1" si="13"/>
        <v>0</v>
      </c>
      <c r="AS61">
        <f t="shared" ca="1" si="14"/>
        <v>0</v>
      </c>
    </row>
    <row r="62" spans="1:45" x14ac:dyDescent="0.25">
      <c r="A62" s="10">
        <f t="shared" si="47"/>
        <v>41</v>
      </c>
      <c r="B62" s="5">
        <f t="shared" ca="1" si="15"/>
        <v>0.67897991046811179</v>
      </c>
      <c r="C62" s="5">
        <f t="shared" ca="1" si="16"/>
        <v>0.46484818433671543</v>
      </c>
      <c r="D62" s="5">
        <f t="shared" ca="1" si="2"/>
        <v>0.16932566464676335</v>
      </c>
      <c r="E62" s="5">
        <f t="shared" ca="1" si="17"/>
        <v>0.36395896690244101</v>
      </c>
      <c r="F62" s="5">
        <f t="shared" ca="1" si="18"/>
        <v>-0.34789647347233571</v>
      </c>
      <c r="G62" s="5">
        <f t="shared" ca="1" si="3"/>
        <v>3.5118102578738375E-2</v>
      </c>
      <c r="H62" s="5">
        <f t="shared" ca="1" si="19"/>
        <v>0.27926705263690588</v>
      </c>
      <c r="I62" s="5">
        <f t="shared" ca="1" si="20"/>
        <v>-0.58502024330404079</v>
      </c>
      <c r="J62" s="5">
        <f t="shared" ca="1" si="4"/>
        <v>-1.0524822472405271E-3</v>
      </c>
      <c r="K62" s="5">
        <f t="shared" ca="1" si="21"/>
        <v>0.88714114817171019</v>
      </c>
      <c r="L62" s="5">
        <f t="shared" ca="1" si="22"/>
        <v>1.211463791596513</v>
      </c>
      <c r="M62" s="5">
        <f t="shared" ca="1" si="5"/>
        <v>0.30789577709396632</v>
      </c>
      <c r="N62" s="5">
        <f t="shared" ca="1" si="23"/>
        <v>0.11116741470469949</v>
      </c>
      <c r="O62" s="5">
        <f t="shared" ca="1" si="24"/>
        <v>-1.220343121616986</v>
      </c>
      <c r="P62" s="5">
        <f t="shared" ca="1" si="6"/>
        <v>-9.1855224077766584E-2</v>
      </c>
      <c r="Q62" s="5">
        <f t="shared" ca="1" si="25"/>
        <v>0.36169607320024744</v>
      </c>
      <c r="R62" s="5">
        <f t="shared" ca="1" si="26"/>
        <v>-0.35392892882978505</v>
      </c>
      <c r="S62" s="5">
        <f t="shared" ca="1" si="7"/>
        <v>3.4181880659864605E-2</v>
      </c>
      <c r="T62" s="5">
        <f t="shared" ca="1" si="27"/>
        <v>0.3588337149324512</v>
      </c>
      <c r="U62" s="5">
        <f t="shared" ca="1" si="28"/>
        <v>-0.36157796981438289</v>
      </c>
      <c r="V62" s="5">
        <f t="shared" ca="1" si="8"/>
        <v>3.2995986173020464E-2</v>
      </c>
      <c r="W62" s="5">
        <f t="shared" ca="1" si="29"/>
        <v>0.97234548900837015</v>
      </c>
      <c r="X62" s="5">
        <f t="shared" ca="1" si="30"/>
        <v>1.9164407194835915</v>
      </c>
      <c r="Y62" s="5">
        <f t="shared" ca="1" si="9"/>
        <v>0.45377861454724178</v>
      </c>
      <c r="Z62" s="5">
        <f t="shared" ca="1" si="31"/>
        <v>5.7129556425998707E-2</v>
      </c>
      <c r="AA62" s="5">
        <f t="shared" ca="1" si="32"/>
        <v>-1.5793355453907154</v>
      </c>
      <c r="AB62" s="5">
        <f t="shared" ca="1" si="10"/>
        <v>-0.13946443349037052</v>
      </c>
      <c r="AC62" s="5">
        <f t="shared" ca="1" si="33"/>
        <v>0.36623272851729682</v>
      </c>
      <c r="AD62" s="5">
        <f t="shared" ca="1" si="34"/>
        <v>-0.34184777073349992</v>
      </c>
      <c r="AE62" s="5">
        <f t="shared" ca="1" si="11"/>
        <v>3.6057697019154844E-2</v>
      </c>
      <c r="AF62" s="5">
        <f t="shared" ca="1" si="48"/>
        <v>1.1693256646467634</v>
      </c>
      <c r="AG62" s="5">
        <f t="shared" ca="1" si="49"/>
        <v>1.0351181025787384</v>
      </c>
      <c r="AH62" s="5">
        <f t="shared" ca="1" si="50"/>
        <v>0.99894751775275947</v>
      </c>
      <c r="AI62" s="5">
        <f t="shared" ca="1" si="51"/>
        <v>1.3078957770939663</v>
      </c>
      <c r="AJ62" s="5">
        <f t="shared" ca="1" si="52"/>
        <v>0.90814477592223342</v>
      </c>
      <c r="AK62" s="5">
        <f t="shared" ca="1" si="53"/>
        <v>1.0341818806598646</v>
      </c>
      <c r="AL62" s="5">
        <f t="shared" ca="1" si="54"/>
        <v>1.0329959861730205</v>
      </c>
      <c r="AM62" s="5">
        <f t="shared" ca="1" si="55"/>
        <v>1.4537786145472418</v>
      </c>
      <c r="AN62" s="5">
        <f t="shared" ca="1" si="56"/>
        <v>0.86053556650962948</v>
      </c>
      <c r="AO62" s="5">
        <f t="shared" ca="1" si="57"/>
        <v>1.0360576970191548</v>
      </c>
      <c r="AP62" s="5">
        <f t="shared" ca="1" si="58"/>
        <v>1.9885791650983675</v>
      </c>
      <c r="AQ62" s="4">
        <f t="shared" ca="1" si="12"/>
        <v>19885.791650983676</v>
      </c>
      <c r="AR62">
        <f t="shared" ca="1" si="13"/>
        <v>0</v>
      </c>
      <c r="AS62">
        <f t="shared" ca="1" si="14"/>
        <v>0</v>
      </c>
    </row>
    <row r="63" spans="1:45" x14ac:dyDescent="0.25">
      <c r="A63" s="10">
        <f t="shared" si="47"/>
        <v>42</v>
      </c>
      <c r="B63" s="5">
        <f t="shared" ca="1" si="15"/>
        <v>0.20917364598259047</v>
      </c>
      <c r="C63" s="5">
        <f t="shared" ca="1" si="16"/>
        <v>-0.80929185184881569</v>
      </c>
      <c r="D63" s="5">
        <f t="shared" ca="1" si="2"/>
        <v>-3.4098848627616474E-2</v>
      </c>
      <c r="E63" s="5">
        <f t="shared" ca="1" si="17"/>
        <v>0.41793755545426947</v>
      </c>
      <c r="F63" s="5">
        <f t="shared" ca="1" si="18"/>
        <v>-0.20717254137139859</v>
      </c>
      <c r="G63" s="5">
        <f t="shared" ca="1" si="3"/>
        <v>5.7200227346965615E-2</v>
      </c>
      <c r="H63" s="5">
        <f t="shared" ca="1" si="19"/>
        <v>0.98469270712276247</v>
      </c>
      <c r="I63" s="5">
        <f t="shared" ca="1" si="20"/>
        <v>2.1620465831025113</v>
      </c>
      <c r="J63" s="5">
        <f t="shared" ca="1" si="4"/>
        <v>0.50833589596608553</v>
      </c>
      <c r="K63" s="5">
        <f t="shared" ca="1" si="21"/>
        <v>0.73838702743815376</v>
      </c>
      <c r="L63" s="5">
        <f t="shared" ca="1" si="22"/>
        <v>0.63838061725018824</v>
      </c>
      <c r="M63" s="5">
        <f t="shared" ca="1" si="5"/>
        <v>0.20016265397475719</v>
      </c>
      <c r="N63" s="5">
        <f t="shared" ca="1" si="23"/>
        <v>6.6811829975230941E-2</v>
      </c>
      <c r="O63" s="5">
        <f t="shared" ca="1" si="24"/>
        <v>-1.4999642629073771</v>
      </c>
      <c r="P63" s="5">
        <f t="shared" ca="1" si="6"/>
        <v>-0.12915793047416124</v>
      </c>
      <c r="Q63" s="5">
        <f t="shared" ca="1" si="25"/>
        <v>0.3225338800803762</v>
      </c>
      <c r="R63" s="5">
        <f t="shared" ca="1" si="26"/>
        <v>-0.46062487734684771</v>
      </c>
      <c r="S63" s="5">
        <f t="shared" ca="1" si="7"/>
        <v>1.7762172359759409E-2</v>
      </c>
      <c r="T63" s="5">
        <f t="shared" ca="1" si="27"/>
        <v>0.88430508191639701</v>
      </c>
      <c r="U63" s="5">
        <f t="shared" ca="1" si="28"/>
        <v>1.1967863597673147</v>
      </c>
      <c r="V63" s="5">
        <f t="shared" ca="1" si="8"/>
        <v>0.3050194618586437</v>
      </c>
      <c r="W63" s="5">
        <f t="shared" ca="1" si="29"/>
        <v>0.39939007161682383</v>
      </c>
      <c r="X63" s="5">
        <f t="shared" ca="1" si="30"/>
        <v>-0.25492614399057439</v>
      </c>
      <c r="Y63" s="5">
        <f t="shared" ca="1" si="9"/>
        <v>4.9654516793502079E-2</v>
      </c>
      <c r="Z63" s="5">
        <f t="shared" ca="1" si="31"/>
        <v>0.55426930700842969</v>
      </c>
      <c r="AA63" s="5">
        <f t="shared" ca="1" si="32"/>
        <v>0.13645526634262081</v>
      </c>
      <c r="AB63" s="5">
        <f t="shared" ca="1" si="10"/>
        <v>0.1131215658917879</v>
      </c>
      <c r="AC63" s="5">
        <f t="shared" ca="1" si="33"/>
        <v>0.84367709191517137</v>
      </c>
      <c r="AD63" s="5">
        <f t="shared" ca="1" si="34"/>
        <v>1.0096858660778316</v>
      </c>
      <c r="AE63" s="5">
        <f t="shared" ca="1" si="11"/>
        <v>0.26890316780131163</v>
      </c>
      <c r="AF63" s="5">
        <f t="shared" ca="1" si="48"/>
        <v>0.96590115137238353</v>
      </c>
      <c r="AG63" s="5">
        <f t="shared" ca="1" si="49"/>
        <v>1.0572002273469656</v>
      </c>
      <c r="AH63" s="5">
        <f t="shared" ca="1" si="50"/>
        <v>1.5083358959660855</v>
      </c>
      <c r="AI63" s="5">
        <f t="shared" ca="1" si="51"/>
        <v>1.2001626539747572</v>
      </c>
      <c r="AJ63" s="5">
        <f t="shared" ca="1" si="52"/>
        <v>0.87084206952583876</v>
      </c>
      <c r="AK63" s="5">
        <f t="shared" ca="1" si="53"/>
        <v>1.0177621723597594</v>
      </c>
      <c r="AL63" s="5">
        <f t="shared" ca="1" si="54"/>
        <v>1.3050194618586437</v>
      </c>
      <c r="AM63" s="5">
        <f t="shared" ca="1" si="55"/>
        <v>1.0496545167935021</v>
      </c>
      <c r="AN63" s="5">
        <f t="shared" ca="1" si="56"/>
        <v>1.1131215658917879</v>
      </c>
      <c r="AO63" s="5">
        <f t="shared" ca="1" si="57"/>
        <v>1.2689031678013116</v>
      </c>
      <c r="AP63" s="5">
        <f t="shared" ca="1" si="58"/>
        <v>3.1699196870770425</v>
      </c>
      <c r="AQ63" s="4">
        <f t="shared" ca="1" si="12"/>
        <v>31699.196870770425</v>
      </c>
      <c r="AR63">
        <f t="shared" ca="1" si="13"/>
        <v>1</v>
      </c>
      <c r="AS63">
        <f t="shared" ca="1" si="14"/>
        <v>0</v>
      </c>
    </row>
    <row r="64" spans="1:45" x14ac:dyDescent="0.25">
      <c r="A64" s="10">
        <f t="shared" si="47"/>
        <v>43</v>
      </c>
      <c r="B64" s="5">
        <f t="shared" ca="1" si="15"/>
        <v>0.25310090499632121</v>
      </c>
      <c r="C64" s="5">
        <f t="shared" ca="1" si="16"/>
        <v>-0.66476344005713506</v>
      </c>
      <c r="D64" s="5">
        <f t="shared" ca="1" si="2"/>
        <v>-1.2930193397479917E-2</v>
      </c>
      <c r="E64" s="5">
        <f t="shared" ca="1" si="17"/>
        <v>0.62661344908828887</v>
      </c>
      <c r="F64" s="5">
        <f t="shared" ca="1" si="18"/>
        <v>0.32289719350785984</v>
      </c>
      <c r="G64" s="5">
        <f t="shared" ca="1" si="3"/>
        <v>0.14469082536229072</v>
      </c>
      <c r="H64" s="5">
        <f t="shared" ca="1" si="19"/>
        <v>0.43255108024691913</v>
      </c>
      <c r="I64" s="5">
        <f t="shared" ca="1" si="20"/>
        <v>-0.16988298769206114</v>
      </c>
      <c r="J64" s="5">
        <f t="shared" ca="1" si="4"/>
        <v>6.3130174962983121E-2</v>
      </c>
      <c r="K64" s="5">
        <f t="shared" ca="1" si="21"/>
        <v>0.33596596445715388</v>
      </c>
      <c r="L64" s="5">
        <f t="shared" ca="1" si="22"/>
        <v>-0.42349803912605227</v>
      </c>
      <c r="M64" s="5">
        <f t="shared" ca="1" si="5"/>
        <v>2.3445927888545492E-2</v>
      </c>
      <c r="N64" s="5">
        <f t="shared" ca="1" si="23"/>
        <v>0.92679024592389769</v>
      </c>
      <c r="O64" s="5">
        <f t="shared" ca="1" si="24"/>
        <v>1.452295320236235</v>
      </c>
      <c r="P64" s="5">
        <f t="shared" ca="1" si="6"/>
        <v>0.35600692716705962</v>
      </c>
      <c r="Q64" s="5">
        <f t="shared" ca="1" si="25"/>
        <v>0.26495320123443866</v>
      </c>
      <c r="R64" s="5">
        <f t="shared" ca="1" si="26"/>
        <v>-0.62814889885092162</v>
      </c>
      <c r="S64" s="5">
        <f t="shared" ca="1" si="7"/>
        <v>-7.4941128763352793E-3</v>
      </c>
      <c r="T64" s="5">
        <f t="shared" ca="1" si="27"/>
        <v>0.22858223838567793</v>
      </c>
      <c r="U64" s="5">
        <f t="shared" ca="1" si="28"/>
        <v>-0.74352403296786718</v>
      </c>
      <c r="V64" s="5">
        <f t="shared" ca="1" si="8"/>
        <v>-2.4522910349529248E-2</v>
      </c>
      <c r="W64" s="5">
        <f t="shared" ca="1" si="29"/>
        <v>0.88162501610584409</v>
      </c>
      <c r="X64" s="5">
        <f t="shared" ca="1" si="30"/>
        <v>1.1831493364084507</v>
      </c>
      <c r="Y64" s="5">
        <f t="shared" ca="1" si="9"/>
        <v>0.30235270315455232</v>
      </c>
      <c r="Z64" s="5">
        <f t="shared" ca="1" si="31"/>
        <v>0.27273011829154703</v>
      </c>
      <c r="AA64" s="5">
        <f t="shared" ca="1" si="32"/>
        <v>-0.604576783510827</v>
      </c>
      <c r="AB64" s="5">
        <f t="shared" ca="1" si="10"/>
        <v>-3.9785819142837964E-3</v>
      </c>
      <c r="AC64" s="5">
        <f t="shared" ca="1" si="33"/>
        <v>5.1800413084321706E-2</v>
      </c>
      <c r="AD64" s="5">
        <f t="shared" ca="1" si="34"/>
        <v>-1.627641961430482</v>
      </c>
      <c r="AE64" s="5">
        <f t="shared" ca="1" si="11"/>
        <v>-0.14567730555225078</v>
      </c>
      <c r="AF64" s="5">
        <f t="shared" ca="1" si="48"/>
        <v>0.98706980660252008</v>
      </c>
      <c r="AG64" s="5">
        <f t="shared" ca="1" si="49"/>
        <v>1.1446908253622907</v>
      </c>
      <c r="AH64" s="5">
        <f t="shared" ca="1" si="50"/>
        <v>1.0631301749629831</v>
      </c>
      <c r="AI64" s="5">
        <f t="shared" ca="1" si="51"/>
        <v>1.0234459278885455</v>
      </c>
      <c r="AJ64" s="5">
        <f t="shared" ca="1" si="52"/>
        <v>1.3560069271670596</v>
      </c>
      <c r="AK64" s="5">
        <f t="shared" ca="1" si="53"/>
        <v>0.99250588712366472</v>
      </c>
      <c r="AL64" s="5">
        <f t="shared" ca="1" si="54"/>
        <v>0.97547708965047075</v>
      </c>
      <c r="AM64" s="5">
        <f t="shared" ca="1" si="55"/>
        <v>1.3023527031545523</v>
      </c>
      <c r="AN64" s="5">
        <f t="shared" ca="1" si="56"/>
        <v>0.9960214180857162</v>
      </c>
      <c r="AO64" s="5">
        <f t="shared" ca="1" si="57"/>
        <v>0.85432269444774922</v>
      </c>
      <c r="AP64" s="5">
        <f t="shared" ca="1" si="58"/>
        <v>1.7886226528476521</v>
      </c>
      <c r="AQ64" s="4">
        <f t="shared" ca="1" si="12"/>
        <v>17886.22652847652</v>
      </c>
      <c r="AR64">
        <f t="shared" ca="1" si="13"/>
        <v>0</v>
      </c>
      <c r="AS64">
        <f t="shared" ca="1" si="14"/>
        <v>0</v>
      </c>
    </row>
    <row r="65" spans="1:45" x14ac:dyDescent="0.25">
      <c r="A65" s="10">
        <f t="shared" si="47"/>
        <v>44</v>
      </c>
      <c r="B65" s="5">
        <f t="shared" ca="1" si="15"/>
        <v>0.27726907994418215</v>
      </c>
      <c r="C65" s="5">
        <f t="shared" ca="1" si="16"/>
        <v>-0.59097352539976489</v>
      </c>
      <c r="D65" s="5">
        <f t="shared" ca="1" si="2"/>
        <v>-1.9441365235803865E-3</v>
      </c>
      <c r="E65" s="5">
        <f t="shared" ca="1" si="17"/>
        <v>0.97492942788056491</v>
      </c>
      <c r="F65" s="5">
        <f t="shared" ca="1" si="18"/>
        <v>1.9587579160273665</v>
      </c>
      <c r="G65" s="5">
        <f t="shared" ca="1" si="3"/>
        <v>0.46303593957206268</v>
      </c>
      <c r="H65" s="5">
        <f t="shared" ca="1" si="19"/>
        <v>0.38770045264117703</v>
      </c>
      <c r="I65" s="5">
        <f t="shared" ca="1" si="20"/>
        <v>-0.28531750193749444</v>
      </c>
      <c r="J65" s="5">
        <f t="shared" ca="1" si="4"/>
        <v>4.4880343161893821E-2</v>
      </c>
      <c r="K65" s="5">
        <f t="shared" ca="1" si="21"/>
        <v>0.7282226281519586</v>
      </c>
      <c r="L65" s="5">
        <f t="shared" ca="1" si="22"/>
        <v>0.60744633942628434</v>
      </c>
      <c r="M65" s="5">
        <f t="shared" ca="1" si="5"/>
        <v>0.194606629568016</v>
      </c>
      <c r="N65" s="5">
        <f t="shared" ca="1" si="23"/>
        <v>0.18468938153847048</v>
      </c>
      <c r="O65" s="5">
        <f t="shared" ca="1" si="24"/>
        <v>-0.89763764403791169</v>
      </c>
      <c r="P65" s="5">
        <f t="shared" ca="1" si="6"/>
        <v>-4.6814405457989983E-2</v>
      </c>
      <c r="Q65" s="5">
        <f t="shared" ca="1" si="25"/>
        <v>0.46201334093928481</v>
      </c>
      <c r="R65" s="5">
        <f t="shared" ca="1" si="26"/>
        <v>-9.5362775825035523E-2</v>
      </c>
      <c r="S65" s="5">
        <f t="shared" ca="1" si="7"/>
        <v>7.5080544217346112E-2</v>
      </c>
      <c r="T65" s="5">
        <f t="shared" ca="1" si="27"/>
        <v>0.1161622777136827</v>
      </c>
      <c r="U65" s="5">
        <f t="shared" ca="1" si="28"/>
        <v>-1.1943922795614477</v>
      </c>
      <c r="V65" s="5">
        <f t="shared" ca="1" si="8"/>
        <v>-8.8313266545171243E-2</v>
      </c>
      <c r="W65" s="5">
        <f t="shared" ca="1" si="29"/>
        <v>0.39368730390764894</v>
      </c>
      <c r="X65" s="5">
        <f t="shared" ca="1" si="30"/>
        <v>-0.26972138425003939</v>
      </c>
      <c r="Y65" s="5">
        <f t="shared" ca="1" si="9"/>
        <v>4.7327616162778474E-2</v>
      </c>
      <c r="Z65" s="5">
        <f t="shared" ca="1" si="31"/>
        <v>0.35762257378343099</v>
      </c>
      <c r="AA65" s="5">
        <f t="shared" ca="1" si="32"/>
        <v>-0.36482084010887927</v>
      </c>
      <c r="AB65" s="5">
        <f t="shared" ca="1" si="10"/>
        <v>3.2493627564527339E-2</v>
      </c>
      <c r="AC65" s="5">
        <f t="shared" ca="1" si="33"/>
        <v>0.16336556974355176</v>
      </c>
      <c r="AD65" s="5">
        <f t="shared" ca="1" si="34"/>
        <v>-0.9807193895649291</v>
      </c>
      <c r="AE65" s="5">
        <f t="shared" ca="1" si="11"/>
        <v>-5.8619541773424211E-2</v>
      </c>
      <c r="AF65" s="5">
        <f t="shared" ca="1" si="48"/>
        <v>0.99805586347641961</v>
      </c>
      <c r="AG65" s="5">
        <f t="shared" ca="1" si="49"/>
        <v>1.4630359395720627</v>
      </c>
      <c r="AH65" s="5">
        <f t="shared" ca="1" si="50"/>
        <v>1.0448803431618938</v>
      </c>
      <c r="AI65" s="5">
        <f t="shared" ca="1" si="51"/>
        <v>1.194606629568016</v>
      </c>
      <c r="AJ65" s="5">
        <f t="shared" ca="1" si="52"/>
        <v>0.95318559454201002</v>
      </c>
      <c r="AK65" s="5">
        <f t="shared" ca="1" si="53"/>
        <v>1.0750805442173461</v>
      </c>
      <c r="AL65" s="5">
        <f t="shared" ca="1" si="54"/>
        <v>0.91168673345482876</v>
      </c>
      <c r="AM65" s="5">
        <f t="shared" ca="1" si="55"/>
        <v>1.0473276161627785</v>
      </c>
      <c r="AN65" s="5">
        <f t="shared" ca="1" si="56"/>
        <v>1.0324936275645273</v>
      </c>
      <c r="AO65" s="5">
        <f t="shared" ca="1" si="57"/>
        <v>0.94138045822657579</v>
      </c>
      <c r="AP65" s="5">
        <f t="shared" ca="1" si="58"/>
        <v>1.7334070020784405</v>
      </c>
      <c r="AQ65" s="4">
        <f t="shared" ca="1" si="12"/>
        <v>17334.070020784406</v>
      </c>
      <c r="AR65">
        <f t="shared" ca="1" si="13"/>
        <v>0</v>
      </c>
      <c r="AS65">
        <f t="shared" ca="1" si="14"/>
        <v>0</v>
      </c>
    </row>
    <row r="66" spans="1:45" x14ac:dyDescent="0.25">
      <c r="A66" s="10">
        <f t="shared" si="47"/>
        <v>45</v>
      </c>
      <c r="B66" s="5">
        <f t="shared" ca="1" si="15"/>
        <v>3.1367196693123933E-3</v>
      </c>
      <c r="C66" s="5">
        <f t="shared" ca="1" si="16"/>
        <v>-2.7331361533309577</v>
      </c>
      <c r="D66" s="5">
        <f t="shared" ca="1" si="2"/>
        <v>-0.27622189834423572</v>
      </c>
      <c r="E66" s="5">
        <f t="shared" ca="1" si="17"/>
        <v>0.9472233974937907</v>
      </c>
      <c r="F66" s="5">
        <f t="shared" ca="1" si="18"/>
        <v>1.6185078102819945</v>
      </c>
      <c r="G66" s="5">
        <f t="shared" ca="1" si="3"/>
        <v>0.39023969057923957</v>
      </c>
      <c r="H66" s="5">
        <f t="shared" ca="1" si="19"/>
        <v>0.70371323329071589</v>
      </c>
      <c r="I66" s="5">
        <f t="shared" ca="1" si="20"/>
        <v>0.53511037890784507</v>
      </c>
      <c r="J66" s="5">
        <f t="shared" ca="1" si="4"/>
        <v>0.18171474436772428</v>
      </c>
      <c r="K66" s="5">
        <f t="shared" ca="1" si="21"/>
        <v>0.78519366512305522</v>
      </c>
      <c r="L66" s="5">
        <f t="shared" ca="1" si="22"/>
        <v>0.78985463107353782</v>
      </c>
      <c r="M66" s="5">
        <f t="shared" ca="1" si="5"/>
        <v>0.22774382286620165</v>
      </c>
      <c r="N66" s="5">
        <f t="shared" ca="1" si="23"/>
        <v>0.96439622389313873</v>
      </c>
      <c r="O66" s="5">
        <f t="shared" ca="1" si="24"/>
        <v>1.8041515503734507</v>
      </c>
      <c r="P66" s="5">
        <f t="shared" ca="1" si="6"/>
        <v>0.4294971406823489</v>
      </c>
      <c r="Q66" s="5">
        <f t="shared" ca="1" si="25"/>
        <v>0.88641936562636625</v>
      </c>
      <c r="R66" s="5">
        <f t="shared" ca="1" si="26"/>
        <v>1.2077036625128146</v>
      </c>
      <c r="S66" s="5">
        <f t="shared" ca="1" si="7"/>
        <v>0.30715830654486642</v>
      </c>
      <c r="T66" s="5">
        <f t="shared" ca="1" si="27"/>
        <v>0.66707676358787238</v>
      </c>
      <c r="U66" s="5">
        <f t="shared" ca="1" si="28"/>
        <v>0.4318554536107278</v>
      </c>
      <c r="V66" s="5">
        <f t="shared" ca="1" si="8"/>
        <v>0.16355307342685266</v>
      </c>
      <c r="W66" s="5">
        <f t="shared" ca="1" si="29"/>
        <v>0.42211263245921782</v>
      </c>
      <c r="X66" s="5">
        <f t="shared" ca="1" si="30"/>
        <v>-0.19649178122301958</v>
      </c>
      <c r="Y66" s="5">
        <f t="shared" ca="1" si="9"/>
        <v>5.8895340174966559E-2</v>
      </c>
      <c r="Z66" s="5">
        <f t="shared" ca="1" si="31"/>
        <v>0.27176103510959726</v>
      </c>
      <c r="AA66" s="5">
        <f t="shared" ca="1" si="32"/>
        <v>-0.60749558726500474</v>
      </c>
      <c r="AB66" s="5">
        <f t="shared" ca="1" si="10"/>
        <v>-4.4145651242647466E-3</v>
      </c>
      <c r="AC66" s="5">
        <f t="shared" ca="1" si="33"/>
        <v>0.80065455257343265</v>
      </c>
      <c r="AD66" s="5">
        <f t="shared" ca="1" si="34"/>
        <v>0.84396154472468476</v>
      </c>
      <c r="AE66" s="5">
        <f t="shared" ca="1" si="11"/>
        <v>0.23774878261072874</v>
      </c>
      <c r="AF66" s="5">
        <f t="shared" ca="1" si="48"/>
        <v>0.72377810165576428</v>
      </c>
      <c r="AG66" s="5">
        <f t="shared" ca="1" si="49"/>
        <v>1.3902396905792396</v>
      </c>
      <c r="AH66" s="5">
        <f t="shared" ca="1" si="50"/>
        <v>1.1817147443677243</v>
      </c>
      <c r="AI66" s="5">
        <f t="shared" ca="1" si="51"/>
        <v>1.2277438228662017</v>
      </c>
      <c r="AJ66" s="5">
        <f t="shared" ca="1" si="52"/>
        <v>1.4294971406823489</v>
      </c>
      <c r="AK66" s="5">
        <f t="shared" ca="1" si="53"/>
        <v>1.3071583065448664</v>
      </c>
      <c r="AL66" s="5">
        <f t="shared" ca="1" si="54"/>
        <v>1.1635530734268527</v>
      </c>
      <c r="AM66" s="5">
        <f t="shared" ca="1" si="55"/>
        <v>1.0588953401749666</v>
      </c>
      <c r="AN66" s="5">
        <f t="shared" ca="1" si="56"/>
        <v>0.99558543487573525</v>
      </c>
      <c r="AO66" s="5">
        <f t="shared" ca="1" si="57"/>
        <v>1.2377487826107287</v>
      </c>
      <c r="AP66" s="5">
        <f t="shared" ca="1" si="58"/>
        <v>4.1416871395360841</v>
      </c>
      <c r="AQ66" s="4">
        <f t="shared" ca="1" si="12"/>
        <v>41416.871395360839</v>
      </c>
      <c r="AR66">
        <f t="shared" ca="1" si="13"/>
        <v>1</v>
      </c>
      <c r="AS66">
        <f t="shared" ca="1" si="14"/>
        <v>0</v>
      </c>
    </row>
    <row r="67" spans="1:45" x14ac:dyDescent="0.25">
      <c r="A67" s="10">
        <f t="shared" si="47"/>
        <v>46</v>
      </c>
      <c r="B67" s="5">
        <f t="shared" ca="1" si="15"/>
        <v>0.28598136211800362</v>
      </c>
      <c r="C67" s="5">
        <f t="shared" ca="1" si="16"/>
        <v>-0.56516325933838352</v>
      </c>
      <c r="D67" s="5">
        <f t="shared" ca="1" si="2"/>
        <v>1.9273660861474085E-3</v>
      </c>
      <c r="E67" s="5">
        <f t="shared" ca="1" si="17"/>
        <v>0.97276294166245114</v>
      </c>
      <c r="F67" s="5">
        <f t="shared" ca="1" si="18"/>
        <v>1.9230472457215098</v>
      </c>
      <c r="G67" s="5">
        <f t="shared" ca="1" si="3"/>
        <v>0.45521999260109869</v>
      </c>
      <c r="H67" s="5">
        <f t="shared" ca="1" si="19"/>
        <v>1.7224409921725581E-3</v>
      </c>
      <c r="I67" s="5">
        <f t="shared" ca="1" si="20"/>
        <v>-2.9249711140900714</v>
      </c>
      <c r="J67" s="5">
        <f t="shared" ca="1" si="4"/>
        <v>-0.29675199406349018</v>
      </c>
      <c r="K67" s="5">
        <f t="shared" ca="1" si="21"/>
        <v>0.3483724339062112</v>
      </c>
      <c r="L67" s="5">
        <f t="shared" ca="1" si="22"/>
        <v>-0.38971829341883535</v>
      </c>
      <c r="M67" s="5">
        <f t="shared" ca="1" si="5"/>
        <v>2.8644849612821988E-2</v>
      </c>
      <c r="N67" s="5">
        <f t="shared" ca="1" si="23"/>
        <v>0.47929272651214416</v>
      </c>
      <c r="O67" s="5">
        <f t="shared" ca="1" si="24"/>
        <v>-5.1928766268563235E-2</v>
      </c>
      <c r="P67" s="5">
        <f t="shared" ca="1" si="6"/>
        <v>8.2107669372242675E-2</v>
      </c>
      <c r="Q67" s="5">
        <f t="shared" ca="1" si="25"/>
        <v>0.79192755719414476</v>
      </c>
      <c r="R67" s="5">
        <f t="shared" ca="1" si="26"/>
        <v>0.81312763162051183</v>
      </c>
      <c r="S67" s="5">
        <f t="shared" ca="1" si="7"/>
        <v>0.23203730507110354</v>
      </c>
      <c r="T67" s="5">
        <f t="shared" ca="1" si="27"/>
        <v>0.30884060050082762</v>
      </c>
      <c r="U67" s="5">
        <f t="shared" ca="1" si="28"/>
        <v>-0.4991393738940697</v>
      </c>
      <c r="V67" s="5">
        <f t="shared" ca="1" si="8"/>
        <v>1.1899334334262823E-2</v>
      </c>
      <c r="W67" s="5">
        <f t="shared" ca="1" si="29"/>
        <v>0.59226202561259511</v>
      </c>
      <c r="X67" s="5">
        <f t="shared" ca="1" si="30"/>
        <v>0.23336762745884704</v>
      </c>
      <c r="Y67" s="5">
        <f t="shared" ca="1" si="9"/>
        <v>0.12942103624470858</v>
      </c>
      <c r="Z67" s="5">
        <f t="shared" ca="1" si="31"/>
        <v>0.92693168007286642</v>
      </c>
      <c r="AA67" s="5">
        <f t="shared" ca="1" si="32"/>
        <v>1.4533138274114323</v>
      </c>
      <c r="AB67" s="5">
        <f t="shared" ca="1" si="10"/>
        <v>0.35621410841056589</v>
      </c>
      <c r="AC67" s="5">
        <f t="shared" ca="1" si="33"/>
        <v>0.5455265280355881</v>
      </c>
      <c r="AD67" s="5">
        <f t="shared" ca="1" si="34"/>
        <v>0.11436690989283099</v>
      </c>
      <c r="AE67" s="5">
        <f t="shared" ca="1" si="11"/>
        <v>0.1094396149904413</v>
      </c>
      <c r="AF67" s="5">
        <f t="shared" ca="1" si="48"/>
        <v>1.0019273660861474</v>
      </c>
      <c r="AG67" s="5">
        <f t="shared" ca="1" si="49"/>
        <v>1.4552199926010987</v>
      </c>
      <c r="AH67" s="5">
        <f t="shared" ca="1" si="50"/>
        <v>0.70324800593650982</v>
      </c>
      <c r="AI67" s="5">
        <f t="shared" ca="1" si="51"/>
        <v>1.028644849612822</v>
      </c>
      <c r="AJ67" s="5">
        <f t="shared" ca="1" si="52"/>
        <v>1.0821076693722427</v>
      </c>
      <c r="AK67" s="5">
        <f t="shared" ca="1" si="53"/>
        <v>1.2320373050711035</v>
      </c>
      <c r="AL67" s="5">
        <f t="shared" ca="1" si="54"/>
        <v>1.0118993343342628</v>
      </c>
      <c r="AM67" s="5">
        <f t="shared" ca="1" si="55"/>
        <v>1.1294210362447086</v>
      </c>
      <c r="AN67" s="5">
        <f t="shared" ca="1" si="56"/>
        <v>1.3562141084105659</v>
      </c>
      <c r="AO67" s="5">
        <f t="shared" ca="1" si="57"/>
        <v>1.1094396149904413</v>
      </c>
      <c r="AP67" s="5">
        <f t="shared" ca="1" si="58"/>
        <v>2.4180111544330516</v>
      </c>
      <c r="AQ67" s="4">
        <f t="shared" ca="1" si="12"/>
        <v>24180.111544330517</v>
      </c>
      <c r="AR67">
        <f t="shared" ca="1" si="13"/>
        <v>0</v>
      </c>
      <c r="AS67">
        <f t="shared" ca="1" si="14"/>
        <v>0</v>
      </c>
    </row>
    <row r="68" spans="1:45" x14ac:dyDescent="0.25">
      <c r="A68" s="10">
        <f t="shared" si="47"/>
        <v>47</v>
      </c>
      <c r="B68" s="5">
        <f t="shared" ca="1" si="15"/>
        <v>0.4459703122228621</v>
      </c>
      <c r="C68" s="5">
        <f t="shared" ca="1" si="16"/>
        <v>-0.13584903699274434</v>
      </c>
      <c r="D68" s="5">
        <f t="shared" ca="1" si="2"/>
        <v>6.857143019567391E-2</v>
      </c>
      <c r="E68" s="5">
        <f t="shared" ca="1" si="17"/>
        <v>0.7212521899656853</v>
      </c>
      <c r="F68" s="5">
        <f t="shared" ca="1" si="18"/>
        <v>0.58656540900355203</v>
      </c>
      <c r="G68" s="5">
        <f t="shared" ca="1" si="3"/>
        <v>0.19087080849145832</v>
      </c>
      <c r="H68" s="5">
        <f t="shared" ca="1" si="19"/>
        <v>0.78165562929389165</v>
      </c>
      <c r="I68" s="5">
        <f t="shared" ca="1" si="20"/>
        <v>0.77779692436032399</v>
      </c>
      <c r="J68" s="5">
        <f t="shared" ca="1" si="4"/>
        <v>0.2255252635360554</v>
      </c>
      <c r="K68" s="5">
        <f t="shared" ca="1" si="21"/>
        <v>6.9444853307888521E-2</v>
      </c>
      <c r="L68" s="5">
        <f t="shared" ca="1" si="22"/>
        <v>-1.479938325175473</v>
      </c>
      <c r="M68" s="5">
        <f t="shared" ca="1" si="5"/>
        <v>-0.12653808321799764</v>
      </c>
      <c r="N68" s="5">
        <f t="shared" ca="1" si="23"/>
        <v>0.81282346190799359</v>
      </c>
      <c r="O68" s="5">
        <f t="shared" ca="1" si="24"/>
        <v>0.88834895072600673</v>
      </c>
      <c r="P68" s="5">
        <f t="shared" ca="1" si="6"/>
        <v>0.24601734723633095</v>
      </c>
      <c r="Q68" s="5">
        <f t="shared" ca="1" si="25"/>
        <v>0.759672122559375</v>
      </c>
      <c r="R68" s="5">
        <f t="shared" ca="1" si="26"/>
        <v>0.70524825695243898</v>
      </c>
      <c r="S68" s="5">
        <f t="shared" ca="1" si="7"/>
        <v>0.21226103339151914</v>
      </c>
      <c r="T68" s="5">
        <f t="shared" ca="1" si="27"/>
        <v>0.8643184187573999</v>
      </c>
      <c r="U68" s="5">
        <f t="shared" ca="1" si="28"/>
        <v>1.0999287604634591</v>
      </c>
      <c r="V68" s="5">
        <f t="shared" ca="1" si="8"/>
        <v>0.28619637208623527</v>
      </c>
      <c r="W68" s="5">
        <f t="shared" ca="1" si="29"/>
        <v>0.28624068334560315</v>
      </c>
      <c r="X68" s="5">
        <f t="shared" ca="1" si="30"/>
        <v>-0.56440084093866549</v>
      </c>
      <c r="Y68" s="5">
        <f t="shared" ca="1" si="9"/>
        <v>2.041955817284169E-3</v>
      </c>
      <c r="Z68" s="5">
        <f t="shared" ca="1" si="31"/>
        <v>5.4023271525586614E-2</v>
      </c>
      <c r="AA68" s="5">
        <f t="shared" ca="1" si="32"/>
        <v>-1.6070356723358838</v>
      </c>
      <c r="AB68" s="5">
        <f t="shared" ca="1" si="10"/>
        <v>-0.14303255721094799</v>
      </c>
      <c r="AC68" s="5">
        <f t="shared" ca="1" si="33"/>
        <v>0.10703216043587549</v>
      </c>
      <c r="AD68" s="5">
        <f t="shared" ca="1" si="34"/>
        <v>-1.2424669672130522</v>
      </c>
      <c r="AE68" s="5">
        <f t="shared" ca="1" si="11"/>
        <v>-9.4863977147576106E-2</v>
      </c>
      <c r="AF68" s="5">
        <f t="shared" ca="1" si="48"/>
        <v>1.0685714301956739</v>
      </c>
      <c r="AG68" s="5">
        <f t="shared" ca="1" si="49"/>
        <v>1.1908708084914583</v>
      </c>
      <c r="AH68" s="5">
        <f t="shared" ca="1" si="50"/>
        <v>1.2255252635360554</v>
      </c>
      <c r="AI68" s="5">
        <f t="shared" ca="1" si="51"/>
        <v>0.87346191678200236</v>
      </c>
      <c r="AJ68" s="5">
        <f t="shared" ca="1" si="52"/>
        <v>1.246017347236331</v>
      </c>
      <c r="AK68" s="5">
        <f t="shared" ca="1" si="53"/>
        <v>1.2122610333915191</v>
      </c>
      <c r="AL68" s="5">
        <f t="shared" ca="1" si="54"/>
        <v>1.2861963720862353</v>
      </c>
      <c r="AM68" s="5">
        <f t="shared" ca="1" si="55"/>
        <v>1.0020419558172842</v>
      </c>
      <c r="AN68" s="5">
        <f t="shared" ca="1" si="56"/>
        <v>0.85696744278905201</v>
      </c>
      <c r="AO68" s="5">
        <f t="shared" ca="1" si="57"/>
        <v>0.90513602285242389</v>
      </c>
      <c r="AP68" s="5">
        <f t="shared" ca="1" si="58"/>
        <v>2.0569609341492461</v>
      </c>
      <c r="AQ68" s="4">
        <f t="shared" ca="1" si="12"/>
        <v>20569.609341492462</v>
      </c>
      <c r="AR68">
        <f t="shared" ca="1" si="13"/>
        <v>0</v>
      </c>
      <c r="AS68">
        <f t="shared" ca="1" si="14"/>
        <v>0</v>
      </c>
    </row>
    <row r="69" spans="1:45" x14ac:dyDescent="0.25">
      <c r="A69" s="10">
        <f t="shared" si="47"/>
        <v>48</v>
      </c>
      <c r="B69" s="5">
        <f t="shared" ca="1" si="15"/>
        <v>0.13437497325637515</v>
      </c>
      <c r="C69" s="5">
        <f t="shared" ca="1" si="16"/>
        <v>-1.1059458761720884</v>
      </c>
      <c r="D69" s="5">
        <f t="shared" ca="1" si="2"/>
        <v>-7.6137364643338645E-2</v>
      </c>
      <c r="E69" s="5">
        <f t="shared" ca="1" si="17"/>
        <v>0.22406099301271765</v>
      </c>
      <c r="F69" s="5">
        <f t="shared" ca="1" si="18"/>
        <v>-0.75854967624885972</v>
      </c>
      <c r="G69" s="5">
        <f t="shared" ca="1" si="3"/>
        <v>-2.6719010200586646E-2</v>
      </c>
      <c r="H69" s="5">
        <f t="shared" ca="1" si="19"/>
        <v>0.91270090281109284</v>
      </c>
      <c r="I69" s="5">
        <f t="shared" ca="1" si="20"/>
        <v>1.3575762151874633</v>
      </c>
      <c r="J69" s="5">
        <f t="shared" ca="1" si="4"/>
        <v>0.33687718101118613</v>
      </c>
      <c r="K69" s="5">
        <f t="shared" ca="1" si="21"/>
        <v>0.80926256885177195</v>
      </c>
      <c r="L69" s="5">
        <f t="shared" ca="1" si="22"/>
        <v>0.87518204278196843</v>
      </c>
      <c r="M69" s="5">
        <f t="shared" ca="1" si="5"/>
        <v>0.24355884649331294</v>
      </c>
      <c r="N69" s="5">
        <f t="shared" ca="1" si="23"/>
        <v>0.71749538277620684</v>
      </c>
      <c r="O69" s="5">
        <f t="shared" ca="1" si="24"/>
        <v>0.57541711111212834</v>
      </c>
      <c r="P69" s="5">
        <f t="shared" ca="1" si="6"/>
        <v>0.18888104526214144</v>
      </c>
      <c r="Q69" s="5">
        <f t="shared" ca="1" si="25"/>
        <v>0.17975337928230695</v>
      </c>
      <c r="R69" s="5">
        <f t="shared" ca="1" si="26"/>
        <v>-0.91630535798329105</v>
      </c>
      <c r="S69" s="5">
        <f t="shared" ca="1" si="7"/>
        <v>-4.9479741439082181E-2</v>
      </c>
      <c r="T69" s="5">
        <f t="shared" ca="1" si="27"/>
        <v>0.39027803294364916</v>
      </c>
      <c r="U69" s="5">
        <f t="shared" ca="1" si="28"/>
        <v>-0.27859445849136855</v>
      </c>
      <c r="V69" s="5">
        <f t="shared" ca="1" si="8"/>
        <v>4.5934591045584172E-2</v>
      </c>
      <c r="W69" s="5">
        <f t="shared" ca="1" si="29"/>
        <v>0.10088898136674318</v>
      </c>
      <c r="X69" s="5">
        <f t="shared" ca="1" si="30"/>
        <v>-1.2765024459270047</v>
      </c>
      <c r="Y69" s="5">
        <f t="shared" ca="1" si="9"/>
        <v>-9.9473211998457711E-2</v>
      </c>
      <c r="Z69" s="5">
        <f t="shared" ca="1" si="31"/>
        <v>0.13744224452801301</v>
      </c>
      <c r="AA69" s="5">
        <f t="shared" ca="1" si="32"/>
        <v>-1.0918830949810718</v>
      </c>
      <c r="AB69" s="5">
        <f t="shared" ca="1" si="10"/>
        <v>-7.4186496055134166E-2</v>
      </c>
      <c r="AC69" s="5">
        <f t="shared" ca="1" si="33"/>
        <v>0.89223069411512201</v>
      </c>
      <c r="AD69" s="5">
        <f t="shared" ca="1" si="34"/>
        <v>1.2384787091743323</v>
      </c>
      <c r="AE69" s="5">
        <f t="shared" ca="1" si="11"/>
        <v>0.31320643434231465</v>
      </c>
      <c r="AF69" s="5">
        <f t="shared" ca="1" si="48"/>
        <v>0.92386263535666135</v>
      </c>
      <c r="AG69" s="5">
        <f t="shared" ca="1" si="49"/>
        <v>0.97328098979941335</v>
      </c>
      <c r="AH69" s="5">
        <f t="shared" ca="1" si="50"/>
        <v>1.3368771810111861</v>
      </c>
      <c r="AI69" s="5">
        <f t="shared" ca="1" si="51"/>
        <v>1.2435588464933129</v>
      </c>
      <c r="AJ69" s="5">
        <f t="shared" ca="1" si="52"/>
        <v>1.1888810452621414</v>
      </c>
      <c r="AK69" s="5">
        <f t="shared" ca="1" si="53"/>
        <v>0.95052025856091782</v>
      </c>
      <c r="AL69" s="5">
        <f t="shared" ca="1" si="54"/>
        <v>1.0459345910455842</v>
      </c>
      <c r="AM69" s="5">
        <f t="shared" ca="1" si="55"/>
        <v>0.90052678800154229</v>
      </c>
      <c r="AN69" s="5">
        <f t="shared" ca="1" si="56"/>
        <v>0.92581350394486583</v>
      </c>
      <c r="AO69" s="5">
        <f t="shared" ca="1" si="57"/>
        <v>1.3132064343423147</v>
      </c>
      <c r="AP69" s="5">
        <f t="shared" ca="1" si="58"/>
        <v>1.9344653342822393</v>
      </c>
      <c r="AQ69" s="4">
        <f t="shared" ca="1" si="12"/>
        <v>19344.653342822392</v>
      </c>
      <c r="AR69">
        <f t="shared" ca="1" si="13"/>
        <v>0</v>
      </c>
      <c r="AS69">
        <f t="shared" ca="1" si="14"/>
        <v>0</v>
      </c>
    </row>
    <row r="70" spans="1:45" x14ac:dyDescent="0.25">
      <c r="A70" s="10">
        <f t="shared" si="47"/>
        <v>49</v>
      </c>
      <c r="B70" s="5">
        <f t="shared" ca="1" si="15"/>
        <v>0.97896371394491177</v>
      </c>
      <c r="C70" s="5">
        <f t="shared" ca="1" si="16"/>
        <v>2.032801593326675</v>
      </c>
      <c r="D70" s="5">
        <f t="shared" ca="1" si="2"/>
        <v>0.47937579547922038</v>
      </c>
      <c r="E70" s="5">
        <f t="shared" ca="1" si="17"/>
        <v>0.27562701173721083</v>
      </c>
      <c r="F70" s="5">
        <f t="shared" ca="1" si="18"/>
        <v>-0.5958820529219313</v>
      </c>
      <c r="G70" s="5">
        <f t="shared" ca="1" si="3"/>
        <v>-2.6787137646301362E-3</v>
      </c>
      <c r="H70" s="5">
        <f t="shared" ca="1" si="19"/>
        <v>0.17375122696270218</v>
      </c>
      <c r="I70" s="5">
        <f t="shared" ca="1" si="20"/>
        <v>-0.93944473528694528</v>
      </c>
      <c r="J70" s="5">
        <f t="shared" ca="1" si="4"/>
        <v>-5.2773189541952537E-2</v>
      </c>
      <c r="K70" s="5">
        <f t="shared" ca="1" si="21"/>
        <v>0.99216737733717386</v>
      </c>
      <c r="L70" s="5">
        <f t="shared" ca="1" si="22"/>
        <v>2.4166227038632706</v>
      </c>
      <c r="M70" s="5">
        <f t="shared" ca="1" si="5"/>
        <v>0.56704770366228452</v>
      </c>
      <c r="N70" s="5">
        <f t="shared" ca="1" si="23"/>
        <v>0.18109374758840835</v>
      </c>
      <c r="O70" s="5">
        <f t="shared" ca="1" si="24"/>
        <v>-0.91120476247795168</v>
      </c>
      <c r="P70" s="5">
        <f t="shared" ca="1" si="6"/>
        <v>-4.8752230265270979E-2</v>
      </c>
      <c r="Q70" s="5">
        <f t="shared" ca="1" si="25"/>
        <v>0.61170549711350342</v>
      </c>
      <c r="R70" s="5">
        <f t="shared" ca="1" si="26"/>
        <v>0.28376692142458776</v>
      </c>
      <c r="S70" s="5">
        <f t="shared" ca="1" si="7"/>
        <v>0.13799169548616774</v>
      </c>
      <c r="T70" s="5">
        <f t="shared" ca="1" si="27"/>
        <v>0.40353932466796383</v>
      </c>
      <c r="U70" s="5">
        <f t="shared" ca="1" si="28"/>
        <v>-0.24419648487838247</v>
      </c>
      <c r="V70" s="5">
        <f t="shared" ca="1" si="8"/>
        <v>5.1345242269256852E-2</v>
      </c>
      <c r="W70" s="5">
        <f t="shared" ca="1" si="29"/>
        <v>0.59285856570996465</v>
      </c>
      <c r="X70" s="5">
        <f t="shared" ca="1" si="30"/>
        <v>0.23490448481561652</v>
      </c>
      <c r="Y70" s="5">
        <f t="shared" ca="1" si="9"/>
        <v>0.12968143011193911</v>
      </c>
      <c r="Z70" s="5">
        <f t="shared" ca="1" si="31"/>
        <v>0.79297098100622765</v>
      </c>
      <c r="AA70" s="5">
        <f t="shared" ca="1" si="32"/>
        <v>0.81677322174155342</v>
      </c>
      <c r="AB70" s="5">
        <f t="shared" ca="1" si="10"/>
        <v>0.2327112147684185</v>
      </c>
      <c r="AC70" s="5">
        <f t="shared" ca="1" si="33"/>
        <v>0.87075782766037657</v>
      </c>
      <c r="AD70" s="5">
        <f t="shared" ca="1" si="34"/>
        <v>1.1299807293126349</v>
      </c>
      <c r="AE70" s="5">
        <f t="shared" ca="1" si="11"/>
        <v>0.29200736963615714</v>
      </c>
      <c r="AF70" s="5">
        <f t="shared" ca="1" si="48"/>
        <v>1.4793757954792204</v>
      </c>
      <c r="AG70" s="5">
        <f t="shared" ca="1" si="49"/>
        <v>0.99732128623536986</v>
      </c>
      <c r="AH70" s="5">
        <f t="shared" ca="1" si="50"/>
        <v>0.94722681045804746</v>
      </c>
      <c r="AI70" s="5">
        <f t="shared" ca="1" si="51"/>
        <v>1.5670477036622845</v>
      </c>
      <c r="AJ70" s="5">
        <f t="shared" ca="1" si="52"/>
        <v>0.95124776973472902</v>
      </c>
      <c r="AK70" s="5">
        <f t="shared" ca="1" si="53"/>
        <v>1.1379916954861677</v>
      </c>
      <c r="AL70" s="5">
        <f t="shared" ca="1" si="54"/>
        <v>1.0513452422692569</v>
      </c>
      <c r="AM70" s="5">
        <f t="shared" ca="1" si="55"/>
        <v>1.1296814301119391</v>
      </c>
      <c r="AN70" s="5">
        <f t="shared" ca="1" si="56"/>
        <v>1.2327112147684185</v>
      </c>
      <c r="AO70" s="5">
        <f t="shared" ca="1" si="57"/>
        <v>1.2920073696361571</v>
      </c>
      <c r="AP70" s="5">
        <f t="shared" ca="1" si="58"/>
        <v>4.4844606991889195</v>
      </c>
      <c r="AQ70" s="4">
        <f t="shared" ca="1" si="12"/>
        <v>44844.606991889195</v>
      </c>
      <c r="AR70">
        <f t="shared" ca="1" si="13"/>
        <v>1</v>
      </c>
      <c r="AS70">
        <f t="shared" ca="1" si="14"/>
        <v>0</v>
      </c>
    </row>
    <row r="71" spans="1:45" x14ac:dyDescent="0.25">
      <c r="A71" s="10">
        <f t="shared" si="47"/>
        <v>50</v>
      </c>
      <c r="B71" s="5">
        <f t="shared" ca="1" si="15"/>
        <v>5.2919627624299137E-2</v>
      </c>
      <c r="C71" s="5">
        <f t="shared" ca="1" si="16"/>
        <v>-1.6171808198895175</v>
      </c>
      <c r="D71" s="5">
        <f t="shared" ca="1" si="2"/>
        <v>-0.14433567460896113</v>
      </c>
      <c r="E71" s="5">
        <f t="shared" ca="1" si="17"/>
        <v>0.14814523065507579</v>
      </c>
      <c r="F71" s="5">
        <f t="shared" ca="1" si="18"/>
        <v>-1.0444214121197282</v>
      </c>
      <c r="G71" s="5">
        <f t="shared" ca="1" si="3"/>
        <v>-6.7571878389526607E-2</v>
      </c>
      <c r="H71" s="5">
        <f t="shared" ca="1" si="19"/>
        <v>0.48458951774857639</v>
      </c>
      <c r="I71" s="5">
        <f t="shared" ca="1" si="20"/>
        <v>-3.863796210282703E-2</v>
      </c>
      <c r="J71" s="5">
        <f t="shared" ca="1" si="4"/>
        <v>8.426713340099945E-2</v>
      </c>
      <c r="K71" s="5">
        <f t="shared" ca="1" si="21"/>
        <v>0.7471860718447989</v>
      </c>
      <c r="L71" s="5">
        <f t="shared" ca="1" si="22"/>
        <v>0.66566092262264542</v>
      </c>
      <c r="M71" s="5">
        <f t="shared" ca="1" si="5"/>
        <v>0.20508383651446827</v>
      </c>
      <c r="N71" s="5">
        <f t="shared" ca="1" si="23"/>
        <v>0.42105538718759028</v>
      </c>
      <c r="O71" s="5">
        <f t="shared" ca="1" si="24"/>
        <v>-0.19919427909451662</v>
      </c>
      <c r="P71" s="5">
        <f t="shared" ca="1" si="6"/>
        <v>5.8466177806178354E-2</v>
      </c>
      <c r="Q71" s="5">
        <f t="shared" ca="1" si="25"/>
        <v>0.1404428413985338</v>
      </c>
      <c r="R71" s="5">
        <f t="shared" ca="1" si="26"/>
        <v>-1.0783318622288278</v>
      </c>
      <c r="S71" s="5">
        <f t="shared" ca="1" si="7"/>
        <v>-7.2302694975173276E-2</v>
      </c>
      <c r="T71" s="5">
        <f t="shared" ca="1" si="27"/>
        <v>0.42327300794855716</v>
      </c>
      <c r="U71" s="5">
        <f t="shared" ca="1" si="28"/>
        <v>-0.19352731527400976</v>
      </c>
      <c r="V71" s="5">
        <f t="shared" ca="1" si="8"/>
        <v>5.9366303755795657E-2</v>
      </c>
      <c r="W71" s="5">
        <f t="shared" ca="1" si="29"/>
        <v>0.93546842990877588</v>
      </c>
      <c r="X71" s="5">
        <f t="shared" ca="1" si="30"/>
        <v>1.5178066817472782</v>
      </c>
      <c r="Y71" s="5">
        <f t="shared" ca="1" si="9"/>
        <v>0.36939769195666528</v>
      </c>
      <c r="Z71" s="5">
        <f t="shared" ca="1" si="31"/>
        <v>0.63129492913765151</v>
      </c>
      <c r="AA71" s="5">
        <f t="shared" ca="1" si="32"/>
        <v>0.33528495504126604</v>
      </c>
      <c r="AB71" s="5">
        <f t="shared" ca="1" si="10"/>
        <v>0.14681982631252621</v>
      </c>
      <c r="AC71" s="5">
        <f t="shared" ca="1" si="33"/>
        <v>0.93442751851944816</v>
      </c>
      <c r="AD71" s="5">
        <f t="shared" ca="1" si="34"/>
        <v>1.5096021870810348</v>
      </c>
      <c r="AE71" s="5">
        <f t="shared" ca="1" si="11"/>
        <v>0.36771344613923285</v>
      </c>
      <c r="AF71" s="5">
        <f t="shared" ca="1" si="48"/>
        <v>0.85566432539103887</v>
      </c>
      <c r="AG71" s="5">
        <f t="shared" ca="1" si="49"/>
        <v>0.93242812161047339</v>
      </c>
      <c r="AH71" s="5">
        <f t="shared" ca="1" si="50"/>
        <v>1.0842671334009994</v>
      </c>
      <c r="AI71" s="5">
        <f t="shared" ca="1" si="51"/>
        <v>1.2050838365144683</v>
      </c>
      <c r="AJ71" s="5">
        <f t="shared" ca="1" si="52"/>
        <v>1.0584661778061784</v>
      </c>
      <c r="AK71" s="5">
        <f t="shared" ca="1" si="53"/>
        <v>0.92769730502482672</v>
      </c>
      <c r="AL71" s="5">
        <f t="shared" ca="1" si="54"/>
        <v>1.0593663037557957</v>
      </c>
      <c r="AM71" s="5">
        <f t="shared" ca="1" si="55"/>
        <v>1.3693976919566653</v>
      </c>
      <c r="AN71" s="5">
        <f t="shared" ca="1" si="56"/>
        <v>1.1468198263125262</v>
      </c>
      <c r="AO71" s="5">
        <f t="shared" ca="1" si="57"/>
        <v>1.3677134461392328</v>
      </c>
      <c r="AP71" s="5">
        <f t="shared" ca="1" si="58"/>
        <v>2.3292799008184764</v>
      </c>
      <c r="AQ71" s="4">
        <f t="shared" ca="1" si="12"/>
        <v>23292.799008184764</v>
      </c>
      <c r="AR71">
        <f t="shared" ca="1" si="13"/>
        <v>0</v>
      </c>
      <c r="AS71">
        <f t="shared" ca="1" si="14"/>
        <v>0</v>
      </c>
    </row>
    <row r="72" spans="1:45" x14ac:dyDescent="0.25">
      <c r="A72" s="10">
        <f t="shared" si="47"/>
        <v>51</v>
      </c>
      <c r="B72" s="5">
        <f t="shared" ca="1" si="15"/>
        <v>0.37422279186669483</v>
      </c>
      <c r="C72" s="5">
        <f t="shared" ca="1" si="16"/>
        <v>-0.32068966021242318</v>
      </c>
      <c r="D72" s="5">
        <f t="shared" ca="1" si="2"/>
        <v>3.93510738660936E-2</v>
      </c>
      <c r="E72" s="5">
        <f t="shared" ca="1" si="17"/>
        <v>0.60895238030998478</v>
      </c>
      <c r="F72" s="5">
        <f t="shared" ca="1" si="18"/>
        <v>0.27658961548618777</v>
      </c>
      <c r="G72" s="5">
        <f t="shared" ca="1" si="3"/>
        <v>0.13676719756607492</v>
      </c>
      <c r="H72" s="5">
        <f t="shared" ca="1" si="19"/>
        <v>0.65017939811562786</v>
      </c>
      <c r="I72" s="5">
        <f t="shared" ca="1" si="20"/>
        <v>0.38580484909406354</v>
      </c>
      <c r="J72" s="5">
        <f t="shared" ca="1" si="4"/>
        <v>0.15554342061385285</v>
      </c>
      <c r="K72" s="5">
        <f t="shared" ca="1" si="21"/>
        <v>0.23619966337881626</v>
      </c>
      <c r="L72" s="5">
        <f t="shared" ca="1" si="22"/>
        <v>-0.71858067038564577</v>
      </c>
      <c r="M72" s="5">
        <f t="shared" ca="1" si="5"/>
        <v>-2.0866322234290635E-2</v>
      </c>
      <c r="N72" s="5">
        <f t="shared" ca="1" si="23"/>
        <v>3.8324151374810267E-2</v>
      </c>
      <c r="O72" s="5">
        <f t="shared" ca="1" si="24"/>
        <v>-1.7704734541988218</v>
      </c>
      <c r="P72" s="5">
        <f t="shared" ca="1" si="6"/>
        <v>-0.1637862511452316</v>
      </c>
      <c r="Q72" s="5">
        <f t="shared" ca="1" si="25"/>
        <v>0.33850516490197724</v>
      </c>
      <c r="R72" s="5">
        <f t="shared" ca="1" si="26"/>
        <v>-0.41654625219441715</v>
      </c>
      <c r="S72" s="5">
        <f t="shared" ca="1" si="7"/>
        <v>2.4513701215749695E-2</v>
      </c>
      <c r="T72" s="5">
        <f t="shared" ca="1" si="27"/>
        <v>0.1116988046962698</v>
      </c>
      <c r="U72" s="5">
        <f t="shared" ca="1" si="28"/>
        <v>-1.2175432025536941</v>
      </c>
      <c r="V72" s="5">
        <f t="shared" ca="1" si="8"/>
        <v>-9.14737341922639E-2</v>
      </c>
      <c r="W72" s="5">
        <f t="shared" ca="1" si="29"/>
        <v>0.69157165867626869</v>
      </c>
      <c r="X72" s="5">
        <f t="shared" ca="1" si="30"/>
        <v>0.50031018638818048</v>
      </c>
      <c r="Y72" s="5">
        <f t="shared" ca="1" si="9"/>
        <v>0.17556223139498028</v>
      </c>
      <c r="Z72" s="5">
        <f t="shared" ca="1" si="31"/>
        <v>0.63344722071059878</v>
      </c>
      <c r="AA72" s="5">
        <f t="shared" ca="1" si="32"/>
        <v>0.34099737407955755</v>
      </c>
      <c r="AB72" s="5">
        <f t="shared" ca="1" si="10"/>
        <v>0.14780291474975704</v>
      </c>
      <c r="AC72" s="5">
        <f t="shared" ca="1" si="33"/>
        <v>0.83045543388498477</v>
      </c>
      <c r="AD72" s="5">
        <f t="shared" ca="1" si="34"/>
        <v>0.95596655429509814</v>
      </c>
      <c r="AE72" s="5">
        <f t="shared" ca="1" si="11"/>
        <v>0.2587195613933897</v>
      </c>
      <c r="AF72" s="5">
        <f t="shared" ca="1" si="48"/>
        <v>1.0393510738660936</v>
      </c>
      <c r="AG72" s="5">
        <f t="shared" ca="1" si="49"/>
        <v>1.1367671975660749</v>
      </c>
      <c r="AH72" s="5">
        <f t="shared" ca="1" si="50"/>
        <v>1.1555434206138528</v>
      </c>
      <c r="AI72" s="5">
        <f t="shared" ca="1" si="51"/>
        <v>0.97913367776570936</v>
      </c>
      <c r="AJ72" s="5">
        <f t="shared" ca="1" si="52"/>
        <v>0.8362137488547684</v>
      </c>
      <c r="AK72" s="5">
        <f t="shared" ca="1" si="53"/>
        <v>1.0245137012157497</v>
      </c>
      <c r="AL72" s="5">
        <f t="shared" ca="1" si="54"/>
        <v>0.9085262658077361</v>
      </c>
      <c r="AM72" s="5">
        <f t="shared" ca="1" si="55"/>
        <v>1.1755622313949803</v>
      </c>
      <c r="AN72" s="5">
        <f t="shared" ca="1" si="56"/>
        <v>1.147802914749757</v>
      </c>
      <c r="AO72" s="5">
        <f t="shared" ca="1" si="57"/>
        <v>1.2587195613933897</v>
      </c>
      <c r="AP72" s="5">
        <f t="shared" ca="1" si="58"/>
        <v>1.7671627616816965</v>
      </c>
      <c r="AQ72" s="4">
        <f t="shared" ca="1" si="12"/>
        <v>17671.627616816964</v>
      </c>
      <c r="AR72">
        <f t="shared" ca="1" si="13"/>
        <v>0</v>
      </c>
      <c r="AS72">
        <f t="shared" ca="1" si="14"/>
        <v>0</v>
      </c>
    </row>
    <row r="73" spans="1:45" x14ac:dyDescent="0.25">
      <c r="A73" s="10">
        <f t="shared" si="47"/>
        <v>52</v>
      </c>
      <c r="B73" s="5">
        <f t="shared" ca="1" si="15"/>
        <v>0.33254377125698975</v>
      </c>
      <c r="C73" s="5">
        <f t="shared" ca="1" si="16"/>
        <v>-0.43289983138717503</v>
      </c>
      <c r="D73" s="5">
        <f t="shared" ca="1" si="2"/>
        <v>2.2003611254020283E-2</v>
      </c>
      <c r="E73" s="5">
        <f t="shared" ca="1" si="17"/>
        <v>0.21942086751051426</v>
      </c>
      <c r="F73" s="5">
        <f t="shared" ca="1" si="18"/>
        <v>-0.77415060427076376</v>
      </c>
      <c r="G73" s="5">
        <f t="shared" ca="1" si="3"/>
        <v>-2.8993960312474587E-2</v>
      </c>
      <c r="H73" s="5">
        <f t="shared" ca="1" si="19"/>
        <v>0.6921443849540484</v>
      </c>
      <c r="I73" s="5">
        <f t="shared" ca="1" si="20"/>
        <v>0.50193786345082647</v>
      </c>
      <c r="J73" s="5">
        <f t="shared" ca="1" si="4"/>
        <v>0.17584928178741799</v>
      </c>
      <c r="K73" s="5">
        <f t="shared" ca="1" si="21"/>
        <v>0.45727241554630549</v>
      </c>
      <c r="L73" s="5">
        <f t="shared" ca="1" si="22"/>
        <v>-0.10730775673461261</v>
      </c>
      <c r="M73" s="5">
        <f t="shared" ca="1" si="5"/>
        <v>7.3155996397202827E-2</v>
      </c>
      <c r="N73" s="5">
        <f t="shared" ca="1" si="23"/>
        <v>0.88794118928435717</v>
      </c>
      <c r="O73" s="5">
        <f t="shared" ca="1" si="24"/>
        <v>1.2156517243750347</v>
      </c>
      <c r="P73" s="5">
        <f t="shared" ca="1" si="6"/>
        <v>0.30871764214997688</v>
      </c>
      <c r="Q73" s="5">
        <f t="shared" ca="1" si="25"/>
        <v>0.6981647901420911</v>
      </c>
      <c r="R73" s="5">
        <f t="shared" ca="1" si="26"/>
        <v>0.51912952596739381</v>
      </c>
      <c r="S73" s="5">
        <f t="shared" ca="1" si="7"/>
        <v>0.17888541542219305</v>
      </c>
      <c r="T73" s="5">
        <f t="shared" ca="1" si="27"/>
        <v>0.98237026071122335</v>
      </c>
      <c r="U73" s="5">
        <f t="shared" ca="1" si="28"/>
        <v>2.1053657982307472</v>
      </c>
      <c r="V73" s="5">
        <f t="shared" ca="1" si="8"/>
        <v>0.49556620821773878</v>
      </c>
      <c r="W73" s="5">
        <f t="shared" ca="1" si="29"/>
        <v>0.11486601405367058</v>
      </c>
      <c r="X73" s="5">
        <f t="shared" ca="1" si="30"/>
        <v>-1.2010494289405527</v>
      </c>
      <c r="Y73" s="5">
        <f t="shared" ca="1" si="9"/>
        <v>-8.9223197369386997E-2</v>
      </c>
      <c r="Z73" s="5">
        <f t="shared" ca="1" si="31"/>
        <v>0.7830480187365022</v>
      </c>
      <c r="AA73" s="5">
        <f t="shared" ca="1" si="32"/>
        <v>0.78252863680089035</v>
      </c>
      <c r="AB73" s="5">
        <f t="shared" ca="1" si="10"/>
        <v>0.22639539726157576</v>
      </c>
      <c r="AC73" s="5">
        <f t="shared" ca="1" si="33"/>
        <v>0.31139795058197639</v>
      </c>
      <c r="AD73" s="5">
        <f t="shared" ca="1" si="34"/>
        <v>-0.49189170701174806</v>
      </c>
      <c r="AE73" s="5">
        <f t="shared" ca="1" si="11"/>
        <v>1.3000018924553602E-2</v>
      </c>
      <c r="AF73" s="5">
        <f t="shared" ca="1" si="48"/>
        <v>1.0220036112540203</v>
      </c>
      <c r="AG73" s="5">
        <f t="shared" ca="1" si="49"/>
        <v>0.97100603968752541</v>
      </c>
      <c r="AH73" s="5">
        <f t="shared" ca="1" si="50"/>
        <v>1.175849281787418</v>
      </c>
      <c r="AI73" s="5">
        <f t="shared" ca="1" si="51"/>
        <v>1.0731559963972028</v>
      </c>
      <c r="AJ73" s="5">
        <f t="shared" ca="1" si="52"/>
        <v>1.3087176421499769</v>
      </c>
      <c r="AK73" s="5">
        <f t="shared" ca="1" si="53"/>
        <v>1.1788854154221931</v>
      </c>
      <c r="AL73" s="5">
        <f t="shared" ca="1" si="54"/>
        <v>1.4955662082177388</v>
      </c>
      <c r="AM73" s="5">
        <f t="shared" ca="1" si="55"/>
        <v>0.910776802630613</v>
      </c>
      <c r="AN73" s="5">
        <f t="shared" ca="1" si="56"/>
        <v>1.2263953972615758</v>
      </c>
      <c r="AO73" s="5">
        <f t="shared" ca="1" si="57"/>
        <v>1.0130000189245536</v>
      </c>
      <c r="AP73" s="5">
        <f t="shared" ca="1" si="58"/>
        <v>3.2693694352972353</v>
      </c>
      <c r="AQ73" s="4">
        <f t="shared" ca="1" si="12"/>
        <v>32693.694352972354</v>
      </c>
      <c r="AR73">
        <f t="shared" ca="1" si="13"/>
        <v>1</v>
      </c>
      <c r="AS73">
        <f t="shared" ca="1" si="14"/>
        <v>0</v>
      </c>
    </row>
    <row r="74" spans="1:45" x14ac:dyDescent="0.25">
      <c r="A74" s="10">
        <f t="shared" si="47"/>
        <v>53</v>
      </c>
      <c r="B74" s="5">
        <f t="shared" ca="1" si="15"/>
        <v>0.46611242936185493</v>
      </c>
      <c r="C74" s="5">
        <f t="shared" ca="1" si="16"/>
        <v>-8.5045951846813309E-2</v>
      </c>
      <c r="D74" s="5">
        <f t="shared" ca="1" si="2"/>
        <v>7.6745544709403646E-2</v>
      </c>
      <c r="E74" s="5">
        <f t="shared" ca="1" si="17"/>
        <v>7.0229979430516565E-2</v>
      </c>
      <c r="F74" s="5">
        <f t="shared" ca="1" si="18"/>
        <v>-1.4740803487376377</v>
      </c>
      <c r="G74" s="5">
        <f t="shared" ca="1" si="3"/>
        <v>-0.12577023801679199</v>
      </c>
      <c r="H74" s="5">
        <f t="shared" ca="1" si="19"/>
        <v>0.76048894899776176</v>
      </c>
      <c r="I74" s="5">
        <f t="shared" ca="1" si="20"/>
        <v>0.70787626232842848</v>
      </c>
      <c r="J74" s="5">
        <f t="shared" ca="1" si="4"/>
        <v>0.21273900187003791</v>
      </c>
      <c r="K74" s="5">
        <f t="shared" ca="1" si="21"/>
        <v>0.37466855500712404</v>
      </c>
      <c r="L74" s="5">
        <f t="shared" ca="1" si="22"/>
        <v>-0.31951356058613484</v>
      </c>
      <c r="M74" s="5">
        <f t="shared" ca="1" si="5"/>
        <v>3.9534447101940984E-2</v>
      </c>
      <c r="N74" s="5">
        <f t="shared" ca="1" si="23"/>
        <v>0.64366556689359522</v>
      </c>
      <c r="O74" s="5">
        <f t="shared" ca="1" si="24"/>
        <v>0.36827409533289035</v>
      </c>
      <c r="P74" s="5">
        <f t="shared" ca="1" si="6"/>
        <v>0.15250878025243098</v>
      </c>
      <c r="Q74" s="5">
        <f t="shared" ca="1" si="25"/>
        <v>0.23013362095583634</v>
      </c>
      <c r="R74" s="5">
        <f t="shared" ca="1" si="26"/>
        <v>-0.73840686866262151</v>
      </c>
      <c r="S74" s="5">
        <f t="shared" ca="1" si="7"/>
        <v>-2.3773871433103055E-2</v>
      </c>
      <c r="T74" s="5">
        <f t="shared" ca="1" si="27"/>
        <v>0.39101793530412676</v>
      </c>
      <c r="U74" s="5">
        <f t="shared" ca="1" si="28"/>
        <v>-0.27666692533156795</v>
      </c>
      <c r="V74" s="5">
        <f t="shared" ca="1" si="8"/>
        <v>4.6237045808929622E-2</v>
      </c>
      <c r="W74" s="5">
        <f t="shared" ca="1" si="29"/>
        <v>9.4034225149733586E-2</v>
      </c>
      <c r="X74" s="5">
        <f t="shared" ca="1" si="30"/>
        <v>-1.3163146662410066</v>
      </c>
      <c r="Y74" s="5">
        <f t="shared" ca="1" si="9"/>
        <v>-0.10483498189887319</v>
      </c>
      <c r="Z74" s="5">
        <f t="shared" ca="1" si="31"/>
        <v>0.58722135650034901</v>
      </c>
      <c r="AA74" s="5">
        <f t="shared" ca="1" si="32"/>
        <v>0.22040302850266663</v>
      </c>
      <c r="AB74" s="5">
        <f t="shared" ca="1" si="10"/>
        <v>0.12722679687559602</v>
      </c>
      <c r="AC74" s="5">
        <f t="shared" ca="1" si="33"/>
        <v>0.28256594400413804</v>
      </c>
      <c r="AD74" s="5">
        <f t="shared" ca="1" si="34"/>
        <v>-0.57523572002596046</v>
      </c>
      <c r="AE74" s="5">
        <f t="shared" ca="1" si="11"/>
        <v>4.1472797198105482E-4</v>
      </c>
      <c r="AF74" s="5">
        <f t="shared" ca="1" si="48"/>
        <v>1.0767455447094036</v>
      </c>
      <c r="AG74" s="5">
        <f t="shared" ca="1" si="49"/>
        <v>0.87422976198320801</v>
      </c>
      <c r="AH74" s="5">
        <f t="shared" ca="1" si="50"/>
        <v>1.2127390018700379</v>
      </c>
      <c r="AI74" s="5">
        <f t="shared" ca="1" si="51"/>
        <v>1.039534447101941</v>
      </c>
      <c r="AJ74" s="5">
        <f t="shared" ca="1" si="52"/>
        <v>1.152508780252431</v>
      </c>
      <c r="AK74" s="5">
        <f t="shared" ca="1" si="53"/>
        <v>0.97622612856689694</v>
      </c>
      <c r="AL74" s="5">
        <f t="shared" ca="1" si="54"/>
        <v>1.0462370458089296</v>
      </c>
      <c r="AM74" s="5">
        <f t="shared" ca="1" si="55"/>
        <v>0.89516501810112681</v>
      </c>
      <c r="AN74" s="5">
        <f t="shared" ca="1" si="56"/>
        <v>1.127226796875596</v>
      </c>
      <c r="AO74" s="5">
        <f t="shared" ca="1" si="57"/>
        <v>1.0004147279719811</v>
      </c>
      <c r="AP74" s="5">
        <f t="shared" ca="1" si="58"/>
        <v>1.4101462208020825</v>
      </c>
      <c r="AQ74" s="4">
        <f t="shared" ca="1" si="12"/>
        <v>14101.462208020825</v>
      </c>
      <c r="AR74">
        <f t="shared" ca="1" si="13"/>
        <v>0</v>
      </c>
      <c r="AS74">
        <f t="shared" ca="1" si="14"/>
        <v>0</v>
      </c>
    </row>
    <row r="75" spans="1:45" x14ac:dyDescent="0.25">
      <c r="A75" s="10">
        <f t="shared" si="47"/>
        <v>54</v>
      </c>
      <c r="B75" s="5">
        <f t="shared" ca="1" si="15"/>
        <v>5.1524126861151043E-2</v>
      </c>
      <c r="C75" s="5">
        <f t="shared" ca="1" si="16"/>
        <v>-1.6302519719816213</v>
      </c>
      <c r="D75" s="5">
        <f t="shared" ca="1" si="2"/>
        <v>-0.14601170877527192</v>
      </c>
      <c r="E75" s="5">
        <f t="shared" ca="1" si="17"/>
        <v>0.38963614577382077</v>
      </c>
      <c r="F75" s="5">
        <f t="shared" ca="1" si="18"/>
        <v>-0.2802674891319985</v>
      </c>
      <c r="G75" s="5">
        <f t="shared" ca="1" si="3"/>
        <v>4.5672141885535922E-2</v>
      </c>
      <c r="H75" s="5">
        <f t="shared" ca="1" si="19"/>
        <v>0.88055692139001784</v>
      </c>
      <c r="I75" s="5">
        <f t="shared" ca="1" si="20"/>
        <v>1.1777754026463712</v>
      </c>
      <c r="J75" s="5">
        <f t="shared" ca="1" si="4"/>
        <v>0.30130331258878695</v>
      </c>
      <c r="K75" s="5">
        <f t="shared" ca="1" si="21"/>
        <v>0.36950274554791784</v>
      </c>
      <c r="L75" s="5">
        <f t="shared" ca="1" si="22"/>
        <v>-0.33317062419118848</v>
      </c>
      <c r="M75" s="5">
        <f t="shared" ca="1" si="5"/>
        <v>3.7407078656821691E-2</v>
      </c>
      <c r="N75" s="5">
        <f t="shared" ca="1" si="23"/>
        <v>0.35372994364133725</v>
      </c>
      <c r="O75" s="5">
        <f t="shared" ca="1" si="24"/>
        <v>-0.37526971462995395</v>
      </c>
      <c r="P75" s="5">
        <f t="shared" ca="1" si="6"/>
        <v>3.0876635622750559E-2</v>
      </c>
      <c r="Q75" s="5">
        <f t="shared" ca="1" si="25"/>
        <v>0.90665541709508857</v>
      </c>
      <c r="R75" s="5">
        <f t="shared" ca="1" si="26"/>
        <v>1.320436973868873</v>
      </c>
      <c r="S75" s="5">
        <f t="shared" ca="1" si="7"/>
        <v>0.32945029674650295</v>
      </c>
      <c r="T75" s="5">
        <f t="shared" ca="1" si="27"/>
        <v>0.81035587142290155</v>
      </c>
      <c r="U75" s="5">
        <f t="shared" ca="1" si="28"/>
        <v>0.87920846196785951</v>
      </c>
      <c r="V75" s="5">
        <f t="shared" ca="1" si="8"/>
        <v>0.24431013672592683</v>
      </c>
      <c r="W75" s="5">
        <f t="shared" ca="1" si="29"/>
        <v>0.28461497750527531</v>
      </c>
      <c r="X75" s="5">
        <f t="shared" ca="1" si="30"/>
        <v>-0.56918594916197851</v>
      </c>
      <c r="Y75" s="5">
        <f t="shared" ca="1" si="9"/>
        <v>1.3229819952846888E-3</v>
      </c>
      <c r="Z75" s="5">
        <f t="shared" ca="1" si="31"/>
        <v>0.81884779017611276</v>
      </c>
      <c r="AA75" s="5">
        <f t="shared" ca="1" si="32"/>
        <v>0.9109828317081452</v>
      </c>
      <c r="AB75" s="5">
        <f t="shared" ca="1" si="10"/>
        <v>0.25025486778201822</v>
      </c>
      <c r="AC75" s="5">
        <f t="shared" ca="1" si="33"/>
        <v>0.85099967615515848</v>
      </c>
      <c r="AD75" s="5">
        <f t="shared" ca="1" si="34"/>
        <v>1.0407304913084221</v>
      </c>
      <c r="AE75" s="5">
        <f t="shared" ca="1" si="11"/>
        <v>0.27482584063027282</v>
      </c>
      <c r="AF75" s="5">
        <f t="shared" ca="1" si="48"/>
        <v>0.85398829122472808</v>
      </c>
      <c r="AG75" s="5">
        <f t="shared" ca="1" si="49"/>
        <v>1.0456721418855359</v>
      </c>
      <c r="AH75" s="5">
        <f t="shared" ca="1" si="50"/>
        <v>1.301303312588787</v>
      </c>
      <c r="AI75" s="5">
        <f t="shared" ca="1" si="51"/>
        <v>1.0374070786568217</v>
      </c>
      <c r="AJ75" s="5">
        <f t="shared" ca="1" si="52"/>
        <v>1.0308766356227506</v>
      </c>
      <c r="AK75" s="5">
        <f t="shared" ca="1" si="53"/>
        <v>1.3294502967465029</v>
      </c>
      <c r="AL75" s="5">
        <f t="shared" ca="1" si="54"/>
        <v>1.2443101367259268</v>
      </c>
      <c r="AM75" s="5">
        <f t="shared" ca="1" si="55"/>
        <v>1.0013229819952847</v>
      </c>
      <c r="AN75" s="5">
        <f t="shared" ca="1" si="56"/>
        <v>1.2502548677820182</v>
      </c>
      <c r="AO75" s="5">
        <f t="shared" ca="1" si="57"/>
        <v>1.2748258406302728</v>
      </c>
      <c r="AP75" s="5">
        <f t="shared" ca="1" si="58"/>
        <v>3.2810000258591203</v>
      </c>
      <c r="AQ75" s="4">
        <f t="shared" ca="1" si="12"/>
        <v>32810.000258591201</v>
      </c>
      <c r="AR75">
        <f t="shared" ca="1" si="13"/>
        <v>1</v>
      </c>
      <c r="AS75">
        <f t="shared" ca="1" si="14"/>
        <v>0</v>
      </c>
    </row>
    <row r="76" spans="1:45" x14ac:dyDescent="0.25">
      <c r="A76" s="10">
        <f t="shared" si="47"/>
        <v>55</v>
      </c>
      <c r="B76" s="5">
        <f t="shared" ca="1" si="15"/>
        <v>0.12220602680102133</v>
      </c>
      <c r="C76" s="5">
        <f t="shared" ca="1" si="16"/>
        <v>-1.1640295082905439</v>
      </c>
      <c r="D76" s="5">
        <f t="shared" ca="1" si="2"/>
        <v>-8.4151596387134764E-2</v>
      </c>
      <c r="E76" s="5">
        <f t="shared" ca="1" si="17"/>
        <v>0.58432759791858013</v>
      </c>
      <c r="F76" s="5">
        <f t="shared" ca="1" si="18"/>
        <v>0.21297712603145116</v>
      </c>
      <c r="G76" s="5">
        <f t="shared" ca="1" si="3"/>
        <v>0.12597189447557855</v>
      </c>
      <c r="H76" s="5">
        <f t="shared" ca="1" si="19"/>
        <v>0.80927776258607587</v>
      </c>
      <c r="I76" s="5">
        <f t="shared" ca="1" si="20"/>
        <v>0.87523790106967547</v>
      </c>
      <c r="J76" s="5">
        <f t="shared" ca="1" si="4"/>
        <v>0.24356926599713824</v>
      </c>
      <c r="K76" s="5">
        <f t="shared" ca="1" si="21"/>
        <v>0.87785135776380374</v>
      </c>
      <c r="L76" s="5">
        <f t="shared" ca="1" si="22"/>
        <v>1.1643127671316869</v>
      </c>
      <c r="M76" s="5">
        <f t="shared" ca="1" si="5"/>
        <v>0.29867811830472624</v>
      </c>
      <c r="N76" s="5">
        <f t="shared" ca="1" si="23"/>
        <v>0.12197744870979177</v>
      </c>
      <c r="O76" s="5">
        <f t="shared" ca="1" si="24"/>
        <v>-1.1651583596940738</v>
      </c>
      <c r="P76" s="5">
        <f t="shared" ca="1" si="6"/>
        <v>-8.4306661771706759E-2</v>
      </c>
      <c r="Q76" s="5">
        <f t="shared" ca="1" si="25"/>
        <v>0.34164697035252045</v>
      </c>
      <c r="R76" s="5">
        <f t="shared" ca="1" si="26"/>
        <v>-0.4079723962232073</v>
      </c>
      <c r="S76" s="5">
        <f t="shared" ca="1" si="7"/>
        <v>2.583215378792092E-2</v>
      </c>
      <c r="T76" s="5">
        <f t="shared" ca="1" si="27"/>
        <v>0.43961642319545835</v>
      </c>
      <c r="U76" s="5">
        <f t="shared" ca="1" si="28"/>
        <v>-0.15194179111578918</v>
      </c>
      <c r="V76" s="5">
        <f t="shared" ca="1" si="8"/>
        <v>6.5995102369102332E-2</v>
      </c>
      <c r="W76" s="5">
        <f t="shared" ca="1" si="29"/>
        <v>0.88338730168271928</v>
      </c>
      <c r="X76" s="5">
        <f t="shared" ca="1" si="30"/>
        <v>1.1920914308861064</v>
      </c>
      <c r="Y76" s="5">
        <f t="shared" ca="1" si="9"/>
        <v>0.30410073936256965</v>
      </c>
      <c r="Z76" s="5">
        <f t="shared" ca="1" si="31"/>
        <v>0.91635694882510399</v>
      </c>
      <c r="AA76" s="5">
        <f t="shared" ca="1" si="32"/>
        <v>1.3809767732319413</v>
      </c>
      <c r="AB76" s="5">
        <f t="shared" ca="1" si="10"/>
        <v>0.34157797708951732</v>
      </c>
      <c r="AC76" s="5">
        <f t="shared" ca="1" si="33"/>
        <v>0.57302204126385181</v>
      </c>
      <c r="AD76" s="5">
        <f t="shared" ca="1" si="34"/>
        <v>0.18407334410534421</v>
      </c>
      <c r="AE76" s="5">
        <f t="shared" ca="1" si="11"/>
        <v>0.12110073481222061</v>
      </c>
      <c r="AF76" s="5">
        <f t="shared" ca="1" si="48"/>
        <v>0.91584840361286524</v>
      </c>
      <c r="AG76" s="5">
        <f t="shared" ca="1" si="49"/>
        <v>1.1259718944755785</v>
      </c>
      <c r="AH76" s="5">
        <f t="shared" ca="1" si="50"/>
        <v>1.2435692659971382</v>
      </c>
      <c r="AI76" s="5">
        <f t="shared" ca="1" si="51"/>
        <v>1.2986781183047262</v>
      </c>
      <c r="AJ76" s="5">
        <f t="shared" ca="1" si="52"/>
        <v>0.91569333822829324</v>
      </c>
      <c r="AK76" s="5">
        <f t="shared" ca="1" si="53"/>
        <v>1.0258321537879209</v>
      </c>
      <c r="AL76" s="5">
        <f t="shared" ca="1" si="54"/>
        <v>1.0659951023691023</v>
      </c>
      <c r="AM76" s="5">
        <f t="shared" ca="1" si="55"/>
        <v>1.3041007393625696</v>
      </c>
      <c r="AN76" s="5">
        <f t="shared" ca="1" si="56"/>
        <v>1.3415779770895173</v>
      </c>
      <c r="AO76" s="5">
        <f t="shared" ca="1" si="57"/>
        <v>1.1211007348122206</v>
      </c>
      <c r="AP76" s="5">
        <f t="shared" ca="1" si="58"/>
        <v>3.2709651460898161</v>
      </c>
      <c r="AQ76" s="4">
        <f t="shared" ca="1" si="12"/>
        <v>32709.65146089816</v>
      </c>
      <c r="AR76">
        <f t="shared" ca="1" si="13"/>
        <v>1</v>
      </c>
      <c r="AS76">
        <f t="shared" ca="1" si="14"/>
        <v>0</v>
      </c>
    </row>
    <row r="77" spans="1:45" x14ac:dyDescent="0.25">
      <c r="A77" s="10">
        <f t="shared" si="47"/>
        <v>56</v>
      </c>
      <c r="B77" s="5">
        <f t="shared" ca="1" si="15"/>
        <v>0.47019974738093873</v>
      </c>
      <c r="C77" s="5">
        <f t="shared" ca="1" si="16"/>
        <v>-7.4767758773690768E-2</v>
      </c>
      <c r="D77" s="5">
        <f t="shared" ca="1" si="2"/>
        <v>7.8406874830584838E-2</v>
      </c>
      <c r="E77" s="5">
        <f t="shared" ca="1" si="17"/>
        <v>0.74844531445914075</v>
      </c>
      <c r="F77" s="5">
        <f t="shared" ca="1" si="18"/>
        <v>0.66960539954093967</v>
      </c>
      <c r="G77" s="5">
        <f t="shared" ca="1" si="3"/>
        <v>0.20579706129772468</v>
      </c>
      <c r="H77" s="5">
        <f t="shared" ca="1" si="19"/>
        <v>0.19786055856170714</v>
      </c>
      <c r="I77" s="5">
        <f t="shared" ca="1" si="20"/>
        <v>-0.84928789102204194</v>
      </c>
      <c r="J77" s="5">
        <f t="shared" ca="1" si="4"/>
        <v>-3.9876333603112157E-2</v>
      </c>
      <c r="K77" s="5">
        <f t="shared" ca="1" si="21"/>
        <v>0.15237047947610438</v>
      </c>
      <c r="L77" s="5">
        <f t="shared" ca="1" si="22"/>
        <v>-1.0263196054863348</v>
      </c>
      <c r="M77" s="5">
        <f t="shared" ca="1" si="5"/>
        <v>-6.5036642988037907E-2</v>
      </c>
      <c r="N77" s="5">
        <f t="shared" ca="1" si="23"/>
        <v>0.52670625868178</v>
      </c>
      <c r="O77" s="5">
        <f t="shared" ca="1" si="24"/>
        <v>6.6992740278517801E-2</v>
      </c>
      <c r="P77" s="5">
        <f t="shared" ca="1" si="6"/>
        <v>0.1015837433785447</v>
      </c>
      <c r="Q77" s="5">
        <f t="shared" ca="1" si="25"/>
        <v>0.72247935349086378</v>
      </c>
      <c r="R77" s="5">
        <f t="shared" ca="1" si="26"/>
        <v>0.59022279299656544</v>
      </c>
      <c r="S77" s="5">
        <f t="shared" ca="1" si="7"/>
        <v>0.19152430850751379</v>
      </c>
      <c r="T77" s="5">
        <f t="shared" ca="1" si="27"/>
        <v>0.19455393462889525</v>
      </c>
      <c r="U77" s="5">
        <f t="shared" ca="1" si="28"/>
        <v>-0.86123637609401205</v>
      </c>
      <c r="V77" s="5">
        <f t="shared" ca="1" si="8"/>
        <v>-4.1595595943635821E-2</v>
      </c>
      <c r="W77" s="5">
        <f t="shared" ca="1" si="29"/>
        <v>0.78640086557603683</v>
      </c>
      <c r="X77" s="5">
        <f t="shared" ca="1" si="30"/>
        <v>0.79399512592420218</v>
      </c>
      <c r="Y77" s="5">
        <f t="shared" ca="1" si="9"/>
        <v>0.22850657975248234</v>
      </c>
      <c r="Z77" s="5">
        <f t="shared" ca="1" si="31"/>
        <v>0.63078261674577718</v>
      </c>
      <c r="AA77" s="5">
        <f t="shared" ca="1" si="32"/>
        <v>0.33392683902799442</v>
      </c>
      <c r="AB77" s="5">
        <f t="shared" ca="1" si="10"/>
        <v>0.14658622295230117</v>
      </c>
      <c r="AC77" s="5">
        <f t="shared" ca="1" si="33"/>
        <v>0.65451981160922135</v>
      </c>
      <c r="AD77" s="5">
        <f t="shared" ca="1" si="34"/>
        <v>0.39755209747492198</v>
      </c>
      <c r="AE77" s="5">
        <f t="shared" ca="1" si="11"/>
        <v>0.15758138395768007</v>
      </c>
      <c r="AF77" s="5">
        <f t="shared" ca="1" si="48"/>
        <v>1.0784068748305848</v>
      </c>
      <c r="AG77" s="5">
        <f t="shared" ca="1" si="49"/>
        <v>1.2057970612977247</v>
      </c>
      <c r="AH77" s="5">
        <f t="shared" ca="1" si="50"/>
        <v>0.96012366639688784</v>
      </c>
      <c r="AI77" s="5">
        <f t="shared" ca="1" si="51"/>
        <v>0.93496335701196209</v>
      </c>
      <c r="AJ77" s="5">
        <f t="shared" ca="1" si="52"/>
        <v>1.1015837433785447</v>
      </c>
      <c r="AK77" s="5">
        <f t="shared" ca="1" si="53"/>
        <v>1.1915243085075138</v>
      </c>
      <c r="AL77" s="5">
        <f t="shared" ca="1" si="54"/>
        <v>0.95840440405636418</v>
      </c>
      <c r="AM77" s="5">
        <f t="shared" ca="1" si="55"/>
        <v>1.2285065797524823</v>
      </c>
      <c r="AN77" s="5">
        <f t="shared" ca="1" si="56"/>
        <v>1.1465862229523012</v>
      </c>
      <c r="AO77" s="5">
        <f t="shared" ca="1" si="57"/>
        <v>1.1575813839576801</v>
      </c>
      <c r="AP77" s="5">
        <f t="shared" ca="1" si="58"/>
        <v>2.3943277549154947</v>
      </c>
      <c r="AQ77" s="4">
        <f t="shared" ca="1" si="12"/>
        <v>23943.277549154947</v>
      </c>
      <c r="AR77">
        <f t="shared" ca="1" si="13"/>
        <v>0</v>
      </c>
      <c r="AS77">
        <f t="shared" ca="1" si="14"/>
        <v>0</v>
      </c>
    </row>
    <row r="78" spans="1:45" x14ac:dyDescent="0.25">
      <c r="A78" s="10">
        <f t="shared" si="47"/>
        <v>57</v>
      </c>
      <c r="B78" s="5">
        <f t="shared" ca="1" si="15"/>
        <v>0.55225845203165991</v>
      </c>
      <c r="C78" s="5">
        <f t="shared" ca="1" si="16"/>
        <v>0.13136939769109363</v>
      </c>
      <c r="D78" s="5">
        <f t="shared" ca="1" si="2"/>
        <v>0.11227271120861682</v>
      </c>
      <c r="E78" s="5">
        <f t="shared" ca="1" si="17"/>
        <v>0.40465955346899507</v>
      </c>
      <c r="F78" s="5">
        <f t="shared" ca="1" si="18"/>
        <v>-0.24130452128466831</v>
      </c>
      <c r="G78" s="5">
        <f t="shared" ca="1" si="3"/>
        <v>5.1801409028187972E-2</v>
      </c>
      <c r="H78" s="5">
        <f t="shared" ca="1" si="19"/>
        <v>0.14176041474103807</v>
      </c>
      <c r="I78" s="5">
        <f t="shared" ca="1" si="20"/>
        <v>-1.0724436091300873</v>
      </c>
      <c r="J78" s="5">
        <f t="shared" ca="1" si="4"/>
        <v>-7.1482955536316117E-2</v>
      </c>
      <c r="K78" s="5">
        <f t="shared" ca="1" si="21"/>
        <v>0.1252540406583067</v>
      </c>
      <c r="L78" s="5">
        <f t="shared" ca="1" si="22"/>
        <v>-1.1491161706699049</v>
      </c>
      <c r="M78" s="5">
        <f t="shared" ca="1" si="5"/>
        <v>-8.2100549678186696E-2</v>
      </c>
      <c r="N78" s="5">
        <f t="shared" ca="1" si="23"/>
        <v>0.77686345919333522</v>
      </c>
      <c r="O78" s="5">
        <f t="shared" ca="1" si="24"/>
        <v>0.76164303665642508</v>
      </c>
      <c r="P78" s="5">
        <f t="shared" ca="1" si="6"/>
        <v>0.22255930874196372</v>
      </c>
      <c r="Q78" s="5">
        <f t="shared" ca="1" si="25"/>
        <v>0.75741980301342271</v>
      </c>
      <c r="R78" s="5">
        <f t="shared" ca="1" si="26"/>
        <v>0.69802686399986602</v>
      </c>
      <c r="S78" s="5">
        <f t="shared" ca="1" si="7"/>
        <v>0.21094861234047357</v>
      </c>
      <c r="T78" s="5">
        <f t="shared" ca="1" si="27"/>
        <v>0.29238875175019474</v>
      </c>
      <c r="U78" s="5">
        <f t="shared" ca="1" si="28"/>
        <v>-0.54641965343880394</v>
      </c>
      <c r="V78" s="5">
        <f t="shared" ca="1" si="8"/>
        <v>4.7482895522377166E-3</v>
      </c>
      <c r="W78" s="5">
        <f t="shared" ca="1" si="29"/>
        <v>0.61899693329342576</v>
      </c>
      <c r="X78" s="5">
        <f t="shared" ca="1" si="30"/>
        <v>0.30284743306332507</v>
      </c>
      <c r="Y78" s="5">
        <f t="shared" ca="1" si="9"/>
        <v>0.1412533804245486</v>
      </c>
      <c r="Z78" s="5">
        <f t="shared" ca="1" si="31"/>
        <v>0.16495839061847117</v>
      </c>
      <c r="AA78" s="5">
        <f t="shared" ca="1" si="32"/>
        <v>-0.97428151302662114</v>
      </c>
      <c r="AB78" s="5">
        <f t="shared" ca="1" si="10"/>
        <v>-5.7710029019446774E-2</v>
      </c>
      <c r="AC78" s="5">
        <f t="shared" ca="1" si="33"/>
        <v>0.58382656272152389</v>
      </c>
      <c r="AD78" s="5">
        <f t="shared" ca="1" si="34"/>
        <v>0.21169258341129837</v>
      </c>
      <c r="AE78" s="5">
        <f t="shared" ca="1" si="11"/>
        <v>0.12575496154258725</v>
      </c>
      <c r="AF78" s="5">
        <f t="shared" ca="1" si="48"/>
        <v>1.1122727112086168</v>
      </c>
      <c r="AG78" s="5">
        <f t="shared" ca="1" si="49"/>
        <v>1.051801409028188</v>
      </c>
      <c r="AH78" s="5">
        <f t="shared" ca="1" si="50"/>
        <v>0.92851704446368388</v>
      </c>
      <c r="AI78" s="5">
        <f t="shared" ca="1" si="51"/>
        <v>0.9178994503218133</v>
      </c>
      <c r="AJ78" s="5">
        <f t="shared" ca="1" si="52"/>
        <v>1.2225593087419637</v>
      </c>
      <c r="AK78" s="5">
        <f t="shared" ca="1" si="53"/>
        <v>1.2109486123404736</v>
      </c>
      <c r="AL78" s="5">
        <f t="shared" ca="1" si="54"/>
        <v>1.0047482895522377</v>
      </c>
      <c r="AM78" s="5">
        <f t="shared" ca="1" si="55"/>
        <v>1.1412533804245486</v>
      </c>
      <c r="AN78" s="5">
        <f t="shared" ca="1" si="56"/>
        <v>0.94228997098055323</v>
      </c>
      <c r="AO78" s="5">
        <f t="shared" ca="1" si="57"/>
        <v>1.1257549615425873</v>
      </c>
      <c r="AP78" s="5">
        <f t="shared" ca="1" si="58"/>
        <v>1.7955332932000552</v>
      </c>
      <c r="AQ78" s="4">
        <f t="shared" ca="1" si="12"/>
        <v>17955.33293200055</v>
      </c>
      <c r="AR78">
        <f t="shared" ca="1" si="13"/>
        <v>0</v>
      </c>
      <c r="AS78">
        <f t="shared" ca="1" si="14"/>
        <v>0</v>
      </c>
    </row>
    <row r="79" spans="1:45" x14ac:dyDescent="0.25">
      <c r="A79" s="10">
        <f t="shared" si="47"/>
        <v>58</v>
      </c>
      <c r="B79" s="5">
        <f t="shared" ca="1" si="15"/>
        <v>0.53092973612109429</v>
      </c>
      <c r="C79" s="5">
        <f t="shared" ca="1" si="16"/>
        <v>7.7607183819338538E-2</v>
      </c>
      <c r="D79" s="5">
        <f t="shared" ca="1" si="2"/>
        <v>0.10333904514153414</v>
      </c>
      <c r="E79" s="5">
        <f t="shared" ca="1" si="17"/>
        <v>0.4890766296861</v>
      </c>
      <c r="F79" s="5">
        <f t="shared" ca="1" si="18"/>
        <v>-2.7384251060362606E-2</v>
      </c>
      <c r="G79" s="5">
        <f t="shared" ca="1" si="3"/>
        <v>8.6098983451161626E-2</v>
      </c>
      <c r="H79" s="5">
        <f t="shared" ca="1" si="19"/>
        <v>0.45911454347465219</v>
      </c>
      <c r="I79" s="5">
        <f t="shared" ca="1" si="20"/>
        <v>-0.1026647049506975</v>
      </c>
      <c r="J79" s="5">
        <f t="shared" ca="1" si="4"/>
        <v>7.390366455615327E-2</v>
      </c>
      <c r="K79" s="5">
        <f t="shared" ca="1" si="21"/>
        <v>0.15282232109563543</v>
      </c>
      <c r="L79" s="5">
        <f t="shared" ca="1" si="22"/>
        <v>-1.02440368492644</v>
      </c>
      <c r="M79" s="5">
        <f t="shared" ca="1" si="5"/>
        <v>-6.4767907046366702E-2</v>
      </c>
      <c r="N79" s="5">
        <f t="shared" ca="1" si="23"/>
        <v>0.81775716377301988</v>
      </c>
      <c r="O79" s="5">
        <f t="shared" ca="1" si="24"/>
        <v>0.90685085553790579</v>
      </c>
      <c r="P79" s="5">
        <f t="shared" ca="1" si="6"/>
        <v>0.24948020437556195</v>
      </c>
      <c r="Q79" s="5">
        <f t="shared" ca="1" si="25"/>
        <v>0.69258676178525935</v>
      </c>
      <c r="R79" s="5">
        <f t="shared" ca="1" si="26"/>
        <v>0.50319600056013125</v>
      </c>
      <c r="S79" s="5">
        <f t="shared" ca="1" si="7"/>
        <v>0.17607120967039203</v>
      </c>
      <c r="T79" s="5">
        <f t="shared" ca="1" si="27"/>
        <v>0.5306480778638516</v>
      </c>
      <c r="U79" s="5">
        <f t="shared" ca="1" si="28"/>
        <v>7.6899061349488915E-2</v>
      </c>
      <c r="V79" s="5">
        <f t="shared" ca="1" si="8"/>
        <v>0.10322185648997917</v>
      </c>
      <c r="W79" s="5">
        <f t="shared" ca="1" si="29"/>
        <v>0.69090287265481998</v>
      </c>
      <c r="X79" s="5">
        <f t="shared" ca="1" si="30"/>
        <v>0.49841118516704591</v>
      </c>
      <c r="Y79" s="5">
        <f t="shared" ca="1" si="9"/>
        <v>0.17522741996585167</v>
      </c>
      <c r="Z79" s="5">
        <f t="shared" ca="1" si="31"/>
        <v>0.25952040322916248</v>
      </c>
      <c r="AA79" s="5">
        <f t="shared" ca="1" si="32"/>
        <v>-0.6448246798986399</v>
      </c>
      <c r="AB79" s="5">
        <f t="shared" ca="1" si="10"/>
        <v>-9.9736321188438337E-3</v>
      </c>
      <c r="AC79" s="5">
        <f t="shared" ca="1" si="33"/>
        <v>0.59787147496707393</v>
      </c>
      <c r="AD79" s="5">
        <f t="shared" ca="1" si="34"/>
        <v>0.24784149224084712</v>
      </c>
      <c r="AE79" s="5">
        <f t="shared" ca="1" si="11"/>
        <v>0.13187576308840843</v>
      </c>
      <c r="AF79" s="5">
        <f t="shared" ca="1" si="48"/>
        <v>1.1033390451415341</v>
      </c>
      <c r="AG79" s="5">
        <f t="shared" ca="1" si="49"/>
        <v>1.0860989834511616</v>
      </c>
      <c r="AH79" s="5">
        <f t="shared" ca="1" si="50"/>
        <v>1.0739036645561533</v>
      </c>
      <c r="AI79" s="5">
        <f t="shared" ca="1" si="51"/>
        <v>0.9352320929536333</v>
      </c>
      <c r="AJ79" s="5">
        <f t="shared" ca="1" si="52"/>
        <v>1.249480204375562</v>
      </c>
      <c r="AK79" s="5">
        <f t="shared" ca="1" si="53"/>
        <v>1.176071209670392</v>
      </c>
      <c r="AL79" s="5">
        <f t="shared" ca="1" si="54"/>
        <v>1.1032218564899792</v>
      </c>
      <c r="AM79" s="5">
        <f t="shared" ca="1" si="55"/>
        <v>1.1752274199658517</v>
      </c>
      <c r="AN79" s="5">
        <f t="shared" ca="1" si="56"/>
        <v>0.99002636788115617</v>
      </c>
      <c r="AO79" s="5">
        <f t="shared" ca="1" si="57"/>
        <v>1.1318757630884084</v>
      </c>
      <c r="AP79" s="5">
        <f t="shared" ca="1" si="58"/>
        <v>2.5695461003928437</v>
      </c>
      <c r="AQ79" s="4">
        <f t="shared" ca="1" si="12"/>
        <v>25695.461003928438</v>
      </c>
      <c r="AR79">
        <f t="shared" ca="1" si="13"/>
        <v>1</v>
      </c>
      <c r="AS79">
        <f t="shared" ca="1" si="14"/>
        <v>0</v>
      </c>
    </row>
    <row r="80" spans="1:45" x14ac:dyDescent="0.25">
      <c r="A80" s="10">
        <f t="shared" si="47"/>
        <v>59</v>
      </c>
      <c r="B80" s="5">
        <f t="shared" ca="1" si="15"/>
        <v>9.3272754108395528E-2</v>
      </c>
      <c r="C80" s="5">
        <f t="shared" ca="1" si="16"/>
        <v>-1.3208676193633628</v>
      </c>
      <c r="D80" s="5">
        <f t="shared" ca="1" si="2"/>
        <v>-0.10544611984356689</v>
      </c>
      <c r="E80" s="5">
        <f t="shared" ca="1" si="17"/>
        <v>0.27049523936344388</v>
      </c>
      <c r="F80" s="5">
        <f t="shared" ca="1" si="18"/>
        <v>-0.61131588195231856</v>
      </c>
      <c r="G80" s="5">
        <f t="shared" ca="1" si="3"/>
        <v>-4.9849161526251962E-3</v>
      </c>
      <c r="H80" s="5">
        <f t="shared" ca="1" si="19"/>
        <v>0.35085801496547486</v>
      </c>
      <c r="I80" s="5">
        <f t="shared" ca="1" si="20"/>
        <v>-0.38300503622100857</v>
      </c>
      <c r="J80" s="5">
        <f t="shared" ca="1" si="4"/>
        <v>2.968120494033788E-2</v>
      </c>
      <c r="K80" s="5">
        <f t="shared" ca="1" si="21"/>
        <v>0.77753344378802469</v>
      </c>
      <c r="L80" s="5">
        <f t="shared" ca="1" si="22"/>
        <v>0.76388947103880467</v>
      </c>
      <c r="M80" s="5">
        <f t="shared" ca="1" si="5"/>
        <v>0.22297133804767322</v>
      </c>
      <c r="N80" s="5">
        <f t="shared" ca="1" si="23"/>
        <v>0.3266589811157482</v>
      </c>
      <c r="O80" s="5">
        <f t="shared" ca="1" si="24"/>
        <v>-0.4491576128138583</v>
      </c>
      <c r="P80" s="5">
        <f t="shared" ca="1" si="6"/>
        <v>1.951432106352069E-2</v>
      </c>
      <c r="Q80" s="5">
        <f t="shared" ca="1" si="25"/>
        <v>0.19084643039486027</v>
      </c>
      <c r="R80" s="5">
        <f t="shared" ca="1" si="26"/>
        <v>-0.87478139767688401</v>
      </c>
      <c r="S80" s="5">
        <f t="shared" ca="1" si="7"/>
        <v>-4.3540860376516388E-2</v>
      </c>
      <c r="T80" s="5">
        <f t="shared" ca="1" si="27"/>
        <v>0.37025754008253253</v>
      </c>
      <c r="U80" s="5">
        <f t="shared" ca="1" si="28"/>
        <v>-0.33117132292449825</v>
      </c>
      <c r="V80" s="5">
        <f t="shared" ca="1" si="8"/>
        <v>3.7718238705155338E-2</v>
      </c>
      <c r="W80" s="5">
        <f t="shared" ca="1" si="29"/>
        <v>0.64644713409664101</v>
      </c>
      <c r="X80" s="5">
        <f t="shared" ca="1" si="30"/>
        <v>0.37574600631569938</v>
      </c>
      <c r="Y80" s="5">
        <f t="shared" ca="1" si="9"/>
        <v>0.1538012208441597</v>
      </c>
      <c r="Z80" s="5">
        <f t="shared" ca="1" si="31"/>
        <v>0.89134877561734283</v>
      </c>
      <c r="AA80" s="5">
        <f t="shared" ca="1" si="32"/>
        <v>1.2337329036203906</v>
      </c>
      <c r="AB80" s="5">
        <f t="shared" ca="1" si="10"/>
        <v>0.31227193364523731</v>
      </c>
      <c r="AC80" s="5">
        <f t="shared" ca="1" si="33"/>
        <v>0.24784976787465207</v>
      </c>
      <c r="AD80" s="5">
        <f t="shared" ca="1" si="34"/>
        <v>-0.68127178066758365</v>
      </c>
      <c r="AE80" s="5">
        <f t="shared" ca="1" si="11"/>
        <v>-1.5371402312990723E-2</v>
      </c>
      <c r="AF80" s="5">
        <f t="shared" ca="1" si="48"/>
        <v>0.89455388015643311</v>
      </c>
      <c r="AG80" s="5">
        <f t="shared" ca="1" si="49"/>
        <v>0.9950150838473748</v>
      </c>
      <c r="AH80" s="5">
        <f t="shared" ca="1" si="50"/>
        <v>1.0296812049403379</v>
      </c>
      <c r="AI80" s="5">
        <f t="shared" ca="1" si="51"/>
        <v>1.2229713380476732</v>
      </c>
      <c r="AJ80" s="5">
        <f t="shared" ca="1" si="52"/>
        <v>1.0195143210635207</v>
      </c>
      <c r="AK80" s="5">
        <f t="shared" ca="1" si="53"/>
        <v>0.95645913962348361</v>
      </c>
      <c r="AL80" s="5">
        <f t="shared" ca="1" si="54"/>
        <v>1.0377182387051553</v>
      </c>
      <c r="AM80" s="5">
        <f t="shared" ca="1" si="55"/>
        <v>1.1538012208441597</v>
      </c>
      <c r="AN80" s="5">
        <f t="shared" ca="1" si="56"/>
        <v>1.3122719336452373</v>
      </c>
      <c r="AO80" s="5">
        <f t="shared" ca="1" si="57"/>
        <v>0.98462859768700928</v>
      </c>
      <c r="AP80" s="5">
        <f t="shared" ca="1" si="58"/>
        <v>1.6909147579708523</v>
      </c>
      <c r="AQ80" s="4">
        <f t="shared" ca="1" si="12"/>
        <v>16909.147579708522</v>
      </c>
      <c r="AR80">
        <f t="shared" ca="1" si="13"/>
        <v>0</v>
      </c>
      <c r="AS80">
        <f t="shared" ca="1" si="14"/>
        <v>0</v>
      </c>
    </row>
    <row r="81" spans="1:45" x14ac:dyDescent="0.25">
      <c r="A81" s="10">
        <f t="shared" si="47"/>
        <v>60</v>
      </c>
      <c r="B81" s="5">
        <f t="shared" ca="1" si="15"/>
        <v>0.71268093289776757</v>
      </c>
      <c r="C81" s="5">
        <f t="shared" ca="1" si="16"/>
        <v>0.56123384369339691</v>
      </c>
      <c r="D81" s="5">
        <f t="shared" ca="1" si="2"/>
        <v>0.18635440125112623</v>
      </c>
      <c r="E81" s="5">
        <f t="shared" ca="1" si="17"/>
        <v>0.4960512514463149</v>
      </c>
      <c r="F81" s="5">
        <f t="shared" ca="1" si="18"/>
        <v>-9.8982064003206166E-3</v>
      </c>
      <c r="G81" s="5">
        <f t="shared" ca="1" si="3"/>
        <v>8.8951459003924205E-2</v>
      </c>
      <c r="H81" s="5">
        <f t="shared" ca="1" si="19"/>
        <v>0.68772153615179143</v>
      </c>
      <c r="I81" s="5">
        <f t="shared" ca="1" si="20"/>
        <v>0.48940227225589705</v>
      </c>
      <c r="J81" s="5">
        <f t="shared" ca="1" si="4"/>
        <v>0.17364036430923813</v>
      </c>
      <c r="K81" s="5">
        <f t="shared" ca="1" si="21"/>
        <v>0.59607239970941084</v>
      </c>
      <c r="L81" s="5">
        <f t="shared" ca="1" si="22"/>
        <v>0.24319388909443287</v>
      </c>
      <c r="M81" s="5">
        <f t="shared" ca="1" si="5"/>
        <v>0.13108696166936995</v>
      </c>
      <c r="N81" s="5">
        <f t="shared" ca="1" si="23"/>
        <v>0.9439252933088339</v>
      </c>
      <c r="O81" s="5">
        <f t="shared" ca="1" si="24"/>
        <v>1.5886058201364235</v>
      </c>
      <c r="P81" s="5">
        <f t="shared" ca="1" si="6"/>
        <v>0.38401801401901348</v>
      </c>
      <c r="Q81" s="5">
        <f t="shared" ca="1" si="25"/>
        <v>4.0344259602031252E-2</v>
      </c>
      <c r="R81" s="5">
        <f t="shared" ca="1" si="26"/>
        <v>-1.7467050197517264</v>
      </c>
      <c r="S81" s="5">
        <f t="shared" ca="1" si="7"/>
        <v>-0.16079960646773339</v>
      </c>
      <c r="T81" s="5">
        <f t="shared" ca="1" si="27"/>
        <v>0.40847784842508772</v>
      </c>
      <c r="U81" s="5">
        <f t="shared" ca="1" si="28"/>
        <v>-0.23146226605590062</v>
      </c>
      <c r="V81" s="5">
        <f t="shared" ca="1" si="8"/>
        <v>5.3355370520006273E-2</v>
      </c>
      <c r="W81" s="5">
        <f t="shared" ca="1" si="29"/>
        <v>0.26431612925496428</v>
      </c>
      <c r="X81" s="5">
        <f t="shared" ca="1" si="30"/>
        <v>-0.6300952633885708</v>
      </c>
      <c r="Y81" s="5">
        <f t="shared" ca="1" si="9"/>
        <v>-7.7838373203894529E-3</v>
      </c>
      <c r="Z81" s="5">
        <f t="shared" ca="1" si="31"/>
        <v>0.85054627074293088</v>
      </c>
      <c r="AA81" s="5">
        <f t="shared" ca="1" si="32"/>
        <v>1.0387791539507887</v>
      </c>
      <c r="AB81" s="5">
        <f t="shared" ca="1" si="10"/>
        <v>0.27445275294133764</v>
      </c>
      <c r="AC81" s="5">
        <f t="shared" ca="1" si="33"/>
        <v>0.11180486485888685</v>
      </c>
      <c r="AD81" s="5">
        <f t="shared" ca="1" si="34"/>
        <v>-1.216985508072729</v>
      </c>
      <c r="AE81" s="5">
        <f t="shared" ca="1" si="11"/>
        <v>-9.1397729000594619E-2</v>
      </c>
      <c r="AF81" s="5">
        <f t="shared" ca="1" si="48"/>
        <v>1.1863544012511262</v>
      </c>
      <c r="AG81" s="5">
        <f t="shared" ca="1" si="49"/>
        <v>1.0889514590039242</v>
      </c>
      <c r="AH81" s="5">
        <f t="shared" ca="1" si="50"/>
        <v>1.1736403643092381</v>
      </c>
      <c r="AI81" s="5">
        <f t="shared" ca="1" si="51"/>
        <v>1.13108696166937</v>
      </c>
      <c r="AJ81" s="5">
        <f t="shared" ca="1" si="52"/>
        <v>1.3840180140190135</v>
      </c>
      <c r="AK81" s="5">
        <f t="shared" ca="1" si="53"/>
        <v>0.83920039353226661</v>
      </c>
      <c r="AL81" s="5">
        <f t="shared" ca="1" si="54"/>
        <v>1.0533553705200063</v>
      </c>
      <c r="AM81" s="5">
        <f t="shared" ca="1" si="55"/>
        <v>0.99221616267961055</v>
      </c>
      <c r="AN81" s="5">
        <f t="shared" ca="1" si="56"/>
        <v>1.2744527529413376</v>
      </c>
      <c r="AO81" s="5">
        <f t="shared" ca="1" si="57"/>
        <v>0.90860227099940538</v>
      </c>
      <c r="AP81" s="5">
        <f t="shared" ca="1" si="58"/>
        <v>2.410683476056815</v>
      </c>
      <c r="AQ81" s="4">
        <f t="shared" ca="1" si="12"/>
        <v>24106.834760568148</v>
      </c>
      <c r="AR81">
        <f t="shared" ca="1" si="13"/>
        <v>0</v>
      </c>
      <c r="AS81">
        <f t="shared" ca="1" si="14"/>
        <v>0</v>
      </c>
    </row>
    <row r="82" spans="1:45" x14ac:dyDescent="0.25">
      <c r="A82" s="10">
        <f t="shared" si="47"/>
        <v>61</v>
      </c>
      <c r="B82" s="5">
        <f t="shared" ca="1" si="15"/>
        <v>0.86905294273030742</v>
      </c>
      <c r="C82" s="5">
        <f t="shared" ca="1" si="16"/>
        <v>1.1219255068028282</v>
      </c>
      <c r="D82" s="5">
        <f t="shared" ca="1" si="2"/>
        <v>0.2904472013616568</v>
      </c>
      <c r="E82" s="5">
        <f t="shared" ca="1" si="17"/>
        <v>0.67656425046691748</v>
      </c>
      <c r="F82" s="5">
        <f t="shared" ca="1" si="18"/>
        <v>0.45811266676679196</v>
      </c>
      <c r="G82" s="5">
        <f t="shared" ca="1" si="3"/>
        <v>0.16814485921350886</v>
      </c>
      <c r="H82" s="5">
        <f t="shared" ca="1" si="19"/>
        <v>2.8532270271824478E-2</v>
      </c>
      <c r="I82" s="5">
        <f t="shared" ca="1" si="20"/>
        <v>-1.9028161391297382</v>
      </c>
      <c r="J82" s="5">
        <f t="shared" ca="1" si="4"/>
        <v>-0.18022258514409706</v>
      </c>
      <c r="K82" s="5">
        <f t="shared" ca="1" si="21"/>
        <v>0.53657841190997657</v>
      </c>
      <c r="L82" s="5">
        <f t="shared" ca="1" si="22"/>
        <v>9.1817328358088549E-2</v>
      </c>
      <c r="M82" s="5">
        <f t="shared" ca="1" si="5"/>
        <v>0.10569334446619338</v>
      </c>
      <c r="N82" s="5">
        <f t="shared" ca="1" si="23"/>
        <v>0.94252018229844814</v>
      </c>
      <c r="O82" s="5">
        <f t="shared" ca="1" si="24"/>
        <v>1.5762871772821476</v>
      </c>
      <c r="P82" s="5">
        <f t="shared" ca="1" si="6"/>
        <v>0.3814629917836847</v>
      </c>
      <c r="Q82" s="5">
        <f t="shared" ca="1" si="25"/>
        <v>0.60631247933885135</v>
      </c>
      <c r="R82" s="5">
        <f t="shared" ca="1" si="26"/>
        <v>0.26972082080261256</v>
      </c>
      <c r="S82" s="5">
        <f t="shared" ca="1" si="7"/>
        <v>0.13559656765840344</v>
      </c>
      <c r="T82" s="5">
        <f t="shared" ca="1" si="27"/>
        <v>0.69586921974827898</v>
      </c>
      <c r="U82" s="5">
        <f t="shared" ca="1" si="28"/>
        <v>0.51255653995046868</v>
      </c>
      <c r="V82" s="5">
        <f t="shared" ca="1" si="8"/>
        <v>0.17772366862454381</v>
      </c>
      <c r="W82" s="5">
        <f t="shared" ca="1" si="29"/>
        <v>0.21031973234462098</v>
      </c>
      <c r="X82" s="5">
        <f t="shared" ca="1" si="30"/>
        <v>-0.80531233636729216</v>
      </c>
      <c r="Y82" s="5">
        <f t="shared" ca="1" si="9"/>
        <v>-3.3522103719519025E-2</v>
      </c>
      <c r="Z82" s="5">
        <f t="shared" ca="1" si="31"/>
        <v>0.21462334731662847</v>
      </c>
      <c r="AA82" s="5">
        <f t="shared" ca="1" si="32"/>
        <v>-0.79048137587986367</v>
      </c>
      <c r="AB82" s="5">
        <f t="shared" ca="1" si="10"/>
        <v>-3.1369641051823383E-2</v>
      </c>
      <c r="AC82" s="5">
        <f t="shared" ca="1" si="33"/>
        <v>0.23770201706756189</v>
      </c>
      <c r="AD82" s="5">
        <f t="shared" ca="1" si="34"/>
        <v>-0.71371402178069832</v>
      </c>
      <c r="AE82" s="5">
        <f t="shared" ca="1" si="11"/>
        <v>-2.0151296350521153E-2</v>
      </c>
      <c r="AF82" s="5">
        <f t="shared" ca="1" si="48"/>
        <v>1.2904472013616568</v>
      </c>
      <c r="AG82" s="5">
        <f t="shared" ca="1" si="49"/>
        <v>1.1681448592135089</v>
      </c>
      <c r="AH82" s="5">
        <f t="shared" ca="1" si="50"/>
        <v>0.81977741485590294</v>
      </c>
      <c r="AI82" s="5">
        <f t="shared" ca="1" si="51"/>
        <v>1.1056933444661934</v>
      </c>
      <c r="AJ82" s="5">
        <f t="shared" ca="1" si="52"/>
        <v>1.3814629917836847</v>
      </c>
      <c r="AK82" s="5">
        <f t="shared" ca="1" si="53"/>
        <v>1.1355965676584034</v>
      </c>
      <c r="AL82" s="5">
        <f t="shared" ca="1" si="54"/>
        <v>1.1777236686245438</v>
      </c>
      <c r="AM82" s="5">
        <f t="shared" ca="1" si="55"/>
        <v>0.96647789628048097</v>
      </c>
      <c r="AN82" s="5">
        <f t="shared" ca="1" si="56"/>
        <v>0.96863035894817662</v>
      </c>
      <c r="AO82" s="5">
        <f t="shared" ca="1" si="57"/>
        <v>0.97984870364947885</v>
      </c>
      <c r="AP82" s="5">
        <f t="shared" ca="1" si="58"/>
        <v>2.3157055747743098</v>
      </c>
      <c r="AQ82" s="4">
        <f t="shared" ca="1" si="12"/>
        <v>23157.055747743099</v>
      </c>
      <c r="AR82">
        <f t="shared" ca="1" si="13"/>
        <v>0</v>
      </c>
      <c r="AS82">
        <f t="shared" ca="1" si="14"/>
        <v>0</v>
      </c>
    </row>
    <row r="83" spans="1:45" x14ac:dyDescent="0.25">
      <c r="A83" s="10">
        <f t="shared" si="47"/>
        <v>62</v>
      </c>
      <c r="B83" s="5">
        <f t="shared" ca="1" si="15"/>
        <v>0.89113291782540827</v>
      </c>
      <c r="C83" s="5">
        <f t="shared" ca="1" si="16"/>
        <v>1.2325755480549643</v>
      </c>
      <c r="D83" s="5">
        <f t="shared" ca="1" si="2"/>
        <v>0.31204413863493263</v>
      </c>
      <c r="E83" s="5">
        <f t="shared" ca="1" si="17"/>
        <v>0.72178883738843802</v>
      </c>
      <c r="F83" s="5">
        <f t="shared" ca="1" si="18"/>
        <v>0.58816384114270748</v>
      </c>
      <c r="G83" s="5">
        <f t="shared" ca="1" si="3"/>
        <v>0.19115637165017141</v>
      </c>
      <c r="H83" s="5">
        <f t="shared" ca="1" si="19"/>
        <v>0.53356760897958999</v>
      </c>
      <c r="I83" s="5">
        <f t="shared" ca="1" si="20"/>
        <v>8.424104867020972E-2</v>
      </c>
      <c r="J83" s="5">
        <f t="shared" ca="1" si="4"/>
        <v>0.10443750189344114</v>
      </c>
      <c r="K83" s="5">
        <f t="shared" ca="1" si="21"/>
        <v>0.50812703798574255</v>
      </c>
      <c r="L83" s="5">
        <f t="shared" ca="1" si="22"/>
        <v>2.0372872423122742E-2</v>
      </c>
      <c r="M83" s="5">
        <f t="shared" ca="1" si="5"/>
        <v>9.3907262119760748E-2</v>
      </c>
      <c r="N83" s="5">
        <f t="shared" ca="1" si="23"/>
        <v>0.29353951678312851</v>
      </c>
      <c r="O83" s="5">
        <f t="shared" ca="1" si="24"/>
        <v>-0.54307373806752546</v>
      </c>
      <c r="P83" s="5">
        <f t="shared" ca="1" si="6"/>
        <v>5.25268652881139E-3</v>
      </c>
      <c r="Q83" s="5">
        <f t="shared" ca="1" si="25"/>
        <v>0.86500064491329476</v>
      </c>
      <c r="R83" s="5">
        <f t="shared" ca="1" si="26"/>
        <v>1.103065526533213</v>
      </c>
      <c r="S83" s="5">
        <f t="shared" ca="1" si="7"/>
        <v>0.28680168905124681</v>
      </c>
      <c r="T83" s="5">
        <f t="shared" ca="1" si="27"/>
        <v>0.63136552615389463</v>
      </c>
      <c r="U83" s="5">
        <f t="shared" ca="1" si="28"/>
        <v>0.33547215283951487</v>
      </c>
      <c r="V83" s="5">
        <f t="shared" ca="1" si="8"/>
        <v>0.14685202908661688</v>
      </c>
      <c r="W83" s="5">
        <f t="shared" ca="1" si="29"/>
        <v>0.92390653915400189</v>
      </c>
      <c r="X83" s="5">
        <f t="shared" ca="1" si="30"/>
        <v>1.4318494150723822</v>
      </c>
      <c r="Y83" s="5">
        <f t="shared" ca="1" si="9"/>
        <v>0.35185457945464171</v>
      </c>
      <c r="Z83" s="5">
        <f t="shared" ca="1" si="31"/>
        <v>0.84446530638467232</v>
      </c>
      <c r="AA83" s="5">
        <f t="shared" ca="1" si="32"/>
        <v>1.0129806841820257</v>
      </c>
      <c r="AB83" s="5">
        <f t="shared" ca="1" si="10"/>
        <v>0.26953044356497058</v>
      </c>
      <c r="AC83" s="5">
        <f t="shared" ca="1" si="33"/>
        <v>0.2528653625348688</v>
      </c>
      <c r="AD83" s="5">
        <f t="shared" ca="1" si="34"/>
        <v>-0.66550002890105597</v>
      </c>
      <c r="AE83" s="5">
        <f t="shared" ca="1" si="11"/>
        <v>-1.3039247063947657E-2</v>
      </c>
      <c r="AF83" s="5">
        <f t="shared" ca="1" si="48"/>
        <v>1.3120441386349326</v>
      </c>
      <c r="AG83" s="5">
        <f t="shared" ca="1" si="49"/>
        <v>1.1911563716501714</v>
      </c>
      <c r="AH83" s="5">
        <f t="shared" ca="1" si="50"/>
        <v>1.1044375018934411</v>
      </c>
      <c r="AI83" s="5">
        <f t="shared" ca="1" si="51"/>
        <v>1.0939072621197607</v>
      </c>
      <c r="AJ83" s="5">
        <f t="shared" ca="1" si="52"/>
        <v>1.0052526865288114</v>
      </c>
      <c r="AK83" s="5">
        <f t="shared" ca="1" si="53"/>
        <v>1.2868016890512468</v>
      </c>
      <c r="AL83" s="5">
        <f t="shared" ca="1" si="54"/>
        <v>1.1468520290866169</v>
      </c>
      <c r="AM83" s="5">
        <f t="shared" ca="1" si="55"/>
        <v>1.3518545794546417</v>
      </c>
      <c r="AN83" s="5">
        <f t="shared" ca="1" si="56"/>
        <v>1.2695304435649706</v>
      </c>
      <c r="AO83" s="5">
        <f t="shared" ca="1" si="57"/>
        <v>0.98696075293605234</v>
      </c>
      <c r="AP83" s="5">
        <f t="shared" ca="1" si="58"/>
        <v>4.7446710226686744</v>
      </c>
      <c r="AQ83" s="4">
        <f t="shared" ca="1" si="12"/>
        <v>47446.710226686744</v>
      </c>
      <c r="AR83">
        <f t="shared" ca="1" si="13"/>
        <v>1</v>
      </c>
      <c r="AS83">
        <f t="shared" ca="1" si="14"/>
        <v>0</v>
      </c>
    </row>
    <row r="84" spans="1:45" x14ac:dyDescent="0.25">
      <c r="A84" s="10">
        <f t="shared" si="47"/>
        <v>63</v>
      </c>
      <c r="B84" s="5">
        <f t="shared" ca="1" si="15"/>
        <v>0.46132710920152942</v>
      </c>
      <c r="C84" s="5">
        <f t="shared" ca="1" si="16"/>
        <v>-9.7090886229523443E-2</v>
      </c>
      <c r="D84" s="5">
        <f t="shared" ca="1" si="2"/>
        <v>7.4801901652171265E-2</v>
      </c>
      <c r="E84" s="5">
        <f t="shared" ca="1" si="17"/>
        <v>0.47050909376258376</v>
      </c>
      <c r="F84" s="5">
        <f t="shared" ca="1" si="18"/>
        <v>-7.3990194506338855E-2</v>
      </c>
      <c r="G84" s="5">
        <f t="shared" ca="1" si="3"/>
        <v>7.8532661763729195E-2</v>
      </c>
      <c r="H84" s="5">
        <f t="shared" ca="1" si="19"/>
        <v>7.7411849307891356E-2</v>
      </c>
      <c r="I84" s="5">
        <f t="shared" ca="1" si="20"/>
        <v>-1.4226980760011536</v>
      </c>
      <c r="J84" s="5">
        <f t="shared" ca="1" si="4"/>
        <v>-0.11900621838811798</v>
      </c>
      <c r="K84" s="5">
        <f t="shared" ca="1" si="21"/>
        <v>8.8726187885513785E-2</v>
      </c>
      <c r="L84" s="5">
        <f t="shared" ca="1" si="22"/>
        <v>-1.3486407789980677</v>
      </c>
      <c r="M84" s="5">
        <f t="shared" ca="1" si="5"/>
        <v>-0.10916505612643701</v>
      </c>
      <c r="N84" s="5">
        <f t="shared" ca="1" si="23"/>
        <v>0.9617241179066921</v>
      </c>
      <c r="O84" s="5">
        <f t="shared" ca="1" si="24"/>
        <v>1.7710537486991944</v>
      </c>
      <c r="P84" s="5">
        <f t="shared" ca="1" si="6"/>
        <v>0.42241774672324817</v>
      </c>
      <c r="Q84" s="5">
        <f t="shared" ca="1" si="25"/>
        <v>0.67523932418997301</v>
      </c>
      <c r="R84" s="5">
        <f t="shared" ca="1" si="26"/>
        <v>0.4544272377776048</v>
      </c>
      <c r="S84" s="5">
        <f t="shared" ca="1" si="7"/>
        <v>0.16749927043616242</v>
      </c>
      <c r="T84" s="5">
        <f t="shared" ca="1" si="27"/>
        <v>0.73291008015798731</v>
      </c>
      <c r="U84" s="5">
        <f t="shared" ca="1" si="28"/>
        <v>0.62163813454234562</v>
      </c>
      <c r="V84" s="5">
        <f t="shared" ca="1" si="8"/>
        <v>0.19715238014410552</v>
      </c>
      <c r="W84" s="5">
        <f t="shared" ca="1" si="29"/>
        <v>0.46101796723021249</v>
      </c>
      <c r="X84" s="5">
        <f t="shared" ca="1" si="30"/>
        <v>-9.7869480733883449E-2</v>
      </c>
      <c r="Y84" s="5">
        <f t="shared" ca="1" si="9"/>
        <v>7.4676383753794706E-2</v>
      </c>
      <c r="Z84" s="5">
        <f t="shared" ca="1" si="31"/>
        <v>0.58218272871260712</v>
      </c>
      <c r="AA84" s="5">
        <f t="shared" ca="1" si="32"/>
        <v>0.20748059925251658</v>
      </c>
      <c r="AB84" s="5">
        <f t="shared" ca="1" si="10"/>
        <v>0.12504393686838555</v>
      </c>
      <c r="AC84" s="5">
        <f t="shared" ca="1" si="33"/>
        <v>0.71616488752597141</v>
      </c>
      <c r="AD84" s="5">
        <f t="shared" ca="1" si="34"/>
        <v>0.57148603361815475</v>
      </c>
      <c r="AE84" s="5">
        <f t="shared" ca="1" si="11"/>
        <v>0.18818021438097965</v>
      </c>
      <c r="AF84" s="5">
        <f t="shared" ca="1" si="48"/>
        <v>1.0748019016521713</v>
      </c>
      <c r="AG84" s="5">
        <f t="shared" ca="1" si="49"/>
        <v>1.0785326617637292</v>
      </c>
      <c r="AH84" s="5">
        <f t="shared" ca="1" si="50"/>
        <v>0.88099378161188202</v>
      </c>
      <c r="AI84" s="5">
        <f t="shared" ca="1" si="51"/>
        <v>0.89083494387356299</v>
      </c>
      <c r="AJ84" s="5">
        <f t="shared" ca="1" si="52"/>
        <v>1.4224177467232482</v>
      </c>
      <c r="AK84" s="5">
        <f t="shared" ca="1" si="53"/>
        <v>1.1674992704361624</v>
      </c>
      <c r="AL84" s="5">
        <f t="shared" ca="1" si="54"/>
        <v>1.1971523801441055</v>
      </c>
      <c r="AM84" s="5">
        <f t="shared" ca="1" si="55"/>
        <v>1.0746763837537947</v>
      </c>
      <c r="AN84" s="5">
        <f t="shared" ca="1" si="56"/>
        <v>1.1250439368683856</v>
      </c>
      <c r="AO84" s="5">
        <f t="shared" ca="1" si="57"/>
        <v>1.1881802143809796</v>
      </c>
      <c r="AP84" s="5">
        <f t="shared" ca="1" si="58"/>
        <v>2.5983313502120304</v>
      </c>
      <c r="AQ84" s="4">
        <f t="shared" ca="1" si="12"/>
        <v>25983.313502120305</v>
      </c>
      <c r="AR84">
        <f t="shared" ca="1" si="13"/>
        <v>1</v>
      </c>
      <c r="AS84">
        <f t="shared" ca="1" si="14"/>
        <v>0</v>
      </c>
    </row>
    <row r="85" spans="1:45" x14ac:dyDescent="0.25">
      <c r="A85" s="10">
        <f t="shared" si="47"/>
        <v>64</v>
      </c>
      <c r="B85" s="5">
        <f t="shared" ca="1" si="15"/>
        <v>0.47769108644626157</v>
      </c>
      <c r="C85" s="5">
        <f t="shared" ca="1" si="16"/>
        <v>-5.5949329743326663E-2</v>
      </c>
      <c r="D85" s="5">
        <f t="shared" ca="1" si="2"/>
        <v>8.1455263734201644E-2</v>
      </c>
      <c r="E85" s="5">
        <f t="shared" ca="1" si="17"/>
        <v>0.92041140316816417</v>
      </c>
      <c r="F85" s="5">
        <f t="shared" ca="1" si="18"/>
        <v>1.4078442518949041</v>
      </c>
      <c r="G85" s="5">
        <f t="shared" ca="1" si="3"/>
        <v>0.34699560926669992</v>
      </c>
      <c r="H85" s="5">
        <f t="shared" ca="1" si="19"/>
        <v>9.2673765223929783E-2</v>
      </c>
      <c r="I85" s="5">
        <f t="shared" ca="1" si="20"/>
        <v>-1.3244684020101374</v>
      </c>
      <c r="J85" s="5">
        <f t="shared" ca="1" si="4"/>
        <v>-0.10592915349762499</v>
      </c>
      <c r="K85" s="5">
        <f t="shared" ca="1" si="21"/>
        <v>0.94253577314942083</v>
      </c>
      <c r="L85" s="5">
        <f t="shared" ca="1" si="22"/>
        <v>1.5764225551825872</v>
      </c>
      <c r="M85" s="5">
        <f t="shared" ca="1" si="5"/>
        <v>0.38149104500242204</v>
      </c>
      <c r="N85" s="5">
        <f t="shared" ca="1" si="23"/>
        <v>0.39216858986646941</v>
      </c>
      <c r="O85" s="5">
        <f t="shared" ca="1" si="24"/>
        <v>-0.2736713722761045</v>
      </c>
      <c r="P85" s="5">
        <f t="shared" ca="1" si="6"/>
        <v>4.6707260229333247E-2</v>
      </c>
      <c r="Q85" s="5">
        <f t="shared" ca="1" si="25"/>
        <v>0.92679169285738994</v>
      </c>
      <c r="R85" s="5">
        <f t="shared" ca="1" si="26"/>
        <v>1.4523057323865805</v>
      </c>
      <c r="S85" s="5">
        <f t="shared" ca="1" si="7"/>
        <v>0.35600904501091279</v>
      </c>
      <c r="T85" s="5">
        <f t="shared" ca="1" si="27"/>
        <v>1.0590909155301031E-2</v>
      </c>
      <c r="U85" s="5">
        <f t="shared" ca="1" si="28"/>
        <v>-2.3047278822245549</v>
      </c>
      <c r="V85" s="5">
        <f t="shared" ca="1" si="8"/>
        <v>-0.22818406406030034</v>
      </c>
      <c r="W85" s="5">
        <f t="shared" ca="1" si="29"/>
        <v>0.48491860812896226</v>
      </c>
      <c r="X85" s="5">
        <f t="shared" ca="1" si="30"/>
        <v>-3.7812451943433988E-2</v>
      </c>
      <c r="Y85" s="5">
        <f t="shared" ca="1" si="9"/>
        <v>8.4401402743998544E-2</v>
      </c>
      <c r="Z85" s="5">
        <f t="shared" ca="1" si="31"/>
        <v>0.30630834322368283</v>
      </c>
      <c r="AA85" s="5">
        <f t="shared" ca="1" si="32"/>
        <v>-0.50634185323757508</v>
      </c>
      <c r="AB85" s="5">
        <f t="shared" ca="1" si="10"/>
        <v>1.0806697059857706E-2</v>
      </c>
      <c r="AC85" s="5">
        <f t="shared" ca="1" si="33"/>
        <v>0.92489150063519943</v>
      </c>
      <c r="AD85" s="5">
        <f t="shared" ca="1" si="34"/>
        <v>1.4387654136583976</v>
      </c>
      <c r="AE85" s="5">
        <f t="shared" ca="1" si="11"/>
        <v>0.35325772079206752</v>
      </c>
      <c r="AF85" s="5">
        <f t="shared" ca="1" si="48"/>
        <v>1.0814552637342016</v>
      </c>
      <c r="AG85" s="5">
        <f t="shared" ca="1" si="49"/>
        <v>1.3469956092666999</v>
      </c>
      <c r="AH85" s="5">
        <f t="shared" ca="1" si="50"/>
        <v>0.89407084650237501</v>
      </c>
      <c r="AI85" s="5">
        <f t="shared" ca="1" si="51"/>
        <v>1.381491045002422</v>
      </c>
      <c r="AJ85" s="5">
        <f t="shared" ca="1" si="52"/>
        <v>1.0467072602293332</v>
      </c>
      <c r="AK85" s="5">
        <f t="shared" ca="1" si="53"/>
        <v>1.3560090450109128</v>
      </c>
      <c r="AL85" s="5">
        <f t="shared" ca="1" si="54"/>
        <v>0.77181593593969966</v>
      </c>
      <c r="AM85" s="5">
        <f t="shared" ca="1" si="55"/>
        <v>1.0844014027439985</v>
      </c>
      <c r="AN85" s="5">
        <f t="shared" ca="1" si="56"/>
        <v>1.0108066970598577</v>
      </c>
      <c r="AO85" s="5">
        <f t="shared" ca="1" si="57"/>
        <v>1.3532577207920675</v>
      </c>
      <c r="AP85" s="5">
        <f t="shared" ca="1" si="58"/>
        <v>2.9237147992467647</v>
      </c>
      <c r="AQ85" s="4">
        <f t="shared" ca="1" si="12"/>
        <v>29237.147992467646</v>
      </c>
      <c r="AR85">
        <f t="shared" ca="1" si="13"/>
        <v>1</v>
      </c>
      <c r="AS85">
        <f t="shared" ca="1" si="14"/>
        <v>0</v>
      </c>
    </row>
    <row r="86" spans="1:45" x14ac:dyDescent="0.25">
      <c r="A86" s="10">
        <f t="shared" si="47"/>
        <v>65</v>
      </c>
      <c r="B86" s="5">
        <f t="shared" ca="1" si="15"/>
        <v>0.51561823424823494</v>
      </c>
      <c r="C86" s="5">
        <f t="shared" ca="1" si="16"/>
        <v>3.915911326485319E-2</v>
      </c>
      <c r="D86" s="5">
        <f t="shared" ref="D86:D149" ca="1" si="59">EXP(mu+sigma*C86)-1</f>
        <v>9.6994170224699028E-2</v>
      </c>
      <c r="E86" s="5">
        <f t="shared" ca="1" si="17"/>
        <v>7.6950028839959717E-2</v>
      </c>
      <c r="F86" s="5">
        <f t="shared" ca="1" si="18"/>
        <v>-1.4258901341113788</v>
      </c>
      <c r="G86" s="5">
        <f t="shared" ref="G86:G149" ca="1" si="60">EXP(mu+sigma*F86)-1</f>
        <v>-0.11942794491873943</v>
      </c>
      <c r="H86" s="5">
        <f t="shared" ca="1" si="19"/>
        <v>0.86407203193943649</v>
      </c>
      <c r="I86" s="5">
        <f t="shared" ca="1" si="20"/>
        <v>1.0987985699561928</v>
      </c>
      <c r="J86" s="5">
        <f t="shared" ref="J86:J149" ca="1" si="61">EXP(mu+sigma*I86)-1</f>
        <v>0.28597834352826101</v>
      </c>
      <c r="K86" s="5">
        <f t="shared" ca="1" si="21"/>
        <v>0.60453405450028708</v>
      </c>
      <c r="L86" s="5">
        <f t="shared" ca="1" si="22"/>
        <v>0.26510069624032778</v>
      </c>
      <c r="M86" s="5">
        <f t="shared" ref="M86:M149" ca="1" si="62">EXP(mu+sigma*L86)-1</f>
        <v>0.13480985065541851</v>
      </c>
      <c r="N86" s="5">
        <f t="shared" ca="1" si="23"/>
        <v>0.87488865476756073</v>
      </c>
      <c r="O86" s="5">
        <f t="shared" ca="1" si="24"/>
        <v>1.1498086531337366</v>
      </c>
      <c r="P86" s="5">
        <f t="shared" ref="P86:P149" ca="1" si="63">EXP(mu+sigma*O86)-1</f>
        <v>0.29585576327873042</v>
      </c>
      <c r="Q86" s="5">
        <f t="shared" ca="1" si="25"/>
        <v>0.1304999333061323</v>
      </c>
      <c r="R86" s="5">
        <f t="shared" ca="1" si="26"/>
        <v>-1.1240310198715151</v>
      </c>
      <c r="S86" s="5">
        <f t="shared" ref="S86:S149" ca="1" si="64">EXP(mu+sigma*R86)-1</f>
        <v>-7.8640196580650357E-2</v>
      </c>
      <c r="T86" s="5">
        <f t="shared" ca="1" si="27"/>
        <v>0.72386620274025781</v>
      </c>
      <c r="U86" s="5">
        <f t="shared" ca="1" si="28"/>
        <v>0.59436562519437197</v>
      </c>
      <c r="V86" s="5">
        <f t="shared" ref="V86:V149" ca="1" si="65">EXP(mu+sigma*U86)-1</f>
        <v>0.19226498141040782</v>
      </c>
      <c r="W86" s="5">
        <f t="shared" ca="1" si="29"/>
        <v>0.68875937388847652</v>
      </c>
      <c r="X86" s="5">
        <f t="shared" ca="1" si="30"/>
        <v>0.49233682399355316</v>
      </c>
      <c r="Y86" s="5">
        <f t="shared" ref="Y86:Y149" ca="1" si="66">EXP(mu+sigma*X86)-1</f>
        <v>0.17415709428427806</v>
      </c>
      <c r="Z86" s="5">
        <f t="shared" ca="1" si="31"/>
        <v>0.7960211170371424</v>
      </c>
      <c r="AA86" s="5">
        <f t="shared" ca="1" si="32"/>
        <v>0.82749286250673981</v>
      </c>
      <c r="AB86" s="5">
        <f t="shared" ref="AB86:AB149" ca="1" si="67">EXP(mu+sigma*AA86)-1</f>
        <v>0.23469494241301891</v>
      </c>
      <c r="AC86" s="5">
        <f t="shared" ca="1" si="33"/>
        <v>0.40618631419454032</v>
      </c>
      <c r="AD86" s="5">
        <f t="shared" ca="1" si="34"/>
        <v>-0.23736630390011673</v>
      </c>
      <c r="AE86" s="5">
        <f t="shared" ref="AE86:AE149" ca="1" si="68">EXP(mu+sigma*AD86)-1</f>
        <v>5.2422925974396684E-2</v>
      </c>
      <c r="AF86" s="5">
        <f t="shared" ca="1" si="48"/>
        <v>1.096994170224699</v>
      </c>
      <c r="AG86" s="5">
        <f t="shared" ca="1" si="49"/>
        <v>0.88057205508126057</v>
      </c>
      <c r="AH86" s="5">
        <f t="shared" ca="1" si="50"/>
        <v>1.285978343528261</v>
      </c>
      <c r="AI86" s="5">
        <f t="shared" ca="1" si="51"/>
        <v>1.1348098506554185</v>
      </c>
      <c r="AJ86" s="5">
        <f t="shared" ca="1" si="52"/>
        <v>1.2958557632787304</v>
      </c>
      <c r="AK86" s="5">
        <f t="shared" ca="1" si="53"/>
        <v>0.92135980341934964</v>
      </c>
      <c r="AL86" s="5">
        <f t="shared" ca="1" si="54"/>
        <v>1.1922649814104078</v>
      </c>
      <c r="AM86" s="5">
        <f t="shared" ca="1" si="55"/>
        <v>1.1741570942842781</v>
      </c>
      <c r="AN86" s="5">
        <f t="shared" ca="1" si="56"/>
        <v>1.2346949424130189</v>
      </c>
      <c r="AO86" s="5">
        <f t="shared" ca="1" si="57"/>
        <v>1.0524229259743967</v>
      </c>
      <c r="AP86" s="5">
        <f t="shared" ca="1" si="58"/>
        <v>3.061687495139612</v>
      </c>
      <c r="AQ86" s="4">
        <f t="shared" ref="AQ86:AQ149" ca="1" si="69">initial_amount*AP86</f>
        <v>30616.874951396119</v>
      </c>
      <c r="AR86">
        <f t="shared" ref="AR86:AR149" ca="1" si="70">IF(AQ86&gt;upper_amount,1,0)</f>
        <v>1</v>
      </c>
      <c r="AS86">
        <f t="shared" ref="AS86:AS149" ca="1" si="71">IF(AQ86&lt;lower_amount,1,0)</f>
        <v>0</v>
      </c>
    </row>
    <row r="87" spans="1:45" x14ac:dyDescent="0.25">
      <c r="A87" s="10">
        <f t="shared" si="47"/>
        <v>66</v>
      </c>
      <c r="B87" s="5">
        <f t="shared" ref="B87:B150" ca="1" si="72">RAND()</f>
        <v>0.7851711245710451</v>
      </c>
      <c r="C87" s="5">
        <f t="shared" ref="C87:C150" ca="1" si="73">_xlfn.NORM.S.INV(B87)</f>
        <v>0.78977744961755891</v>
      </c>
      <c r="D87" s="5">
        <f t="shared" ca="1" si="59"/>
        <v>0.22772960909010731</v>
      </c>
      <c r="E87" s="5">
        <f t="shared" ref="E87:E150" ca="1" si="74">RAND()</f>
        <v>0.88760007094474935</v>
      </c>
      <c r="F87" s="5">
        <f t="shared" ref="F87:F150" ca="1" si="75">_xlfn.NORM.S.INV(E87)</f>
        <v>1.2138634865763553</v>
      </c>
      <c r="G87" s="5">
        <f t="shared" ca="1" si="60"/>
        <v>0.30836664447380624</v>
      </c>
      <c r="H87" s="5">
        <f t="shared" ref="H87:H150" ca="1" si="76">RAND()</f>
        <v>0.46809492660772756</v>
      </c>
      <c r="I87" s="5">
        <f t="shared" ref="I87:I150" ca="1" si="77">_xlfn.NORM.S.INV(H87)</f>
        <v>-8.0059601105334388E-2</v>
      </c>
      <c r="J87" s="5">
        <f t="shared" ca="1" si="61"/>
        <v>7.7551200609848658E-2</v>
      </c>
      <c r="K87" s="5">
        <f t="shared" ref="K87:K150" ca="1" si="78">RAND()</f>
        <v>0.31712969846026462</v>
      </c>
      <c r="L87" s="5">
        <f t="shared" ref="L87:L150" ca="1" si="79">_xlfn.NORM.S.INV(K87)</f>
        <v>-0.47574031322980392</v>
      </c>
      <c r="M87" s="5">
        <f t="shared" ca="1" si="62"/>
        <v>1.5457198569399644E-2</v>
      </c>
      <c r="N87" s="5">
        <f t="shared" ref="N87:N150" ca="1" si="80">RAND()</f>
        <v>9.3758235318781247E-2</v>
      </c>
      <c r="O87" s="5">
        <f t="shared" ref="O87:O150" ca="1" si="81">_xlfn.NORM.S.INV(N87)</f>
        <v>-1.3179616962741487</v>
      </c>
      <c r="P87" s="5">
        <f t="shared" ca="1" si="63"/>
        <v>-0.1050561091329234</v>
      </c>
      <c r="Q87" s="5">
        <f t="shared" ref="Q87:Q150" ca="1" si="82">RAND()</f>
        <v>9.6548112672838693E-2</v>
      </c>
      <c r="R87" s="5">
        <f t="shared" ref="R87:R150" ca="1" si="83">_xlfn.NORM.S.INV(Q87)</f>
        <v>-1.3014740968099139</v>
      </c>
      <c r="S87" s="5">
        <f t="shared" ca="1" si="64"/>
        <v>-0.1028400484860913</v>
      </c>
      <c r="T87" s="5">
        <f t="shared" ref="T87:T150" ca="1" si="84">RAND()</f>
        <v>0.93774463006545528</v>
      </c>
      <c r="U87" s="5">
        <f t="shared" ref="U87:U150" ca="1" si="85">_xlfn.NORM.S.INV(T87)</f>
        <v>1.5361127087627198</v>
      </c>
      <c r="V87" s="5">
        <f t="shared" ca="1" si="65"/>
        <v>0.37316309397865322</v>
      </c>
      <c r="W87" s="5">
        <f t="shared" ref="W87:W150" ca="1" si="86">RAND()</f>
        <v>0.38348201533195003</v>
      </c>
      <c r="X87" s="5">
        <f t="shared" ref="X87:X150" ca="1" si="87">_xlfn.NORM.S.INV(W87)</f>
        <v>-0.29634839536752533</v>
      </c>
      <c r="Y87" s="5">
        <f t="shared" ca="1" si="66"/>
        <v>4.3152878160309216E-2</v>
      </c>
      <c r="Z87" s="5">
        <f t="shared" ref="Z87:Z150" ca="1" si="88">RAND()</f>
        <v>0.42143030295657735</v>
      </c>
      <c r="AA87" s="5">
        <f t="shared" ref="AA87:AA150" ca="1" si="89">_xlfn.NORM.S.INV(Z87)</f>
        <v>-0.19823576546240829</v>
      </c>
      <c r="AB87" s="5">
        <f t="shared" ca="1" si="67"/>
        <v>5.8618371886006715E-2</v>
      </c>
      <c r="AC87" s="5">
        <f t="shared" ref="AC87:AC150" ca="1" si="90">RAND()</f>
        <v>0.57941484262034959</v>
      </c>
      <c r="AD87" s="5">
        <f t="shared" ref="AD87:AD150" ca="1" si="91">_xlfn.NORM.S.INV(AC87)</f>
        <v>0.2003967324858002</v>
      </c>
      <c r="AE87" s="5">
        <f t="shared" ca="1" si="68"/>
        <v>0.12384912257038083</v>
      </c>
      <c r="AF87" s="5">
        <f t="shared" ca="1" si="48"/>
        <v>1.2277296090901073</v>
      </c>
      <c r="AG87" s="5">
        <f t="shared" ca="1" si="49"/>
        <v>1.3083666444738062</v>
      </c>
      <c r="AH87" s="5">
        <f t="shared" ca="1" si="50"/>
        <v>1.0775512006098487</v>
      </c>
      <c r="AI87" s="5">
        <f t="shared" ca="1" si="51"/>
        <v>1.0154571985693996</v>
      </c>
      <c r="AJ87" s="5">
        <f t="shared" ca="1" si="52"/>
        <v>0.8949438908670766</v>
      </c>
      <c r="AK87" s="5">
        <f t="shared" ca="1" si="53"/>
        <v>0.8971599515139087</v>
      </c>
      <c r="AL87" s="5">
        <f t="shared" ca="1" si="54"/>
        <v>1.3731630939786532</v>
      </c>
      <c r="AM87" s="5">
        <f t="shared" ca="1" si="55"/>
        <v>1.0431528781603092</v>
      </c>
      <c r="AN87" s="5">
        <f t="shared" ca="1" si="56"/>
        <v>1.0586183718860067</v>
      </c>
      <c r="AO87" s="5">
        <f t="shared" ca="1" si="57"/>
        <v>1.1238491225703808</v>
      </c>
      <c r="AP87" s="5">
        <f t="shared" ca="1" si="58"/>
        <v>2.4049992131352842</v>
      </c>
      <c r="AQ87" s="4">
        <f t="shared" ca="1" si="69"/>
        <v>24049.992131352843</v>
      </c>
      <c r="AR87">
        <f t="shared" ca="1" si="70"/>
        <v>0</v>
      </c>
      <c r="AS87">
        <f t="shared" ca="1" si="71"/>
        <v>0</v>
      </c>
    </row>
    <row r="88" spans="1:45" x14ac:dyDescent="0.25">
      <c r="A88" s="10">
        <f t="shared" si="47"/>
        <v>67</v>
      </c>
      <c r="B88" s="5">
        <f t="shared" ca="1" si="72"/>
        <v>0.2034015021510448</v>
      </c>
      <c r="C88" s="5">
        <f t="shared" ca="1" si="73"/>
        <v>-0.82953276515352659</v>
      </c>
      <c r="D88" s="5">
        <f t="shared" ca="1" si="59"/>
        <v>-3.7027009449447146E-2</v>
      </c>
      <c r="E88" s="5">
        <f t="shared" ca="1" si="74"/>
        <v>0.37405989553516328</v>
      </c>
      <c r="F88" s="5">
        <f t="shared" ca="1" si="75"/>
        <v>-0.32111955582571627</v>
      </c>
      <c r="G88" s="5">
        <f t="shared" ca="1" si="60"/>
        <v>3.9284054156878856E-2</v>
      </c>
      <c r="H88" s="5">
        <f t="shared" ca="1" si="76"/>
        <v>0.31639735909020761</v>
      </c>
      <c r="I88" s="5">
        <f t="shared" ca="1" si="77"/>
        <v>-0.47779696968867003</v>
      </c>
      <c r="J88" s="5">
        <f t="shared" ca="1" si="61"/>
        <v>1.5143979894703508E-2</v>
      </c>
      <c r="K88" s="5">
        <f t="shared" ca="1" si="78"/>
        <v>0.69767905002485275</v>
      </c>
      <c r="L88" s="5">
        <f t="shared" ca="1" si="79"/>
        <v>0.51773682704509705</v>
      </c>
      <c r="M88" s="5">
        <f t="shared" ca="1" si="62"/>
        <v>0.17863916627727194</v>
      </c>
      <c r="N88" s="5">
        <f t="shared" ca="1" si="80"/>
        <v>0.98817908694947121</v>
      </c>
      <c r="O88" s="5">
        <f t="shared" ca="1" si="81"/>
        <v>2.2629004590687121</v>
      </c>
      <c r="P88" s="5">
        <f t="shared" ca="1" si="63"/>
        <v>0.53132759583854061</v>
      </c>
      <c r="Q88" s="5">
        <f t="shared" ca="1" si="82"/>
        <v>0.99476084141974663</v>
      </c>
      <c r="R88" s="5">
        <f t="shared" ca="1" si="83"/>
        <v>2.5596316108006669</v>
      </c>
      <c r="S88" s="5">
        <f t="shared" ca="1" si="64"/>
        <v>0.60102610868932582</v>
      </c>
      <c r="T88" s="5">
        <f t="shared" ca="1" si="84"/>
        <v>0.66967701193419149</v>
      </c>
      <c r="U88" s="5">
        <f t="shared" ca="1" si="85"/>
        <v>0.43902147464001973</v>
      </c>
      <c r="V88" s="5">
        <f t="shared" ca="1" si="65"/>
        <v>0.16480445273107569</v>
      </c>
      <c r="W88" s="5">
        <f t="shared" ca="1" si="86"/>
        <v>0.17981169214443649</v>
      </c>
      <c r="X88" s="5">
        <f t="shared" ca="1" si="87"/>
        <v>-0.91608296031213499</v>
      </c>
      <c r="Y88" s="5">
        <f t="shared" ca="1" si="66"/>
        <v>-4.9448031886391686E-2</v>
      </c>
      <c r="Z88" s="5">
        <f t="shared" ca="1" si="88"/>
        <v>0.56364198104447527</v>
      </c>
      <c r="AA88" s="5">
        <f t="shared" ca="1" si="89"/>
        <v>0.1602095104475984</v>
      </c>
      <c r="AB88" s="5">
        <f t="shared" ca="1" si="67"/>
        <v>0.11709484456464714</v>
      </c>
      <c r="AC88" s="5">
        <f t="shared" ca="1" si="90"/>
        <v>0.23811331040927963</v>
      </c>
      <c r="AD88" s="5">
        <f t="shared" ca="1" si="91"/>
        <v>-0.71238464578848781</v>
      </c>
      <c r="AE88" s="5">
        <f t="shared" ca="1" si="68"/>
        <v>-1.995588876701293E-2</v>
      </c>
      <c r="AF88" s="5">
        <f t="shared" ca="1" si="48"/>
        <v>0.96297299055055285</v>
      </c>
      <c r="AG88" s="5">
        <f t="shared" ca="1" si="49"/>
        <v>1.0392840541568789</v>
      </c>
      <c r="AH88" s="5">
        <f t="shared" ca="1" si="50"/>
        <v>1.0151439798947035</v>
      </c>
      <c r="AI88" s="5">
        <f t="shared" ca="1" si="51"/>
        <v>1.1786391662772719</v>
      </c>
      <c r="AJ88" s="5">
        <f t="shared" ca="1" si="52"/>
        <v>1.5313275958385406</v>
      </c>
      <c r="AK88" s="5">
        <f t="shared" ca="1" si="53"/>
        <v>1.6010261086893258</v>
      </c>
      <c r="AL88" s="5">
        <f t="shared" ca="1" si="54"/>
        <v>1.1648044527310757</v>
      </c>
      <c r="AM88" s="5">
        <f t="shared" ca="1" si="55"/>
        <v>0.95055196811360831</v>
      </c>
      <c r="AN88" s="5">
        <f t="shared" ca="1" si="56"/>
        <v>1.1170948445646471</v>
      </c>
      <c r="AO88" s="5">
        <f t="shared" ca="1" si="57"/>
        <v>0.98004411123298707</v>
      </c>
      <c r="AP88" s="5">
        <f t="shared" ca="1" si="58"/>
        <v>3.5586720221468298</v>
      </c>
      <c r="AQ88" s="4">
        <f t="shared" ca="1" si="69"/>
        <v>35586.720221468298</v>
      </c>
      <c r="AR88">
        <f t="shared" ca="1" si="70"/>
        <v>1</v>
      </c>
      <c r="AS88">
        <f t="shared" ca="1" si="71"/>
        <v>0</v>
      </c>
    </row>
    <row r="89" spans="1:45" x14ac:dyDescent="0.25">
      <c r="A89" s="10">
        <f t="shared" si="47"/>
        <v>68</v>
      </c>
      <c r="B89" s="5">
        <f t="shared" ca="1" si="72"/>
        <v>0.68014376949918731</v>
      </c>
      <c r="C89" s="5">
        <f t="shared" ca="1" si="73"/>
        <v>0.46810086460289707</v>
      </c>
      <c r="D89" s="5">
        <f t="shared" ca="1" si="59"/>
        <v>0.16989632022457379</v>
      </c>
      <c r="E89" s="5">
        <f t="shared" ca="1" si="74"/>
        <v>0.89043449862880275</v>
      </c>
      <c r="F89" s="5">
        <f t="shared" ca="1" si="75"/>
        <v>1.228842128560002</v>
      </c>
      <c r="G89" s="5">
        <f t="shared" ca="1" si="60"/>
        <v>0.31130958265973518</v>
      </c>
      <c r="H89" s="5">
        <f t="shared" ca="1" si="76"/>
        <v>0.87391978115743418</v>
      </c>
      <c r="I89" s="5">
        <f t="shared" ca="1" si="77"/>
        <v>1.1451176194561117</v>
      </c>
      <c r="J89" s="5">
        <f t="shared" ca="1" si="61"/>
        <v>0.2949442485582765</v>
      </c>
      <c r="K89" s="5">
        <f t="shared" ca="1" si="78"/>
        <v>0.28691471512350564</v>
      </c>
      <c r="L89" s="5">
        <f t="shared" ca="1" si="79"/>
        <v>-0.56242068327986716</v>
      </c>
      <c r="M89" s="5">
        <f t="shared" ca="1" si="62"/>
        <v>2.3396301812459441E-3</v>
      </c>
      <c r="N89" s="5">
        <f t="shared" ca="1" si="80"/>
        <v>0.89502337403737553</v>
      </c>
      <c r="O89" s="5">
        <f t="shared" ca="1" si="81"/>
        <v>1.2536939936413658</v>
      </c>
      <c r="P89" s="5">
        <f t="shared" ca="1" si="63"/>
        <v>0.31620697851922253</v>
      </c>
      <c r="Q89" s="5">
        <f t="shared" ca="1" si="82"/>
        <v>0.47282779010601383</v>
      </c>
      <c r="R89" s="5">
        <f t="shared" ca="1" si="83"/>
        <v>-6.8163376806481615E-2</v>
      </c>
      <c r="S89" s="5">
        <f t="shared" ca="1" si="64"/>
        <v>7.9475735818253845E-2</v>
      </c>
      <c r="T89" s="5">
        <f t="shared" ca="1" si="84"/>
        <v>0.17284558433597408</v>
      </c>
      <c r="U89" s="5">
        <f t="shared" ca="1" si="85"/>
        <v>-0.94297993013591375</v>
      </c>
      <c r="V89" s="5">
        <f t="shared" ca="1" si="65"/>
        <v>-5.3275351088437395E-2</v>
      </c>
      <c r="W89" s="5">
        <f t="shared" ca="1" si="86"/>
        <v>0.31821526667249211</v>
      </c>
      <c r="X89" s="5">
        <f t="shared" ca="1" si="87"/>
        <v>-0.47269536572836962</v>
      </c>
      <c r="Y89" s="5">
        <f t="shared" ca="1" si="66"/>
        <v>1.5921106583440592E-2</v>
      </c>
      <c r="Z89" s="5">
        <f t="shared" ca="1" si="88"/>
        <v>0.89096842120363628</v>
      </c>
      <c r="AA89" s="5">
        <f t="shared" ca="1" si="89"/>
        <v>1.2316946807286571</v>
      </c>
      <c r="AB89" s="5">
        <f t="shared" ca="1" si="67"/>
        <v>0.31187078956564007</v>
      </c>
      <c r="AC89" s="5">
        <f t="shared" ca="1" si="90"/>
        <v>0.15413331667491181</v>
      </c>
      <c r="AD89" s="5">
        <f t="shared" ca="1" si="91"/>
        <v>-1.0188659025036229</v>
      </c>
      <c r="AE89" s="5">
        <f t="shared" ca="1" si="68"/>
        <v>-6.399071752122687E-2</v>
      </c>
      <c r="AF89" s="5">
        <f t="shared" ca="1" si="48"/>
        <v>1.1698963202245738</v>
      </c>
      <c r="AG89" s="5">
        <f t="shared" ca="1" si="49"/>
        <v>1.3113095826597352</v>
      </c>
      <c r="AH89" s="5">
        <f t="shared" ca="1" si="50"/>
        <v>1.2949442485582765</v>
      </c>
      <c r="AI89" s="5">
        <f t="shared" ca="1" si="51"/>
        <v>1.0023396301812459</v>
      </c>
      <c r="AJ89" s="5">
        <f t="shared" ca="1" si="52"/>
        <v>1.3162069785192225</v>
      </c>
      <c r="AK89" s="5">
        <f t="shared" ca="1" si="53"/>
        <v>1.0794757358182538</v>
      </c>
      <c r="AL89" s="5">
        <f t="shared" ca="1" si="54"/>
        <v>0.94672464891156261</v>
      </c>
      <c r="AM89" s="5">
        <f t="shared" ca="1" si="55"/>
        <v>1.0159211065834406</v>
      </c>
      <c r="AN89" s="5">
        <f t="shared" ca="1" si="56"/>
        <v>1.3118707895656401</v>
      </c>
      <c r="AO89" s="5">
        <f t="shared" ca="1" si="57"/>
        <v>0.93600928247877313</v>
      </c>
      <c r="AP89" s="5">
        <f t="shared" ca="1" si="58"/>
        <v>3.3412620813444152</v>
      </c>
      <c r="AQ89" s="4">
        <f t="shared" ca="1" si="69"/>
        <v>33412.620813444155</v>
      </c>
      <c r="AR89">
        <f t="shared" ca="1" si="70"/>
        <v>1</v>
      </c>
      <c r="AS89">
        <f t="shared" ca="1" si="71"/>
        <v>0</v>
      </c>
    </row>
    <row r="90" spans="1:45" x14ac:dyDescent="0.25">
      <c r="A90" s="10">
        <f t="shared" si="47"/>
        <v>69</v>
      </c>
      <c r="B90" s="5">
        <f t="shared" ca="1" si="72"/>
        <v>0.43204192492891969</v>
      </c>
      <c r="C90" s="5">
        <f t="shared" ca="1" si="73"/>
        <v>-0.17117794374076636</v>
      </c>
      <c r="D90" s="5">
        <f t="shared" ca="1" si="59"/>
        <v>6.2923688990307536E-2</v>
      </c>
      <c r="E90" s="5">
        <f t="shared" ca="1" si="74"/>
        <v>9.2540742805380383E-4</v>
      </c>
      <c r="F90" s="5">
        <f t="shared" ca="1" si="75"/>
        <v>-3.1131825721222399</v>
      </c>
      <c r="G90" s="5">
        <f t="shared" ca="1" si="60"/>
        <v>-0.31632825793756203</v>
      </c>
      <c r="H90" s="5">
        <f t="shared" ca="1" si="76"/>
        <v>0.37594631864329975</v>
      </c>
      <c r="I90" s="5">
        <f t="shared" ca="1" si="77"/>
        <v>-0.31614475574192763</v>
      </c>
      <c r="J90" s="5">
        <f t="shared" ca="1" si="61"/>
        <v>4.0059878148527073E-2</v>
      </c>
      <c r="K90" s="5">
        <f t="shared" ca="1" si="78"/>
        <v>0.15097774715478773</v>
      </c>
      <c r="L90" s="5">
        <f t="shared" ca="1" si="79"/>
        <v>-1.0322489818504346</v>
      </c>
      <c r="M90" s="5">
        <f t="shared" ca="1" si="62"/>
        <v>-6.5867835743699366E-2</v>
      </c>
      <c r="N90" s="5">
        <f t="shared" ca="1" si="80"/>
        <v>0.88238984471563797</v>
      </c>
      <c r="O90" s="5">
        <f t="shared" ca="1" si="81"/>
        <v>1.1870185324219047</v>
      </c>
      <c r="P90" s="5">
        <f t="shared" ca="1" si="63"/>
        <v>0.30310878122247131</v>
      </c>
      <c r="Q90" s="5">
        <f t="shared" ca="1" si="82"/>
        <v>0.82063559355258564</v>
      </c>
      <c r="R90" s="5">
        <f t="shared" ca="1" si="83"/>
        <v>0.91779001087887568</v>
      </c>
      <c r="S90" s="5">
        <f t="shared" ca="1" si="64"/>
        <v>0.25153212609462017</v>
      </c>
      <c r="T90" s="5">
        <f t="shared" ca="1" si="84"/>
        <v>8.4959023438189951E-2</v>
      </c>
      <c r="U90" s="5">
        <f t="shared" ca="1" si="85"/>
        <v>-1.3724671872272725</v>
      </c>
      <c r="V90" s="5">
        <f t="shared" ca="1" si="65"/>
        <v>-0.11234318304796198</v>
      </c>
      <c r="W90" s="5">
        <f t="shared" ca="1" si="86"/>
        <v>3.0947918026304033E-2</v>
      </c>
      <c r="X90" s="5">
        <f t="shared" ca="1" si="87"/>
        <v>-1.8670411896484111</v>
      </c>
      <c r="Y90" s="5">
        <f t="shared" ca="1" si="66"/>
        <v>-0.17581163627828056</v>
      </c>
      <c r="Z90" s="5">
        <f t="shared" ca="1" si="88"/>
        <v>0.85648103719758706</v>
      </c>
      <c r="AA90" s="5">
        <f t="shared" ca="1" si="89"/>
        <v>1.0646420891238186</v>
      </c>
      <c r="AB90" s="5">
        <f t="shared" ca="1" si="67"/>
        <v>0.27940651898778834</v>
      </c>
      <c r="AC90" s="5">
        <f t="shared" ca="1" si="90"/>
        <v>0.22572505846765778</v>
      </c>
      <c r="AD90" s="5">
        <f t="shared" ca="1" si="91"/>
        <v>-0.75299966232562277</v>
      </c>
      <c r="AE90" s="5">
        <f t="shared" ca="1" si="68"/>
        <v>-2.5908414379354316E-2</v>
      </c>
      <c r="AF90" s="5">
        <f t="shared" ca="1" si="48"/>
        <v>1.0629236889903075</v>
      </c>
      <c r="AG90" s="5">
        <f t="shared" ca="1" si="49"/>
        <v>0.68367174206243797</v>
      </c>
      <c r="AH90" s="5">
        <f t="shared" ca="1" si="50"/>
        <v>1.0400598781485271</v>
      </c>
      <c r="AI90" s="5">
        <f t="shared" ca="1" si="51"/>
        <v>0.93413216425630063</v>
      </c>
      <c r="AJ90" s="5">
        <f t="shared" ca="1" si="52"/>
        <v>1.3031087812224713</v>
      </c>
      <c r="AK90" s="5">
        <f t="shared" ca="1" si="53"/>
        <v>1.2515321260946202</v>
      </c>
      <c r="AL90" s="5">
        <f t="shared" ca="1" si="54"/>
        <v>0.88765681695203802</v>
      </c>
      <c r="AM90" s="5">
        <f t="shared" ca="1" si="55"/>
        <v>0.82418836372171944</v>
      </c>
      <c r="AN90" s="5">
        <f t="shared" ca="1" si="56"/>
        <v>1.2794065189877883</v>
      </c>
      <c r="AO90" s="5">
        <f t="shared" ca="1" si="57"/>
        <v>0.97409158562064568</v>
      </c>
      <c r="AP90" s="5">
        <f t="shared" ca="1" si="58"/>
        <v>1.0498300048981419</v>
      </c>
      <c r="AQ90" s="4">
        <f t="shared" ca="1" si="69"/>
        <v>10498.300048981419</v>
      </c>
      <c r="AR90">
        <f t="shared" ca="1" si="70"/>
        <v>0</v>
      </c>
      <c r="AS90">
        <f t="shared" ca="1" si="71"/>
        <v>0</v>
      </c>
    </row>
    <row r="91" spans="1:45" x14ac:dyDescent="0.25">
      <c r="A91" s="10">
        <f t="shared" si="47"/>
        <v>70</v>
      </c>
      <c r="B91" s="5">
        <f t="shared" ca="1" si="72"/>
        <v>0.77267290356828866</v>
      </c>
      <c r="C91" s="5">
        <f t="shared" ca="1" si="73"/>
        <v>0.74767835023118945</v>
      </c>
      <c r="D91" s="5">
        <f t="shared" ca="1" si="59"/>
        <v>0.22000109042369353</v>
      </c>
      <c r="E91" s="5">
        <f t="shared" ca="1" si="74"/>
        <v>0.32770908158874723</v>
      </c>
      <c r="F91" s="5">
        <f t="shared" ca="1" si="75"/>
        <v>-0.44624793153352477</v>
      </c>
      <c r="G91" s="5">
        <f t="shared" ca="1" si="60"/>
        <v>1.9959387441808474E-2</v>
      </c>
      <c r="H91" s="5">
        <f t="shared" ca="1" si="76"/>
        <v>0.84256079255664962</v>
      </c>
      <c r="I91" s="5">
        <f t="shared" ca="1" si="77"/>
        <v>1.0050382855564985</v>
      </c>
      <c r="J91" s="5">
        <f t="shared" ca="1" si="61"/>
        <v>0.26801887662628876</v>
      </c>
      <c r="K91" s="5">
        <f t="shared" ca="1" si="78"/>
        <v>0.28812385316562084</v>
      </c>
      <c r="L91" s="5">
        <f t="shared" ca="1" si="79"/>
        <v>-0.55887401247939072</v>
      </c>
      <c r="M91" s="5">
        <f t="shared" ca="1" si="62"/>
        <v>2.8730173545978843E-3</v>
      </c>
      <c r="N91" s="5">
        <f t="shared" ca="1" si="80"/>
        <v>0.84160276937882394</v>
      </c>
      <c r="O91" s="5">
        <f t="shared" ca="1" si="81"/>
        <v>1.0010669101730416</v>
      </c>
      <c r="P91" s="5">
        <f t="shared" ca="1" si="63"/>
        <v>0.26726373472715736</v>
      </c>
      <c r="Q91" s="5">
        <f t="shared" ca="1" si="82"/>
        <v>0.65977268787749443</v>
      </c>
      <c r="R91" s="5">
        <f t="shared" ca="1" si="83"/>
        <v>0.41184283290481533</v>
      </c>
      <c r="S91" s="5">
        <f t="shared" ca="1" si="64"/>
        <v>0.16006544883452922</v>
      </c>
      <c r="T91" s="5">
        <f t="shared" ca="1" si="84"/>
        <v>0.76769395671484875</v>
      </c>
      <c r="U91" s="5">
        <f t="shared" ca="1" si="85"/>
        <v>0.73127354413620838</v>
      </c>
      <c r="V91" s="5">
        <f t="shared" ca="1" si="65"/>
        <v>0.21700269884049761</v>
      </c>
      <c r="W91" s="5">
        <f t="shared" ca="1" si="86"/>
        <v>0.48498932256822913</v>
      </c>
      <c r="X91" s="5">
        <f t="shared" ca="1" si="87"/>
        <v>-3.7635070961346266E-2</v>
      </c>
      <c r="Y91" s="5">
        <f t="shared" ca="1" si="66"/>
        <v>8.4430255955717071E-2</v>
      </c>
      <c r="Z91" s="5">
        <f t="shared" ca="1" si="88"/>
        <v>0.99398315753949984</v>
      </c>
      <c r="AA91" s="5">
        <f t="shared" ca="1" si="89"/>
        <v>2.511154992502183</v>
      </c>
      <c r="AB91" s="5">
        <f t="shared" ca="1" si="67"/>
        <v>0.58942648336192893</v>
      </c>
      <c r="AC91" s="5">
        <f t="shared" ca="1" si="90"/>
        <v>0.13628262606744967</v>
      </c>
      <c r="AD91" s="5">
        <f t="shared" ca="1" si="91"/>
        <v>-1.0971741931425727</v>
      </c>
      <c r="AE91" s="5">
        <f t="shared" ca="1" si="68"/>
        <v>-7.4920990064878512E-2</v>
      </c>
      <c r="AF91" s="5">
        <f t="shared" ca="1" si="48"/>
        <v>1.2200010904236935</v>
      </c>
      <c r="AG91" s="5">
        <f t="shared" ca="1" si="49"/>
        <v>1.0199593874418085</v>
      </c>
      <c r="AH91" s="5">
        <f t="shared" ca="1" si="50"/>
        <v>1.2680188766262888</v>
      </c>
      <c r="AI91" s="5">
        <f t="shared" ca="1" si="51"/>
        <v>1.0028730173545979</v>
      </c>
      <c r="AJ91" s="5">
        <f t="shared" ca="1" si="52"/>
        <v>1.2672637347271574</v>
      </c>
      <c r="AK91" s="5">
        <f t="shared" ca="1" si="53"/>
        <v>1.1600654488345292</v>
      </c>
      <c r="AL91" s="5">
        <f t="shared" ca="1" si="54"/>
        <v>1.2170026988404976</v>
      </c>
      <c r="AM91" s="5">
        <f t="shared" ca="1" si="55"/>
        <v>1.0844302559557171</v>
      </c>
      <c r="AN91" s="5">
        <f t="shared" ca="1" si="56"/>
        <v>1.5894264833619289</v>
      </c>
      <c r="AO91" s="5">
        <f t="shared" ca="1" si="57"/>
        <v>0.92507900993512149</v>
      </c>
      <c r="AP91" s="5">
        <f t="shared" ca="1" si="58"/>
        <v>4.5141574407407949</v>
      </c>
      <c r="AQ91" s="4">
        <f t="shared" ca="1" si="69"/>
        <v>45141.574407407948</v>
      </c>
      <c r="AR91">
        <f t="shared" ca="1" si="70"/>
        <v>1</v>
      </c>
      <c r="AS91">
        <f t="shared" ca="1" si="71"/>
        <v>0</v>
      </c>
    </row>
    <row r="92" spans="1:45" x14ac:dyDescent="0.25">
      <c r="A92" s="10">
        <f t="shared" ref="A92:A155" si="92">A91+1</f>
        <v>71</v>
      </c>
      <c r="B92" s="5">
        <f t="shared" ca="1" si="72"/>
        <v>0.1567495693335591</v>
      </c>
      <c r="C92" s="5">
        <f t="shared" ca="1" si="73"/>
        <v>-1.0079069420297222</v>
      </c>
      <c r="D92" s="5">
        <f t="shared" ca="1" si="59"/>
        <v>-6.2450798865434365E-2</v>
      </c>
      <c r="E92" s="5">
        <f t="shared" ca="1" si="74"/>
        <v>0.91858848484679179</v>
      </c>
      <c r="F92" s="5">
        <f t="shared" ca="1" si="75"/>
        <v>1.3956396693798483</v>
      </c>
      <c r="G92" s="5">
        <f t="shared" ca="1" si="60"/>
        <v>0.34453193720233366</v>
      </c>
      <c r="H92" s="5">
        <f t="shared" ca="1" si="76"/>
        <v>1.1220416052660998E-2</v>
      </c>
      <c r="I92" s="5">
        <f t="shared" ca="1" si="77"/>
        <v>-2.2828223972140602</v>
      </c>
      <c r="J92" s="5">
        <f t="shared" ca="1" si="61"/>
        <v>-0.22564384262475445</v>
      </c>
      <c r="K92" s="5">
        <f t="shared" ca="1" si="78"/>
        <v>0.71632696566366205</v>
      </c>
      <c r="L92" s="5">
        <f t="shared" ca="1" si="79"/>
        <v>0.5719644358950513</v>
      </c>
      <c r="M92" s="5">
        <f t="shared" ca="1" si="62"/>
        <v>0.18826548165833601</v>
      </c>
      <c r="N92" s="5">
        <f t="shared" ca="1" si="80"/>
        <v>0.9919401532849289</v>
      </c>
      <c r="O92" s="5">
        <f t="shared" ca="1" si="81"/>
        <v>2.4061941945515604</v>
      </c>
      <c r="P92" s="5">
        <f t="shared" ca="1" si="63"/>
        <v>0.56459832417957112</v>
      </c>
      <c r="Q92" s="5">
        <f t="shared" ca="1" si="82"/>
        <v>0.51906774463570549</v>
      </c>
      <c r="R92" s="5">
        <f t="shared" ca="1" si="83"/>
        <v>4.7813960103023447E-2</v>
      </c>
      <c r="S92" s="5">
        <f t="shared" ca="1" si="64"/>
        <v>9.8419242537092222E-2</v>
      </c>
      <c r="T92" s="5">
        <f t="shared" ca="1" si="84"/>
        <v>0.26523751549574026</v>
      </c>
      <c r="U92" s="5">
        <f t="shared" ca="1" si="85"/>
        <v>-0.62728103766903265</v>
      </c>
      <c r="V92" s="5">
        <f t="shared" ca="1" si="65"/>
        <v>-7.3649008663265736E-3</v>
      </c>
      <c r="W92" s="5">
        <f t="shared" ca="1" si="86"/>
        <v>0.67197389167830457</v>
      </c>
      <c r="X92" s="5">
        <f t="shared" ca="1" si="87"/>
        <v>0.44537023795762076</v>
      </c>
      <c r="Y92" s="5">
        <f t="shared" ca="1" si="66"/>
        <v>0.1659142412483019</v>
      </c>
      <c r="Z92" s="5">
        <f t="shared" ca="1" si="88"/>
        <v>0.4842034391967146</v>
      </c>
      <c r="AA92" s="5">
        <f t="shared" ca="1" si="89"/>
        <v>-3.9606458436134008E-2</v>
      </c>
      <c r="AB92" s="5">
        <f t="shared" ca="1" si="67"/>
        <v>8.4109628530539382E-2</v>
      </c>
      <c r="AC92" s="5">
        <f t="shared" ca="1" si="90"/>
        <v>0.76774913573766046</v>
      </c>
      <c r="AD92" s="5">
        <f t="shared" ca="1" si="91"/>
        <v>0.73145426758846488</v>
      </c>
      <c r="AE92" s="5">
        <f t="shared" ca="1" si="68"/>
        <v>0.21703569042704296</v>
      </c>
      <c r="AF92" s="5">
        <f t="shared" ref="AF92:AF155" ca="1" si="93">1+D92</f>
        <v>0.93754920113456564</v>
      </c>
      <c r="AG92" s="5">
        <f t="shared" ref="AG92:AG155" ca="1" si="94">1+G92</f>
        <v>1.3445319372023337</v>
      </c>
      <c r="AH92" s="5">
        <f t="shared" ref="AH92:AH155" ca="1" si="95">1+J92</f>
        <v>0.77435615737524555</v>
      </c>
      <c r="AI92" s="5">
        <f t="shared" ref="AI92:AI155" ca="1" si="96">1+M92</f>
        <v>1.188265481658336</v>
      </c>
      <c r="AJ92" s="5">
        <f t="shared" ref="AJ92:AJ155" ca="1" si="97">1+P92</f>
        <v>1.5645983241795711</v>
      </c>
      <c r="AK92" s="5">
        <f t="shared" ref="AK92:AK155" ca="1" si="98">1+S92</f>
        <v>1.0984192425370922</v>
      </c>
      <c r="AL92" s="5">
        <f t="shared" ref="AL92:AL155" ca="1" si="99">1+V92</f>
        <v>0.99263509913367343</v>
      </c>
      <c r="AM92" s="5">
        <f t="shared" ref="AM92:AM155" ca="1" si="100">1+Y92</f>
        <v>1.1659142412483019</v>
      </c>
      <c r="AN92" s="5">
        <f t="shared" ref="AN92:AN155" ca="1" si="101">1+AB92</f>
        <v>1.0841096285305394</v>
      </c>
      <c r="AO92" s="5">
        <f t="shared" ref="AO92:AO155" ca="1" si="102">1+AE92</f>
        <v>1.217035690427043</v>
      </c>
      <c r="AP92" s="5">
        <f t="shared" ref="AP92:AP155" ca="1" si="103">PRODUCT(AF92:AO92)</f>
        <v>3.0438494764592821</v>
      </c>
      <c r="AQ92" s="4">
        <f t="shared" ca="1" si="69"/>
        <v>30438.494764592822</v>
      </c>
      <c r="AR92">
        <f t="shared" ca="1" si="70"/>
        <v>1</v>
      </c>
      <c r="AS92">
        <f t="shared" ca="1" si="71"/>
        <v>0</v>
      </c>
    </row>
    <row r="93" spans="1:45" x14ac:dyDescent="0.25">
      <c r="A93" s="10">
        <f t="shared" si="92"/>
        <v>72</v>
      </c>
      <c r="B93" s="5">
        <f t="shared" ca="1" si="72"/>
        <v>0.95708420201353039</v>
      </c>
      <c r="C93" s="5">
        <f t="shared" ca="1" si="73"/>
        <v>1.7178082514186281</v>
      </c>
      <c r="D93" s="5">
        <f t="shared" ca="1" si="59"/>
        <v>0.41110239270723792</v>
      </c>
      <c r="E93" s="5">
        <f t="shared" ca="1" si="74"/>
        <v>0.31134015244409063</v>
      </c>
      <c r="F93" s="5">
        <f t="shared" ca="1" si="75"/>
        <v>-0.49205522353386993</v>
      </c>
      <c r="G93" s="5">
        <f t="shared" ca="1" si="60"/>
        <v>1.2975172893259446E-2</v>
      </c>
      <c r="H93" s="5">
        <f t="shared" ca="1" si="76"/>
        <v>0.77165888916589565</v>
      </c>
      <c r="I93" s="5">
        <f t="shared" ca="1" si="77"/>
        <v>0.74432112887071855</v>
      </c>
      <c r="J93" s="5">
        <f t="shared" ca="1" si="61"/>
        <v>0.21938687303336923</v>
      </c>
      <c r="K93" s="5">
        <f t="shared" ca="1" si="78"/>
        <v>0.25951264127793494</v>
      </c>
      <c r="L93" s="5">
        <f t="shared" ca="1" si="79"/>
        <v>-0.64484863256000147</v>
      </c>
      <c r="M93" s="5">
        <f t="shared" ca="1" si="62"/>
        <v>-9.9771891774030896E-3</v>
      </c>
      <c r="N93" s="5">
        <f t="shared" ca="1" si="80"/>
        <v>5.6611007441551009E-2</v>
      </c>
      <c r="O93" s="5">
        <f t="shared" ca="1" si="81"/>
        <v>-1.5838756706913977</v>
      </c>
      <c r="P93" s="5">
        <f t="shared" ca="1" si="63"/>
        <v>-0.14005027487787747</v>
      </c>
      <c r="Q93" s="5">
        <f t="shared" ca="1" si="82"/>
        <v>0.79661113500969627</v>
      </c>
      <c r="R93" s="5">
        <f t="shared" ca="1" si="83"/>
        <v>0.82957745119182658</v>
      </c>
      <c r="S93" s="5">
        <f t="shared" ca="1" si="64"/>
        <v>0.23508107744580009</v>
      </c>
      <c r="T93" s="5">
        <f t="shared" ca="1" si="84"/>
        <v>0.82014840013047607</v>
      </c>
      <c r="U93" s="5">
        <f t="shared" ca="1" si="85"/>
        <v>0.9159307835514513</v>
      </c>
      <c r="V93" s="5">
        <f t="shared" ca="1" si="65"/>
        <v>0.25118314235039274</v>
      </c>
      <c r="W93" s="5">
        <f t="shared" ca="1" si="86"/>
        <v>0.61345027057011003</v>
      </c>
      <c r="X93" s="5">
        <f t="shared" ca="1" si="87"/>
        <v>0.28832305752671433</v>
      </c>
      <c r="Y93" s="5">
        <f t="shared" ca="1" si="66"/>
        <v>0.13876968806104983</v>
      </c>
      <c r="Z93" s="5">
        <f t="shared" ca="1" si="88"/>
        <v>0.77081966132583069</v>
      </c>
      <c r="AA93" s="5">
        <f t="shared" ca="1" si="89"/>
        <v>0.74154892713013054</v>
      </c>
      <c r="AB93" s="5">
        <f t="shared" ca="1" si="67"/>
        <v>0.21887992048199911</v>
      </c>
      <c r="AC93" s="5">
        <f t="shared" ca="1" si="90"/>
        <v>0.44610752736072401</v>
      </c>
      <c r="AD93" s="5">
        <f t="shared" ca="1" si="91"/>
        <v>-0.13550190937090159</v>
      </c>
      <c r="AE93" s="5">
        <f t="shared" ca="1" si="68"/>
        <v>6.862707124315226E-2</v>
      </c>
      <c r="AF93" s="5">
        <f t="shared" ca="1" si="93"/>
        <v>1.4111023927072379</v>
      </c>
      <c r="AG93" s="5">
        <f t="shared" ca="1" si="94"/>
        <v>1.0129751728932594</v>
      </c>
      <c r="AH93" s="5">
        <f t="shared" ca="1" si="95"/>
        <v>1.2193868730333692</v>
      </c>
      <c r="AI93" s="5">
        <f t="shared" ca="1" si="96"/>
        <v>0.99002281082259691</v>
      </c>
      <c r="AJ93" s="5">
        <f t="shared" ca="1" si="97"/>
        <v>0.85994972512212253</v>
      </c>
      <c r="AK93" s="5">
        <f t="shared" ca="1" si="98"/>
        <v>1.2350810774458001</v>
      </c>
      <c r="AL93" s="5">
        <f t="shared" ca="1" si="99"/>
        <v>1.2511831423503927</v>
      </c>
      <c r="AM93" s="5">
        <f t="shared" ca="1" si="100"/>
        <v>1.1387696880610498</v>
      </c>
      <c r="AN93" s="5">
        <f t="shared" ca="1" si="101"/>
        <v>1.2188799204819991</v>
      </c>
      <c r="AO93" s="5">
        <f t="shared" ca="1" si="102"/>
        <v>1.0686270712431523</v>
      </c>
      <c r="AP93" s="5">
        <f t="shared" ca="1" si="103"/>
        <v>3.4013901800152939</v>
      </c>
      <c r="AQ93" s="4">
        <f t="shared" ca="1" si="69"/>
        <v>34013.90180015294</v>
      </c>
      <c r="AR93">
        <f t="shared" ca="1" si="70"/>
        <v>1</v>
      </c>
      <c r="AS93">
        <f t="shared" ca="1" si="71"/>
        <v>0</v>
      </c>
    </row>
    <row r="94" spans="1:45" x14ac:dyDescent="0.25">
      <c r="A94" s="10">
        <f t="shared" si="92"/>
        <v>73</v>
      </c>
      <c r="B94" s="5">
        <f t="shared" ca="1" si="72"/>
        <v>0.1234233506570126</v>
      </c>
      <c r="C94" s="5">
        <f t="shared" ca="1" si="73"/>
        <v>-1.1580424799120068</v>
      </c>
      <c r="D94" s="5">
        <f t="shared" ca="1" si="59"/>
        <v>-8.3328745402592386E-2</v>
      </c>
      <c r="E94" s="5">
        <f t="shared" ca="1" si="74"/>
        <v>0.79155670211502427</v>
      </c>
      <c r="F94" s="5">
        <f t="shared" ca="1" si="75"/>
        <v>0.81183451228631998</v>
      </c>
      <c r="G94" s="5">
        <f t="shared" ca="1" si="60"/>
        <v>0.23179835255746628</v>
      </c>
      <c r="H94" s="5">
        <f t="shared" ca="1" si="76"/>
        <v>0.73684836181762203</v>
      </c>
      <c r="I94" s="5">
        <f t="shared" ca="1" si="77"/>
        <v>0.63365917034844399</v>
      </c>
      <c r="J94" s="5">
        <f t="shared" ca="1" si="61"/>
        <v>0.19931297925069869</v>
      </c>
      <c r="K94" s="5">
        <f t="shared" ca="1" si="78"/>
        <v>7.6117358517862055E-3</v>
      </c>
      <c r="L94" s="5">
        <f t="shared" ca="1" si="79"/>
        <v>-2.4270186869397645</v>
      </c>
      <c r="M94" s="5">
        <f t="shared" ca="1" si="62"/>
        <v>-0.24221289964932058</v>
      </c>
      <c r="N94" s="5">
        <f t="shared" ca="1" si="80"/>
        <v>0.4113410171569144</v>
      </c>
      <c r="O94" s="5">
        <f t="shared" ca="1" si="81"/>
        <v>-0.22409673327901106</v>
      </c>
      <c r="P94" s="5">
        <f t="shared" ca="1" si="63"/>
        <v>5.4519792171590309E-2</v>
      </c>
      <c r="Q94" s="5">
        <f t="shared" ca="1" si="82"/>
        <v>0.70762682042814107</v>
      </c>
      <c r="R94" s="5">
        <f t="shared" ca="1" si="83"/>
        <v>0.54646497233209312</v>
      </c>
      <c r="S94" s="5">
        <f t="shared" ca="1" si="64"/>
        <v>0.18372914290135434</v>
      </c>
      <c r="T94" s="5">
        <f t="shared" ca="1" si="84"/>
        <v>0.3802883221510448</v>
      </c>
      <c r="U94" s="5">
        <f t="shared" ca="1" si="85"/>
        <v>-0.30472363864017293</v>
      </c>
      <c r="V94" s="5">
        <f t="shared" ca="1" si="65"/>
        <v>4.1843202127939794E-2</v>
      </c>
      <c r="W94" s="5">
        <f t="shared" ca="1" si="86"/>
        <v>0.40389158224377919</v>
      </c>
      <c r="X94" s="5">
        <f t="shared" ca="1" si="87"/>
        <v>-0.24328688370954499</v>
      </c>
      <c r="Y94" s="5">
        <f t="shared" ca="1" si="66"/>
        <v>5.1488697784765058E-2</v>
      </c>
      <c r="Z94" s="5">
        <f t="shared" ca="1" si="88"/>
        <v>0.29317739118439234</v>
      </c>
      <c r="AA94" s="5">
        <f t="shared" ca="1" si="89"/>
        <v>-0.54412598182918281</v>
      </c>
      <c r="AB94" s="5">
        <f t="shared" ca="1" si="67"/>
        <v>5.0940334195284098E-3</v>
      </c>
      <c r="AC94" s="5">
        <f t="shared" ca="1" si="90"/>
        <v>0.98592772679611163</v>
      </c>
      <c r="AD94" s="5">
        <f t="shared" ca="1" si="91"/>
        <v>2.1952656640461301</v>
      </c>
      <c r="AE94" s="5">
        <f t="shared" ca="1" si="68"/>
        <v>0.51587048211122566</v>
      </c>
      <c r="AF94" s="5">
        <f t="shared" ca="1" si="93"/>
        <v>0.91667125459740761</v>
      </c>
      <c r="AG94" s="5">
        <f t="shared" ca="1" si="94"/>
        <v>1.2317983525574663</v>
      </c>
      <c r="AH94" s="5">
        <f t="shared" ca="1" si="95"/>
        <v>1.1993129792506987</v>
      </c>
      <c r="AI94" s="5">
        <f t="shared" ca="1" si="96"/>
        <v>0.75778710035067942</v>
      </c>
      <c r="AJ94" s="5">
        <f t="shared" ca="1" si="97"/>
        <v>1.0545197921715903</v>
      </c>
      <c r="AK94" s="5">
        <f t="shared" ca="1" si="98"/>
        <v>1.1837291429013543</v>
      </c>
      <c r="AL94" s="5">
        <f t="shared" ca="1" si="99"/>
        <v>1.0418432021279398</v>
      </c>
      <c r="AM94" s="5">
        <f t="shared" ca="1" si="100"/>
        <v>1.0514886977847651</v>
      </c>
      <c r="AN94" s="5">
        <f t="shared" ca="1" si="101"/>
        <v>1.0050940334195284</v>
      </c>
      <c r="AO94" s="5">
        <f t="shared" ca="1" si="102"/>
        <v>1.5158704821112257</v>
      </c>
      <c r="AP94" s="5">
        <f t="shared" ca="1" si="103"/>
        <v>2.1380399266732555</v>
      </c>
      <c r="AQ94" s="4">
        <f t="shared" ca="1" si="69"/>
        <v>21380.399266732555</v>
      </c>
      <c r="AR94">
        <f t="shared" ca="1" si="70"/>
        <v>0</v>
      </c>
      <c r="AS94">
        <f t="shared" ca="1" si="71"/>
        <v>0</v>
      </c>
    </row>
    <row r="95" spans="1:45" x14ac:dyDescent="0.25">
      <c r="A95" s="10">
        <f t="shared" si="92"/>
        <v>74</v>
      </c>
      <c r="B95" s="5">
        <f t="shared" ca="1" si="72"/>
        <v>0.44302422720249124</v>
      </c>
      <c r="C95" s="5">
        <f t="shared" ca="1" si="73"/>
        <v>-0.14330607980428775</v>
      </c>
      <c r="D95" s="5">
        <f t="shared" ca="1" si="59"/>
        <v>6.7376840992614762E-2</v>
      </c>
      <c r="E95" s="5">
        <f t="shared" ca="1" si="74"/>
        <v>0.3825965648191102</v>
      </c>
      <c r="F95" s="5">
        <f t="shared" ca="1" si="75"/>
        <v>-0.29866832218255973</v>
      </c>
      <c r="G95" s="5">
        <f t="shared" ca="1" si="60"/>
        <v>4.2789935563857906E-2</v>
      </c>
      <c r="H95" s="5">
        <f t="shared" ca="1" si="76"/>
        <v>1.6227793099970023E-2</v>
      </c>
      <c r="I95" s="5">
        <f t="shared" ca="1" si="77"/>
        <v>-2.1387541297220536</v>
      </c>
      <c r="J95" s="5">
        <f t="shared" ca="1" si="61"/>
        <v>-0.20872769746140929</v>
      </c>
      <c r="K95" s="5">
        <f t="shared" ca="1" si="78"/>
        <v>0.52053844091966084</v>
      </c>
      <c r="L95" s="5">
        <f t="shared" ca="1" si="79"/>
        <v>5.1504999444060166E-2</v>
      </c>
      <c r="M95" s="5">
        <f t="shared" ca="1" si="62"/>
        <v>9.9027557215632278E-2</v>
      </c>
      <c r="N95" s="5">
        <f t="shared" ca="1" si="80"/>
        <v>0.67198094753122661</v>
      </c>
      <c r="O95" s="5">
        <f t="shared" ca="1" si="81"/>
        <v>0.44538976846415856</v>
      </c>
      <c r="P95" s="5">
        <f t="shared" ca="1" si="63"/>
        <v>0.16591765688766169</v>
      </c>
      <c r="Q95" s="5">
        <f t="shared" ca="1" si="82"/>
        <v>0.32583589433188676</v>
      </c>
      <c r="R95" s="5">
        <f t="shared" ca="1" si="83"/>
        <v>-0.45144093113267703</v>
      </c>
      <c r="S95" s="5">
        <f t="shared" ca="1" si="64"/>
        <v>1.916519949477169E-2</v>
      </c>
      <c r="T95" s="5">
        <f t="shared" ca="1" si="84"/>
        <v>0.45287703447055394</v>
      </c>
      <c r="U95" s="5">
        <f t="shared" ca="1" si="85"/>
        <v>-0.11839578049687299</v>
      </c>
      <c r="V95" s="5">
        <f t="shared" ca="1" si="65"/>
        <v>7.1372603003136526E-2</v>
      </c>
      <c r="W95" s="5">
        <f t="shared" ca="1" si="86"/>
        <v>0.8490707112940894</v>
      </c>
      <c r="X95" s="5">
        <f t="shared" ca="1" si="87"/>
        <v>1.0324559409199527</v>
      </c>
      <c r="Y95" s="5">
        <f t="shared" ca="1" si="66"/>
        <v>0.27324453058228082</v>
      </c>
      <c r="Z95" s="5">
        <f t="shared" ca="1" si="88"/>
        <v>0.32474858410579388</v>
      </c>
      <c r="AA95" s="5">
        <f t="shared" ca="1" si="89"/>
        <v>-0.45446084422190891</v>
      </c>
      <c r="AB95" s="5">
        <f t="shared" ca="1" si="67"/>
        <v>1.8703635494994986E-2</v>
      </c>
      <c r="AC95" s="5">
        <f t="shared" ca="1" si="90"/>
        <v>0.55898605114761502</v>
      </c>
      <c r="AD95" s="5">
        <f t="shared" ca="1" si="91"/>
        <v>0.1483989892469014</v>
      </c>
      <c r="AE95" s="5">
        <f t="shared" ca="1" si="68"/>
        <v>0.11511757567325764</v>
      </c>
      <c r="AF95" s="5">
        <f t="shared" ca="1" si="93"/>
        <v>1.0673768409926148</v>
      </c>
      <c r="AG95" s="5">
        <f t="shared" ca="1" si="94"/>
        <v>1.0427899355638579</v>
      </c>
      <c r="AH95" s="5">
        <f t="shared" ca="1" si="95"/>
        <v>0.79127230253859071</v>
      </c>
      <c r="AI95" s="5">
        <f t="shared" ca="1" si="96"/>
        <v>1.0990275572156323</v>
      </c>
      <c r="AJ95" s="5">
        <f t="shared" ca="1" si="97"/>
        <v>1.1659176568876617</v>
      </c>
      <c r="AK95" s="5">
        <f t="shared" ca="1" si="98"/>
        <v>1.0191651994947717</v>
      </c>
      <c r="AL95" s="5">
        <f t="shared" ca="1" si="99"/>
        <v>1.0713726030031365</v>
      </c>
      <c r="AM95" s="5">
        <f t="shared" ca="1" si="100"/>
        <v>1.2732445305822808</v>
      </c>
      <c r="AN95" s="5">
        <f t="shared" ca="1" si="101"/>
        <v>1.018703635494995</v>
      </c>
      <c r="AO95" s="5">
        <f t="shared" ca="1" si="102"/>
        <v>1.1151175756732576</v>
      </c>
      <c r="AP95" s="5">
        <f t="shared" ca="1" si="103"/>
        <v>1.7823069091519883</v>
      </c>
      <c r="AQ95" s="4">
        <f t="shared" ca="1" si="69"/>
        <v>17823.069091519883</v>
      </c>
      <c r="AR95">
        <f t="shared" ca="1" si="70"/>
        <v>0</v>
      </c>
      <c r="AS95">
        <f t="shared" ca="1" si="71"/>
        <v>0</v>
      </c>
    </row>
    <row r="96" spans="1:45" x14ac:dyDescent="0.25">
      <c r="A96" s="10">
        <f t="shared" si="92"/>
        <v>75</v>
      </c>
      <c r="B96" s="5">
        <f t="shared" ca="1" si="72"/>
        <v>0.39490085746514447</v>
      </c>
      <c r="C96" s="5">
        <f t="shared" ca="1" si="73"/>
        <v>-0.26656810608240278</v>
      </c>
      <c r="D96" s="5">
        <f t="shared" ca="1" si="59"/>
        <v>4.7823110631894039E-2</v>
      </c>
      <c r="E96" s="5">
        <f t="shared" ca="1" si="74"/>
        <v>0.20746212036279399</v>
      </c>
      <c r="F96" s="5">
        <f t="shared" ca="1" si="75"/>
        <v>-0.815258705429874</v>
      </c>
      <c r="G96" s="5">
        <f t="shared" ca="1" si="60"/>
        <v>-3.4962970474892718E-2</v>
      </c>
      <c r="H96" s="5">
        <f t="shared" ca="1" si="76"/>
        <v>0.75152784113071536</v>
      </c>
      <c r="I96" s="5">
        <f t="shared" ca="1" si="77"/>
        <v>0.67930549137462437</v>
      </c>
      <c r="J96" s="5">
        <f t="shared" ca="1" si="61"/>
        <v>0.20755278962653345</v>
      </c>
      <c r="K96" s="5">
        <f t="shared" ca="1" si="78"/>
        <v>0.9661513260329988</v>
      </c>
      <c r="L96" s="5">
        <f t="shared" ca="1" si="79"/>
        <v>1.8270161051901441</v>
      </c>
      <c r="M96" s="5">
        <f t="shared" ca="1" si="62"/>
        <v>0.43440828005448684</v>
      </c>
      <c r="N96" s="5">
        <f t="shared" ca="1" si="80"/>
        <v>0.87782248726294276</v>
      </c>
      <c r="O96" s="5">
        <f t="shared" ca="1" si="81"/>
        <v>1.1641702463225234</v>
      </c>
      <c r="P96" s="5">
        <f t="shared" ca="1" si="63"/>
        <v>0.29865035530304795</v>
      </c>
      <c r="Q96" s="5">
        <f t="shared" ca="1" si="82"/>
        <v>0.3152289695940611</v>
      </c>
      <c r="R96" s="5">
        <f t="shared" ca="1" si="83"/>
        <v>-0.48108239589217716</v>
      </c>
      <c r="S96" s="5">
        <f t="shared" ca="1" si="64"/>
        <v>1.4643826051434994E-2</v>
      </c>
      <c r="T96" s="5">
        <f t="shared" ca="1" si="84"/>
        <v>0.13053474016161293</v>
      </c>
      <c r="U96" s="5">
        <f t="shared" ca="1" si="85"/>
        <v>-1.1238669350417403</v>
      </c>
      <c r="V96" s="5">
        <f t="shared" ca="1" si="65"/>
        <v>-7.8617519126598756E-2</v>
      </c>
      <c r="W96" s="5">
        <f t="shared" ca="1" si="86"/>
        <v>0.36611039783149357</v>
      </c>
      <c r="X96" s="5">
        <f t="shared" ca="1" si="87"/>
        <v>-0.34217287696176352</v>
      </c>
      <c r="Y96" s="5">
        <f t="shared" ca="1" si="66"/>
        <v>3.6007173929546443E-2</v>
      </c>
      <c r="Z96" s="5">
        <f t="shared" ca="1" si="88"/>
        <v>0.51627400729135609</v>
      </c>
      <c r="AA96" s="5">
        <f t="shared" ca="1" si="89"/>
        <v>4.0804207044688796E-2</v>
      </c>
      <c r="AB96" s="5">
        <f t="shared" ca="1" si="67"/>
        <v>9.7264902369700534E-2</v>
      </c>
      <c r="AC96" s="5">
        <f t="shared" ca="1" si="90"/>
        <v>0.66395587213097851</v>
      </c>
      <c r="AD96" s="5">
        <f t="shared" ca="1" si="91"/>
        <v>0.42328374058023749</v>
      </c>
      <c r="AE96" s="5">
        <f t="shared" ca="1" si="68"/>
        <v>0.16205798833467533</v>
      </c>
      <c r="AF96" s="5">
        <f t="shared" ca="1" si="93"/>
        <v>1.047823110631894</v>
      </c>
      <c r="AG96" s="5">
        <f t="shared" ca="1" si="94"/>
        <v>0.96503702952510728</v>
      </c>
      <c r="AH96" s="5">
        <f t="shared" ca="1" si="95"/>
        <v>1.2075527896265335</v>
      </c>
      <c r="AI96" s="5">
        <f t="shared" ca="1" si="96"/>
        <v>1.4344082800544868</v>
      </c>
      <c r="AJ96" s="5">
        <f t="shared" ca="1" si="97"/>
        <v>1.298650355303048</v>
      </c>
      <c r="AK96" s="5">
        <f t="shared" ca="1" si="98"/>
        <v>1.014643826051435</v>
      </c>
      <c r="AL96" s="5">
        <f t="shared" ca="1" si="99"/>
        <v>0.92138248087340124</v>
      </c>
      <c r="AM96" s="5">
        <f t="shared" ca="1" si="100"/>
        <v>1.0360071739295464</v>
      </c>
      <c r="AN96" s="5">
        <f t="shared" ca="1" si="101"/>
        <v>1.0972649023697005</v>
      </c>
      <c r="AO96" s="5">
        <f t="shared" ca="1" si="102"/>
        <v>1.1620579883346753</v>
      </c>
      <c r="AP96" s="5">
        <f t="shared" ca="1" si="103"/>
        <v>2.8090451340923779</v>
      </c>
      <c r="AQ96" s="4">
        <f t="shared" ca="1" si="69"/>
        <v>28090.451340923777</v>
      </c>
      <c r="AR96">
        <f t="shared" ca="1" si="70"/>
        <v>1</v>
      </c>
      <c r="AS96">
        <f t="shared" ca="1" si="71"/>
        <v>0</v>
      </c>
    </row>
    <row r="97" spans="1:45" x14ac:dyDescent="0.25">
      <c r="A97" s="10">
        <f t="shared" si="92"/>
        <v>76</v>
      </c>
      <c r="B97" s="5">
        <f t="shared" ca="1" si="72"/>
        <v>0.46514342516753648</v>
      </c>
      <c r="C97" s="5">
        <f t="shared" ca="1" si="73"/>
        <v>-8.7483940217138831E-2</v>
      </c>
      <c r="D97" s="5">
        <f t="shared" ca="1" si="59"/>
        <v>7.6351852732655656E-2</v>
      </c>
      <c r="E97" s="5">
        <f t="shared" ca="1" si="74"/>
        <v>8.3099016848072971E-2</v>
      </c>
      <c r="F97" s="5">
        <f t="shared" ca="1" si="75"/>
        <v>-1.3845241007465277</v>
      </c>
      <c r="G97" s="5">
        <f t="shared" ca="1" si="60"/>
        <v>-0.11394709246751678</v>
      </c>
      <c r="H97" s="5">
        <f t="shared" ca="1" si="76"/>
        <v>0.39398215280668558</v>
      </c>
      <c r="I97" s="5">
        <f t="shared" ca="1" si="77"/>
        <v>-0.26895500810029221</v>
      </c>
      <c r="J97" s="5">
        <f t="shared" ca="1" si="61"/>
        <v>4.7448020119149614E-2</v>
      </c>
      <c r="K97" s="5">
        <f t="shared" ca="1" si="78"/>
        <v>0.15172155251743302</v>
      </c>
      <c r="L97" s="5">
        <f t="shared" ca="1" si="79"/>
        <v>-1.0290778259921858</v>
      </c>
      <c r="M97" s="5">
        <f t="shared" ca="1" si="62"/>
        <v>-6.542338824339855E-2</v>
      </c>
      <c r="N97" s="5">
        <f t="shared" ca="1" si="80"/>
        <v>0.75107593696211117</v>
      </c>
      <c r="O97" s="5">
        <f t="shared" ca="1" si="81"/>
        <v>0.67787945716161835</v>
      </c>
      <c r="P97" s="5">
        <f t="shared" ca="1" si="63"/>
        <v>0.2072945155117949</v>
      </c>
      <c r="Q97" s="5">
        <f t="shared" ca="1" si="82"/>
        <v>0.87458661286259953</v>
      </c>
      <c r="R97" s="5">
        <f t="shared" ca="1" si="83"/>
        <v>1.1483435334631189</v>
      </c>
      <c r="S97" s="5">
        <f t="shared" ca="1" si="64"/>
        <v>0.29557100700466843</v>
      </c>
      <c r="T97" s="5">
        <f t="shared" ca="1" si="84"/>
        <v>0.27112886876751718</v>
      </c>
      <c r="U97" s="5">
        <f t="shared" ca="1" si="85"/>
        <v>-0.6094024150240076</v>
      </c>
      <c r="V97" s="5">
        <f t="shared" ca="1" si="65"/>
        <v>-4.6992858953653904E-3</v>
      </c>
      <c r="W97" s="5">
        <f t="shared" ca="1" si="86"/>
        <v>0.35032781423968806</v>
      </c>
      <c r="X97" s="5">
        <f t="shared" ca="1" si="87"/>
        <v>-0.38443558714052478</v>
      </c>
      <c r="Y97" s="5">
        <f t="shared" ca="1" si="66"/>
        <v>2.9460276935662222E-2</v>
      </c>
      <c r="Z97" s="5">
        <f t="shared" ca="1" si="88"/>
        <v>0.69095620741627728</v>
      </c>
      <c r="AA97" s="5">
        <f t="shared" ca="1" si="89"/>
        <v>0.49856256186504622</v>
      </c>
      <c r="AB97" s="5">
        <f t="shared" ca="1" si="67"/>
        <v>0.17525410557575416</v>
      </c>
      <c r="AC97" s="5">
        <f t="shared" ca="1" si="90"/>
        <v>6.0148904925094726E-3</v>
      </c>
      <c r="AD97" s="5">
        <f t="shared" ca="1" si="91"/>
        <v>-2.5112695263193534</v>
      </c>
      <c r="AE97" s="5">
        <f t="shared" ca="1" si="68"/>
        <v>-0.25172927071757478</v>
      </c>
      <c r="AF97" s="5">
        <f t="shared" ca="1" si="93"/>
        <v>1.0763518527326557</v>
      </c>
      <c r="AG97" s="5">
        <f t="shared" ca="1" si="94"/>
        <v>0.88605290753248322</v>
      </c>
      <c r="AH97" s="5">
        <f t="shared" ca="1" si="95"/>
        <v>1.0474480201191496</v>
      </c>
      <c r="AI97" s="5">
        <f t="shared" ca="1" si="96"/>
        <v>0.93457661175660145</v>
      </c>
      <c r="AJ97" s="5">
        <f t="shared" ca="1" si="97"/>
        <v>1.2072945155117949</v>
      </c>
      <c r="AK97" s="5">
        <f t="shared" ca="1" si="98"/>
        <v>1.2955710070046684</v>
      </c>
      <c r="AL97" s="5">
        <f t="shared" ca="1" si="99"/>
        <v>0.99530071410463461</v>
      </c>
      <c r="AM97" s="5">
        <f t="shared" ca="1" si="100"/>
        <v>1.0294602769356622</v>
      </c>
      <c r="AN97" s="5">
        <f t="shared" ca="1" si="101"/>
        <v>1.1752541055757542</v>
      </c>
      <c r="AO97" s="5">
        <f t="shared" ca="1" si="102"/>
        <v>0.74827072928242522</v>
      </c>
      <c r="AP97" s="5">
        <f t="shared" ca="1" si="103"/>
        <v>1.3158009561562893</v>
      </c>
      <c r="AQ97" s="4">
        <f t="shared" ca="1" si="69"/>
        <v>13158.009561562892</v>
      </c>
      <c r="AR97">
        <f t="shared" ca="1" si="70"/>
        <v>0</v>
      </c>
      <c r="AS97">
        <f t="shared" ca="1" si="71"/>
        <v>0</v>
      </c>
    </row>
    <row r="98" spans="1:45" x14ac:dyDescent="0.25">
      <c r="A98" s="10">
        <f t="shared" si="92"/>
        <v>77</v>
      </c>
      <c r="B98" s="5">
        <f t="shared" ca="1" si="72"/>
        <v>0.89443888655386838</v>
      </c>
      <c r="C98" s="5">
        <f t="shared" ca="1" si="73"/>
        <v>1.2504855602365295</v>
      </c>
      <c r="D98" s="5">
        <f t="shared" ca="1" si="59"/>
        <v>0.31557368655644358</v>
      </c>
      <c r="E98" s="5">
        <f t="shared" ca="1" si="74"/>
        <v>0.39805329577188919</v>
      </c>
      <c r="F98" s="5">
        <f t="shared" ca="1" si="75"/>
        <v>-0.25838914723504097</v>
      </c>
      <c r="G98" s="5">
        <f t="shared" ca="1" si="60"/>
        <v>4.9109414832914755E-2</v>
      </c>
      <c r="H98" s="5">
        <f t="shared" ca="1" si="76"/>
        <v>0.51643718222611423</v>
      </c>
      <c r="I98" s="5">
        <f t="shared" ca="1" si="77"/>
        <v>4.1213570026822445E-2</v>
      </c>
      <c r="J98" s="5">
        <f t="shared" ca="1" si="61"/>
        <v>9.7332281383258668E-2</v>
      </c>
      <c r="K98" s="5">
        <f t="shared" ca="1" si="78"/>
        <v>0.98414097088892938</v>
      </c>
      <c r="L98" s="5">
        <f t="shared" ca="1" si="79"/>
        <v>2.1479458400288327</v>
      </c>
      <c r="M98" s="5">
        <f t="shared" ca="1" si="62"/>
        <v>0.50514896896643524</v>
      </c>
      <c r="N98" s="5">
        <f t="shared" ca="1" si="80"/>
        <v>0.10947665263069373</v>
      </c>
      <c r="O98" s="5">
        <f t="shared" ca="1" si="81"/>
        <v>-1.2293161211340247</v>
      </c>
      <c r="P98" s="5">
        <f t="shared" ca="1" si="63"/>
        <v>-9.3076719253054829E-2</v>
      </c>
      <c r="Q98" s="5">
        <f t="shared" ca="1" si="82"/>
        <v>0.40341391717886221</v>
      </c>
      <c r="R98" s="5">
        <f t="shared" ca="1" si="83"/>
        <v>-0.24452036142198522</v>
      </c>
      <c r="S98" s="5">
        <f t="shared" ca="1" si="64"/>
        <v>5.1294167600428375E-2</v>
      </c>
      <c r="T98" s="5">
        <f t="shared" ca="1" si="84"/>
        <v>0.25526824755565902</v>
      </c>
      <c r="U98" s="5">
        <f t="shared" ca="1" si="85"/>
        <v>-0.65800254607983288</v>
      </c>
      <c r="V98" s="5">
        <f t="shared" ca="1" si="65"/>
        <v>-1.1928664494416652E-2</v>
      </c>
      <c r="W98" s="5">
        <f t="shared" ca="1" si="86"/>
        <v>0.55387503699954566</v>
      </c>
      <c r="X98" s="5">
        <f t="shared" ca="1" si="87"/>
        <v>0.13545780176219166</v>
      </c>
      <c r="Y98" s="5">
        <f t="shared" ca="1" si="66"/>
        <v>0.11295503345001112</v>
      </c>
      <c r="Z98" s="5">
        <f t="shared" ca="1" si="88"/>
        <v>7.160140207847665E-2</v>
      </c>
      <c r="AA98" s="5">
        <f t="shared" ca="1" si="89"/>
        <v>-1.4639675892751478</v>
      </c>
      <c r="AB98" s="5">
        <f t="shared" ca="1" si="67"/>
        <v>-0.12444310039982875</v>
      </c>
      <c r="AC98" s="5">
        <f t="shared" ca="1" si="90"/>
        <v>0.82786174636241516</v>
      </c>
      <c r="AD98" s="5">
        <f t="shared" ca="1" si="91"/>
        <v>0.94574922803828865</v>
      </c>
      <c r="AE98" s="5">
        <f t="shared" ca="1" si="68"/>
        <v>0.25679192665249273</v>
      </c>
      <c r="AF98" s="5">
        <f t="shared" ca="1" si="93"/>
        <v>1.3155736865564436</v>
      </c>
      <c r="AG98" s="5">
        <f t="shared" ca="1" si="94"/>
        <v>1.0491094148329148</v>
      </c>
      <c r="AH98" s="5">
        <f t="shared" ca="1" si="95"/>
        <v>1.0973322813832587</v>
      </c>
      <c r="AI98" s="5">
        <f t="shared" ca="1" si="96"/>
        <v>1.5051489689664352</v>
      </c>
      <c r="AJ98" s="5">
        <f t="shared" ca="1" si="97"/>
        <v>0.90692328074694517</v>
      </c>
      <c r="AK98" s="5">
        <f t="shared" ca="1" si="98"/>
        <v>1.0512941676004284</v>
      </c>
      <c r="AL98" s="5">
        <f t="shared" ca="1" si="99"/>
        <v>0.98807133550558335</v>
      </c>
      <c r="AM98" s="5">
        <f t="shared" ca="1" si="100"/>
        <v>1.1129550334500111</v>
      </c>
      <c r="AN98" s="5">
        <f t="shared" ca="1" si="101"/>
        <v>0.87555689960017125</v>
      </c>
      <c r="AO98" s="5">
        <f t="shared" ca="1" si="102"/>
        <v>1.2567919266524927</v>
      </c>
      <c r="AP98" s="5">
        <f t="shared" ca="1" si="103"/>
        <v>2.6300383694874929</v>
      </c>
      <c r="AQ98" s="4">
        <f t="shared" ca="1" si="69"/>
        <v>26300.38369487493</v>
      </c>
      <c r="AR98">
        <f t="shared" ca="1" si="70"/>
        <v>1</v>
      </c>
      <c r="AS98">
        <f t="shared" ca="1" si="71"/>
        <v>0</v>
      </c>
    </row>
    <row r="99" spans="1:45" x14ac:dyDescent="0.25">
      <c r="A99" s="10">
        <f t="shared" si="92"/>
        <v>78</v>
      </c>
      <c r="B99" s="5">
        <f t="shared" ca="1" si="72"/>
        <v>0.10523366969631898</v>
      </c>
      <c r="C99" s="5">
        <f t="shared" ca="1" si="73"/>
        <v>-1.2522814126246355</v>
      </c>
      <c r="D99" s="5">
        <f t="shared" ca="1" si="59"/>
        <v>-9.6195508002278163E-2</v>
      </c>
      <c r="E99" s="5">
        <f t="shared" ca="1" si="74"/>
        <v>0.81068500846473657</v>
      </c>
      <c r="F99" s="5">
        <f t="shared" ca="1" si="75"/>
        <v>0.88042340296087596</v>
      </c>
      <c r="G99" s="5">
        <f t="shared" ca="1" si="60"/>
        <v>0.24453692189906451</v>
      </c>
      <c r="H99" s="5">
        <f t="shared" ca="1" si="76"/>
        <v>0.37119099865797978</v>
      </c>
      <c r="I99" s="5">
        <f t="shared" ca="1" si="77"/>
        <v>-0.32870060457664824</v>
      </c>
      <c r="J99" s="5">
        <f t="shared" ca="1" si="61"/>
        <v>3.8102896403155118E-2</v>
      </c>
      <c r="K99" s="5">
        <f t="shared" ca="1" si="78"/>
        <v>0.15551130989482442</v>
      </c>
      <c r="L99" s="5">
        <f t="shared" ca="1" si="79"/>
        <v>-1.0130785985338531</v>
      </c>
      <c r="M99" s="5">
        <f t="shared" ca="1" si="62"/>
        <v>-6.3177819200115448E-2</v>
      </c>
      <c r="N99" s="5">
        <f t="shared" ca="1" si="80"/>
        <v>0.71669243705513941</v>
      </c>
      <c r="O99" s="5">
        <f t="shared" ca="1" si="81"/>
        <v>0.5730436701171604</v>
      </c>
      <c r="P99" s="5">
        <f t="shared" ca="1" si="63"/>
        <v>0.18845785974540541</v>
      </c>
      <c r="Q99" s="5">
        <f t="shared" ca="1" si="82"/>
        <v>0.2426073675210263</v>
      </c>
      <c r="R99" s="5">
        <f t="shared" ca="1" si="83"/>
        <v>-0.69793997234004823</v>
      </c>
      <c r="S99" s="5">
        <f t="shared" ca="1" si="64"/>
        <v>-1.7830124077614751E-2</v>
      </c>
      <c r="T99" s="5">
        <f t="shared" ca="1" si="84"/>
        <v>0.91734268492338422</v>
      </c>
      <c r="U99" s="5">
        <f t="shared" ca="1" si="85"/>
        <v>1.387417045928488</v>
      </c>
      <c r="V99" s="5">
        <f t="shared" ca="1" si="65"/>
        <v>0.34287462249734957</v>
      </c>
      <c r="W99" s="5">
        <f t="shared" ca="1" si="86"/>
        <v>0.33370580177066367</v>
      </c>
      <c r="X99" s="5">
        <f t="shared" ca="1" si="87"/>
        <v>-0.42970313377119967</v>
      </c>
      <c r="Y99" s="5">
        <f t="shared" ca="1" si="66"/>
        <v>2.2493784240881887E-2</v>
      </c>
      <c r="Z99" s="5">
        <f t="shared" ca="1" si="88"/>
        <v>0.97845778160802088</v>
      </c>
      <c r="AA99" s="5">
        <f t="shared" ca="1" si="89"/>
        <v>2.0228905139141036</v>
      </c>
      <c r="AB99" s="5">
        <f t="shared" ca="1" si="67"/>
        <v>0.47717809785216647</v>
      </c>
      <c r="AC99" s="5">
        <f t="shared" ca="1" si="90"/>
        <v>0.61672557439040032</v>
      </c>
      <c r="AD99" s="5">
        <f t="shared" ca="1" si="91"/>
        <v>0.2968921477588734</v>
      </c>
      <c r="AE99" s="5">
        <f t="shared" ca="1" si="68"/>
        <v>0.14023436221036101</v>
      </c>
      <c r="AF99" s="5">
        <f t="shared" ca="1" si="93"/>
        <v>0.90380449199772184</v>
      </c>
      <c r="AG99" s="5">
        <f t="shared" ca="1" si="94"/>
        <v>1.2445369218990645</v>
      </c>
      <c r="AH99" s="5">
        <f t="shared" ca="1" si="95"/>
        <v>1.0381028964031551</v>
      </c>
      <c r="AI99" s="5">
        <f t="shared" ca="1" si="96"/>
        <v>0.93682218079988455</v>
      </c>
      <c r="AJ99" s="5">
        <f t="shared" ca="1" si="97"/>
        <v>1.1884578597454054</v>
      </c>
      <c r="AK99" s="5">
        <f t="shared" ca="1" si="98"/>
        <v>0.98216987592238525</v>
      </c>
      <c r="AL99" s="5">
        <f t="shared" ca="1" si="99"/>
        <v>1.3428746224973496</v>
      </c>
      <c r="AM99" s="5">
        <f t="shared" ca="1" si="100"/>
        <v>1.0224937842408819</v>
      </c>
      <c r="AN99" s="5">
        <f t="shared" ca="1" si="101"/>
        <v>1.4771780978521665</v>
      </c>
      <c r="AO99" s="5">
        <f t="shared" ca="1" si="102"/>
        <v>1.140234362210361</v>
      </c>
      <c r="AP99" s="5">
        <f t="shared" ca="1" si="103"/>
        <v>2.9530674947259055</v>
      </c>
      <c r="AQ99" s="4">
        <f t="shared" ca="1" si="69"/>
        <v>29530.674947259056</v>
      </c>
      <c r="AR99">
        <f t="shared" ca="1" si="70"/>
        <v>1</v>
      </c>
      <c r="AS99">
        <f t="shared" ca="1" si="71"/>
        <v>0</v>
      </c>
    </row>
    <row r="100" spans="1:45" x14ac:dyDescent="0.25">
      <c r="A100" s="10">
        <f t="shared" si="92"/>
        <v>79</v>
      </c>
      <c r="B100" s="5">
        <f t="shared" ca="1" si="72"/>
        <v>0.2245111544420475</v>
      </c>
      <c r="C100" s="5">
        <f t="shared" ca="1" si="73"/>
        <v>-0.75704599190871213</v>
      </c>
      <c r="D100" s="5">
        <f t="shared" ca="1" si="59"/>
        <v>-2.6499459333938713E-2</v>
      </c>
      <c r="E100" s="5">
        <f t="shared" ca="1" si="74"/>
        <v>0.56815715155029356</v>
      </c>
      <c r="F100" s="5">
        <f t="shared" ca="1" si="75"/>
        <v>0.17168434123895457</v>
      </c>
      <c r="G100" s="5">
        <f t="shared" ca="1" si="60"/>
        <v>0.11901927142286994</v>
      </c>
      <c r="H100" s="5">
        <f t="shared" ca="1" si="76"/>
        <v>0.27067604449110927</v>
      </c>
      <c r="I100" s="5">
        <f t="shared" ca="1" si="77"/>
        <v>-0.61076964930431032</v>
      </c>
      <c r="J100" s="5">
        <f t="shared" ca="1" si="61"/>
        <v>-4.9033863539943434E-3</v>
      </c>
      <c r="K100" s="5">
        <f t="shared" ca="1" si="78"/>
        <v>0.89803875618960083</v>
      </c>
      <c r="L100" s="5">
        <f t="shared" ca="1" si="79"/>
        <v>1.2704553226366568</v>
      </c>
      <c r="M100" s="5">
        <f t="shared" ca="1" si="62"/>
        <v>0.31952034873940471</v>
      </c>
      <c r="N100" s="5">
        <f t="shared" ca="1" si="80"/>
        <v>0.75554430533937711</v>
      </c>
      <c r="O100" s="5">
        <f t="shared" ca="1" si="81"/>
        <v>0.69204130613642512</v>
      </c>
      <c r="P100" s="5">
        <f t="shared" ca="1" si="63"/>
        <v>0.20986186982217037</v>
      </c>
      <c r="Q100" s="5">
        <f t="shared" ca="1" si="82"/>
        <v>0.44229188850107937</v>
      </c>
      <c r="R100" s="5">
        <f t="shared" ca="1" si="83"/>
        <v>-0.14516097493954233</v>
      </c>
      <c r="S100" s="5">
        <f t="shared" ca="1" si="64"/>
        <v>6.7079901487427485E-2</v>
      </c>
      <c r="T100" s="5">
        <f t="shared" ca="1" si="84"/>
        <v>0.11148824764730492</v>
      </c>
      <c r="U100" s="5">
        <f t="shared" ca="1" si="85"/>
        <v>-1.218651494937526</v>
      </c>
      <c r="V100" s="5">
        <f t="shared" ca="1" si="65"/>
        <v>-9.1624758549616159E-2</v>
      </c>
      <c r="W100" s="5">
        <f t="shared" ca="1" si="86"/>
        <v>0.35575166466766839</v>
      </c>
      <c r="X100" s="5">
        <f t="shared" ca="1" si="87"/>
        <v>-0.36983782598754616</v>
      </c>
      <c r="Y100" s="5">
        <f t="shared" ca="1" si="66"/>
        <v>3.1716918963993646E-2</v>
      </c>
      <c r="Z100" s="5">
        <f t="shared" ca="1" si="88"/>
        <v>0.40465774343703742</v>
      </c>
      <c r="AA100" s="5">
        <f t="shared" ca="1" si="89"/>
        <v>-0.24130919239842044</v>
      </c>
      <c r="AB100" s="5">
        <f t="shared" ca="1" si="67"/>
        <v>5.1800672065842157E-2</v>
      </c>
      <c r="AC100" s="5">
        <f t="shared" ca="1" si="90"/>
        <v>0.9257466236566313</v>
      </c>
      <c r="AD100" s="5">
        <f t="shared" ca="1" si="91"/>
        <v>1.4448260476334285</v>
      </c>
      <c r="AE100" s="5">
        <f t="shared" ca="1" si="68"/>
        <v>0.35448852012205934</v>
      </c>
      <c r="AF100" s="5">
        <f t="shared" ca="1" si="93"/>
        <v>0.97350054066606129</v>
      </c>
      <c r="AG100" s="5">
        <f t="shared" ca="1" si="94"/>
        <v>1.1190192714228699</v>
      </c>
      <c r="AH100" s="5">
        <f t="shared" ca="1" si="95"/>
        <v>0.99509661364600566</v>
      </c>
      <c r="AI100" s="5">
        <f t="shared" ca="1" si="96"/>
        <v>1.3195203487394047</v>
      </c>
      <c r="AJ100" s="5">
        <f t="shared" ca="1" si="97"/>
        <v>1.2098618698221704</v>
      </c>
      <c r="AK100" s="5">
        <f t="shared" ca="1" si="98"/>
        <v>1.0670799014874275</v>
      </c>
      <c r="AL100" s="5">
        <f t="shared" ca="1" si="99"/>
        <v>0.90837524145038384</v>
      </c>
      <c r="AM100" s="5">
        <f t="shared" ca="1" si="100"/>
        <v>1.0317169189639936</v>
      </c>
      <c r="AN100" s="5">
        <f t="shared" ca="1" si="101"/>
        <v>1.0518006720658422</v>
      </c>
      <c r="AO100" s="5">
        <f t="shared" ca="1" si="102"/>
        <v>1.3544885201220593</v>
      </c>
      <c r="AP100" s="5">
        <f t="shared" ca="1" si="103"/>
        <v>2.4655990079455665</v>
      </c>
      <c r="AQ100" s="4">
        <f t="shared" ca="1" si="69"/>
        <v>24655.990079455667</v>
      </c>
      <c r="AR100">
        <f t="shared" ca="1" si="70"/>
        <v>0</v>
      </c>
      <c r="AS100">
        <f t="shared" ca="1" si="71"/>
        <v>0</v>
      </c>
    </row>
    <row r="101" spans="1:45" x14ac:dyDescent="0.25">
      <c r="A101" s="10">
        <f t="shared" si="92"/>
        <v>80</v>
      </c>
      <c r="B101" s="5">
        <f t="shared" ca="1" si="72"/>
        <v>0.45961904139059639</v>
      </c>
      <c r="C101" s="5">
        <f t="shared" ca="1" si="73"/>
        <v>-0.10139351681958586</v>
      </c>
      <c r="D101" s="5">
        <f t="shared" ca="1" si="59"/>
        <v>7.4108454118838596E-2</v>
      </c>
      <c r="E101" s="5">
        <f t="shared" ca="1" si="74"/>
        <v>0.34580744033213395</v>
      </c>
      <c r="F101" s="5">
        <f t="shared" ca="1" si="75"/>
        <v>-0.39666450172855228</v>
      </c>
      <c r="G101" s="5">
        <f t="shared" ca="1" si="60"/>
        <v>2.7573630567711671E-2</v>
      </c>
      <c r="H101" s="5">
        <f t="shared" ca="1" si="76"/>
        <v>0.99736057907420816</v>
      </c>
      <c r="I101" s="5">
        <f t="shared" ca="1" si="77"/>
        <v>2.7895066121961993</v>
      </c>
      <c r="J101" s="5">
        <f t="shared" ca="1" si="61"/>
        <v>0.6571943002499101</v>
      </c>
      <c r="K101" s="5">
        <f t="shared" ca="1" si="78"/>
        <v>0.99765545604529737</v>
      </c>
      <c r="L101" s="5">
        <f t="shared" ca="1" si="79"/>
        <v>2.8276511115544434</v>
      </c>
      <c r="M101" s="5">
        <f t="shared" ca="1" si="62"/>
        <v>0.66670340535020634</v>
      </c>
      <c r="N101" s="5">
        <f t="shared" ca="1" si="80"/>
        <v>0.87059664836127815</v>
      </c>
      <c r="O101" s="5">
        <f t="shared" ca="1" si="81"/>
        <v>1.129216053328739</v>
      </c>
      <c r="P101" s="5">
        <f t="shared" ca="1" si="63"/>
        <v>0.29185918308393521</v>
      </c>
      <c r="Q101" s="5">
        <f t="shared" ca="1" si="82"/>
        <v>0.60367101062264272</v>
      </c>
      <c r="R101" s="5">
        <f t="shared" ca="1" si="83"/>
        <v>0.26286066036629269</v>
      </c>
      <c r="S101" s="5">
        <f t="shared" ca="1" si="64"/>
        <v>0.13442861249169114</v>
      </c>
      <c r="T101" s="5">
        <f t="shared" ca="1" si="84"/>
        <v>0.84666613891688203</v>
      </c>
      <c r="U101" s="5">
        <f t="shared" ca="1" si="85"/>
        <v>1.0222391568276774</v>
      </c>
      <c r="V101" s="5">
        <f t="shared" ca="1" si="65"/>
        <v>0.2712947553265026</v>
      </c>
      <c r="W101" s="5">
        <f t="shared" ca="1" si="86"/>
        <v>0.61467807511785699</v>
      </c>
      <c r="X101" s="5">
        <f t="shared" ca="1" si="87"/>
        <v>0.29153281597524816</v>
      </c>
      <c r="Y101" s="5">
        <f t="shared" ca="1" si="66"/>
        <v>0.13931809641391024</v>
      </c>
      <c r="Z101" s="5">
        <f t="shared" ca="1" si="88"/>
        <v>0.61202166743893582</v>
      </c>
      <c r="AA101" s="5">
        <f t="shared" ca="1" si="89"/>
        <v>0.2845920990190714</v>
      </c>
      <c r="AB101" s="5">
        <f t="shared" ca="1" si="67"/>
        <v>0.13813256099139104</v>
      </c>
      <c r="AC101" s="5">
        <f t="shared" ca="1" si="90"/>
        <v>0.26530024958123921</v>
      </c>
      <c r="AD101" s="5">
        <f t="shared" ca="1" si="91"/>
        <v>-0.62708960729186747</v>
      </c>
      <c r="AE101" s="5">
        <f t="shared" ca="1" si="68"/>
        <v>-7.33639738038383E-3</v>
      </c>
      <c r="AF101" s="5">
        <f t="shared" ca="1" si="93"/>
        <v>1.0741084541188386</v>
      </c>
      <c r="AG101" s="5">
        <f t="shared" ca="1" si="94"/>
        <v>1.0275736305677117</v>
      </c>
      <c r="AH101" s="5">
        <f t="shared" ca="1" si="95"/>
        <v>1.6571943002499101</v>
      </c>
      <c r="AI101" s="5">
        <f t="shared" ca="1" si="96"/>
        <v>1.6667034053502063</v>
      </c>
      <c r="AJ101" s="5">
        <f t="shared" ca="1" si="97"/>
        <v>1.2918591830839352</v>
      </c>
      <c r="AK101" s="5">
        <f t="shared" ca="1" si="98"/>
        <v>1.1344286124916911</v>
      </c>
      <c r="AL101" s="5">
        <f t="shared" ca="1" si="99"/>
        <v>1.2712947553265026</v>
      </c>
      <c r="AM101" s="5">
        <f t="shared" ca="1" si="100"/>
        <v>1.1393180964139102</v>
      </c>
      <c r="AN101" s="5">
        <f t="shared" ca="1" si="101"/>
        <v>1.138132560991391</v>
      </c>
      <c r="AO101" s="5">
        <f t="shared" ca="1" si="102"/>
        <v>0.99266360261961617</v>
      </c>
      <c r="AP101" s="5">
        <f t="shared" ca="1" si="103"/>
        <v>7.3109091190077864</v>
      </c>
      <c r="AQ101" s="4">
        <f t="shared" ca="1" si="69"/>
        <v>73109.091190077859</v>
      </c>
      <c r="AR101">
        <f t="shared" ca="1" si="70"/>
        <v>1</v>
      </c>
      <c r="AS101">
        <f t="shared" ca="1" si="71"/>
        <v>0</v>
      </c>
    </row>
    <row r="102" spans="1:45" x14ac:dyDescent="0.25">
      <c r="A102" s="10">
        <f t="shared" si="92"/>
        <v>81</v>
      </c>
      <c r="B102" s="5">
        <f t="shared" ca="1" si="72"/>
        <v>0.69190958973544736</v>
      </c>
      <c r="C102" s="5">
        <f t="shared" ca="1" si="73"/>
        <v>0.50127041935948879</v>
      </c>
      <c r="D102" s="5">
        <f t="shared" ca="1" si="59"/>
        <v>0.17573156563187275</v>
      </c>
      <c r="E102" s="5">
        <f t="shared" ca="1" si="74"/>
        <v>0.20778449300962942</v>
      </c>
      <c r="F102" s="5">
        <f t="shared" ca="1" si="75"/>
        <v>-0.81413261037514939</v>
      </c>
      <c r="G102" s="5">
        <f t="shared" ca="1" si="60"/>
        <v>-3.4799948192900221E-2</v>
      </c>
      <c r="H102" s="5">
        <f t="shared" ca="1" si="76"/>
        <v>0.51182166178344579</v>
      </c>
      <c r="I102" s="5">
        <f t="shared" ca="1" si="77"/>
        <v>2.963684966049706E-2</v>
      </c>
      <c r="J102" s="5">
        <f t="shared" ca="1" si="61"/>
        <v>9.5428408561347711E-2</v>
      </c>
      <c r="K102" s="5">
        <f t="shared" ca="1" si="78"/>
        <v>0.6413831278621025</v>
      </c>
      <c r="L102" s="5">
        <f t="shared" ca="1" si="79"/>
        <v>0.36215829317102088</v>
      </c>
      <c r="M102" s="5">
        <f t="shared" ca="1" si="62"/>
        <v>0.15145198770812796</v>
      </c>
      <c r="N102" s="5">
        <f t="shared" ca="1" si="80"/>
        <v>0.65197192652037006</v>
      </c>
      <c r="O102" s="5">
        <f t="shared" ca="1" si="81"/>
        <v>0.39064974965771021</v>
      </c>
      <c r="P102" s="5">
        <f t="shared" ca="1" si="63"/>
        <v>0.15638349977985877</v>
      </c>
      <c r="Q102" s="5">
        <f t="shared" ca="1" si="82"/>
        <v>0.59272399272871457</v>
      </c>
      <c r="R102" s="5">
        <f t="shared" ca="1" si="83"/>
        <v>0.23455773811336866</v>
      </c>
      <c r="S102" s="5">
        <f t="shared" ca="1" si="64"/>
        <v>0.12962267464337485</v>
      </c>
      <c r="T102" s="5">
        <f t="shared" ca="1" si="84"/>
        <v>0.12717040112141942</v>
      </c>
      <c r="U102" s="5">
        <f t="shared" ca="1" si="85"/>
        <v>-1.1398691910326004</v>
      </c>
      <c r="V102" s="5">
        <f t="shared" ca="1" si="65"/>
        <v>-8.0826496667848136E-2</v>
      </c>
      <c r="W102" s="5">
        <f t="shared" ca="1" si="86"/>
        <v>2.1664240168205007E-2</v>
      </c>
      <c r="X102" s="5">
        <f t="shared" ca="1" si="87"/>
        <v>-2.0205296258113536</v>
      </c>
      <c r="Y102" s="5">
        <f t="shared" ca="1" si="66"/>
        <v>-0.19457037145242839</v>
      </c>
      <c r="Z102" s="5">
        <f t="shared" ca="1" si="88"/>
        <v>0.36400815930649422</v>
      </c>
      <c r="AA102" s="5">
        <f t="shared" ca="1" si="89"/>
        <v>-0.34776547692719206</v>
      </c>
      <c r="AB102" s="5">
        <f t="shared" ca="1" si="67"/>
        <v>3.5138442312858453E-2</v>
      </c>
      <c r="AC102" s="5">
        <f t="shared" ca="1" si="90"/>
        <v>0.71155054218025726</v>
      </c>
      <c r="AD102" s="5">
        <f t="shared" ca="1" si="91"/>
        <v>0.55792014367946163</v>
      </c>
      <c r="AE102" s="5">
        <f t="shared" ca="1" si="68"/>
        <v>0.18576486438999318</v>
      </c>
      <c r="AF102" s="5">
        <f t="shared" ca="1" si="93"/>
        <v>1.1757315656318728</v>
      </c>
      <c r="AG102" s="5">
        <f t="shared" ca="1" si="94"/>
        <v>0.96520005180709978</v>
      </c>
      <c r="AH102" s="5">
        <f t="shared" ca="1" si="95"/>
        <v>1.0954284085613477</v>
      </c>
      <c r="AI102" s="5">
        <f t="shared" ca="1" si="96"/>
        <v>1.151451987708128</v>
      </c>
      <c r="AJ102" s="5">
        <f t="shared" ca="1" si="97"/>
        <v>1.1563834997798588</v>
      </c>
      <c r="AK102" s="5">
        <f t="shared" ca="1" si="98"/>
        <v>1.1296226746433748</v>
      </c>
      <c r="AL102" s="5">
        <f t="shared" ca="1" si="99"/>
        <v>0.91917350333215186</v>
      </c>
      <c r="AM102" s="5">
        <f t="shared" ca="1" si="100"/>
        <v>0.80542962854757161</v>
      </c>
      <c r="AN102" s="5">
        <f t="shared" ca="1" si="101"/>
        <v>1.0351384423128585</v>
      </c>
      <c r="AO102" s="5">
        <f t="shared" ca="1" si="102"/>
        <v>1.1857648643899932</v>
      </c>
      <c r="AP102" s="5">
        <f t="shared" ca="1" si="103"/>
        <v>1.6990757783377752</v>
      </c>
      <c r="AQ102" s="4">
        <f t="shared" ca="1" si="69"/>
        <v>16990.757783377754</v>
      </c>
      <c r="AR102">
        <f t="shared" ca="1" si="70"/>
        <v>0</v>
      </c>
      <c r="AS102">
        <f t="shared" ca="1" si="71"/>
        <v>0</v>
      </c>
    </row>
    <row r="103" spans="1:45" x14ac:dyDescent="0.25">
      <c r="A103" s="10">
        <f t="shared" si="92"/>
        <v>82</v>
      </c>
      <c r="B103" s="5">
        <f t="shared" ca="1" si="72"/>
        <v>0.69418974739407446</v>
      </c>
      <c r="C103" s="5">
        <f t="shared" ca="1" si="73"/>
        <v>0.50776165332857126</v>
      </c>
      <c r="D103" s="5">
        <f t="shared" ca="1" si="59"/>
        <v>0.17687691544800943</v>
      </c>
      <c r="E103" s="5">
        <f t="shared" ca="1" si="74"/>
        <v>0.7194415594449739</v>
      </c>
      <c r="F103" s="5">
        <f t="shared" ca="1" si="75"/>
        <v>0.58118336022365791</v>
      </c>
      <c r="G103" s="5">
        <f t="shared" ca="1" si="60"/>
        <v>0.18990979774187977</v>
      </c>
      <c r="H103" s="5">
        <f t="shared" ca="1" si="76"/>
        <v>0.40302274201474708</v>
      </c>
      <c r="I103" s="5">
        <f t="shared" ca="1" si="77"/>
        <v>-0.24553077275484553</v>
      </c>
      <c r="J103" s="5">
        <f t="shared" ca="1" si="61"/>
        <v>5.1134843743263714E-2</v>
      </c>
      <c r="K103" s="5">
        <f t="shared" ca="1" si="78"/>
        <v>0.89720996345938853</v>
      </c>
      <c r="L103" s="5">
        <f t="shared" ca="1" si="79"/>
        <v>1.2658129068492674</v>
      </c>
      <c r="M103" s="5">
        <f t="shared" ca="1" si="62"/>
        <v>0.31860180428160478</v>
      </c>
      <c r="N103" s="5">
        <f t="shared" ca="1" si="80"/>
        <v>0.8550425849711969</v>
      </c>
      <c r="O103" s="5">
        <f t="shared" ca="1" si="81"/>
        <v>1.0583084757796475</v>
      </c>
      <c r="P103" s="5">
        <f t="shared" ca="1" si="63"/>
        <v>0.27819160625803674</v>
      </c>
      <c r="Q103" s="5">
        <f t="shared" ca="1" si="82"/>
        <v>0.34895467671099134</v>
      </c>
      <c r="R103" s="5">
        <f t="shared" ca="1" si="83"/>
        <v>-0.38814416042191502</v>
      </c>
      <c r="S103" s="5">
        <f t="shared" ca="1" si="64"/>
        <v>2.8887761859890171E-2</v>
      </c>
      <c r="T103" s="5">
        <f t="shared" ca="1" si="84"/>
        <v>0.81790264046804617</v>
      </c>
      <c r="U103" s="5">
        <f t="shared" ca="1" si="85"/>
        <v>0.90740111681516133</v>
      </c>
      <c r="V103" s="5">
        <f t="shared" ca="1" si="65"/>
        <v>0.2495833397178322</v>
      </c>
      <c r="W103" s="5">
        <f t="shared" ca="1" si="86"/>
        <v>0.85081241267620145</v>
      </c>
      <c r="X103" s="5">
        <f t="shared" ca="1" si="87"/>
        <v>1.0399240786743238</v>
      </c>
      <c r="Y103" s="5">
        <f t="shared" ca="1" si="66"/>
        <v>0.27467164460675852</v>
      </c>
      <c r="Z103" s="5">
        <f t="shared" ca="1" si="88"/>
        <v>0.9699823449147229</v>
      </c>
      <c r="AA103" s="5">
        <f t="shared" ca="1" si="89"/>
        <v>1.8805341979120491</v>
      </c>
      <c r="AB103" s="5">
        <f t="shared" ca="1" si="67"/>
        <v>0.44596964292269914</v>
      </c>
      <c r="AC103" s="5">
        <f t="shared" ca="1" si="90"/>
        <v>0.79161543592472339</v>
      </c>
      <c r="AD103" s="5">
        <f t="shared" ca="1" si="91"/>
        <v>0.81203921828681913</v>
      </c>
      <c r="AE103" s="5">
        <f t="shared" ca="1" si="68"/>
        <v>0.23183617661530032</v>
      </c>
      <c r="AF103" s="5">
        <f t="shared" ca="1" si="93"/>
        <v>1.1768769154480094</v>
      </c>
      <c r="AG103" s="5">
        <f t="shared" ca="1" si="94"/>
        <v>1.1899097977418798</v>
      </c>
      <c r="AH103" s="5">
        <f t="shared" ca="1" si="95"/>
        <v>1.0511348437432637</v>
      </c>
      <c r="AI103" s="5">
        <f t="shared" ca="1" si="96"/>
        <v>1.3186018042816048</v>
      </c>
      <c r="AJ103" s="5">
        <f t="shared" ca="1" si="97"/>
        <v>1.2781916062580367</v>
      </c>
      <c r="AK103" s="5">
        <f t="shared" ca="1" si="98"/>
        <v>1.0288877618598902</v>
      </c>
      <c r="AL103" s="5">
        <f t="shared" ca="1" si="99"/>
        <v>1.2495833397178322</v>
      </c>
      <c r="AM103" s="5">
        <f t="shared" ca="1" si="100"/>
        <v>1.2746716446067585</v>
      </c>
      <c r="AN103" s="5">
        <f t="shared" ca="1" si="101"/>
        <v>1.4459696429226991</v>
      </c>
      <c r="AO103" s="5">
        <f t="shared" ca="1" si="102"/>
        <v>1.2318361766153003</v>
      </c>
      <c r="AP103" s="5">
        <f t="shared" ca="1" si="103"/>
        <v>7.2419717552445384</v>
      </c>
      <c r="AQ103" s="4">
        <f t="shared" ca="1" si="69"/>
        <v>72419.717552445378</v>
      </c>
      <c r="AR103">
        <f t="shared" ca="1" si="70"/>
        <v>1</v>
      </c>
      <c r="AS103">
        <f t="shared" ca="1" si="71"/>
        <v>0</v>
      </c>
    </row>
    <row r="104" spans="1:45" x14ac:dyDescent="0.25">
      <c r="A104" s="10">
        <f t="shared" si="92"/>
        <v>83</v>
      </c>
      <c r="B104" s="5">
        <f t="shared" ca="1" si="72"/>
        <v>4.5801245096733001E-2</v>
      </c>
      <c r="C104" s="5">
        <f t="shared" ca="1" si="73"/>
        <v>-1.6870044817164518</v>
      </c>
      <c r="D104" s="5">
        <f t="shared" ca="1" si="59"/>
        <v>-0.15325074935073546</v>
      </c>
      <c r="E104" s="5">
        <f t="shared" ca="1" si="74"/>
        <v>0.81664280700463432</v>
      </c>
      <c r="F104" s="5">
        <f t="shared" ca="1" si="75"/>
        <v>0.90264490473911552</v>
      </c>
      <c r="G104" s="5">
        <f t="shared" ca="1" si="60"/>
        <v>0.24869216514621728</v>
      </c>
      <c r="H104" s="5">
        <f t="shared" ca="1" si="76"/>
        <v>0.83127757433239391</v>
      </c>
      <c r="I104" s="5">
        <f t="shared" ca="1" si="77"/>
        <v>0.95922610673681175</v>
      </c>
      <c r="J104" s="5">
        <f t="shared" ca="1" si="61"/>
        <v>0.25933514123270007</v>
      </c>
      <c r="K104" s="5">
        <f t="shared" ca="1" si="78"/>
        <v>0.31091840626061795</v>
      </c>
      <c r="L104" s="5">
        <f t="shared" ca="1" si="79"/>
        <v>-0.49324878297481617</v>
      </c>
      <c r="M104" s="5">
        <f t="shared" ca="1" si="62"/>
        <v>1.2793832214652134E-2</v>
      </c>
      <c r="N104" s="5">
        <f t="shared" ca="1" si="80"/>
        <v>0.54569168452116112</v>
      </c>
      <c r="O104" s="5">
        <f t="shared" ca="1" si="81"/>
        <v>0.11478362204796846</v>
      </c>
      <c r="P104" s="5">
        <f t="shared" ca="1" si="63"/>
        <v>0.10950896470377747</v>
      </c>
      <c r="Q104" s="5">
        <f t="shared" ca="1" si="82"/>
        <v>0.90562274966919198</v>
      </c>
      <c r="R104" s="5">
        <f t="shared" ca="1" si="83"/>
        <v>1.3142725520788521</v>
      </c>
      <c r="S104" s="5">
        <f t="shared" ca="1" si="64"/>
        <v>0.32822157105610428</v>
      </c>
      <c r="T104" s="5">
        <f t="shared" ca="1" si="84"/>
        <v>0.97333086077339104</v>
      </c>
      <c r="U104" s="5">
        <f t="shared" ca="1" si="85"/>
        <v>1.9321720118717389</v>
      </c>
      <c r="V104" s="5">
        <f t="shared" ca="1" si="65"/>
        <v>0.45721313763305638</v>
      </c>
      <c r="W104" s="5">
        <f t="shared" ca="1" si="86"/>
        <v>0.32204844174740821</v>
      </c>
      <c r="X104" s="5">
        <f t="shared" ca="1" si="87"/>
        <v>-0.46197829793080686</v>
      </c>
      <c r="Y104" s="5">
        <f t="shared" ca="1" si="66"/>
        <v>1.7555574290477827E-2</v>
      </c>
      <c r="Z104" s="5">
        <f t="shared" ca="1" si="88"/>
        <v>0.22112172790219908</v>
      </c>
      <c r="AA104" s="5">
        <f t="shared" ca="1" si="89"/>
        <v>-0.76841031216910205</v>
      </c>
      <c r="AB104" s="5">
        <f t="shared" ca="1" si="67"/>
        <v>-2.8157521513882511E-2</v>
      </c>
      <c r="AC104" s="5">
        <f t="shared" ca="1" si="90"/>
        <v>0.27101035562773879</v>
      </c>
      <c r="AD104" s="5">
        <f t="shared" ca="1" si="91"/>
        <v>-0.60976013734341727</v>
      </c>
      <c r="AE104" s="5">
        <f t="shared" ca="1" si="68"/>
        <v>-4.7526906545409808E-3</v>
      </c>
      <c r="AF104" s="5">
        <f t="shared" ca="1" si="93"/>
        <v>0.84674925064926454</v>
      </c>
      <c r="AG104" s="5">
        <f t="shared" ca="1" si="94"/>
        <v>1.2486921651462173</v>
      </c>
      <c r="AH104" s="5">
        <f t="shared" ca="1" si="95"/>
        <v>1.2593351412327001</v>
      </c>
      <c r="AI104" s="5">
        <f t="shared" ca="1" si="96"/>
        <v>1.0127938322146521</v>
      </c>
      <c r="AJ104" s="5">
        <f t="shared" ca="1" si="97"/>
        <v>1.1095089647037775</v>
      </c>
      <c r="AK104" s="5">
        <f t="shared" ca="1" si="98"/>
        <v>1.3282215710561043</v>
      </c>
      <c r="AL104" s="5">
        <f t="shared" ca="1" si="99"/>
        <v>1.4572131376330564</v>
      </c>
      <c r="AM104" s="5">
        <f t="shared" ca="1" si="100"/>
        <v>1.0175555742904778</v>
      </c>
      <c r="AN104" s="5">
        <f t="shared" ca="1" si="101"/>
        <v>0.97184247848611749</v>
      </c>
      <c r="AO104" s="5">
        <f t="shared" ca="1" si="102"/>
        <v>0.99524730934545902</v>
      </c>
      <c r="AP104" s="5">
        <f t="shared" ca="1" si="103"/>
        <v>2.8502439234709755</v>
      </c>
      <c r="AQ104" s="4">
        <f t="shared" ca="1" si="69"/>
        <v>28502.439234709756</v>
      </c>
      <c r="AR104">
        <f t="shared" ca="1" si="70"/>
        <v>1</v>
      </c>
      <c r="AS104">
        <f t="shared" ca="1" si="71"/>
        <v>0</v>
      </c>
    </row>
    <row r="105" spans="1:45" x14ac:dyDescent="0.25">
      <c r="A105" s="10">
        <f t="shared" si="92"/>
        <v>84</v>
      </c>
      <c r="B105" s="5">
        <f t="shared" ca="1" si="72"/>
        <v>4.841320315427966E-2</v>
      </c>
      <c r="C105" s="5">
        <f t="shared" ca="1" si="73"/>
        <v>-1.6604378238741775</v>
      </c>
      <c r="D105" s="5">
        <f t="shared" ca="1" si="59"/>
        <v>-0.14986972248820418</v>
      </c>
      <c r="E105" s="5">
        <f t="shared" ca="1" si="74"/>
        <v>0.55233777083569868</v>
      </c>
      <c r="F105" s="5">
        <f t="shared" ca="1" si="75"/>
        <v>0.13156994614803078</v>
      </c>
      <c r="G105" s="5">
        <f t="shared" ca="1" si="60"/>
        <v>0.11230617139828247</v>
      </c>
      <c r="H105" s="5">
        <f t="shared" ca="1" si="76"/>
        <v>2.9577003147533087E-2</v>
      </c>
      <c r="I105" s="5">
        <f t="shared" ca="1" si="77"/>
        <v>-1.8870469854218361</v>
      </c>
      <c r="J105" s="5">
        <f t="shared" ca="1" si="61"/>
        <v>-0.17828121060257551</v>
      </c>
      <c r="K105" s="5">
        <f t="shared" ca="1" si="78"/>
        <v>3.8697731619265263E-2</v>
      </c>
      <c r="L105" s="5">
        <f t="shared" ca="1" si="79"/>
        <v>-1.7660022985813115</v>
      </c>
      <c r="M105" s="5">
        <f t="shared" ca="1" si="62"/>
        <v>-0.16322523676747169</v>
      </c>
      <c r="N105" s="5">
        <f t="shared" ca="1" si="80"/>
        <v>0.98797510069059635</v>
      </c>
      <c r="O105" s="5">
        <f t="shared" ca="1" si="81"/>
        <v>2.2563327693503701</v>
      </c>
      <c r="P105" s="5">
        <f t="shared" ca="1" si="63"/>
        <v>0.52981974601623438</v>
      </c>
      <c r="Q105" s="5">
        <f t="shared" ca="1" si="82"/>
        <v>0.32874414570036914</v>
      </c>
      <c r="R105" s="5">
        <f t="shared" ca="1" si="83"/>
        <v>-0.44338360656304882</v>
      </c>
      <c r="S105" s="5">
        <f t="shared" ca="1" si="64"/>
        <v>2.03977058678948E-2</v>
      </c>
      <c r="T105" s="5">
        <f t="shared" ca="1" si="84"/>
        <v>0.18973313594878671</v>
      </c>
      <c r="U105" s="5">
        <f t="shared" ca="1" si="85"/>
        <v>-0.87888013263547693</v>
      </c>
      <c r="V105" s="5">
        <f t="shared" ca="1" si="65"/>
        <v>-4.4128720523585074E-2</v>
      </c>
      <c r="W105" s="5">
        <f t="shared" ca="1" si="86"/>
        <v>0.53672844488790739</v>
      </c>
      <c r="X105" s="5">
        <f t="shared" ca="1" si="87"/>
        <v>9.2195000409067973E-2</v>
      </c>
      <c r="Y105" s="5">
        <f t="shared" ca="1" si="66"/>
        <v>0.10575598466145908</v>
      </c>
      <c r="Z105" s="5">
        <f t="shared" ca="1" si="88"/>
        <v>0.98418389251665728</v>
      </c>
      <c r="AA105" s="5">
        <f t="shared" ca="1" si="89"/>
        <v>2.1490275644721555</v>
      </c>
      <c r="AB105" s="5">
        <f t="shared" ca="1" si="67"/>
        <v>0.5053932122457796</v>
      </c>
      <c r="AC105" s="5">
        <f t="shared" ca="1" si="90"/>
        <v>0.36750933410504916</v>
      </c>
      <c r="AD105" s="5">
        <f t="shared" ca="1" si="91"/>
        <v>-0.33845720942328378</v>
      </c>
      <c r="AE105" s="5">
        <f t="shared" ca="1" si="68"/>
        <v>3.6584753605519271E-2</v>
      </c>
      <c r="AF105" s="5">
        <f t="shared" ca="1" si="93"/>
        <v>0.85013027751179582</v>
      </c>
      <c r="AG105" s="5">
        <f t="shared" ca="1" si="94"/>
        <v>1.1123061713982825</v>
      </c>
      <c r="AH105" s="5">
        <f t="shared" ca="1" si="95"/>
        <v>0.82171878939742449</v>
      </c>
      <c r="AI105" s="5">
        <f t="shared" ca="1" si="96"/>
        <v>0.83677476323252831</v>
      </c>
      <c r="AJ105" s="5">
        <f t="shared" ca="1" si="97"/>
        <v>1.5298197460162344</v>
      </c>
      <c r="AK105" s="5">
        <f t="shared" ca="1" si="98"/>
        <v>1.0203977058678948</v>
      </c>
      <c r="AL105" s="5">
        <f t="shared" ca="1" si="99"/>
        <v>0.95587127947641493</v>
      </c>
      <c r="AM105" s="5">
        <f t="shared" ca="1" si="100"/>
        <v>1.1057559846614591</v>
      </c>
      <c r="AN105" s="5">
        <f t="shared" ca="1" si="101"/>
        <v>1.5053932122457796</v>
      </c>
      <c r="AO105" s="5">
        <f t="shared" ca="1" si="102"/>
        <v>1.0365847536055193</v>
      </c>
      <c r="AP105" s="5">
        <f t="shared" ca="1" si="103"/>
        <v>1.6740361780666888</v>
      </c>
      <c r="AQ105" s="4">
        <f t="shared" ca="1" si="69"/>
        <v>16740.361780666888</v>
      </c>
      <c r="AR105">
        <f t="shared" ca="1" si="70"/>
        <v>0</v>
      </c>
      <c r="AS105">
        <f t="shared" ca="1" si="71"/>
        <v>0</v>
      </c>
    </row>
    <row r="106" spans="1:45" x14ac:dyDescent="0.25">
      <c r="A106" s="10">
        <f t="shared" si="92"/>
        <v>85</v>
      </c>
      <c r="B106" s="5">
        <f t="shared" ca="1" si="72"/>
        <v>0.20262117826646886</v>
      </c>
      <c r="C106" s="5">
        <f t="shared" ca="1" si="73"/>
        <v>-0.83229516948009863</v>
      </c>
      <c r="D106" s="5">
        <f t="shared" ca="1" si="59"/>
        <v>-3.7425944905482234E-2</v>
      </c>
      <c r="E106" s="5">
        <f t="shared" ca="1" si="74"/>
        <v>0.6973422407544525</v>
      </c>
      <c r="F106" s="5">
        <f t="shared" ca="1" si="75"/>
        <v>0.51677172739320965</v>
      </c>
      <c r="G106" s="5">
        <f t="shared" ca="1" si="60"/>
        <v>0.17846855298962061</v>
      </c>
      <c r="H106" s="5">
        <f t="shared" ca="1" si="76"/>
        <v>0.10680653284716501</v>
      </c>
      <c r="I106" s="5">
        <f t="shared" ca="1" si="77"/>
        <v>-1.2436916625569718</v>
      </c>
      <c r="J106" s="5">
        <f t="shared" ca="1" si="61"/>
        <v>-9.5030239256496452E-2</v>
      </c>
      <c r="K106" s="5">
        <f t="shared" ca="1" si="78"/>
        <v>0.78708118083054213</v>
      </c>
      <c r="L106" s="5">
        <f t="shared" ca="1" si="79"/>
        <v>0.79633449946998602</v>
      </c>
      <c r="M106" s="5">
        <f t="shared" ca="1" si="62"/>
        <v>0.22893774576645964</v>
      </c>
      <c r="N106" s="5">
        <f t="shared" ca="1" si="80"/>
        <v>0.919489159923086</v>
      </c>
      <c r="O106" s="5">
        <f t="shared" ca="1" si="81"/>
        <v>1.4016436677569462</v>
      </c>
      <c r="P106" s="5">
        <f t="shared" ca="1" si="63"/>
        <v>0.34574336776282477</v>
      </c>
      <c r="Q106" s="5">
        <f t="shared" ca="1" si="82"/>
        <v>0.65064100312062723</v>
      </c>
      <c r="R106" s="5">
        <f t="shared" ca="1" si="83"/>
        <v>0.38705161915666947</v>
      </c>
      <c r="S106" s="5">
        <f t="shared" ca="1" si="64"/>
        <v>0.15575954536399239</v>
      </c>
      <c r="T106" s="5">
        <f t="shared" ca="1" si="84"/>
        <v>0.94358929015303927</v>
      </c>
      <c r="U106" s="5">
        <f t="shared" ca="1" si="85"/>
        <v>1.5856381376609137</v>
      </c>
      <c r="V106" s="5">
        <f t="shared" ca="1" si="65"/>
        <v>0.38340205222671231</v>
      </c>
      <c r="W106" s="5">
        <f t="shared" ca="1" si="86"/>
        <v>0.5222755126146722</v>
      </c>
      <c r="X106" s="5">
        <f t="shared" ca="1" si="87"/>
        <v>5.5865475057708745E-2</v>
      </c>
      <c r="Y106" s="5">
        <f t="shared" ca="1" si="66"/>
        <v>9.9746634783306476E-2</v>
      </c>
      <c r="Z106" s="5">
        <f t="shared" ca="1" si="88"/>
        <v>0.56195073153266895</v>
      </c>
      <c r="AA106" s="5">
        <f t="shared" ca="1" si="89"/>
        <v>0.15591688352948108</v>
      </c>
      <c r="AB106" s="5">
        <f t="shared" ca="1" si="67"/>
        <v>0.11637578537847171</v>
      </c>
      <c r="AC106" s="5">
        <f t="shared" ca="1" si="90"/>
        <v>0.90599319737546757</v>
      </c>
      <c r="AD106" s="5">
        <f t="shared" ca="1" si="91"/>
        <v>1.3164781564413139</v>
      </c>
      <c r="AE106" s="5">
        <f t="shared" ca="1" si="68"/>
        <v>0.32866107344844053</v>
      </c>
      <c r="AF106" s="5">
        <f t="shared" ca="1" si="93"/>
        <v>0.96257405509451777</v>
      </c>
      <c r="AG106" s="5">
        <f t="shared" ca="1" si="94"/>
        <v>1.1784685529896206</v>
      </c>
      <c r="AH106" s="5">
        <f t="shared" ca="1" si="95"/>
        <v>0.90496976074350355</v>
      </c>
      <c r="AI106" s="5">
        <f t="shared" ca="1" si="96"/>
        <v>1.2289377457664596</v>
      </c>
      <c r="AJ106" s="5">
        <f t="shared" ca="1" si="97"/>
        <v>1.3457433677628248</v>
      </c>
      <c r="AK106" s="5">
        <f t="shared" ca="1" si="98"/>
        <v>1.1557595453639924</v>
      </c>
      <c r="AL106" s="5">
        <f t="shared" ca="1" si="99"/>
        <v>1.3834020522267123</v>
      </c>
      <c r="AM106" s="5">
        <f t="shared" ca="1" si="100"/>
        <v>1.0997466347833065</v>
      </c>
      <c r="AN106" s="5">
        <f t="shared" ca="1" si="101"/>
        <v>1.1163757853784717</v>
      </c>
      <c r="AO106" s="5">
        <f t="shared" ca="1" si="102"/>
        <v>1.3286610734484405</v>
      </c>
      <c r="AP106" s="5">
        <f t="shared" ca="1" si="103"/>
        <v>4.4280397871667798</v>
      </c>
      <c r="AQ106" s="4">
        <f t="shared" ca="1" si="69"/>
        <v>44280.397871667796</v>
      </c>
      <c r="AR106">
        <f t="shared" ca="1" si="70"/>
        <v>1</v>
      </c>
      <c r="AS106">
        <f t="shared" ca="1" si="71"/>
        <v>0</v>
      </c>
    </row>
    <row r="107" spans="1:45" x14ac:dyDescent="0.25">
      <c r="A107" s="10">
        <f t="shared" si="92"/>
        <v>86</v>
      </c>
      <c r="B107" s="5">
        <f t="shared" ca="1" si="72"/>
        <v>0.9304350277888902</v>
      </c>
      <c r="C107" s="5">
        <f t="shared" ca="1" si="73"/>
        <v>1.4790388029056674</v>
      </c>
      <c r="D107" s="5">
        <f t="shared" ca="1" si="59"/>
        <v>0.36145750457783299</v>
      </c>
      <c r="E107" s="5">
        <f t="shared" ca="1" si="74"/>
        <v>0.62014521117205856</v>
      </c>
      <c r="F107" s="5">
        <f t="shared" ca="1" si="75"/>
        <v>0.30586218673270077</v>
      </c>
      <c r="G107" s="5">
        <f t="shared" ca="1" si="60"/>
        <v>0.14176958680583129</v>
      </c>
      <c r="H107" s="5">
        <f t="shared" ca="1" si="76"/>
        <v>0.50042032170893047</v>
      </c>
      <c r="I107" s="5">
        <f t="shared" ca="1" si="77"/>
        <v>1.0535904749698333E-3</v>
      </c>
      <c r="J107" s="5">
        <f t="shared" ca="1" si="61"/>
        <v>9.0741825458927394E-2</v>
      </c>
      <c r="K107" s="5">
        <f t="shared" ca="1" si="78"/>
        <v>6.4591155018679736E-2</v>
      </c>
      <c r="L107" s="5">
        <f t="shared" ca="1" si="79"/>
        <v>-1.5173342698623333</v>
      </c>
      <c r="M107" s="5">
        <f t="shared" ca="1" si="62"/>
        <v>-0.13142395704557752</v>
      </c>
      <c r="N107" s="5">
        <f t="shared" ca="1" si="80"/>
        <v>0.59153144641007604</v>
      </c>
      <c r="O107" s="5">
        <f t="shared" ca="1" si="81"/>
        <v>0.23148619736439138</v>
      </c>
      <c r="P107" s="5">
        <f t="shared" ca="1" si="63"/>
        <v>0.1291023422078299</v>
      </c>
      <c r="Q107" s="5">
        <f t="shared" ca="1" si="82"/>
        <v>0.37098142793695899</v>
      </c>
      <c r="R107" s="5">
        <f t="shared" ca="1" si="83"/>
        <v>-0.32925513020032976</v>
      </c>
      <c r="S107" s="5">
        <f t="shared" ca="1" si="64"/>
        <v>3.80165517958162E-2</v>
      </c>
      <c r="T107" s="5">
        <f t="shared" ca="1" si="84"/>
        <v>0.66502242520579302</v>
      </c>
      <c r="U107" s="5">
        <f t="shared" ca="1" si="85"/>
        <v>0.42620956328525855</v>
      </c>
      <c r="V107" s="5">
        <f t="shared" ca="1" si="65"/>
        <v>0.16256809660998872</v>
      </c>
      <c r="W107" s="5">
        <f t="shared" ca="1" si="86"/>
        <v>0.95857372191190027</v>
      </c>
      <c r="X107" s="5">
        <f t="shared" ca="1" si="87"/>
        <v>1.7343694264995504</v>
      </c>
      <c r="Y107" s="5">
        <f t="shared" ca="1" si="66"/>
        <v>0.41461217743165135</v>
      </c>
      <c r="Z107" s="5">
        <f t="shared" ca="1" si="88"/>
        <v>8.6887433131359604E-2</v>
      </c>
      <c r="AA107" s="5">
        <f t="shared" ca="1" si="89"/>
        <v>-1.3601740060659999</v>
      </c>
      <c r="AB107" s="5">
        <f t="shared" ca="1" si="67"/>
        <v>-0.110704854082607</v>
      </c>
      <c r="AC107" s="5">
        <f t="shared" ca="1" si="90"/>
        <v>0.11664401150773307</v>
      </c>
      <c r="AD107" s="5">
        <f t="shared" ca="1" si="91"/>
        <v>-1.1919317106510043</v>
      </c>
      <c r="AE107" s="5">
        <f t="shared" ca="1" si="68"/>
        <v>-8.7976714235870168E-2</v>
      </c>
      <c r="AF107" s="5">
        <f t="shared" ca="1" si="93"/>
        <v>1.361457504577833</v>
      </c>
      <c r="AG107" s="5">
        <f t="shared" ca="1" si="94"/>
        <v>1.1417695868058313</v>
      </c>
      <c r="AH107" s="5">
        <f t="shared" ca="1" si="95"/>
        <v>1.0907418254589274</v>
      </c>
      <c r="AI107" s="5">
        <f t="shared" ca="1" si="96"/>
        <v>0.86857604295442248</v>
      </c>
      <c r="AJ107" s="5">
        <f t="shared" ca="1" si="97"/>
        <v>1.1291023422078299</v>
      </c>
      <c r="AK107" s="5">
        <f t="shared" ca="1" si="98"/>
        <v>1.0380165517958162</v>
      </c>
      <c r="AL107" s="5">
        <f t="shared" ca="1" si="99"/>
        <v>1.1625680966099887</v>
      </c>
      <c r="AM107" s="5">
        <f t="shared" ca="1" si="100"/>
        <v>1.4146121774316514</v>
      </c>
      <c r="AN107" s="5">
        <f t="shared" ca="1" si="101"/>
        <v>0.889295145917393</v>
      </c>
      <c r="AO107" s="5">
        <f t="shared" ca="1" si="102"/>
        <v>0.91202328576412983</v>
      </c>
      <c r="AP107" s="5">
        <f t="shared" ca="1" si="103"/>
        <v>2.3022771481840683</v>
      </c>
      <c r="AQ107" s="4">
        <f t="shared" ca="1" si="69"/>
        <v>23022.771481840682</v>
      </c>
      <c r="AR107">
        <f t="shared" ca="1" si="70"/>
        <v>0</v>
      </c>
      <c r="AS107">
        <f t="shared" ca="1" si="71"/>
        <v>0</v>
      </c>
    </row>
    <row r="108" spans="1:45" x14ac:dyDescent="0.25">
      <c r="A108" s="10">
        <f t="shared" si="92"/>
        <v>87</v>
      </c>
      <c r="B108" s="5">
        <f t="shared" ca="1" si="72"/>
        <v>0.26217475884830954</v>
      </c>
      <c r="C108" s="5">
        <f t="shared" ca="1" si="73"/>
        <v>-0.63665511296603616</v>
      </c>
      <c r="D108" s="5">
        <f t="shared" ca="1" si="59"/>
        <v>-8.7596754566269253E-3</v>
      </c>
      <c r="E108" s="5">
        <f t="shared" ca="1" si="74"/>
        <v>0.78153418319196344</v>
      </c>
      <c r="F108" s="5">
        <f t="shared" ca="1" si="75"/>
        <v>0.77738504398165265</v>
      </c>
      <c r="G108" s="5">
        <f t="shared" ca="1" si="60"/>
        <v>0.22544955040349346</v>
      </c>
      <c r="H108" s="5">
        <f t="shared" ca="1" si="76"/>
        <v>0.20419524909290365</v>
      </c>
      <c r="I108" s="5">
        <f t="shared" ca="1" si="77"/>
        <v>-0.82672932141813593</v>
      </c>
      <c r="J108" s="5">
        <f t="shared" ca="1" si="61"/>
        <v>-3.6621978204586347E-2</v>
      </c>
      <c r="K108" s="5">
        <f t="shared" ca="1" si="78"/>
        <v>0.79000840991717125</v>
      </c>
      <c r="L108" s="5">
        <f t="shared" ca="1" si="79"/>
        <v>0.80645042806860079</v>
      </c>
      <c r="M108" s="5">
        <f t="shared" ca="1" si="62"/>
        <v>0.23080393825188095</v>
      </c>
      <c r="N108" s="5">
        <f t="shared" ca="1" si="80"/>
        <v>0.33413214650161094</v>
      </c>
      <c r="O108" s="5">
        <f t="shared" ca="1" si="81"/>
        <v>-0.42853137908471156</v>
      </c>
      <c r="P108" s="5">
        <f t="shared" ca="1" si="63"/>
        <v>2.2673516818144224E-2</v>
      </c>
      <c r="Q108" s="5">
        <f t="shared" ca="1" si="82"/>
        <v>0.24731311804830425</v>
      </c>
      <c r="R108" s="5">
        <f t="shared" ca="1" si="83"/>
        <v>-0.68296930909447817</v>
      </c>
      <c r="S108" s="5">
        <f t="shared" ca="1" si="64"/>
        <v>-1.5622085651155415E-2</v>
      </c>
      <c r="T108" s="5">
        <f t="shared" ca="1" si="84"/>
        <v>6.1728849915150263E-3</v>
      </c>
      <c r="U108" s="5">
        <f t="shared" ca="1" si="85"/>
        <v>-2.5021038646782712</v>
      </c>
      <c r="V108" s="5">
        <f t="shared" ca="1" si="65"/>
        <v>-0.25069980375071288</v>
      </c>
      <c r="W108" s="5">
        <f t="shared" ca="1" si="86"/>
        <v>0.76613354002387501</v>
      </c>
      <c r="X108" s="5">
        <f t="shared" ca="1" si="87"/>
        <v>0.72617267663972496</v>
      </c>
      <c r="Y108" s="5">
        <f t="shared" ca="1" si="66"/>
        <v>0.21607188955457257</v>
      </c>
      <c r="Z108" s="5">
        <f t="shared" ca="1" si="88"/>
        <v>0.71428110727711758</v>
      </c>
      <c r="AA108" s="5">
        <f t="shared" ca="1" si="89"/>
        <v>0.56593526819340045</v>
      </c>
      <c r="AB108" s="5">
        <f t="shared" ca="1" si="67"/>
        <v>0.18719132967028318</v>
      </c>
      <c r="AC108" s="5">
        <f t="shared" ca="1" si="90"/>
        <v>0.61049710992665718</v>
      </c>
      <c r="AD108" s="5">
        <f t="shared" ca="1" si="91"/>
        <v>0.28061490829492081</v>
      </c>
      <c r="AE108" s="5">
        <f t="shared" ca="1" si="68"/>
        <v>0.13745377794558111</v>
      </c>
      <c r="AF108" s="5">
        <f t="shared" ca="1" si="93"/>
        <v>0.99124032454337307</v>
      </c>
      <c r="AG108" s="5">
        <f t="shared" ca="1" si="94"/>
        <v>1.2254495504034935</v>
      </c>
      <c r="AH108" s="5">
        <f t="shared" ca="1" si="95"/>
        <v>0.96337802179541365</v>
      </c>
      <c r="AI108" s="5">
        <f t="shared" ca="1" si="96"/>
        <v>1.2308039382518809</v>
      </c>
      <c r="AJ108" s="5">
        <f t="shared" ca="1" si="97"/>
        <v>1.0226735168181442</v>
      </c>
      <c r="AK108" s="5">
        <f t="shared" ca="1" si="98"/>
        <v>0.98437791434884458</v>
      </c>
      <c r="AL108" s="5">
        <f t="shared" ca="1" si="99"/>
        <v>0.74930019624928712</v>
      </c>
      <c r="AM108" s="5">
        <f t="shared" ca="1" si="100"/>
        <v>1.2160718895545726</v>
      </c>
      <c r="AN108" s="5">
        <f t="shared" ca="1" si="101"/>
        <v>1.1871913296702832</v>
      </c>
      <c r="AO108" s="5">
        <f t="shared" ca="1" si="102"/>
        <v>1.1374537779455811</v>
      </c>
      <c r="AP108" s="5">
        <f t="shared" ca="1" si="103"/>
        <v>1.7841380272335812</v>
      </c>
      <c r="AQ108" s="4">
        <f t="shared" ca="1" si="69"/>
        <v>17841.380272335813</v>
      </c>
      <c r="AR108">
        <f t="shared" ca="1" si="70"/>
        <v>0</v>
      </c>
      <c r="AS108">
        <f t="shared" ca="1" si="71"/>
        <v>0</v>
      </c>
    </row>
    <row r="109" spans="1:45" x14ac:dyDescent="0.25">
      <c r="A109" s="10">
        <f t="shared" si="92"/>
        <v>88</v>
      </c>
      <c r="B109" s="5">
        <f t="shared" ca="1" si="72"/>
        <v>6.6911926169630043E-2</v>
      </c>
      <c r="C109" s="5">
        <f t="shared" ca="1" si="73"/>
        <v>-1.4991919132350648</v>
      </c>
      <c r="D109" s="5">
        <f t="shared" ca="1" si="59"/>
        <v>-0.12905703544175051</v>
      </c>
      <c r="E109" s="5">
        <f t="shared" ca="1" si="74"/>
        <v>0.79019367912718141</v>
      </c>
      <c r="F109" s="5">
        <f t="shared" ca="1" si="75"/>
        <v>0.80709345652518338</v>
      </c>
      <c r="G109" s="5">
        <f t="shared" ca="1" si="60"/>
        <v>0.23092266027092734</v>
      </c>
      <c r="H109" s="5">
        <f t="shared" ca="1" si="76"/>
        <v>0.41477748997136743</v>
      </c>
      <c r="I109" s="5">
        <f t="shared" ca="1" si="77"/>
        <v>-0.21527235745957579</v>
      </c>
      <c r="J109" s="5">
        <f t="shared" ca="1" si="61"/>
        <v>5.5916538216832956E-2</v>
      </c>
      <c r="K109" s="5">
        <f t="shared" ca="1" si="78"/>
        <v>0.8974960775892793</v>
      </c>
      <c r="L109" s="5">
        <f t="shared" ca="1" si="79"/>
        <v>1.2674124656233983</v>
      </c>
      <c r="M109" s="5">
        <f t="shared" ca="1" si="62"/>
        <v>0.31891821940227394</v>
      </c>
      <c r="N109" s="5">
        <f t="shared" ca="1" si="80"/>
        <v>0.12388095386359077</v>
      </c>
      <c r="O109" s="5">
        <f t="shared" ca="1" si="81"/>
        <v>-1.1558026038948013</v>
      </c>
      <c r="P109" s="5">
        <f t="shared" ca="1" si="63"/>
        <v>-8.3020709164441153E-2</v>
      </c>
      <c r="Q109" s="5">
        <f t="shared" ca="1" si="82"/>
        <v>0.8579276773078528</v>
      </c>
      <c r="R109" s="5">
        <f t="shared" ca="1" si="83"/>
        <v>1.0710551220685811</v>
      </c>
      <c r="S109" s="5">
        <f t="shared" ca="1" si="64"/>
        <v>0.28063784255513413</v>
      </c>
      <c r="T109" s="5">
        <f t="shared" ca="1" si="84"/>
        <v>0.68649613056833669</v>
      </c>
      <c r="U109" s="5">
        <f t="shared" ca="1" si="85"/>
        <v>0.48594277583159939</v>
      </c>
      <c r="V109" s="5">
        <f t="shared" ca="1" si="65"/>
        <v>0.17303149160581088</v>
      </c>
      <c r="W109" s="5">
        <f t="shared" ca="1" si="86"/>
        <v>0.9174586004132449</v>
      </c>
      <c r="X109" s="5">
        <f t="shared" ca="1" si="87"/>
        <v>1.388178165902286</v>
      </c>
      <c r="Y109" s="5">
        <f t="shared" ca="1" si="66"/>
        <v>0.34302794455404251</v>
      </c>
      <c r="Z109" s="5">
        <f t="shared" ca="1" si="88"/>
        <v>0.69483139249782044</v>
      </c>
      <c r="AA109" s="5">
        <f t="shared" ca="1" si="89"/>
        <v>0.50959216368134896</v>
      </c>
      <c r="AB109" s="5">
        <f t="shared" ca="1" si="67"/>
        <v>0.17720010262244013</v>
      </c>
      <c r="AC109" s="5">
        <f t="shared" ca="1" si="90"/>
        <v>0.83848665755805574</v>
      </c>
      <c r="AD109" s="5">
        <f t="shared" ca="1" si="91"/>
        <v>0.98825723270351384</v>
      </c>
      <c r="AE109" s="5">
        <f t="shared" ca="1" si="68"/>
        <v>0.26483108662681176</v>
      </c>
      <c r="AF109" s="5">
        <f t="shared" ca="1" si="93"/>
        <v>0.87094296455824949</v>
      </c>
      <c r="AG109" s="5">
        <f t="shared" ca="1" si="94"/>
        <v>1.2309226602709273</v>
      </c>
      <c r="AH109" s="5">
        <f t="shared" ca="1" si="95"/>
        <v>1.055916538216833</v>
      </c>
      <c r="AI109" s="5">
        <f t="shared" ca="1" si="96"/>
        <v>1.3189182194022739</v>
      </c>
      <c r="AJ109" s="5">
        <f t="shared" ca="1" si="97"/>
        <v>0.91697929083555885</v>
      </c>
      <c r="AK109" s="5">
        <f t="shared" ca="1" si="98"/>
        <v>1.2806378425551341</v>
      </c>
      <c r="AL109" s="5">
        <f t="shared" ca="1" si="99"/>
        <v>1.1730314916058109</v>
      </c>
      <c r="AM109" s="5">
        <f t="shared" ca="1" si="100"/>
        <v>1.3430279445540425</v>
      </c>
      <c r="AN109" s="5">
        <f t="shared" ca="1" si="101"/>
        <v>1.1772001026224401</v>
      </c>
      <c r="AO109" s="5">
        <f t="shared" ca="1" si="102"/>
        <v>1.2648310866268118</v>
      </c>
      <c r="AP109" s="5">
        <f t="shared" ca="1" si="103"/>
        <v>4.1127408353414481</v>
      </c>
      <c r="AQ109" s="4">
        <f t="shared" ca="1" si="69"/>
        <v>41127.408353414481</v>
      </c>
      <c r="AR109">
        <f t="shared" ca="1" si="70"/>
        <v>1</v>
      </c>
      <c r="AS109">
        <f t="shared" ca="1" si="71"/>
        <v>0</v>
      </c>
    </row>
    <row r="110" spans="1:45" x14ac:dyDescent="0.25">
      <c r="A110" s="10">
        <f t="shared" si="92"/>
        <v>89</v>
      </c>
      <c r="B110" s="5">
        <f t="shared" ca="1" si="72"/>
        <v>0.74267025356803784</v>
      </c>
      <c r="C110" s="5">
        <f t="shared" ca="1" si="73"/>
        <v>0.65159962012522032</v>
      </c>
      <c r="D110" s="5">
        <f t="shared" ca="1" si="59"/>
        <v>0.20254475790819715</v>
      </c>
      <c r="E110" s="5">
        <f t="shared" ca="1" si="74"/>
        <v>0.50680833841689299</v>
      </c>
      <c r="F110" s="5">
        <f t="shared" ca="1" si="75"/>
        <v>1.7066802067055433E-2</v>
      </c>
      <c r="G110" s="5">
        <f t="shared" ca="1" si="60"/>
        <v>9.3364916452608471E-2</v>
      </c>
      <c r="H110" s="5">
        <f t="shared" ca="1" si="76"/>
        <v>0.76395579259970903</v>
      </c>
      <c r="I110" s="5">
        <f t="shared" ca="1" si="77"/>
        <v>0.71908521765672673</v>
      </c>
      <c r="J110" s="5">
        <f t="shared" ca="1" si="61"/>
        <v>0.21477974758087681</v>
      </c>
      <c r="K110" s="5">
        <f t="shared" ca="1" si="78"/>
        <v>0.87092712571032882</v>
      </c>
      <c r="L110" s="5">
        <f t="shared" ca="1" si="79"/>
        <v>1.1307846348733543</v>
      </c>
      <c r="M110" s="5">
        <f t="shared" ca="1" si="62"/>
        <v>0.29216317681637882</v>
      </c>
      <c r="N110" s="5">
        <f t="shared" ca="1" si="80"/>
        <v>0.41181476648809712</v>
      </c>
      <c r="O110" s="5">
        <f t="shared" ca="1" si="81"/>
        <v>-0.22287919003741924</v>
      </c>
      <c r="P110" s="5">
        <f t="shared" ca="1" si="63"/>
        <v>5.4712398275936991E-2</v>
      </c>
      <c r="Q110" s="5">
        <f t="shared" ca="1" si="82"/>
        <v>0.58018843589707214</v>
      </c>
      <c r="R110" s="5">
        <f t="shared" ca="1" si="83"/>
        <v>0.20237556662873221</v>
      </c>
      <c r="S110" s="5">
        <f t="shared" ca="1" si="64"/>
        <v>0.12418275873601603</v>
      </c>
      <c r="T110" s="5">
        <f t="shared" ca="1" si="84"/>
        <v>0.28490363870470836</v>
      </c>
      <c r="U110" s="5">
        <f t="shared" ca="1" si="85"/>
        <v>-0.5683353537635315</v>
      </c>
      <c r="V110" s="5">
        <f t="shared" ca="1" si="65"/>
        <v>1.4507482540424554E-3</v>
      </c>
      <c r="W110" s="5">
        <f t="shared" ca="1" si="86"/>
        <v>8.0874393562675229E-2</v>
      </c>
      <c r="X110" s="5">
        <f t="shared" ca="1" si="87"/>
        <v>-1.3992141082206357</v>
      </c>
      <c r="Y110" s="5">
        <f t="shared" ca="1" si="66"/>
        <v>-0.11589736154347108</v>
      </c>
      <c r="Z110" s="5">
        <f t="shared" ca="1" si="88"/>
        <v>0.95846866652058527</v>
      </c>
      <c r="AA110" s="5">
        <f t="shared" ca="1" si="89"/>
        <v>1.7331857050952757</v>
      </c>
      <c r="AB110" s="5">
        <f t="shared" ca="1" si="67"/>
        <v>0.4143610237225368</v>
      </c>
      <c r="AC110" s="5">
        <f t="shared" ca="1" si="90"/>
        <v>0.98141222286941721</v>
      </c>
      <c r="AD110" s="5">
        <f t="shared" ca="1" si="91"/>
        <v>2.0838308702969366</v>
      </c>
      <c r="AE110" s="5">
        <f t="shared" ca="1" si="68"/>
        <v>0.49074296594769629</v>
      </c>
      <c r="AF110" s="5">
        <f t="shared" ca="1" si="93"/>
        <v>1.2025447579081971</v>
      </c>
      <c r="AG110" s="5">
        <f t="shared" ca="1" si="94"/>
        <v>1.0933649164526085</v>
      </c>
      <c r="AH110" s="5">
        <f t="shared" ca="1" si="95"/>
        <v>1.2147797475808768</v>
      </c>
      <c r="AI110" s="5">
        <f t="shared" ca="1" si="96"/>
        <v>1.2921631768163788</v>
      </c>
      <c r="AJ110" s="5">
        <f t="shared" ca="1" si="97"/>
        <v>1.054712398275937</v>
      </c>
      <c r="AK110" s="5">
        <f t="shared" ca="1" si="98"/>
        <v>1.124182758736016</v>
      </c>
      <c r="AL110" s="5">
        <f t="shared" ca="1" si="99"/>
        <v>1.0014507482540425</v>
      </c>
      <c r="AM110" s="5">
        <f t="shared" ca="1" si="100"/>
        <v>0.88410263845652892</v>
      </c>
      <c r="AN110" s="5">
        <f t="shared" ca="1" si="101"/>
        <v>1.4143610237225368</v>
      </c>
      <c r="AO110" s="5">
        <f t="shared" ca="1" si="102"/>
        <v>1.4907429659476963</v>
      </c>
      <c r="AP110" s="5">
        <f t="shared" ca="1" si="103"/>
        <v>4.568226086670311</v>
      </c>
      <c r="AQ110" s="4">
        <f t="shared" ca="1" si="69"/>
        <v>45682.260866703109</v>
      </c>
      <c r="AR110">
        <f t="shared" ca="1" si="70"/>
        <v>1</v>
      </c>
      <c r="AS110">
        <f t="shared" ca="1" si="71"/>
        <v>0</v>
      </c>
    </row>
    <row r="111" spans="1:45" x14ac:dyDescent="0.25">
      <c r="A111" s="10">
        <f t="shared" si="92"/>
        <v>90</v>
      </c>
      <c r="B111" s="5">
        <f t="shared" ca="1" si="72"/>
        <v>0.53684046016693698</v>
      </c>
      <c r="C111" s="5">
        <f t="shared" ca="1" si="73"/>
        <v>9.2476980589400126E-2</v>
      </c>
      <c r="D111" s="5">
        <f t="shared" ca="1" si="59"/>
        <v>0.10580275584138676</v>
      </c>
      <c r="E111" s="5">
        <f t="shared" ca="1" si="74"/>
        <v>0.94224984837381809</v>
      </c>
      <c r="F111" s="5">
        <f t="shared" ca="1" si="75"/>
        <v>1.5739444031714831</v>
      </c>
      <c r="G111" s="5">
        <f t="shared" ca="1" si="60"/>
        <v>0.38097760871459774</v>
      </c>
      <c r="H111" s="5">
        <f t="shared" ca="1" si="76"/>
        <v>0.73817262290183328</v>
      </c>
      <c r="I111" s="5">
        <f t="shared" ca="1" si="77"/>
        <v>0.6377218582106019</v>
      </c>
      <c r="J111" s="5">
        <f t="shared" ca="1" si="61"/>
        <v>0.20004406713427314</v>
      </c>
      <c r="K111" s="5">
        <f t="shared" ca="1" si="78"/>
        <v>0.43174507679265806</v>
      </c>
      <c r="L111" s="5">
        <f t="shared" ca="1" si="79"/>
        <v>-0.17193306238674355</v>
      </c>
      <c r="M111" s="5">
        <f t="shared" ca="1" si="62"/>
        <v>6.2803300783968563E-2</v>
      </c>
      <c r="N111" s="5">
        <f t="shared" ca="1" si="80"/>
        <v>0.433155418117946</v>
      </c>
      <c r="O111" s="5">
        <f t="shared" ca="1" si="81"/>
        <v>-0.16834631934254801</v>
      </c>
      <c r="P111" s="5">
        <f t="shared" ca="1" si="63"/>
        <v>6.3375254981092866E-2</v>
      </c>
      <c r="Q111" s="5">
        <f t="shared" ca="1" si="82"/>
        <v>0.16388259636974878</v>
      </c>
      <c r="R111" s="5">
        <f t="shared" ca="1" si="83"/>
        <v>-0.97862522112394179</v>
      </c>
      <c r="S111" s="5">
        <f t="shared" ca="1" si="64"/>
        <v>-5.8323783936364504E-2</v>
      </c>
      <c r="T111" s="5">
        <f t="shared" ca="1" si="84"/>
        <v>0.85893358508464546</v>
      </c>
      <c r="U111" s="5">
        <f t="shared" ca="1" si="85"/>
        <v>1.075540455659153</v>
      </c>
      <c r="V111" s="5">
        <f t="shared" ca="1" si="65"/>
        <v>0.28149974565672742</v>
      </c>
      <c r="W111" s="5">
        <f t="shared" ca="1" si="86"/>
        <v>0.66855356626087525</v>
      </c>
      <c r="X111" s="5">
        <f t="shared" ca="1" si="87"/>
        <v>0.43592262731701126</v>
      </c>
      <c r="Y111" s="5">
        <f t="shared" ca="1" si="66"/>
        <v>0.16426314587384394</v>
      </c>
      <c r="Z111" s="5">
        <f t="shared" ca="1" si="88"/>
        <v>0.12305569194270982</v>
      </c>
      <c r="AA111" s="5">
        <f t="shared" ca="1" si="89"/>
        <v>-1.1598463138518289</v>
      </c>
      <c r="AB111" s="5">
        <f t="shared" ca="1" si="67"/>
        <v>-8.3576740258569315E-2</v>
      </c>
      <c r="AC111" s="5">
        <f t="shared" ca="1" si="90"/>
        <v>0.28541206925572926</v>
      </c>
      <c r="AD111" s="5">
        <f t="shared" ca="1" si="91"/>
        <v>-0.56683816482009708</v>
      </c>
      <c r="AE111" s="5">
        <f t="shared" ca="1" si="68"/>
        <v>1.6756776583852773E-3</v>
      </c>
      <c r="AF111" s="5">
        <f t="shared" ca="1" si="93"/>
        <v>1.1058027558413868</v>
      </c>
      <c r="AG111" s="5">
        <f t="shared" ca="1" si="94"/>
        <v>1.3809776087145977</v>
      </c>
      <c r="AH111" s="5">
        <f t="shared" ca="1" si="95"/>
        <v>1.2000440671342731</v>
      </c>
      <c r="AI111" s="5">
        <f t="shared" ca="1" si="96"/>
        <v>1.0628033007839686</v>
      </c>
      <c r="AJ111" s="5">
        <f t="shared" ca="1" si="97"/>
        <v>1.0633752549810929</v>
      </c>
      <c r="AK111" s="5">
        <f t="shared" ca="1" si="98"/>
        <v>0.9416762160636355</v>
      </c>
      <c r="AL111" s="5">
        <f t="shared" ca="1" si="99"/>
        <v>1.2814997456567274</v>
      </c>
      <c r="AM111" s="5">
        <f t="shared" ca="1" si="100"/>
        <v>1.1642631458738439</v>
      </c>
      <c r="AN111" s="5">
        <f t="shared" ca="1" si="101"/>
        <v>0.91642325974143068</v>
      </c>
      <c r="AO111" s="5">
        <f t="shared" ca="1" si="102"/>
        <v>1.0016756776583853</v>
      </c>
      <c r="AP111" s="5">
        <f t="shared" ca="1" si="103"/>
        <v>2.6711326248143452</v>
      </c>
      <c r="AQ111" s="4">
        <f t="shared" ca="1" si="69"/>
        <v>26711.32624814345</v>
      </c>
      <c r="AR111">
        <f t="shared" ca="1" si="70"/>
        <v>1</v>
      </c>
      <c r="AS111">
        <f t="shared" ca="1" si="71"/>
        <v>0</v>
      </c>
    </row>
    <row r="112" spans="1:45" x14ac:dyDescent="0.25">
      <c r="A112" s="10">
        <f t="shared" si="92"/>
        <v>91</v>
      </c>
      <c r="B112" s="5">
        <f t="shared" ca="1" si="72"/>
        <v>0.66008725485001707</v>
      </c>
      <c r="C112" s="5">
        <f t="shared" ca="1" si="73"/>
        <v>0.41270127539096502</v>
      </c>
      <c r="D112" s="5">
        <f t="shared" ca="1" si="59"/>
        <v>0.16021483587253527</v>
      </c>
      <c r="E112" s="5">
        <f t="shared" ca="1" si="74"/>
        <v>5.4356699959119403E-3</v>
      </c>
      <c r="F112" s="5">
        <f t="shared" ca="1" si="75"/>
        <v>-2.5468074500996427</v>
      </c>
      <c r="G112" s="5">
        <f t="shared" ca="1" si="60"/>
        <v>-0.25570745628463509</v>
      </c>
      <c r="H112" s="5">
        <f t="shared" ca="1" si="76"/>
        <v>0.17573176646199395</v>
      </c>
      <c r="I112" s="5">
        <f t="shared" ca="1" si="77"/>
        <v>-0.93175426961758356</v>
      </c>
      <c r="J112" s="5">
        <f t="shared" ca="1" si="61"/>
        <v>-5.1679866761057625E-2</v>
      </c>
      <c r="K112" s="5">
        <f t="shared" ca="1" si="78"/>
        <v>0.39574988164846137</v>
      </c>
      <c r="L112" s="5">
        <f t="shared" ca="1" si="79"/>
        <v>-0.26436359187326069</v>
      </c>
      <c r="M112" s="5">
        <f t="shared" ca="1" si="62"/>
        <v>4.8169659066965576E-2</v>
      </c>
      <c r="N112" s="5">
        <f t="shared" ca="1" si="80"/>
        <v>0.40311561328589018</v>
      </c>
      <c r="O112" s="5">
        <f t="shared" ca="1" si="81"/>
        <v>-0.24529086221021373</v>
      </c>
      <c r="P112" s="5">
        <f t="shared" ca="1" si="63"/>
        <v>5.117267117382629E-2</v>
      </c>
      <c r="Q112" s="5">
        <f t="shared" ca="1" si="82"/>
        <v>0.70591257181872791</v>
      </c>
      <c r="R112" s="5">
        <f t="shared" ca="1" si="83"/>
        <v>0.54148279052362225</v>
      </c>
      <c r="S112" s="5">
        <f t="shared" ca="1" si="64"/>
        <v>0.18284484030394665</v>
      </c>
      <c r="T112" s="5">
        <f t="shared" ca="1" si="84"/>
        <v>0.49908344532327598</v>
      </c>
      <c r="U112" s="5">
        <f t="shared" ca="1" si="85"/>
        <v>-2.2974638890528283E-3</v>
      </c>
      <c r="V112" s="5">
        <f t="shared" ca="1" si="65"/>
        <v>9.0193692958970173E-2</v>
      </c>
      <c r="W112" s="5">
        <f t="shared" ca="1" si="86"/>
        <v>0.60241527098308234</v>
      </c>
      <c r="X112" s="5">
        <f t="shared" ca="1" si="87"/>
        <v>0.25960373103597384</v>
      </c>
      <c r="Y112" s="5">
        <f t="shared" ca="1" si="66"/>
        <v>0.13387453477393252</v>
      </c>
      <c r="Z112" s="5">
        <f t="shared" ca="1" si="88"/>
        <v>0.32100910775425306</v>
      </c>
      <c r="AA112" s="5">
        <f t="shared" ca="1" si="89"/>
        <v>-0.46487885249414845</v>
      </c>
      <c r="AB112" s="5">
        <f t="shared" ca="1" si="67"/>
        <v>1.7112949267143351E-2</v>
      </c>
      <c r="AC112" s="5">
        <f t="shared" ca="1" si="90"/>
        <v>0.57894885357438142</v>
      </c>
      <c r="AD112" s="5">
        <f t="shared" ca="1" si="91"/>
        <v>0.19920512211670666</v>
      </c>
      <c r="AE112" s="5">
        <f t="shared" ca="1" si="68"/>
        <v>0.12364826198182</v>
      </c>
      <c r="AF112" s="5">
        <f t="shared" ca="1" si="93"/>
        <v>1.1602148358725353</v>
      </c>
      <c r="AG112" s="5">
        <f t="shared" ca="1" si="94"/>
        <v>0.74429254371536491</v>
      </c>
      <c r="AH112" s="5">
        <f t="shared" ca="1" si="95"/>
        <v>0.94832013323894238</v>
      </c>
      <c r="AI112" s="5">
        <f t="shared" ca="1" si="96"/>
        <v>1.0481696590669656</v>
      </c>
      <c r="AJ112" s="5">
        <f t="shared" ca="1" si="97"/>
        <v>1.0511726711738263</v>
      </c>
      <c r="AK112" s="5">
        <f t="shared" ca="1" si="98"/>
        <v>1.1828448403039467</v>
      </c>
      <c r="AL112" s="5">
        <f t="shared" ca="1" si="99"/>
        <v>1.0901936929589702</v>
      </c>
      <c r="AM112" s="5">
        <f t="shared" ca="1" si="100"/>
        <v>1.1338745347739325</v>
      </c>
      <c r="AN112" s="5">
        <f t="shared" ca="1" si="101"/>
        <v>1.0171129492671434</v>
      </c>
      <c r="AO112" s="5">
        <f t="shared" ca="1" si="102"/>
        <v>1.12364826198182</v>
      </c>
      <c r="AP112" s="5">
        <f t="shared" ca="1" si="103"/>
        <v>1.5077825541568786</v>
      </c>
      <c r="AQ112" s="4">
        <f t="shared" ca="1" si="69"/>
        <v>15077.825541568785</v>
      </c>
      <c r="AR112">
        <f t="shared" ca="1" si="70"/>
        <v>0</v>
      </c>
      <c r="AS112">
        <f t="shared" ca="1" si="71"/>
        <v>0</v>
      </c>
    </row>
    <row r="113" spans="1:45" x14ac:dyDescent="0.25">
      <c r="A113" s="10">
        <f t="shared" si="92"/>
        <v>92</v>
      </c>
      <c r="B113" s="5">
        <f t="shared" ca="1" si="72"/>
        <v>0.10587623867753715</v>
      </c>
      <c r="C113" s="5">
        <f t="shared" ca="1" si="73"/>
        <v>-1.2487610682298804</v>
      </c>
      <c r="D113" s="5">
        <f t="shared" ca="1" si="59"/>
        <v>-9.5718126510722756E-2</v>
      </c>
      <c r="E113" s="5">
        <f t="shared" ca="1" si="74"/>
        <v>0.29822078439200672</v>
      </c>
      <c r="F113" s="5">
        <f t="shared" ca="1" si="75"/>
        <v>-0.52952462190460314</v>
      </c>
      <c r="G113" s="5">
        <f t="shared" ca="1" si="60"/>
        <v>7.2978068562576937E-3</v>
      </c>
      <c r="H113" s="5">
        <f t="shared" ca="1" si="76"/>
        <v>0.68300989302183801</v>
      </c>
      <c r="I113" s="5">
        <f t="shared" ca="1" si="77"/>
        <v>0.47613217782710299</v>
      </c>
      <c r="J113" s="5">
        <f t="shared" ca="1" si="61"/>
        <v>0.17130654006594992</v>
      </c>
      <c r="K113" s="5">
        <f t="shared" ca="1" si="78"/>
        <v>0.65774673875022127</v>
      </c>
      <c r="L113" s="5">
        <f t="shared" ca="1" si="79"/>
        <v>0.40632131967218854</v>
      </c>
      <c r="M113" s="5">
        <f t="shared" ca="1" si="62"/>
        <v>0.15910504909495105</v>
      </c>
      <c r="N113" s="5">
        <f t="shared" ca="1" si="80"/>
        <v>0.2017678452589543</v>
      </c>
      <c r="O113" s="5">
        <f t="shared" ca="1" si="81"/>
        <v>-0.83532332037072088</v>
      </c>
      <c r="P113" s="5">
        <f t="shared" ca="1" si="63"/>
        <v>-3.7863068544575107E-2</v>
      </c>
      <c r="Q113" s="5">
        <f t="shared" ca="1" si="82"/>
        <v>0.99772925835951287</v>
      </c>
      <c r="R113" s="5">
        <f t="shared" ca="1" si="83"/>
        <v>2.8378759235712652</v>
      </c>
      <c r="S113" s="5">
        <f t="shared" ca="1" si="64"/>
        <v>0.66926162599924854</v>
      </c>
      <c r="T113" s="5">
        <f t="shared" ca="1" si="84"/>
        <v>0.94199996311246348</v>
      </c>
      <c r="U113" s="5">
        <f t="shared" ca="1" si="85"/>
        <v>1.5717864985042849</v>
      </c>
      <c r="V113" s="5">
        <f t="shared" ca="1" si="65"/>
        <v>0.38053067834691312</v>
      </c>
      <c r="W113" s="5">
        <f t="shared" ca="1" si="86"/>
        <v>0.63980684524027132</v>
      </c>
      <c r="X113" s="5">
        <f t="shared" ca="1" si="87"/>
        <v>0.35794254687004812</v>
      </c>
      <c r="Y113" s="5">
        <f t="shared" ca="1" si="66"/>
        <v>0.15072408346316712</v>
      </c>
      <c r="Z113" s="5">
        <f t="shared" ca="1" si="88"/>
        <v>0.80841562633420039</v>
      </c>
      <c r="AA113" s="5">
        <f t="shared" ca="1" si="89"/>
        <v>0.87207264662761896</v>
      </c>
      <c r="AB113" s="5">
        <f t="shared" ca="1" si="67"/>
        <v>0.24297897416853398</v>
      </c>
      <c r="AC113" s="5">
        <f t="shared" ca="1" si="90"/>
        <v>3.0984399043431088E-3</v>
      </c>
      <c r="AD113" s="5">
        <f t="shared" ca="1" si="91"/>
        <v>-2.7371777590062143</v>
      </c>
      <c r="AE113" s="5">
        <f t="shared" ca="1" si="68"/>
        <v>-0.27666054921925276</v>
      </c>
      <c r="AF113" s="5">
        <f t="shared" ca="1" si="93"/>
        <v>0.90428187348927724</v>
      </c>
      <c r="AG113" s="5">
        <f t="shared" ca="1" si="94"/>
        <v>1.0072978068562577</v>
      </c>
      <c r="AH113" s="5">
        <f t="shared" ca="1" si="95"/>
        <v>1.1713065400659499</v>
      </c>
      <c r="AI113" s="5">
        <f t="shared" ca="1" si="96"/>
        <v>1.159105049094951</v>
      </c>
      <c r="AJ113" s="5">
        <f t="shared" ca="1" si="97"/>
        <v>0.96213693145542489</v>
      </c>
      <c r="AK113" s="5">
        <f t="shared" ca="1" si="98"/>
        <v>1.6692616259992485</v>
      </c>
      <c r="AL113" s="5">
        <f t="shared" ca="1" si="99"/>
        <v>1.3805306783469131</v>
      </c>
      <c r="AM113" s="5">
        <f t="shared" ca="1" si="100"/>
        <v>1.1507240834631671</v>
      </c>
      <c r="AN113" s="5">
        <f t="shared" ca="1" si="101"/>
        <v>1.242978974168534</v>
      </c>
      <c r="AO113" s="5">
        <f t="shared" ca="1" si="102"/>
        <v>0.72333945078074724</v>
      </c>
      <c r="AP113" s="5">
        <f t="shared" ca="1" si="103"/>
        <v>2.836870907259192</v>
      </c>
      <c r="AQ113" s="4">
        <f t="shared" ca="1" si="69"/>
        <v>28368.709072591919</v>
      </c>
      <c r="AR113">
        <f t="shared" ca="1" si="70"/>
        <v>1</v>
      </c>
      <c r="AS113">
        <f t="shared" ca="1" si="71"/>
        <v>0</v>
      </c>
    </row>
    <row r="114" spans="1:45" x14ac:dyDescent="0.25">
      <c r="A114" s="10">
        <f t="shared" si="92"/>
        <v>93</v>
      </c>
      <c r="B114" s="5">
        <f t="shared" ca="1" si="72"/>
        <v>0.19742019611327244</v>
      </c>
      <c r="C114" s="5">
        <f t="shared" ca="1" si="73"/>
        <v>-0.85087212251370803</v>
      </c>
      <c r="D114" s="5">
        <f t="shared" ca="1" si="59"/>
        <v>-4.0104465218271934E-2</v>
      </c>
      <c r="E114" s="5">
        <f t="shared" ca="1" si="74"/>
        <v>0.26985018151688667</v>
      </c>
      <c r="F114" s="5">
        <f t="shared" ca="1" si="75"/>
        <v>-0.61326616301862757</v>
      </c>
      <c r="G114" s="5">
        <f t="shared" ca="1" si="60"/>
        <v>-5.2759574414339427E-3</v>
      </c>
      <c r="H114" s="5">
        <f t="shared" ca="1" si="76"/>
        <v>0.32171182926213238</v>
      </c>
      <c r="I114" s="5">
        <f t="shared" ca="1" si="77"/>
        <v>-0.46291728331613213</v>
      </c>
      <c r="J114" s="5">
        <f t="shared" ca="1" si="61"/>
        <v>1.7412263911238846E-2</v>
      </c>
      <c r="K114" s="5">
        <f t="shared" ca="1" si="78"/>
        <v>0.93938503515329963</v>
      </c>
      <c r="L114" s="5">
        <f t="shared" ca="1" si="79"/>
        <v>1.5496317423696104</v>
      </c>
      <c r="M114" s="5">
        <f t="shared" ca="1" si="62"/>
        <v>0.37595049494829813</v>
      </c>
      <c r="N114" s="5">
        <f t="shared" ca="1" si="80"/>
        <v>0.3754120652453351</v>
      </c>
      <c r="O114" s="5">
        <f t="shared" ca="1" si="81"/>
        <v>-0.31755286825980561</v>
      </c>
      <c r="P114" s="5">
        <f t="shared" ca="1" si="63"/>
        <v>3.9840223146700993E-2</v>
      </c>
      <c r="Q114" s="5">
        <f t="shared" ca="1" si="82"/>
        <v>0.50163506246076273</v>
      </c>
      <c r="R114" s="5">
        <f t="shared" ca="1" si="83"/>
        <v>4.09850526918138E-3</v>
      </c>
      <c r="S114" s="5">
        <f t="shared" ca="1" si="64"/>
        <v>9.1240121633620275E-2</v>
      </c>
      <c r="T114" s="5">
        <f t="shared" ca="1" si="84"/>
        <v>0.60015131544605815</v>
      </c>
      <c r="U114" s="5">
        <f t="shared" ca="1" si="85"/>
        <v>0.25373878394890714</v>
      </c>
      <c r="V114" s="5">
        <f t="shared" ca="1" si="65"/>
        <v>0.13287745630170233</v>
      </c>
      <c r="W114" s="5">
        <f t="shared" ca="1" si="86"/>
        <v>0.34635137108966152</v>
      </c>
      <c r="X114" s="5">
        <f t="shared" ca="1" si="87"/>
        <v>-0.39518990512889723</v>
      </c>
      <c r="Y114" s="5">
        <f t="shared" ca="1" si="66"/>
        <v>2.7800944193706822E-2</v>
      </c>
      <c r="Z114" s="5">
        <f t="shared" ca="1" si="88"/>
        <v>0.63116042214735224</v>
      </c>
      <c r="AA114" s="5">
        <f t="shared" ca="1" si="89"/>
        <v>0.33492832357616459</v>
      </c>
      <c r="AB114" s="5">
        <f t="shared" ca="1" si="67"/>
        <v>0.14675847914818574</v>
      </c>
      <c r="AC114" s="5">
        <f t="shared" ca="1" si="90"/>
        <v>0.9941982526337958</v>
      </c>
      <c r="AD114" s="5">
        <f t="shared" ca="1" si="91"/>
        <v>2.5239787353715246</v>
      </c>
      <c r="AE114" s="5">
        <f t="shared" ca="1" si="68"/>
        <v>0.59248678523749332</v>
      </c>
      <c r="AF114" s="5">
        <f t="shared" ca="1" si="93"/>
        <v>0.95989553478172807</v>
      </c>
      <c r="AG114" s="5">
        <f t="shared" ca="1" si="94"/>
        <v>0.99472404255856606</v>
      </c>
      <c r="AH114" s="5">
        <f t="shared" ca="1" si="95"/>
        <v>1.0174122639112388</v>
      </c>
      <c r="AI114" s="5">
        <f t="shared" ca="1" si="96"/>
        <v>1.3759504949482981</v>
      </c>
      <c r="AJ114" s="5">
        <f t="shared" ca="1" si="97"/>
        <v>1.039840223146701</v>
      </c>
      <c r="AK114" s="5">
        <f t="shared" ca="1" si="98"/>
        <v>1.0912401216336203</v>
      </c>
      <c r="AL114" s="5">
        <f t="shared" ca="1" si="99"/>
        <v>1.1328774563017023</v>
      </c>
      <c r="AM114" s="5">
        <f t="shared" ca="1" si="100"/>
        <v>1.0278009441937068</v>
      </c>
      <c r="AN114" s="5">
        <f t="shared" ca="1" si="101"/>
        <v>1.1467584791481857</v>
      </c>
      <c r="AO114" s="5">
        <f t="shared" ca="1" si="102"/>
        <v>1.5924867852374933</v>
      </c>
      <c r="AP114" s="5">
        <f t="shared" ca="1" si="103"/>
        <v>3.2251732258424251</v>
      </c>
      <c r="AQ114" s="4">
        <f t="shared" ca="1" si="69"/>
        <v>32251.73225842425</v>
      </c>
      <c r="AR114">
        <f t="shared" ca="1" si="70"/>
        <v>1</v>
      </c>
      <c r="AS114">
        <f t="shared" ca="1" si="71"/>
        <v>0</v>
      </c>
    </row>
    <row r="115" spans="1:45" x14ac:dyDescent="0.25">
      <c r="A115" s="10">
        <f t="shared" si="92"/>
        <v>94</v>
      </c>
      <c r="B115" s="5">
        <f t="shared" ca="1" si="72"/>
        <v>0.98913952995607213</v>
      </c>
      <c r="C115" s="5">
        <f t="shared" ca="1" si="73"/>
        <v>2.2952126587205091</v>
      </c>
      <c r="D115" s="5">
        <f t="shared" ca="1" si="59"/>
        <v>0.53876769617537823</v>
      </c>
      <c r="E115" s="5">
        <f t="shared" ca="1" si="74"/>
        <v>0.4434152081189463</v>
      </c>
      <c r="F115" s="5">
        <f t="shared" ca="1" si="75"/>
        <v>-0.14231599082130131</v>
      </c>
      <c r="G115" s="5">
        <f t="shared" ca="1" si="60"/>
        <v>6.753537247198782E-2</v>
      </c>
      <c r="H115" s="5">
        <f t="shared" ca="1" si="76"/>
        <v>0.79070645668174477</v>
      </c>
      <c r="I115" s="5">
        <f t="shared" ca="1" si="77"/>
        <v>0.80887493685648681</v>
      </c>
      <c r="J115" s="5">
        <f t="shared" ca="1" si="61"/>
        <v>0.23125163389976766</v>
      </c>
      <c r="K115" s="5">
        <f t="shared" ca="1" si="78"/>
        <v>0.38429439432115375</v>
      </c>
      <c r="L115" s="5">
        <f t="shared" ca="1" si="79"/>
        <v>-0.29422132213208946</v>
      </c>
      <c r="M115" s="5">
        <f t="shared" ca="1" si="62"/>
        <v>4.3485760647532956E-2</v>
      </c>
      <c r="N115" s="5">
        <f t="shared" ca="1" si="80"/>
        <v>0.1281096003462131</v>
      </c>
      <c r="O115" s="5">
        <f t="shared" ca="1" si="81"/>
        <v>-1.1353726819887924</v>
      </c>
      <c r="P115" s="5">
        <f t="shared" ca="1" si="63"/>
        <v>-8.0206326750801415E-2</v>
      </c>
      <c r="Q115" s="5">
        <f t="shared" ca="1" si="82"/>
        <v>0.12746579957723536</v>
      </c>
      <c r="R115" s="5">
        <f t="shared" ca="1" si="83"/>
        <v>-1.1384524600889574</v>
      </c>
      <c r="S115" s="5">
        <f t="shared" ca="1" si="64"/>
        <v>-8.0631142679568168E-2</v>
      </c>
      <c r="T115" s="5">
        <f t="shared" ca="1" si="84"/>
        <v>0.62328115877901191</v>
      </c>
      <c r="U115" s="5">
        <f t="shared" ca="1" si="85"/>
        <v>0.31410975285411658</v>
      </c>
      <c r="V115" s="5">
        <f t="shared" ca="1" si="65"/>
        <v>0.14318298393142315</v>
      </c>
      <c r="W115" s="5">
        <f t="shared" ca="1" si="86"/>
        <v>0.30947449370188085</v>
      </c>
      <c r="X115" s="5">
        <f t="shared" ca="1" si="87"/>
        <v>-0.49734045593617554</v>
      </c>
      <c r="Y115" s="5">
        <f t="shared" ca="1" si="66"/>
        <v>1.2172419759593822E-2</v>
      </c>
      <c r="Z115" s="5">
        <f t="shared" ca="1" si="88"/>
        <v>4.0446743615291547E-2</v>
      </c>
      <c r="AA115" s="5">
        <f t="shared" ca="1" si="89"/>
        <v>-1.7455252150058591</v>
      </c>
      <c r="AB115" s="5">
        <f t="shared" ca="1" si="67"/>
        <v>-0.16065107943460022</v>
      </c>
      <c r="AC115" s="5">
        <f t="shared" ca="1" si="90"/>
        <v>0.40000765758644941</v>
      </c>
      <c r="AD115" s="5">
        <f t="shared" ca="1" si="91"/>
        <v>-0.25332728246745589</v>
      </c>
      <c r="AE115" s="5">
        <f t="shared" ca="1" si="68"/>
        <v>4.9906284815880886E-2</v>
      </c>
      <c r="AF115" s="5">
        <f t="shared" ca="1" si="93"/>
        <v>1.5387676961753782</v>
      </c>
      <c r="AG115" s="5">
        <f t="shared" ca="1" si="94"/>
        <v>1.0675353724719878</v>
      </c>
      <c r="AH115" s="5">
        <f t="shared" ca="1" si="95"/>
        <v>1.2312516338997677</v>
      </c>
      <c r="AI115" s="5">
        <f t="shared" ca="1" si="96"/>
        <v>1.043485760647533</v>
      </c>
      <c r="AJ115" s="5">
        <f t="shared" ca="1" si="97"/>
        <v>0.91979367324919858</v>
      </c>
      <c r="AK115" s="5">
        <f t="shared" ca="1" si="98"/>
        <v>0.91936885732043183</v>
      </c>
      <c r="AL115" s="5">
        <f t="shared" ca="1" si="99"/>
        <v>1.1431829839314231</v>
      </c>
      <c r="AM115" s="5">
        <f t="shared" ca="1" si="100"/>
        <v>1.0121724197595938</v>
      </c>
      <c r="AN115" s="5">
        <f t="shared" ca="1" si="101"/>
        <v>0.83934892056539978</v>
      </c>
      <c r="AO115" s="5">
        <f t="shared" ca="1" si="102"/>
        <v>1.0499062848158809</v>
      </c>
      <c r="AP115" s="5">
        <f t="shared" ca="1" si="103"/>
        <v>1.8198358250411908</v>
      </c>
      <c r="AQ115" s="4">
        <f t="shared" ca="1" si="69"/>
        <v>18198.358250411908</v>
      </c>
      <c r="AR115">
        <f t="shared" ca="1" si="70"/>
        <v>0</v>
      </c>
      <c r="AS115">
        <f t="shared" ca="1" si="71"/>
        <v>0</v>
      </c>
    </row>
    <row r="116" spans="1:45" x14ac:dyDescent="0.25">
      <c r="A116" s="10">
        <f t="shared" si="92"/>
        <v>95</v>
      </c>
      <c r="B116" s="5">
        <f t="shared" ca="1" si="72"/>
        <v>0.28766431107608814</v>
      </c>
      <c r="C116" s="5">
        <f t="shared" ca="1" si="73"/>
        <v>-0.56022112116599931</v>
      </c>
      <c r="D116" s="5">
        <f t="shared" ca="1" si="59"/>
        <v>2.6703909842815676E-3</v>
      </c>
      <c r="E116" s="5">
        <f t="shared" ca="1" si="74"/>
        <v>0.873304720724285</v>
      </c>
      <c r="F116" s="5">
        <f t="shared" ca="1" si="75"/>
        <v>1.1421526867047036</v>
      </c>
      <c r="G116" s="5">
        <f t="shared" ca="1" si="60"/>
        <v>0.29436846321305943</v>
      </c>
      <c r="H116" s="5">
        <f t="shared" ca="1" si="76"/>
        <v>0.64891698183231949</v>
      </c>
      <c r="I116" s="5">
        <f t="shared" ca="1" si="77"/>
        <v>0.38239818512971868</v>
      </c>
      <c r="J116" s="5">
        <f t="shared" ca="1" si="61"/>
        <v>0.1549530892367097</v>
      </c>
      <c r="K116" s="5">
        <f t="shared" ca="1" si="78"/>
        <v>0.14909650128497354</v>
      </c>
      <c r="L116" s="5">
        <f t="shared" ca="1" si="79"/>
        <v>-1.0403162379394835</v>
      </c>
      <c r="M116" s="5">
        <f t="shared" ca="1" si="62"/>
        <v>-6.6997534596611286E-2</v>
      </c>
      <c r="N116" s="5">
        <f t="shared" ca="1" si="80"/>
        <v>0.96869737216374296</v>
      </c>
      <c r="O116" s="5">
        <f t="shared" ca="1" si="81"/>
        <v>1.8619846376037519</v>
      </c>
      <c r="P116" s="5">
        <f t="shared" ca="1" si="63"/>
        <v>0.44195191987517313</v>
      </c>
      <c r="Q116" s="5">
        <f t="shared" ca="1" si="82"/>
        <v>0.30973599380875094</v>
      </c>
      <c r="R116" s="5">
        <f t="shared" ca="1" si="83"/>
        <v>-0.49659881689869084</v>
      </c>
      <c r="S116" s="5">
        <f t="shared" ca="1" si="64"/>
        <v>1.2285026009840827E-2</v>
      </c>
      <c r="T116" s="5">
        <f t="shared" ca="1" si="84"/>
        <v>0.80123903199558033</v>
      </c>
      <c r="U116" s="5">
        <f t="shared" ca="1" si="85"/>
        <v>0.84605522720321824</v>
      </c>
      <c r="V116" s="5">
        <f t="shared" ca="1" si="65"/>
        <v>0.2381375615968615</v>
      </c>
      <c r="W116" s="5">
        <f t="shared" ca="1" si="86"/>
        <v>0.23067451438444875</v>
      </c>
      <c r="X116" s="5">
        <f t="shared" ca="1" si="87"/>
        <v>-0.73662729946916639</v>
      </c>
      <c r="Y116" s="5">
        <f t="shared" ca="1" si="66"/>
        <v>-2.3513247358120992E-2</v>
      </c>
      <c r="Z116" s="5">
        <f t="shared" ca="1" si="88"/>
        <v>0.43755700198908043</v>
      </c>
      <c r="AA116" s="5">
        <f t="shared" ca="1" si="89"/>
        <v>-0.15716602453985404</v>
      </c>
      <c r="AB116" s="5">
        <f t="shared" ca="1" si="67"/>
        <v>6.5160078502250141E-2</v>
      </c>
      <c r="AC116" s="5">
        <f t="shared" ca="1" si="90"/>
        <v>0.76030192837004063</v>
      </c>
      <c r="AD116" s="5">
        <f t="shared" ca="1" si="91"/>
        <v>0.70727412304471549</v>
      </c>
      <c r="AE116" s="5">
        <f t="shared" ca="1" si="68"/>
        <v>0.21262947114748121</v>
      </c>
      <c r="AF116" s="5">
        <f t="shared" ca="1" si="93"/>
        <v>1.0026703909842816</v>
      </c>
      <c r="AG116" s="5">
        <f t="shared" ca="1" si="94"/>
        <v>1.2943684632130594</v>
      </c>
      <c r="AH116" s="5">
        <f t="shared" ca="1" si="95"/>
        <v>1.1549530892367097</v>
      </c>
      <c r="AI116" s="5">
        <f t="shared" ca="1" si="96"/>
        <v>0.93300246540338871</v>
      </c>
      <c r="AJ116" s="5">
        <f t="shared" ca="1" si="97"/>
        <v>1.4419519198751731</v>
      </c>
      <c r="AK116" s="5">
        <f t="shared" ca="1" si="98"/>
        <v>1.0122850260098408</v>
      </c>
      <c r="AL116" s="5">
        <f t="shared" ca="1" si="99"/>
        <v>1.2381375615968615</v>
      </c>
      <c r="AM116" s="5">
        <f t="shared" ca="1" si="100"/>
        <v>0.97648675264187901</v>
      </c>
      <c r="AN116" s="5">
        <f t="shared" ca="1" si="101"/>
        <v>1.0651600785022501</v>
      </c>
      <c r="AO116" s="5">
        <f t="shared" ca="1" si="102"/>
        <v>1.2126294711474812</v>
      </c>
      <c r="AP116" s="5">
        <f t="shared" ca="1" si="103"/>
        <v>3.1878295837122343</v>
      </c>
      <c r="AQ116" s="4">
        <f t="shared" ca="1" si="69"/>
        <v>31878.295837122343</v>
      </c>
      <c r="AR116">
        <f t="shared" ca="1" si="70"/>
        <v>1</v>
      </c>
      <c r="AS116">
        <f t="shared" ca="1" si="71"/>
        <v>0</v>
      </c>
    </row>
    <row r="117" spans="1:45" x14ac:dyDescent="0.25">
      <c r="A117" s="10">
        <f t="shared" si="92"/>
        <v>96</v>
      </c>
      <c r="B117" s="5">
        <f t="shared" ca="1" si="72"/>
        <v>0.54776732518033622</v>
      </c>
      <c r="C117" s="5">
        <f t="shared" ca="1" si="73"/>
        <v>0.12002246810490648</v>
      </c>
      <c r="D117" s="5">
        <f t="shared" ca="1" si="59"/>
        <v>0.11038118936742936</v>
      </c>
      <c r="E117" s="5">
        <f t="shared" ca="1" si="74"/>
        <v>0.59810820014273536</v>
      </c>
      <c r="F117" s="5">
        <f t="shared" ca="1" si="75"/>
        <v>0.24845342781178378</v>
      </c>
      <c r="G117" s="5">
        <f t="shared" ca="1" si="60"/>
        <v>0.13197966311304166</v>
      </c>
      <c r="H117" s="5">
        <f t="shared" ca="1" si="76"/>
        <v>0.80741607731188969</v>
      </c>
      <c r="I117" s="5">
        <f t="shared" ca="1" si="77"/>
        <v>0.86841379541786423</v>
      </c>
      <c r="J117" s="5">
        <f t="shared" ca="1" si="61"/>
        <v>0.24229698006577349</v>
      </c>
      <c r="K117" s="5">
        <f t="shared" ca="1" si="78"/>
        <v>0.7302972500110948</v>
      </c>
      <c r="L117" s="5">
        <f t="shared" ca="1" si="79"/>
        <v>0.61371223792474128</v>
      </c>
      <c r="M117" s="5">
        <f t="shared" ca="1" si="62"/>
        <v>0.19572994996415982</v>
      </c>
      <c r="N117" s="5">
        <f t="shared" ca="1" si="80"/>
        <v>0.68987462034246572</v>
      </c>
      <c r="O117" s="5">
        <f t="shared" ca="1" si="81"/>
        <v>0.49549498760754507</v>
      </c>
      <c r="P117" s="5">
        <f t="shared" ca="1" si="63"/>
        <v>0.17471345308612474</v>
      </c>
      <c r="Q117" s="5">
        <f t="shared" ca="1" si="82"/>
        <v>0.82901981467724983</v>
      </c>
      <c r="R117" s="5">
        <f t="shared" ca="1" si="83"/>
        <v>0.9502989532129249</v>
      </c>
      <c r="S117" s="5">
        <f t="shared" ca="1" si="64"/>
        <v>0.25764992807468756</v>
      </c>
      <c r="T117" s="5">
        <f t="shared" ca="1" si="84"/>
        <v>0.84325639675699171</v>
      </c>
      <c r="U117" s="5">
        <f t="shared" ca="1" si="85"/>
        <v>1.0079317950956852</v>
      </c>
      <c r="V117" s="5">
        <f t="shared" ca="1" si="65"/>
        <v>0.26856934978490554</v>
      </c>
      <c r="W117" s="5">
        <f t="shared" ca="1" si="86"/>
        <v>0.60359333958102124</v>
      </c>
      <c r="X117" s="5">
        <f t="shared" ca="1" si="87"/>
        <v>0.2626591295288333</v>
      </c>
      <c r="Y117" s="5">
        <f t="shared" ca="1" si="66"/>
        <v>0.1343943196577766</v>
      </c>
      <c r="Z117" s="5">
        <f t="shared" ca="1" si="88"/>
        <v>0.66463355442732985</v>
      </c>
      <c r="AA117" s="5">
        <f t="shared" ca="1" si="89"/>
        <v>0.4251423718111243</v>
      </c>
      <c r="AB117" s="5">
        <f t="shared" ca="1" si="67"/>
        <v>0.16238200909059186</v>
      </c>
      <c r="AC117" s="5">
        <f t="shared" ca="1" si="90"/>
        <v>0.81957431612598797</v>
      </c>
      <c r="AD117" s="5">
        <f t="shared" ca="1" si="91"/>
        <v>0.91374401970053776</v>
      </c>
      <c r="AE117" s="5">
        <f t="shared" ca="1" si="68"/>
        <v>0.25077280334267549</v>
      </c>
      <c r="AF117" s="5">
        <f t="shared" ca="1" si="93"/>
        <v>1.1103811893674294</v>
      </c>
      <c r="AG117" s="5">
        <f t="shared" ca="1" si="94"/>
        <v>1.1319796631130417</v>
      </c>
      <c r="AH117" s="5">
        <f t="shared" ca="1" si="95"/>
        <v>1.2422969800657735</v>
      </c>
      <c r="AI117" s="5">
        <f t="shared" ca="1" si="96"/>
        <v>1.1957299499641598</v>
      </c>
      <c r="AJ117" s="5">
        <f t="shared" ca="1" si="97"/>
        <v>1.1747134530861247</v>
      </c>
      <c r="AK117" s="5">
        <f t="shared" ca="1" si="98"/>
        <v>1.2576499280746876</v>
      </c>
      <c r="AL117" s="5">
        <f t="shared" ca="1" si="99"/>
        <v>1.2685693497849055</v>
      </c>
      <c r="AM117" s="5">
        <f t="shared" ca="1" si="100"/>
        <v>1.1343943196577766</v>
      </c>
      <c r="AN117" s="5">
        <f t="shared" ca="1" si="101"/>
        <v>1.1623820090905919</v>
      </c>
      <c r="AO117" s="5">
        <f t="shared" ca="1" si="102"/>
        <v>1.2507728033426755</v>
      </c>
      <c r="AP117" s="5">
        <f t="shared" ca="1" si="103"/>
        <v>5.7712054639742227</v>
      </c>
      <c r="AQ117" s="4">
        <f t="shared" ca="1" si="69"/>
        <v>57712.054639742229</v>
      </c>
      <c r="AR117">
        <f t="shared" ca="1" si="70"/>
        <v>1</v>
      </c>
      <c r="AS117">
        <f t="shared" ca="1" si="71"/>
        <v>0</v>
      </c>
    </row>
    <row r="118" spans="1:45" x14ac:dyDescent="0.25">
      <c r="A118" s="10">
        <f t="shared" si="92"/>
        <v>97</v>
      </c>
      <c r="B118" s="5">
        <f t="shared" ca="1" si="72"/>
        <v>0.99218275580299753</v>
      </c>
      <c r="C118" s="5">
        <f t="shared" ca="1" si="73"/>
        <v>2.4173380766172485</v>
      </c>
      <c r="D118" s="5">
        <f t="shared" ca="1" si="59"/>
        <v>0.56721586616924635</v>
      </c>
      <c r="E118" s="5">
        <f t="shared" ca="1" si="74"/>
        <v>0.51118343526662868</v>
      </c>
      <c r="F118" s="5">
        <f t="shared" ca="1" si="75"/>
        <v>2.80363875629514E-2</v>
      </c>
      <c r="G118" s="5">
        <f t="shared" ca="1" si="60"/>
        <v>9.5165461378114102E-2</v>
      </c>
      <c r="H118" s="5">
        <f t="shared" ca="1" si="76"/>
        <v>0.33860133390458713</v>
      </c>
      <c r="I118" s="5">
        <f t="shared" ca="1" si="77"/>
        <v>-0.41628335941443217</v>
      </c>
      <c r="J118" s="5">
        <f t="shared" ca="1" si="61"/>
        <v>2.4554102600593763E-2</v>
      </c>
      <c r="K118" s="5">
        <f t="shared" ca="1" si="78"/>
        <v>0.76776752300610174</v>
      </c>
      <c r="L118" s="5">
        <f t="shared" ca="1" si="79"/>
        <v>0.73151449524911283</v>
      </c>
      <c r="M118" s="5">
        <f t="shared" ca="1" si="62"/>
        <v>0.21704668535859173</v>
      </c>
      <c r="N118" s="5">
        <f t="shared" ca="1" si="80"/>
        <v>0.3817754324091035</v>
      </c>
      <c r="O118" s="5">
        <f t="shared" ca="1" si="81"/>
        <v>-0.30082116941821813</v>
      </c>
      <c r="P118" s="5">
        <f t="shared" ca="1" si="63"/>
        <v>4.2453244815542135E-2</v>
      </c>
      <c r="Q118" s="5">
        <f t="shared" ca="1" si="82"/>
        <v>0.68556783292248791</v>
      </c>
      <c r="R118" s="5">
        <f t="shared" ca="1" si="83"/>
        <v>0.48332592631385424</v>
      </c>
      <c r="S118" s="5">
        <f t="shared" ca="1" si="64"/>
        <v>0.17257113492906662</v>
      </c>
      <c r="T118" s="5">
        <f t="shared" ca="1" si="84"/>
        <v>9.1686292877929065E-2</v>
      </c>
      <c r="U118" s="5">
        <f t="shared" ca="1" si="85"/>
        <v>-1.3304422989430313</v>
      </c>
      <c r="V118" s="5">
        <f t="shared" ca="1" si="65"/>
        <v>-0.10672995771305804</v>
      </c>
      <c r="W118" s="5">
        <f t="shared" ca="1" si="86"/>
        <v>0.95193530829226158</v>
      </c>
      <c r="X118" s="5">
        <f t="shared" ca="1" si="87"/>
        <v>1.6639151679041981</v>
      </c>
      <c r="Y118" s="5">
        <f t="shared" ca="1" si="66"/>
        <v>0.39974107793622005</v>
      </c>
      <c r="Z118" s="5">
        <f t="shared" ca="1" si="88"/>
        <v>0.24660441516862663</v>
      </c>
      <c r="AA118" s="5">
        <f t="shared" ca="1" si="89"/>
        <v>-0.68521409570055047</v>
      </c>
      <c r="AB118" s="5">
        <f t="shared" ca="1" si="67"/>
        <v>-1.5953487607140437E-2</v>
      </c>
      <c r="AC118" s="5">
        <f t="shared" ca="1" si="90"/>
        <v>0.6454740420726921</v>
      </c>
      <c r="AD118" s="5">
        <f t="shared" ca="1" si="91"/>
        <v>0.3731296987245375</v>
      </c>
      <c r="AE118" s="5">
        <f t="shared" ca="1" si="68"/>
        <v>0.15334850484937412</v>
      </c>
      <c r="AF118" s="5">
        <f t="shared" ca="1" si="93"/>
        <v>1.5672158661692464</v>
      </c>
      <c r="AG118" s="5">
        <f t="shared" ca="1" si="94"/>
        <v>1.0951654613781141</v>
      </c>
      <c r="AH118" s="5">
        <f t="shared" ca="1" si="95"/>
        <v>1.0245541026005938</v>
      </c>
      <c r="AI118" s="5">
        <f t="shared" ca="1" si="96"/>
        <v>1.2170466853585917</v>
      </c>
      <c r="AJ118" s="5">
        <f t="shared" ca="1" si="97"/>
        <v>1.0424532448155421</v>
      </c>
      <c r="AK118" s="5">
        <f t="shared" ca="1" si="98"/>
        <v>1.1725711349290666</v>
      </c>
      <c r="AL118" s="5">
        <f t="shared" ca="1" si="99"/>
        <v>0.89327004228694196</v>
      </c>
      <c r="AM118" s="5">
        <f t="shared" ca="1" si="100"/>
        <v>1.39974107793622</v>
      </c>
      <c r="AN118" s="5">
        <f t="shared" ca="1" si="101"/>
        <v>0.98404651239285956</v>
      </c>
      <c r="AO118" s="5">
        <f t="shared" ca="1" si="102"/>
        <v>1.1533485048493741</v>
      </c>
      <c r="AP118" s="5">
        <f t="shared" ca="1" si="103"/>
        <v>3.7123861030102168</v>
      </c>
      <c r="AQ118" s="4">
        <f t="shared" ca="1" si="69"/>
        <v>37123.861030102169</v>
      </c>
      <c r="AR118">
        <f t="shared" ca="1" si="70"/>
        <v>1</v>
      </c>
      <c r="AS118">
        <f t="shared" ca="1" si="71"/>
        <v>0</v>
      </c>
    </row>
    <row r="119" spans="1:45" x14ac:dyDescent="0.25">
      <c r="A119" s="10">
        <f t="shared" si="92"/>
        <v>98</v>
      </c>
      <c r="B119" s="5">
        <f t="shared" ca="1" si="72"/>
        <v>0.60087035085635265</v>
      </c>
      <c r="C119" s="5">
        <f t="shared" ca="1" si="73"/>
        <v>0.25560054401806331</v>
      </c>
      <c r="D119" s="5">
        <f t="shared" ca="1" si="59"/>
        <v>0.13319387238316649</v>
      </c>
      <c r="E119" s="5">
        <f t="shared" ca="1" si="74"/>
        <v>0.69974559218248178</v>
      </c>
      <c r="F119" s="5">
        <f t="shared" ca="1" si="75"/>
        <v>0.52366894973128908</v>
      </c>
      <c r="G119" s="5">
        <f t="shared" ca="1" si="60"/>
        <v>0.17968840784583606</v>
      </c>
      <c r="H119" s="5">
        <f t="shared" ca="1" si="76"/>
        <v>0.97704654908062361</v>
      </c>
      <c r="I119" s="5">
        <f t="shared" ca="1" si="77"/>
        <v>1.9962483055295903</v>
      </c>
      <c r="J119" s="5">
        <f t="shared" ca="1" si="61"/>
        <v>0.47128658490618003</v>
      </c>
      <c r="K119" s="5">
        <f t="shared" ca="1" si="78"/>
        <v>0.88307105847711753</v>
      </c>
      <c r="L119" s="5">
        <f t="shared" ca="1" si="79"/>
        <v>1.1904797535738703</v>
      </c>
      <c r="M119" s="5">
        <f t="shared" ca="1" si="62"/>
        <v>0.30378550903164769</v>
      </c>
      <c r="N119" s="5">
        <f t="shared" ca="1" si="80"/>
        <v>0.84150151521698169</v>
      </c>
      <c r="O119" s="5">
        <f t="shared" ca="1" si="81"/>
        <v>1.0006480947885248</v>
      </c>
      <c r="P119" s="5">
        <f t="shared" ca="1" si="63"/>
        <v>0.26718412479557174</v>
      </c>
      <c r="Q119" s="5">
        <f t="shared" ca="1" si="82"/>
        <v>0.76324819346338224</v>
      </c>
      <c r="R119" s="5">
        <f t="shared" ca="1" si="83"/>
        <v>0.71679011322150432</v>
      </c>
      <c r="S119" s="5">
        <f t="shared" ca="1" si="64"/>
        <v>0.21436161260179132</v>
      </c>
      <c r="T119" s="5">
        <f t="shared" ca="1" si="84"/>
        <v>0.77708530911582241</v>
      </c>
      <c r="U119" s="5">
        <f t="shared" ca="1" si="85"/>
        <v>0.76238646539222921</v>
      </c>
      <c r="V119" s="5">
        <f t="shared" ca="1" si="65"/>
        <v>0.22269564920198004</v>
      </c>
      <c r="W119" s="5">
        <f t="shared" ca="1" si="86"/>
        <v>0.71798894620155929</v>
      </c>
      <c r="X119" s="5">
        <f t="shared" ca="1" si="87"/>
        <v>0.57687765309598371</v>
      </c>
      <c r="Y119" s="5">
        <f t="shared" ca="1" si="66"/>
        <v>0.18914153539742018</v>
      </c>
      <c r="Z119" s="5">
        <f t="shared" ca="1" si="88"/>
        <v>0.76489549139527557</v>
      </c>
      <c r="AA119" s="5">
        <f t="shared" ca="1" si="89"/>
        <v>0.72213900857687474</v>
      </c>
      <c r="AB119" s="5">
        <f t="shared" ca="1" si="67"/>
        <v>0.21533632755153054</v>
      </c>
      <c r="AC119" s="5">
        <f t="shared" ca="1" si="90"/>
        <v>0.71270213713283737</v>
      </c>
      <c r="AD119" s="5">
        <f t="shared" ca="1" si="91"/>
        <v>0.56129606196026138</v>
      </c>
      <c r="AE119" s="5">
        <f t="shared" ca="1" si="68"/>
        <v>0.18636547324000219</v>
      </c>
      <c r="AF119" s="5">
        <f t="shared" ca="1" si="93"/>
        <v>1.1331938723831665</v>
      </c>
      <c r="AG119" s="5">
        <f t="shared" ca="1" si="94"/>
        <v>1.1796884078458361</v>
      </c>
      <c r="AH119" s="5">
        <f t="shared" ca="1" si="95"/>
        <v>1.47128658490618</v>
      </c>
      <c r="AI119" s="5">
        <f t="shared" ca="1" si="96"/>
        <v>1.3037855090316477</v>
      </c>
      <c r="AJ119" s="5">
        <f t="shared" ca="1" si="97"/>
        <v>1.2671841247955717</v>
      </c>
      <c r="AK119" s="5">
        <f t="shared" ca="1" si="98"/>
        <v>1.2143616126017913</v>
      </c>
      <c r="AL119" s="5">
        <f t="shared" ca="1" si="99"/>
        <v>1.22269564920198</v>
      </c>
      <c r="AM119" s="5">
        <f t="shared" ca="1" si="100"/>
        <v>1.1891415353974202</v>
      </c>
      <c r="AN119" s="5">
        <f t="shared" ca="1" si="101"/>
        <v>1.2153363275515305</v>
      </c>
      <c r="AO119" s="5">
        <f t="shared" ca="1" si="102"/>
        <v>1.1863654732400022</v>
      </c>
      <c r="AP119" s="5">
        <f t="shared" ca="1" si="103"/>
        <v>8.2723633532403458</v>
      </c>
      <c r="AQ119" s="4">
        <f t="shared" ca="1" si="69"/>
        <v>82723.633532403459</v>
      </c>
      <c r="AR119">
        <f t="shared" ca="1" si="70"/>
        <v>1</v>
      </c>
      <c r="AS119">
        <f t="shared" ca="1" si="71"/>
        <v>0</v>
      </c>
    </row>
    <row r="120" spans="1:45" x14ac:dyDescent="0.25">
      <c r="A120" s="10">
        <f t="shared" si="92"/>
        <v>99</v>
      </c>
      <c r="B120" s="5">
        <f t="shared" ca="1" si="72"/>
        <v>0.137437466850309</v>
      </c>
      <c r="C120" s="5">
        <f t="shared" ca="1" si="73"/>
        <v>-1.0919048318389482</v>
      </c>
      <c r="D120" s="5">
        <f t="shared" ca="1" si="59"/>
        <v>-7.4189514691696212E-2</v>
      </c>
      <c r="E120" s="5">
        <f t="shared" ca="1" si="74"/>
        <v>0.25080463433081546</v>
      </c>
      <c r="F120" s="5">
        <f t="shared" ca="1" si="75"/>
        <v>-0.67195983157573047</v>
      </c>
      <c r="G120" s="5">
        <f t="shared" ca="1" si="60"/>
        <v>-1.3995119639783948E-2</v>
      </c>
      <c r="H120" s="5">
        <f t="shared" ca="1" si="76"/>
        <v>0.22003309124280157</v>
      </c>
      <c r="I120" s="5">
        <f t="shared" ca="1" si="77"/>
        <v>-0.77208145960540087</v>
      </c>
      <c r="J120" s="5">
        <f t="shared" ca="1" si="61"/>
        <v>-2.8692540743784134E-2</v>
      </c>
      <c r="K120" s="5">
        <f t="shared" ca="1" si="78"/>
        <v>0.28771126553930604</v>
      </c>
      <c r="L120" s="5">
        <f t="shared" ca="1" si="79"/>
        <v>-0.56008343153734996</v>
      </c>
      <c r="M120" s="5">
        <f t="shared" ca="1" si="62"/>
        <v>2.6910997952038773E-3</v>
      </c>
      <c r="N120" s="5">
        <f t="shared" ca="1" si="80"/>
        <v>0.46519718540580346</v>
      </c>
      <c r="O120" s="5">
        <f t="shared" ca="1" si="81"/>
        <v>-8.7348667418887443E-2</v>
      </c>
      <c r="P120" s="5">
        <f t="shared" ca="1" si="63"/>
        <v>7.637369312328901E-2</v>
      </c>
      <c r="Q120" s="5">
        <f t="shared" ca="1" si="82"/>
        <v>0.17200444893664812</v>
      </c>
      <c r="R120" s="5">
        <f t="shared" ca="1" si="83"/>
        <v>-0.94627390814641321</v>
      </c>
      <c r="S120" s="5">
        <f t="shared" ca="1" si="64"/>
        <v>-5.3743009071116732E-2</v>
      </c>
      <c r="T120" s="5">
        <f t="shared" ca="1" si="84"/>
        <v>0.95478347744346148</v>
      </c>
      <c r="U120" s="5">
        <f t="shared" ca="1" si="85"/>
        <v>1.6931178087358705</v>
      </c>
      <c r="V120" s="5">
        <f t="shared" ca="1" si="65"/>
        <v>0.40588594698437319</v>
      </c>
      <c r="W120" s="5">
        <f t="shared" ca="1" si="86"/>
        <v>0.6590053374285465</v>
      </c>
      <c r="X120" s="5">
        <f t="shared" ca="1" si="87"/>
        <v>0.40975003084645645</v>
      </c>
      <c r="Y120" s="5">
        <f t="shared" ca="1" si="66"/>
        <v>0.15970133788455732</v>
      </c>
      <c r="Z120" s="5">
        <f t="shared" ca="1" si="88"/>
        <v>2.9193286315006839E-3</v>
      </c>
      <c r="AA120" s="5">
        <f t="shared" ca="1" si="89"/>
        <v>-2.7567073977625296</v>
      </c>
      <c r="AB120" s="5">
        <f t="shared" ca="1" si="67"/>
        <v>-0.27877643224955373</v>
      </c>
      <c r="AC120" s="5">
        <f t="shared" ca="1" si="90"/>
        <v>0.46843716954064396</v>
      </c>
      <c r="AD120" s="5">
        <f t="shared" ca="1" si="91"/>
        <v>-7.91990011300122E-2</v>
      </c>
      <c r="AE120" s="5">
        <f t="shared" ca="1" si="68"/>
        <v>7.7690310669011886E-2</v>
      </c>
      <c r="AF120" s="5">
        <f t="shared" ca="1" si="93"/>
        <v>0.92581048530830379</v>
      </c>
      <c r="AG120" s="5">
        <f t="shared" ca="1" si="94"/>
        <v>0.98600488036021605</v>
      </c>
      <c r="AH120" s="5">
        <f t="shared" ca="1" si="95"/>
        <v>0.97130745925621587</v>
      </c>
      <c r="AI120" s="5">
        <f t="shared" ca="1" si="96"/>
        <v>1.0026910997952039</v>
      </c>
      <c r="AJ120" s="5">
        <f t="shared" ca="1" si="97"/>
        <v>1.076373693123289</v>
      </c>
      <c r="AK120" s="5">
        <f t="shared" ca="1" si="98"/>
        <v>0.94625699092888327</v>
      </c>
      <c r="AL120" s="5">
        <f t="shared" ca="1" si="99"/>
        <v>1.4058859469843732</v>
      </c>
      <c r="AM120" s="5">
        <f t="shared" ca="1" si="100"/>
        <v>1.1597013378845573</v>
      </c>
      <c r="AN120" s="5">
        <f t="shared" ca="1" si="101"/>
        <v>0.72122356775044627</v>
      </c>
      <c r="AO120" s="5">
        <f t="shared" ca="1" si="102"/>
        <v>1.0776903106690119</v>
      </c>
      <c r="AP120" s="5">
        <f t="shared" ca="1" si="103"/>
        <v>1.1475123169093908</v>
      </c>
      <c r="AQ120" s="4">
        <f t="shared" ca="1" si="69"/>
        <v>11475.123169093908</v>
      </c>
      <c r="AR120">
        <f t="shared" ca="1" si="70"/>
        <v>0</v>
      </c>
      <c r="AS120">
        <f t="shared" ca="1" si="71"/>
        <v>0</v>
      </c>
    </row>
    <row r="121" spans="1:45" x14ac:dyDescent="0.25">
      <c r="A121" s="10">
        <f t="shared" si="92"/>
        <v>100</v>
      </c>
      <c r="B121" s="5">
        <f t="shared" ca="1" si="72"/>
        <v>0.52053539884694922</v>
      </c>
      <c r="C121" s="5">
        <f t="shared" ca="1" si="73"/>
        <v>5.14973639792538E-2</v>
      </c>
      <c r="D121" s="5">
        <f t="shared" ca="1" si="59"/>
        <v>9.9026298478417818E-2</v>
      </c>
      <c r="E121" s="5">
        <f t="shared" ca="1" si="74"/>
        <v>0.26515223140896782</v>
      </c>
      <c r="F121" s="5">
        <f t="shared" ca="1" si="75"/>
        <v>-0.62754131528320223</v>
      </c>
      <c r="G121" s="5">
        <f t="shared" ca="1" si="60"/>
        <v>-7.403654214126032E-3</v>
      </c>
      <c r="H121" s="5">
        <f t="shared" ca="1" si="76"/>
        <v>0.25476328751215493</v>
      </c>
      <c r="I121" s="5">
        <f t="shared" ca="1" si="77"/>
        <v>-0.65957504174730108</v>
      </c>
      <c r="J121" s="5">
        <f t="shared" ca="1" si="61"/>
        <v>-1.2161697694193729E-2</v>
      </c>
      <c r="K121" s="5">
        <f t="shared" ca="1" si="78"/>
        <v>0.79975907012085101</v>
      </c>
      <c r="L121" s="5">
        <f t="shared" ca="1" si="79"/>
        <v>0.84076096407669199</v>
      </c>
      <c r="M121" s="5">
        <f t="shared" ca="1" si="62"/>
        <v>0.23715469800821043</v>
      </c>
      <c r="N121" s="5">
        <f t="shared" ca="1" si="80"/>
        <v>0.8169622473094601</v>
      </c>
      <c r="O121" s="5">
        <f t="shared" ca="1" si="81"/>
        <v>0.90384894307296226</v>
      </c>
      <c r="P121" s="5">
        <f t="shared" ca="1" si="63"/>
        <v>0.24891770649773837</v>
      </c>
      <c r="Q121" s="5">
        <f t="shared" ca="1" si="82"/>
        <v>0.75911313428115434</v>
      </c>
      <c r="R121" s="5">
        <f t="shared" ca="1" si="83"/>
        <v>0.70345260781780183</v>
      </c>
      <c r="S121" s="5">
        <f t="shared" ca="1" si="64"/>
        <v>0.21193455803979711</v>
      </c>
      <c r="T121" s="5">
        <f t="shared" ca="1" si="84"/>
        <v>0.20081879166246663</v>
      </c>
      <c r="U121" s="5">
        <f t="shared" ca="1" si="85"/>
        <v>-0.8387001692850542</v>
      </c>
      <c r="V121" s="5">
        <f t="shared" ca="1" si="65"/>
        <v>-3.8350293795567092E-2</v>
      </c>
      <c r="W121" s="5">
        <f t="shared" ca="1" si="86"/>
        <v>0.51857374440311044</v>
      </c>
      <c r="X121" s="5">
        <f t="shared" ca="1" si="87"/>
        <v>4.657430530865575E-2</v>
      </c>
      <c r="Y121" s="5">
        <f t="shared" ca="1" si="66"/>
        <v>9.8215012423757964E-2</v>
      </c>
      <c r="Z121" s="5">
        <f t="shared" ca="1" si="88"/>
        <v>0.46085332536265855</v>
      </c>
      <c r="AA121" s="5">
        <f t="shared" ca="1" si="89"/>
        <v>-9.8284166352330948E-2</v>
      </c>
      <c r="AB121" s="5">
        <f t="shared" ca="1" si="67"/>
        <v>7.4609537906692891E-2</v>
      </c>
      <c r="AC121" s="5">
        <f t="shared" ca="1" si="90"/>
        <v>0.95470072425422747</v>
      </c>
      <c r="AD121" s="5">
        <f t="shared" ca="1" si="91"/>
        <v>1.6922487685339884</v>
      </c>
      <c r="AE121" s="5">
        <f t="shared" ca="1" si="68"/>
        <v>0.40570269321767083</v>
      </c>
      <c r="AF121" s="5">
        <f t="shared" ca="1" si="93"/>
        <v>1.0990262984784178</v>
      </c>
      <c r="AG121" s="5">
        <f t="shared" ca="1" si="94"/>
        <v>0.99259634578587397</v>
      </c>
      <c r="AH121" s="5">
        <f t="shared" ca="1" si="95"/>
        <v>0.98783830230580627</v>
      </c>
      <c r="AI121" s="5">
        <f t="shared" ca="1" si="96"/>
        <v>1.2371546980082104</v>
      </c>
      <c r="AJ121" s="5">
        <f t="shared" ca="1" si="97"/>
        <v>1.2489177064977384</v>
      </c>
      <c r="AK121" s="5">
        <f t="shared" ca="1" si="98"/>
        <v>1.2119345580397971</v>
      </c>
      <c r="AL121" s="5">
        <f t="shared" ca="1" si="99"/>
        <v>0.96164970620443291</v>
      </c>
      <c r="AM121" s="5">
        <f t="shared" ca="1" si="100"/>
        <v>1.098215012423758</v>
      </c>
      <c r="AN121" s="5">
        <f t="shared" ca="1" si="101"/>
        <v>1.0746095379066929</v>
      </c>
      <c r="AO121" s="5">
        <f t="shared" ca="1" si="102"/>
        <v>1.4057026932176708</v>
      </c>
      <c r="AP121" s="5">
        <f t="shared" ca="1" si="103"/>
        <v>3.2192304458406156</v>
      </c>
      <c r="AQ121" s="4">
        <f t="shared" ca="1" si="69"/>
        <v>32192.304458406157</v>
      </c>
      <c r="AR121">
        <f t="shared" ca="1" si="70"/>
        <v>1</v>
      </c>
      <c r="AS121">
        <f t="shared" ca="1" si="71"/>
        <v>0</v>
      </c>
    </row>
    <row r="122" spans="1:45" x14ac:dyDescent="0.25">
      <c r="A122" s="10">
        <f t="shared" si="92"/>
        <v>101</v>
      </c>
      <c r="B122" s="5">
        <f t="shared" ca="1" si="72"/>
        <v>0.29017085263622333</v>
      </c>
      <c r="C122" s="5">
        <f t="shared" ca="1" si="73"/>
        <v>-0.5528856631040594</v>
      </c>
      <c r="D122" s="5">
        <f t="shared" ca="1" si="59"/>
        <v>3.7742551645678635E-3</v>
      </c>
      <c r="E122" s="5">
        <f t="shared" ca="1" si="74"/>
        <v>0.80008060866341857</v>
      </c>
      <c r="F122" s="5">
        <f t="shared" ca="1" si="75"/>
        <v>0.8419091957099375</v>
      </c>
      <c r="G122" s="5">
        <f t="shared" ca="1" si="60"/>
        <v>0.23736779738316272</v>
      </c>
      <c r="H122" s="5">
        <f t="shared" ca="1" si="76"/>
        <v>0.54160997609006223</v>
      </c>
      <c r="I122" s="5">
        <f t="shared" ca="1" si="77"/>
        <v>0.10449057446761859</v>
      </c>
      <c r="J122" s="5">
        <f t="shared" ca="1" si="61"/>
        <v>0.1077972521645274</v>
      </c>
      <c r="K122" s="5">
        <f t="shared" ca="1" si="78"/>
        <v>0.27545419509046776</v>
      </c>
      <c r="L122" s="5">
        <f t="shared" ca="1" si="79"/>
        <v>-0.5963994763934537</v>
      </c>
      <c r="M122" s="5">
        <f t="shared" ca="1" si="62"/>
        <v>-2.7561163771687713E-3</v>
      </c>
      <c r="N122" s="5">
        <f t="shared" ca="1" si="80"/>
        <v>0.43224425981857495</v>
      </c>
      <c r="O122" s="5">
        <f t="shared" ca="1" si="81"/>
        <v>-0.17066330269050425</v>
      </c>
      <c r="P122" s="5">
        <f t="shared" ca="1" si="63"/>
        <v>6.3005745782048761E-2</v>
      </c>
      <c r="Q122" s="5">
        <f t="shared" ca="1" si="82"/>
        <v>0.6705980677765333</v>
      </c>
      <c r="R122" s="5">
        <f t="shared" ca="1" si="83"/>
        <v>0.4415652090761541</v>
      </c>
      <c r="S122" s="5">
        <f t="shared" ca="1" si="64"/>
        <v>0.16524898051239556</v>
      </c>
      <c r="T122" s="5">
        <f t="shared" ca="1" si="84"/>
        <v>0.33889414612085789</v>
      </c>
      <c r="U122" s="5">
        <f t="shared" ca="1" si="85"/>
        <v>-0.41548308916144966</v>
      </c>
      <c r="V122" s="5">
        <f t="shared" ca="1" si="65"/>
        <v>2.4677098008295761E-2</v>
      </c>
      <c r="W122" s="5">
        <f t="shared" ca="1" si="86"/>
        <v>0.78006746757687417</v>
      </c>
      <c r="X122" s="5">
        <f t="shared" ca="1" si="87"/>
        <v>0.77242109320177599</v>
      </c>
      <c r="Y122" s="5">
        <f t="shared" ca="1" si="66"/>
        <v>0.22453742933722687</v>
      </c>
      <c r="Z122" s="5">
        <f t="shared" ca="1" si="88"/>
        <v>0.72367296562941053</v>
      </c>
      <c r="AA122" s="5">
        <f t="shared" ca="1" si="89"/>
        <v>0.59378777185836751</v>
      </c>
      <c r="AB122" s="5">
        <f t="shared" ca="1" si="67"/>
        <v>0.19216164274453074</v>
      </c>
      <c r="AC122" s="5">
        <f t="shared" ca="1" si="90"/>
        <v>0.87813457944764839</v>
      </c>
      <c r="AD122" s="5">
        <f t="shared" ca="1" si="91"/>
        <v>1.1657121623728854</v>
      </c>
      <c r="AE122" s="5">
        <f t="shared" ca="1" si="68"/>
        <v>0.29895075151463701</v>
      </c>
      <c r="AF122" s="5">
        <f t="shared" ca="1" si="93"/>
        <v>1.0037742551645679</v>
      </c>
      <c r="AG122" s="5">
        <f t="shared" ca="1" si="94"/>
        <v>1.2373677973831627</v>
      </c>
      <c r="AH122" s="5">
        <f t="shared" ca="1" si="95"/>
        <v>1.1077972521645274</v>
      </c>
      <c r="AI122" s="5">
        <f t="shared" ca="1" si="96"/>
        <v>0.99724388362283123</v>
      </c>
      <c r="AJ122" s="5">
        <f t="shared" ca="1" si="97"/>
        <v>1.0630057457820488</v>
      </c>
      <c r="AK122" s="5">
        <f t="shared" ca="1" si="98"/>
        <v>1.1652489805123956</v>
      </c>
      <c r="AL122" s="5">
        <f t="shared" ca="1" si="99"/>
        <v>1.0246770980082958</v>
      </c>
      <c r="AM122" s="5">
        <f t="shared" ca="1" si="100"/>
        <v>1.2245374293372269</v>
      </c>
      <c r="AN122" s="5">
        <f t="shared" ca="1" si="101"/>
        <v>1.1921616427445307</v>
      </c>
      <c r="AO122" s="5">
        <f t="shared" ca="1" si="102"/>
        <v>1.298950751514637</v>
      </c>
      <c r="AP122" s="5">
        <f t="shared" ca="1" si="103"/>
        <v>3.3024617370809914</v>
      </c>
      <c r="AQ122" s="4">
        <f t="shared" ca="1" si="69"/>
        <v>33024.617370809916</v>
      </c>
      <c r="AR122">
        <f t="shared" ca="1" si="70"/>
        <v>1</v>
      </c>
      <c r="AS122">
        <f t="shared" ca="1" si="71"/>
        <v>0</v>
      </c>
    </row>
    <row r="123" spans="1:45" x14ac:dyDescent="0.25">
      <c r="A123" s="10">
        <f t="shared" si="92"/>
        <v>102</v>
      </c>
      <c r="B123" s="5">
        <f t="shared" ca="1" si="72"/>
        <v>3.6873638903425321E-2</v>
      </c>
      <c r="C123" s="5">
        <f t="shared" ca="1" si="73"/>
        <v>-1.788178103559906</v>
      </c>
      <c r="D123" s="5">
        <f t="shared" ca="1" si="59"/>
        <v>-0.16600403564167265</v>
      </c>
      <c r="E123" s="5">
        <f t="shared" ca="1" si="74"/>
        <v>0.21744016015839007</v>
      </c>
      <c r="F123" s="5">
        <f t="shared" ca="1" si="75"/>
        <v>-0.78086768430153108</v>
      </c>
      <c r="G123" s="5">
        <f t="shared" ca="1" si="60"/>
        <v>-2.9971816396272444E-2</v>
      </c>
      <c r="H123" s="5">
        <f t="shared" ca="1" si="76"/>
        <v>0.33870869350286181</v>
      </c>
      <c r="I123" s="5">
        <f t="shared" ca="1" si="77"/>
        <v>-0.41598990939982461</v>
      </c>
      <c r="J123" s="5">
        <f t="shared" ca="1" si="61"/>
        <v>2.4599201905622037E-2</v>
      </c>
      <c r="K123" s="5">
        <f t="shared" ca="1" si="78"/>
        <v>4.4198707447828944E-4</v>
      </c>
      <c r="L123" s="5">
        <f t="shared" ca="1" si="79"/>
        <v>-3.3250666044413668</v>
      </c>
      <c r="M123" s="5">
        <f t="shared" ca="1" si="62"/>
        <v>-0.33771545603065289</v>
      </c>
      <c r="N123" s="5">
        <f t="shared" ca="1" si="80"/>
        <v>0.53319049563329823</v>
      </c>
      <c r="O123" s="5">
        <f t="shared" ca="1" si="81"/>
        <v>8.3292443370920663E-2</v>
      </c>
      <c r="P123" s="5">
        <f t="shared" ca="1" si="63"/>
        <v>0.10428036178344735</v>
      </c>
      <c r="Q123" s="5">
        <f t="shared" ca="1" si="82"/>
        <v>0.83010093502318016</v>
      </c>
      <c r="R123" s="5">
        <f t="shared" ca="1" si="83"/>
        <v>0.95456419733249587</v>
      </c>
      <c r="S123" s="5">
        <f t="shared" ca="1" si="64"/>
        <v>0.25845481311860241</v>
      </c>
      <c r="T123" s="5">
        <f t="shared" ca="1" si="84"/>
        <v>0.22438137068747532</v>
      </c>
      <c r="U123" s="5">
        <f t="shared" ca="1" si="85"/>
        <v>-0.75747933576863824</v>
      </c>
      <c r="V123" s="5">
        <f t="shared" ca="1" si="65"/>
        <v>-2.6562736349653338E-2</v>
      </c>
      <c r="W123" s="5">
        <f t="shared" ca="1" si="86"/>
        <v>0.24494821930740074</v>
      </c>
      <c r="X123" s="5">
        <f t="shared" ca="1" si="87"/>
        <v>-0.6904735486797039</v>
      </c>
      <c r="Y123" s="5">
        <f t="shared" ca="1" si="66"/>
        <v>-1.6729513410733809E-2</v>
      </c>
      <c r="Z123" s="5">
        <f t="shared" ca="1" si="88"/>
        <v>0.76005052129914608</v>
      </c>
      <c r="AA123" s="5">
        <f t="shared" ca="1" si="89"/>
        <v>0.70646508633903271</v>
      </c>
      <c r="AB123" s="5">
        <f t="shared" ca="1" si="67"/>
        <v>0.21248232081353069</v>
      </c>
      <c r="AC123" s="5">
        <f t="shared" ca="1" si="90"/>
        <v>0.28022874271289755</v>
      </c>
      <c r="AD123" s="5">
        <f t="shared" ca="1" si="91"/>
        <v>-0.58216212050631644</v>
      </c>
      <c r="AE123" s="5">
        <f t="shared" ca="1" si="68"/>
        <v>-6.2412322996818759E-4</v>
      </c>
      <c r="AF123" s="5">
        <f t="shared" ca="1" si="93"/>
        <v>0.83399596435832735</v>
      </c>
      <c r="AG123" s="5">
        <f t="shared" ca="1" si="94"/>
        <v>0.97002818360372756</v>
      </c>
      <c r="AH123" s="5">
        <f t="shared" ca="1" si="95"/>
        <v>1.024599201905622</v>
      </c>
      <c r="AI123" s="5">
        <f t="shared" ca="1" si="96"/>
        <v>0.66228454396934711</v>
      </c>
      <c r="AJ123" s="5">
        <f t="shared" ca="1" si="97"/>
        <v>1.1042803617834474</v>
      </c>
      <c r="AK123" s="5">
        <f t="shared" ca="1" si="98"/>
        <v>1.2584548131186024</v>
      </c>
      <c r="AL123" s="5">
        <f t="shared" ca="1" si="99"/>
        <v>0.97343726365034666</v>
      </c>
      <c r="AM123" s="5">
        <f t="shared" ca="1" si="100"/>
        <v>0.98327048658926619</v>
      </c>
      <c r="AN123" s="5">
        <f t="shared" ca="1" si="101"/>
        <v>1.2124823208135307</v>
      </c>
      <c r="AO123" s="5">
        <f t="shared" ca="1" si="102"/>
        <v>0.99937587677003181</v>
      </c>
      <c r="AP123" s="5">
        <f t="shared" ca="1" si="103"/>
        <v>0.88480823865168101</v>
      </c>
      <c r="AQ123" s="4">
        <f t="shared" ca="1" si="69"/>
        <v>8848.0823865168095</v>
      </c>
      <c r="AR123">
        <f t="shared" ca="1" si="70"/>
        <v>0</v>
      </c>
      <c r="AS123">
        <f t="shared" ca="1" si="71"/>
        <v>0</v>
      </c>
    </row>
    <row r="124" spans="1:45" x14ac:dyDescent="0.25">
      <c r="A124" s="10">
        <f t="shared" si="92"/>
        <v>103</v>
      </c>
      <c r="B124" s="5">
        <f t="shared" ca="1" si="72"/>
        <v>0.24021261509070202</v>
      </c>
      <c r="C124" s="5">
        <f t="shared" ca="1" si="73"/>
        <v>-0.70561879924981563</v>
      </c>
      <c r="D124" s="5">
        <f t="shared" ca="1" si="59"/>
        <v>-1.896075967696309E-2</v>
      </c>
      <c r="E124" s="5">
        <f t="shared" ca="1" si="74"/>
        <v>0.62292147808981269</v>
      </c>
      <c r="F124" s="5">
        <f t="shared" ca="1" si="75"/>
        <v>0.31316271499160242</v>
      </c>
      <c r="G124" s="5">
        <f t="shared" ca="1" si="60"/>
        <v>0.14302059983005333</v>
      </c>
      <c r="H124" s="5">
        <f t="shared" ca="1" si="76"/>
        <v>0.70001024575729454</v>
      </c>
      <c r="I124" s="5">
        <f t="shared" ca="1" si="77"/>
        <v>0.52442998079577696</v>
      </c>
      <c r="J124" s="5">
        <f t="shared" ca="1" si="61"/>
        <v>0.17982308246127543</v>
      </c>
      <c r="K124" s="5">
        <f t="shared" ca="1" si="78"/>
        <v>0.63443223091313505</v>
      </c>
      <c r="L124" s="5">
        <f t="shared" ca="1" si="79"/>
        <v>0.34361540463173951</v>
      </c>
      <c r="M124" s="5">
        <f t="shared" ca="1" si="62"/>
        <v>0.14825375073144609</v>
      </c>
      <c r="N124" s="5">
        <f t="shared" ca="1" si="80"/>
        <v>0.39940897609202397</v>
      </c>
      <c r="O124" s="5">
        <f t="shared" ca="1" si="81"/>
        <v>-0.25487719275350884</v>
      </c>
      <c r="P124" s="5">
        <f t="shared" ca="1" si="63"/>
        <v>4.966222410486143E-2</v>
      </c>
      <c r="Q124" s="5">
        <f t="shared" ca="1" si="82"/>
        <v>0.90265954300282614</v>
      </c>
      <c r="R124" s="5">
        <f t="shared" ca="1" si="83"/>
        <v>1.2968554892169677</v>
      </c>
      <c r="S124" s="5">
        <f t="shared" ca="1" si="64"/>
        <v>0.3247560421876805</v>
      </c>
      <c r="T124" s="5">
        <f t="shared" ca="1" si="84"/>
        <v>0.42267339713038898</v>
      </c>
      <c r="U124" s="5">
        <f t="shared" ca="1" si="85"/>
        <v>-0.19505895529101558</v>
      </c>
      <c r="V124" s="5">
        <f t="shared" ca="1" si="65"/>
        <v>5.912294653851502E-2</v>
      </c>
      <c r="W124" s="5">
        <f t="shared" ca="1" si="86"/>
        <v>0.48894047461629719</v>
      </c>
      <c r="X124" s="5">
        <f t="shared" ca="1" si="87"/>
        <v>-2.7725670801006227E-2</v>
      </c>
      <c r="Y124" s="5">
        <f t="shared" ca="1" si="66"/>
        <v>8.6043362530443313E-2</v>
      </c>
      <c r="Z124" s="5">
        <f t="shared" ca="1" si="88"/>
        <v>0.70972683079131649</v>
      </c>
      <c r="AA124" s="5">
        <f t="shared" ca="1" si="89"/>
        <v>0.55258686476844987</v>
      </c>
      <c r="AB124" s="5">
        <f t="shared" ca="1" si="67"/>
        <v>0.18481664151414368</v>
      </c>
      <c r="AC124" s="5">
        <f t="shared" ca="1" si="90"/>
        <v>0.47181378570949284</v>
      </c>
      <c r="AD124" s="5">
        <f t="shared" ca="1" si="91"/>
        <v>-7.0711244506825199E-2</v>
      </c>
      <c r="AE124" s="5">
        <f t="shared" ca="1" si="68"/>
        <v>7.9063260439137251E-2</v>
      </c>
      <c r="AF124" s="5">
        <f t="shared" ca="1" si="93"/>
        <v>0.98103924032303691</v>
      </c>
      <c r="AG124" s="5">
        <f t="shared" ca="1" si="94"/>
        <v>1.1430205998300533</v>
      </c>
      <c r="AH124" s="5">
        <f t="shared" ca="1" si="95"/>
        <v>1.1798230824612754</v>
      </c>
      <c r="AI124" s="5">
        <f t="shared" ca="1" si="96"/>
        <v>1.1482537507314461</v>
      </c>
      <c r="AJ124" s="5">
        <f t="shared" ca="1" si="97"/>
        <v>1.0496622241048614</v>
      </c>
      <c r="AK124" s="5">
        <f t="shared" ca="1" si="98"/>
        <v>1.3247560421876805</v>
      </c>
      <c r="AL124" s="5">
        <f t="shared" ca="1" si="99"/>
        <v>1.059122946538515</v>
      </c>
      <c r="AM124" s="5">
        <f t="shared" ca="1" si="100"/>
        <v>1.0860433625304433</v>
      </c>
      <c r="AN124" s="5">
        <f t="shared" ca="1" si="101"/>
        <v>1.1848166415141437</v>
      </c>
      <c r="AO124" s="5">
        <f t="shared" ca="1" si="102"/>
        <v>1.0790632604391373</v>
      </c>
      <c r="AP124" s="5">
        <f t="shared" ca="1" si="103"/>
        <v>3.1065065182165594</v>
      </c>
      <c r="AQ124" s="4">
        <f t="shared" ca="1" si="69"/>
        <v>31065.065182165596</v>
      </c>
      <c r="AR124">
        <f t="shared" ca="1" si="70"/>
        <v>1</v>
      </c>
      <c r="AS124">
        <f t="shared" ca="1" si="71"/>
        <v>0</v>
      </c>
    </row>
    <row r="125" spans="1:45" x14ac:dyDescent="0.25">
      <c r="A125" s="10">
        <f t="shared" si="92"/>
        <v>104</v>
      </c>
      <c r="B125" s="5">
        <f t="shared" ca="1" si="72"/>
        <v>0.35297260068799463</v>
      </c>
      <c r="C125" s="5">
        <f t="shared" ca="1" si="73"/>
        <v>-0.37730736248097951</v>
      </c>
      <c r="D125" s="5">
        <f t="shared" ca="1" si="59"/>
        <v>3.0561599236007098E-2</v>
      </c>
      <c r="E125" s="5">
        <f t="shared" ca="1" si="74"/>
        <v>0.80906190341101702</v>
      </c>
      <c r="F125" s="5">
        <f t="shared" ca="1" si="75"/>
        <v>0.87444457179535584</v>
      </c>
      <c r="G125" s="5">
        <f t="shared" ca="1" si="60"/>
        <v>0.24342129081628716</v>
      </c>
      <c r="H125" s="5">
        <f t="shared" ca="1" si="76"/>
        <v>0.56449647872670528</v>
      </c>
      <c r="I125" s="5">
        <f t="shared" ca="1" si="77"/>
        <v>0.16237946275931159</v>
      </c>
      <c r="J125" s="5">
        <f t="shared" ca="1" si="61"/>
        <v>0.11745851012776098</v>
      </c>
      <c r="K125" s="5">
        <f t="shared" ca="1" si="78"/>
        <v>0.40961690726554956</v>
      </c>
      <c r="L125" s="5">
        <f t="shared" ca="1" si="79"/>
        <v>-0.2285305428111076</v>
      </c>
      <c r="M125" s="5">
        <f t="shared" ca="1" si="62"/>
        <v>5.3818694351550178E-2</v>
      </c>
      <c r="N125" s="5">
        <f t="shared" ca="1" si="80"/>
        <v>0.27358196524561129</v>
      </c>
      <c r="O125" s="5">
        <f t="shared" ca="1" si="81"/>
        <v>-0.60201533384323591</v>
      </c>
      <c r="P125" s="5">
        <f t="shared" ca="1" si="63"/>
        <v>-3.5958195774676849E-3</v>
      </c>
      <c r="Q125" s="5">
        <f t="shared" ca="1" si="82"/>
        <v>0.39231948222778756</v>
      </c>
      <c r="R125" s="5">
        <f t="shared" ca="1" si="83"/>
        <v>-0.27327872975414569</v>
      </c>
      <c r="S125" s="5">
        <f t="shared" ca="1" si="64"/>
        <v>4.676890931153066E-2</v>
      </c>
      <c r="T125" s="5">
        <f t="shared" ca="1" si="84"/>
        <v>0.41445810180843379</v>
      </c>
      <c r="U125" s="5">
        <f t="shared" ca="1" si="85"/>
        <v>-0.21609178429322684</v>
      </c>
      <c r="V125" s="5">
        <f t="shared" ca="1" si="65"/>
        <v>5.5786759240997741E-2</v>
      </c>
      <c r="W125" s="5">
        <f t="shared" ca="1" si="86"/>
        <v>0.72342894038800809</v>
      </c>
      <c r="X125" s="5">
        <f t="shared" ca="1" si="87"/>
        <v>0.59305832561666671</v>
      </c>
      <c r="Y125" s="5">
        <f t="shared" ca="1" si="66"/>
        <v>0.19203120720611921</v>
      </c>
      <c r="Z125" s="5">
        <f t="shared" ca="1" si="88"/>
        <v>0.79606920826908667</v>
      </c>
      <c r="AA125" s="5">
        <f t="shared" ca="1" si="89"/>
        <v>0.82766263866828527</v>
      </c>
      <c r="AB125" s="5">
        <f t="shared" ca="1" si="67"/>
        <v>0.23472638607859642</v>
      </c>
      <c r="AC125" s="5">
        <f t="shared" ca="1" si="90"/>
        <v>6.9602892428013541E-2</v>
      </c>
      <c r="AD125" s="5">
        <f t="shared" ca="1" si="91"/>
        <v>-1.4787550820052811</v>
      </c>
      <c r="AE125" s="5">
        <f t="shared" ca="1" si="68"/>
        <v>-0.12638304178240745</v>
      </c>
      <c r="AF125" s="5">
        <f t="shared" ca="1" si="93"/>
        <v>1.0305615992360071</v>
      </c>
      <c r="AG125" s="5">
        <f t="shared" ca="1" si="94"/>
        <v>1.2434212908162872</v>
      </c>
      <c r="AH125" s="5">
        <f t="shared" ca="1" si="95"/>
        <v>1.117458510127761</v>
      </c>
      <c r="AI125" s="5">
        <f t="shared" ca="1" si="96"/>
        <v>1.0538186943515502</v>
      </c>
      <c r="AJ125" s="5">
        <f t="shared" ca="1" si="97"/>
        <v>0.99640418042253232</v>
      </c>
      <c r="AK125" s="5">
        <f t="shared" ca="1" si="98"/>
        <v>1.0467689093115307</v>
      </c>
      <c r="AL125" s="5">
        <f t="shared" ca="1" si="99"/>
        <v>1.0557867592409977</v>
      </c>
      <c r="AM125" s="5">
        <f t="shared" ca="1" si="100"/>
        <v>1.1920312072061192</v>
      </c>
      <c r="AN125" s="5">
        <f t="shared" ca="1" si="101"/>
        <v>1.2347263860785964</v>
      </c>
      <c r="AO125" s="5">
        <f t="shared" ca="1" si="102"/>
        <v>0.87361695821759255</v>
      </c>
      <c r="AP125" s="5">
        <f t="shared" ca="1" si="103"/>
        <v>2.136640903500592</v>
      </c>
      <c r="AQ125" s="4">
        <f t="shared" ca="1" si="69"/>
        <v>21366.40903500592</v>
      </c>
      <c r="AR125">
        <f t="shared" ca="1" si="70"/>
        <v>0</v>
      </c>
      <c r="AS125">
        <f t="shared" ca="1" si="71"/>
        <v>0</v>
      </c>
    </row>
    <row r="126" spans="1:45" x14ac:dyDescent="0.25">
      <c r="A126" s="10">
        <f t="shared" si="92"/>
        <v>105</v>
      </c>
      <c r="B126" s="5">
        <f t="shared" ca="1" si="72"/>
        <v>0.47810997685535883</v>
      </c>
      <c r="C126" s="5">
        <f t="shared" ca="1" si="73"/>
        <v>-5.4897713231081745E-2</v>
      </c>
      <c r="D126" s="5">
        <f t="shared" ca="1" si="59"/>
        <v>8.1625868621556075E-2</v>
      </c>
      <c r="E126" s="5">
        <f t="shared" ca="1" si="74"/>
        <v>0.57636073423039669</v>
      </c>
      <c r="F126" s="5">
        <f t="shared" ca="1" si="75"/>
        <v>0.19259197340671572</v>
      </c>
      <c r="G126" s="5">
        <f t="shared" ca="1" si="60"/>
        <v>0.12253418668096661</v>
      </c>
      <c r="H126" s="5">
        <f t="shared" ca="1" si="76"/>
        <v>0.57944877758243829</v>
      </c>
      <c r="I126" s="5">
        <f t="shared" ca="1" si="77"/>
        <v>0.20048352084210164</v>
      </c>
      <c r="J126" s="5">
        <f t="shared" ca="1" si="61"/>
        <v>0.12386375321832532</v>
      </c>
      <c r="K126" s="5">
        <f t="shared" ca="1" si="78"/>
        <v>0.41004103471482323</v>
      </c>
      <c r="L126" s="5">
        <f t="shared" ca="1" si="79"/>
        <v>-0.22743942151961982</v>
      </c>
      <c r="M126" s="5">
        <f t="shared" ca="1" si="62"/>
        <v>5.3991185069003578E-2</v>
      </c>
      <c r="N126" s="5">
        <f t="shared" ca="1" si="80"/>
        <v>0.93103894249635399</v>
      </c>
      <c r="O126" s="5">
        <f t="shared" ca="1" si="81"/>
        <v>1.4835734584808857</v>
      </c>
      <c r="P126" s="5">
        <f t="shared" ca="1" si="63"/>
        <v>0.36238388073140859</v>
      </c>
      <c r="Q126" s="5">
        <f t="shared" ca="1" si="82"/>
        <v>0.23982251084321959</v>
      </c>
      <c r="R126" s="5">
        <f t="shared" ca="1" si="83"/>
        <v>-0.70687361549597705</v>
      </c>
      <c r="S126" s="5">
        <f t="shared" ca="1" si="64"/>
        <v>-1.914539589661024E-2</v>
      </c>
      <c r="T126" s="5">
        <f t="shared" ca="1" si="84"/>
        <v>0.80643866589568214</v>
      </c>
      <c r="U126" s="5">
        <f t="shared" ca="1" si="85"/>
        <v>0.86484718652266279</v>
      </c>
      <c r="V126" s="5">
        <f t="shared" ca="1" si="65"/>
        <v>0.24163253969760312</v>
      </c>
      <c r="W126" s="5">
        <f t="shared" ca="1" si="86"/>
        <v>0.37086252121988306</v>
      </c>
      <c r="X126" s="5">
        <f t="shared" ca="1" si="87"/>
        <v>-0.32956980323642115</v>
      </c>
      <c r="Y126" s="5">
        <f t="shared" ca="1" si="66"/>
        <v>3.7967557579132061E-2</v>
      </c>
      <c r="Z126" s="5">
        <f t="shared" ca="1" si="88"/>
        <v>0.71198463916170851</v>
      </c>
      <c r="AA126" s="5">
        <f t="shared" ca="1" si="89"/>
        <v>0.55919195700816193</v>
      </c>
      <c r="AB126" s="5">
        <f t="shared" ca="1" si="67"/>
        <v>0.18599109670258773</v>
      </c>
      <c r="AC126" s="5">
        <f t="shared" ca="1" si="90"/>
        <v>0.29304815569352904</v>
      </c>
      <c r="AD126" s="5">
        <f t="shared" ca="1" si="91"/>
        <v>-0.5445016527516241</v>
      </c>
      <c r="AE126" s="5">
        <f t="shared" ca="1" si="68"/>
        <v>5.0373973248820647E-3</v>
      </c>
      <c r="AF126" s="5">
        <f t="shared" ca="1" si="93"/>
        <v>1.0816258686215561</v>
      </c>
      <c r="AG126" s="5">
        <f t="shared" ca="1" si="94"/>
        <v>1.1225341866809666</v>
      </c>
      <c r="AH126" s="5">
        <f t="shared" ca="1" si="95"/>
        <v>1.1238637532183253</v>
      </c>
      <c r="AI126" s="5">
        <f t="shared" ca="1" si="96"/>
        <v>1.0539911850690036</v>
      </c>
      <c r="AJ126" s="5">
        <f t="shared" ca="1" si="97"/>
        <v>1.3623838807314086</v>
      </c>
      <c r="AK126" s="5">
        <f t="shared" ca="1" si="98"/>
        <v>0.98085460410338976</v>
      </c>
      <c r="AL126" s="5">
        <f t="shared" ca="1" si="99"/>
        <v>1.2416325396976031</v>
      </c>
      <c r="AM126" s="5">
        <f t="shared" ca="1" si="100"/>
        <v>1.0379675575791321</v>
      </c>
      <c r="AN126" s="5">
        <f t="shared" ca="1" si="101"/>
        <v>1.1859910967025877</v>
      </c>
      <c r="AO126" s="5">
        <f t="shared" ca="1" si="102"/>
        <v>1.0050373973248821</v>
      </c>
      <c r="AP126" s="5">
        <f t="shared" ca="1" si="103"/>
        <v>2.9523778115872186</v>
      </c>
      <c r="AQ126" s="4">
        <f t="shared" ca="1" si="69"/>
        <v>29523.778115872185</v>
      </c>
      <c r="AR126">
        <f t="shared" ca="1" si="70"/>
        <v>1</v>
      </c>
      <c r="AS126">
        <f t="shared" ca="1" si="71"/>
        <v>0</v>
      </c>
    </row>
    <row r="127" spans="1:45" x14ac:dyDescent="0.25">
      <c r="A127" s="10">
        <f t="shared" si="92"/>
        <v>106</v>
      </c>
      <c r="B127" s="5">
        <f t="shared" ca="1" si="72"/>
        <v>0.27658208595761746</v>
      </c>
      <c r="C127" s="5">
        <f t="shared" ca="1" si="73"/>
        <v>-0.59302537284691026</v>
      </c>
      <c r="D127" s="5">
        <f t="shared" ca="1" si="59"/>
        <v>-2.2512680134710861E-3</v>
      </c>
      <c r="E127" s="5">
        <f t="shared" ca="1" si="74"/>
        <v>0.98489925774501175</v>
      </c>
      <c r="F127" s="5">
        <f t="shared" ca="1" si="75"/>
        <v>2.1674378410270658</v>
      </c>
      <c r="G127" s="5">
        <f t="shared" ca="1" si="60"/>
        <v>0.50955616348565602</v>
      </c>
      <c r="H127" s="5">
        <f t="shared" ca="1" si="76"/>
        <v>0.59715425905378061</v>
      </c>
      <c r="I127" s="5">
        <f t="shared" ca="1" si="77"/>
        <v>0.24598805150208738</v>
      </c>
      <c r="J127" s="5">
        <f t="shared" ca="1" si="61"/>
        <v>0.13156112712978918</v>
      </c>
      <c r="K127" s="5">
        <f t="shared" ca="1" si="78"/>
        <v>0.83997285569015645</v>
      </c>
      <c r="L127" s="5">
        <f t="shared" ca="1" si="79"/>
        <v>0.9943463275397274</v>
      </c>
      <c r="M127" s="5">
        <f t="shared" ca="1" si="62"/>
        <v>0.26598686583589282</v>
      </c>
      <c r="N127" s="5">
        <f t="shared" ca="1" si="80"/>
        <v>0.32138105371062087</v>
      </c>
      <c r="O127" s="5">
        <f t="shared" ca="1" si="81"/>
        <v>-0.46384038425321555</v>
      </c>
      <c r="P127" s="5">
        <f t="shared" ca="1" si="63"/>
        <v>1.7271397531873012E-2</v>
      </c>
      <c r="Q127" s="5">
        <f t="shared" ca="1" si="82"/>
        <v>0.20141492940985939</v>
      </c>
      <c r="R127" s="5">
        <f t="shared" ca="1" si="83"/>
        <v>-0.83657792393292973</v>
      </c>
      <c r="S127" s="5">
        <f t="shared" ca="1" si="64"/>
        <v>-3.8044116571508746E-2</v>
      </c>
      <c r="T127" s="5">
        <f t="shared" ca="1" si="84"/>
        <v>0.94206736290156412</v>
      </c>
      <c r="U127" s="5">
        <f t="shared" ca="1" si="85"/>
        <v>1.5723678140363959</v>
      </c>
      <c r="V127" s="5">
        <f t="shared" ca="1" si="65"/>
        <v>0.38065106218429312</v>
      </c>
      <c r="W127" s="5">
        <f t="shared" ca="1" si="86"/>
        <v>0.44835403885193736</v>
      </c>
      <c r="X127" s="5">
        <f t="shared" ca="1" si="87"/>
        <v>-0.1298209623537136</v>
      </c>
      <c r="Y127" s="5">
        <f t="shared" ca="1" si="66"/>
        <v>6.9538081408991204E-2</v>
      </c>
      <c r="Z127" s="5">
        <f t="shared" ca="1" si="88"/>
        <v>0.48448662399871079</v>
      </c>
      <c r="AA127" s="5">
        <f t="shared" ca="1" si="89"/>
        <v>-3.8896072367970783E-2</v>
      </c>
      <c r="AB127" s="5">
        <f t="shared" ca="1" si="67"/>
        <v>8.4225155142037655E-2</v>
      </c>
      <c r="AC127" s="5">
        <f t="shared" ca="1" si="90"/>
        <v>0.65761855422599258</v>
      </c>
      <c r="AD127" s="5">
        <f t="shared" ca="1" si="91"/>
        <v>0.40597238420704801</v>
      </c>
      <c r="AE127" s="5">
        <f t="shared" ca="1" si="68"/>
        <v>0.15904438275369492</v>
      </c>
      <c r="AF127" s="5">
        <f t="shared" ca="1" si="93"/>
        <v>0.99774873198652891</v>
      </c>
      <c r="AG127" s="5">
        <f t="shared" ca="1" si="94"/>
        <v>1.509556163485656</v>
      </c>
      <c r="AH127" s="5">
        <f t="shared" ca="1" si="95"/>
        <v>1.1315611271297892</v>
      </c>
      <c r="AI127" s="5">
        <f t="shared" ca="1" si="96"/>
        <v>1.2659868658358928</v>
      </c>
      <c r="AJ127" s="5">
        <f t="shared" ca="1" si="97"/>
        <v>1.017271397531873</v>
      </c>
      <c r="AK127" s="5">
        <f t="shared" ca="1" si="98"/>
        <v>0.96195588342849125</v>
      </c>
      <c r="AL127" s="5">
        <f t="shared" ca="1" si="99"/>
        <v>1.3806510621842931</v>
      </c>
      <c r="AM127" s="5">
        <f t="shared" ca="1" si="100"/>
        <v>1.0695380814089912</v>
      </c>
      <c r="AN127" s="5">
        <f t="shared" ca="1" si="101"/>
        <v>1.0842251551420377</v>
      </c>
      <c r="AO127" s="5">
        <f t="shared" ca="1" si="102"/>
        <v>1.1590443827536949</v>
      </c>
      <c r="AP127" s="5">
        <f t="shared" ca="1" si="103"/>
        <v>3.9180448059607249</v>
      </c>
      <c r="AQ127" s="4">
        <f t="shared" ca="1" si="69"/>
        <v>39180.448059607246</v>
      </c>
      <c r="AR127">
        <f t="shared" ca="1" si="70"/>
        <v>1</v>
      </c>
      <c r="AS127">
        <f t="shared" ca="1" si="71"/>
        <v>0</v>
      </c>
    </row>
    <row r="128" spans="1:45" x14ac:dyDescent="0.25">
      <c r="A128" s="10">
        <f t="shared" si="92"/>
        <v>107</v>
      </c>
      <c r="B128" s="5">
        <f t="shared" ca="1" si="72"/>
        <v>0.64224668714253574</v>
      </c>
      <c r="C128" s="5">
        <f t="shared" ca="1" si="73"/>
        <v>0.36447059776587593</v>
      </c>
      <c r="D128" s="5">
        <f t="shared" ca="1" si="59"/>
        <v>0.15185143313537552</v>
      </c>
      <c r="E128" s="5">
        <f t="shared" ca="1" si="74"/>
        <v>0.8318621842709597</v>
      </c>
      <c r="F128" s="5">
        <f t="shared" ca="1" si="75"/>
        <v>0.96155013219840269</v>
      </c>
      <c r="G128" s="5">
        <f t="shared" ca="1" si="60"/>
        <v>0.25977422680164164</v>
      </c>
      <c r="H128" s="5">
        <f t="shared" ca="1" si="76"/>
        <v>0.69620740804224757</v>
      </c>
      <c r="I128" s="5">
        <f t="shared" ca="1" si="77"/>
        <v>0.51352348958843774</v>
      </c>
      <c r="J128" s="5">
        <f t="shared" ca="1" si="61"/>
        <v>0.1778945009344628</v>
      </c>
      <c r="K128" s="5">
        <f t="shared" ca="1" si="78"/>
        <v>4.8008725470231051E-3</v>
      </c>
      <c r="L128" s="5">
        <f t="shared" ca="1" si="79"/>
        <v>-2.5898511089921352</v>
      </c>
      <c r="M128" s="5">
        <f t="shared" ca="1" si="62"/>
        <v>-0.26049753710411783</v>
      </c>
      <c r="N128" s="5">
        <f t="shared" ca="1" si="80"/>
        <v>0.15116045671026812</v>
      </c>
      <c r="O128" s="5">
        <f t="shared" ca="1" si="81"/>
        <v>-1.0314690529120201</v>
      </c>
      <c r="P128" s="5">
        <f t="shared" ca="1" si="63"/>
        <v>-6.575854584486629E-2</v>
      </c>
      <c r="Q128" s="5">
        <f t="shared" ca="1" si="82"/>
        <v>0.12130434895580533</v>
      </c>
      <c r="R128" s="5">
        <f t="shared" ca="1" si="83"/>
        <v>-1.1684911725398222</v>
      </c>
      <c r="S128" s="5">
        <f t="shared" ca="1" si="64"/>
        <v>-8.4764322542909887E-2</v>
      </c>
      <c r="T128" s="5">
        <f t="shared" ca="1" si="84"/>
        <v>0.52697209743851559</v>
      </c>
      <c r="U128" s="5">
        <f t="shared" ca="1" si="85"/>
        <v>6.7660611210742225E-2</v>
      </c>
      <c r="V128" s="5">
        <f t="shared" ca="1" si="65"/>
        <v>0.10169410627080699</v>
      </c>
      <c r="W128" s="5">
        <f t="shared" ca="1" si="86"/>
        <v>0.35682685244598233</v>
      </c>
      <c r="X128" s="5">
        <f t="shared" ca="1" si="87"/>
        <v>-0.36695349829131524</v>
      </c>
      <c r="Y128" s="5">
        <f t="shared" ca="1" si="66"/>
        <v>3.2163386991642229E-2</v>
      </c>
      <c r="Z128" s="5">
        <f t="shared" ca="1" si="88"/>
        <v>0.65833913918402509</v>
      </c>
      <c r="AA128" s="5">
        <f t="shared" ca="1" si="89"/>
        <v>0.40793455670260637</v>
      </c>
      <c r="AB128" s="5">
        <f t="shared" ca="1" si="67"/>
        <v>0.1593855697126525</v>
      </c>
      <c r="AC128" s="5">
        <f t="shared" ca="1" si="90"/>
        <v>0.65877504788885088</v>
      </c>
      <c r="AD128" s="5">
        <f t="shared" ca="1" si="91"/>
        <v>0.40912231039822533</v>
      </c>
      <c r="AE128" s="5">
        <f t="shared" ca="1" si="68"/>
        <v>0.15959214778865771</v>
      </c>
      <c r="AF128" s="5">
        <f t="shared" ca="1" si="93"/>
        <v>1.1518514331353755</v>
      </c>
      <c r="AG128" s="5">
        <f t="shared" ca="1" si="94"/>
        <v>1.2597742268016416</v>
      </c>
      <c r="AH128" s="5">
        <f t="shared" ca="1" si="95"/>
        <v>1.1778945009344628</v>
      </c>
      <c r="AI128" s="5">
        <f t="shared" ca="1" si="96"/>
        <v>0.73950246289588217</v>
      </c>
      <c r="AJ128" s="5">
        <f t="shared" ca="1" si="97"/>
        <v>0.93424145415513371</v>
      </c>
      <c r="AK128" s="5">
        <f t="shared" ca="1" si="98"/>
        <v>0.91523567745709011</v>
      </c>
      <c r="AL128" s="5">
        <f t="shared" ca="1" si="99"/>
        <v>1.101694106270807</v>
      </c>
      <c r="AM128" s="5">
        <f t="shared" ca="1" si="100"/>
        <v>1.0321633869916422</v>
      </c>
      <c r="AN128" s="5">
        <f t="shared" ca="1" si="101"/>
        <v>1.1593855697126525</v>
      </c>
      <c r="AO128" s="5">
        <f t="shared" ca="1" si="102"/>
        <v>1.1595921477886577</v>
      </c>
      <c r="AP128" s="5">
        <f t="shared" ca="1" si="103"/>
        <v>1.6522277516137218</v>
      </c>
      <c r="AQ128" s="4">
        <f t="shared" ca="1" si="69"/>
        <v>16522.277516137219</v>
      </c>
      <c r="AR128">
        <f t="shared" ca="1" si="70"/>
        <v>0</v>
      </c>
      <c r="AS128">
        <f t="shared" ca="1" si="71"/>
        <v>0</v>
      </c>
    </row>
    <row r="129" spans="1:45" x14ac:dyDescent="0.25">
      <c r="A129" s="10">
        <f t="shared" si="92"/>
        <v>108</v>
      </c>
      <c r="B129" s="5">
        <f t="shared" ca="1" si="72"/>
        <v>0.41441931577460878</v>
      </c>
      <c r="C129" s="5">
        <f t="shared" ca="1" si="73"/>
        <v>-0.21619130416554722</v>
      </c>
      <c r="D129" s="5">
        <f t="shared" ca="1" si="59"/>
        <v>5.5770998594113941E-2</v>
      </c>
      <c r="E129" s="5">
        <f t="shared" ca="1" si="74"/>
        <v>0.49195168030085801</v>
      </c>
      <c r="F129" s="5">
        <f t="shared" ca="1" si="75"/>
        <v>-2.0175514382734589E-2</v>
      </c>
      <c r="G129" s="5">
        <f t="shared" ca="1" si="60"/>
        <v>8.7274028867775133E-2</v>
      </c>
      <c r="H129" s="5">
        <f t="shared" ca="1" si="76"/>
        <v>8.0091879214423622E-2</v>
      </c>
      <c r="I129" s="5">
        <f t="shared" ca="1" si="77"/>
        <v>-1.4044538049982547</v>
      </c>
      <c r="J129" s="5">
        <f t="shared" ca="1" si="61"/>
        <v>-0.11659195301093583</v>
      </c>
      <c r="K129" s="5">
        <f t="shared" ca="1" si="78"/>
        <v>0.86504819401135169</v>
      </c>
      <c r="L129" s="5">
        <f t="shared" ca="1" si="79"/>
        <v>1.1032845543936267</v>
      </c>
      <c r="M129" s="5">
        <f t="shared" ca="1" si="62"/>
        <v>0.28684396655884892</v>
      </c>
      <c r="N129" s="5">
        <f t="shared" ca="1" si="80"/>
        <v>0.98911403429086131</v>
      </c>
      <c r="O129" s="5">
        <f t="shared" ca="1" si="81"/>
        <v>2.2943233655529989</v>
      </c>
      <c r="P129" s="5">
        <f t="shared" ca="1" si="63"/>
        <v>0.53856244752536009</v>
      </c>
      <c r="Q129" s="5">
        <f t="shared" ca="1" si="82"/>
        <v>0.29671322106806619</v>
      </c>
      <c r="R129" s="5">
        <f t="shared" ca="1" si="83"/>
        <v>-0.53387727995569212</v>
      </c>
      <c r="S129" s="5">
        <f t="shared" ca="1" si="64"/>
        <v>6.6403580670162388E-3</v>
      </c>
      <c r="T129" s="5">
        <f t="shared" ca="1" si="84"/>
        <v>0.20638485855689759</v>
      </c>
      <c r="U129" s="5">
        <f t="shared" ca="1" si="85"/>
        <v>-0.8190292646810271</v>
      </c>
      <c r="V129" s="5">
        <f t="shared" ca="1" si="65"/>
        <v>-3.5508625548395401E-2</v>
      </c>
      <c r="W129" s="5">
        <f t="shared" ca="1" si="86"/>
        <v>8.5046174802452801E-2</v>
      </c>
      <c r="X129" s="5">
        <f t="shared" ca="1" si="87"/>
        <v>-1.3719071329241783</v>
      </c>
      <c r="Y129" s="5">
        <f t="shared" ca="1" si="66"/>
        <v>-0.11226860951261286</v>
      </c>
      <c r="Z129" s="5">
        <f t="shared" ca="1" si="88"/>
        <v>0.42951812284984181</v>
      </c>
      <c r="AA129" s="5">
        <f t="shared" ca="1" si="89"/>
        <v>-0.17760111897574168</v>
      </c>
      <c r="AB129" s="5">
        <f t="shared" ca="1" si="67"/>
        <v>6.190008041341688E-2</v>
      </c>
      <c r="AC129" s="5">
        <f t="shared" ca="1" si="90"/>
        <v>0.71704706178968913</v>
      </c>
      <c r="AD129" s="5">
        <f t="shared" ca="1" si="91"/>
        <v>0.57409151265080605</v>
      </c>
      <c r="AE129" s="5">
        <f t="shared" ca="1" si="68"/>
        <v>0.18864467193048529</v>
      </c>
      <c r="AF129" s="5">
        <f t="shared" ca="1" si="93"/>
        <v>1.0557709985941139</v>
      </c>
      <c r="AG129" s="5">
        <f t="shared" ca="1" si="94"/>
        <v>1.0872740288677751</v>
      </c>
      <c r="AH129" s="5">
        <f t="shared" ca="1" si="95"/>
        <v>0.88340804698906417</v>
      </c>
      <c r="AI129" s="5">
        <f t="shared" ca="1" si="96"/>
        <v>1.2868439665588489</v>
      </c>
      <c r="AJ129" s="5">
        <f t="shared" ca="1" si="97"/>
        <v>1.5385624475253601</v>
      </c>
      <c r="AK129" s="5">
        <f t="shared" ca="1" si="98"/>
        <v>1.0066403580670162</v>
      </c>
      <c r="AL129" s="5">
        <f t="shared" ca="1" si="99"/>
        <v>0.9644913744516046</v>
      </c>
      <c r="AM129" s="5">
        <f t="shared" ca="1" si="100"/>
        <v>0.88773139048738714</v>
      </c>
      <c r="AN129" s="5">
        <f t="shared" ca="1" si="101"/>
        <v>1.0619000804134169</v>
      </c>
      <c r="AO129" s="5">
        <f t="shared" ca="1" si="102"/>
        <v>1.1886446719304853</v>
      </c>
      <c r="AP129" s="5">
        <f t="shared" ca="1" si="103"/>
        <v>2.1842436256711819</v>
      </c>
      <c r="AQ129" s="4">
        <f t="shared" ca="1" si="69"/>
        <v>21842.436256711819</v>
      </c>
      <c r="AR129">
        <f t="shared" ca="1" si="70"/>
        <v>0</v>
      </c>
      <c r="AS129">
        <f t="shared" ca="1" si="71"/>
        <v>0</v>
      </c>
    </row>
    <row r="130" spans="1:45" x14ac:dyDescent="0.25">
      <c r="A130" s="10">
        <f t="shared" si="92"/>
        <v>109</v>
      </c>
      <c r="B130" s="5">
        <f t="shared" ca="1" si="72"/>
        <v>0.451408805683574</v>
      </c>
      <c r="C130" s="5">
        <f t="shared" ca="1" si="73"/>
        <v>-0.12210279119603398</v>
      </c>
      <c r="D130" s="5">
        <f t="shared" ca="1" si="59"/>
        <v>7.0777030147785025E-2</v>
      </c>
      <c r="E130" s="5">
        <f t="shared" ca="1" si="74"/>
        <v>0.66707186600914337</v>
      </c>
      <c r="F130" s="5">
        <f t="shared" ca="1" si="75"/>
        <v>0.43184197739766705</v>
      </c>
      <c r="G130" s="5">
        <f t="shared" ca="1" si="60"/>
        <v>0.16355072138586113</v>
      </c>
      <c r="H130" s="5">
        <f t="shared" ca="1" si="76"/>
        <v>0.41830574771792095</v>
      </c>
      <c r="I130" s="5">
        <f t="shared" ca="1" si="77"/>
        <v>-0.20622969203269123</v>
      </c>
      <c r="J130" s="5">
        <f t="shared" ca="1" si="61"/>
        <v>5.7349755000655422E-2</v>
      </c>
      <c r="K130" s="5">
        <f t="shared" ca="1" si="78"/>
        <v>0.79354869598088407</v>
      </c>
      <c r="L130" s="5">
        <f t="shared" ca="1" si="79"/>
        <v>0.81879636003501066</v>
      </c>
      <c r="M130" s="5">
        <f t="shared" ca="1" si="62"/>
        <v>0.23308536332662366</v>
      </c>
      <c r="N130" s="5">
        <f t="shared" ca="1" si="80"/>
        <v>0.67063199050274602</v>
      </c>
      <c r="O130" s="5">
        <f t="shared" ca="1" si="81"/>
        <v>0.4416589499512138</v>
      </c>
      <c r="P130" s="5">
        <f t="shared" ca="1" si="63"/>
        <v>0.16526536534645442</v>
      </c>
      <c r="Q130" s="5">
        <f t="shared" ca="1" si="82"/>
        <v>0.74243699196376045</v>
      </c>
      <c r="R130" s="5">
        <f t="shared" ca="1" si="83"/>
        <v>0.65087680409308235</v>
      </c>
      <c r="S130" s="5">
        <f t="shared" ca="1" si="64"/>
        <v>0.20241438218159291</v>
      </c>
      <c r="T130" s="5">
        <f t="shared" ca="1" si="84"/>
        <v>0.1890553207296829</v>
      </c>
      <c r="U130" s="5">
        <f t="shared" ca="1" si="85"/>
        <v>-0.88138284162986325</v>
      </c>
      <c r="V130" s="5">
        <f t="shared" ca="1" si="65"/>
        <v>-4.4487493323871252E-2</v>
      </c>
      <c r="W130" s="5">
        <f t="shared" ca="1" si="86"/>
        <v>0.32535599794305015</v>
      </c>
      <c r="X130" s="5">
        <f t="shared" ca="1" si="87"/>
        <v>-0.45277329399968652</v>
      </c>
      <c r="Y130" s="5">
        <f t="shared" ca="1" si="66"/>
        <v>1.8961535166985399E-2</v>
      </c>
      <c r="Z130" s="5">
        <f t="shared" ca="1" si="88"/>
        <v>0.2824280101013239</v>
      </c>
      <c r="AA130" s="5">
        <f t="shared" ca="1" si="89"/>
        <v>-0.57564372467954228</v>
      </c>
      <c r="AB130" s="5">
        <f t="shared" ca="1" si="67"/>
        <v>3.5350376580356446E-4</v>
      </c>
      <c r="AC130" s="5">
        <f t="shared" ca="1" si="90"/>
        <v>0.14235545341598566</v>
      </c>
      <c r="AD130" s="5">
        <f t="shared" ca="1" si="91"/>
        <v>-1.0697965249797166</v>
      </c>
      <c r="AE130" s="5">
        <f t="shared" ca="1" si="68"/>
        <v>-7.1114202919458025E-2</v>
      </c>
      <c r="AF130" s="5">
        <f t="shared" ca="1" si="93"/>
        <v>1.070777030147785</v>
      </c>
      <c r="AG130" s="5">
        <f t="shared" ca="1" si="94"/>
        <v>1.1635507213858611</v>
      </c>
      <c r="AH130" s="5">
        <f t="shared" ca="1" si="95"/>
        <v>1.0573497550006554</v>
      </c>
      <c r="AI130" s="5">
        <f t="shared" ca="1" si="96"/>
        <v>1.2330853633266237</v>
      </c>
      <c r="AJ130" s="5">
        <f t="shared" ca="1" si="97"/>
        <v>1.1652653653464544</v>
      </c>
      <c r="AK130" s="5">
        <f t="shared" ca="1" si="98"/>
        <v>1.2024143821815929</v>
      </c>
      <c r="AL130" s="5">
        <f t="shared" ca="1" si="99"/>
        <v>0.95551250667612875</v>
      </c>
      <c r="AM130" s="5">
        <f t="shared" ca="1" si="100"/>
        <v>1.0189615351669854</v>
      </c>
      <c r="AN130" s="5">
        <f t="shared" ca="1" si="101"/>
        <v>1.0003535037658036</v>
      </c>
      <c r="AO130" s="5">
        <f t="shared" ca="1" si="102"/>
        <v>0.92888579708054198</v>
      </c>
      <c r="AP130" s="5">
        <f t="shared" ca="1" si="103"/>
        <v>2.0591366302980543</v>
      </c>
      <c r="AQ130" s="4">
        <f t="shared" ca="1" si="69"/>
        <v>20591.366302980543</v>
      </c>
      <c r="AR130">
        <f t="shared" ca="1" si="70"/>
        <v>0</v>
      </c>
      <c r="AS130">
        <f t="shared" ca="1" si="71"/>
        <v>0</v>
      </c>
    </row>
    <row r="131" spans="1:45" x14ac:dyDescent="0.25">
      <c r="A131" s="10">
        <f t="shared" si="92"/>
        <v>110</v>
      </c>
      <c r="B131" s="5">
        <f t="shared" ca="1" si="72"/>
        <v>0.76855028563432704</v>
      </c>
      <c r="C131" s="5">
        <f t="shared" ca="1" si="73"/>
        <v>0.73408090800821713</v>
      </c>
      <c r="D131" s="5">
        <f t="shared" ca="1" si="59"/>
        <v>0.21751529217195209</v>
      </c>
      <c r="E131" s="5">
        <f t="shared" ca="1" si="74"/>
        <v>0.82113068893001795</v>
      </c>
      <c r="F131" s="5">
        <f t="shared" ca="1" si="75"/>
        <v>0.91968264945097644</v>
      </c>
      <c r="G131" s="5">
        <f t="shared" ca="1" si="60"/>
        <v>0.25188748123055671</v>
      </c>
      <c r="H131" s="5">
        <f t="shared" ca="1" si="76"/>
        <v>0.44436735833318997</v>
      </c>
      <c r="I131" s="5">
        <f t="shared" ca="1" si="77"/>
        <v>-0.13990542278913998</v>
      </c>
      <c r="J131" s="5">
        <f t="shared" ca="1" si="61"/>
        <v>6.7921447263560086E-2</v>
      </c>
      <c r="K131" s="5">
        <f t="shared" ca="1" si="78"/>
        <v>0.10761328827875305</v>
      </c>
      <c r="L131" s="5">
        <f t="shared" ca="1" si="79"/>
        <v>-1.2393211841143019</v>
      </c>
      <c r="M131" s="5">
        <f t="shared" ca="1" si="62"/>
        <v>-9.4436772123013046E-2</v>
      </c>
      <c r="N131" s="5">
        <f t="shared" ca="1" si="80"/>
        <v>0.19313056057289368</v>
      </c>
      <c r="O131" s="5">
        <f t="shared" ca="1" si="81"/>
        <v>-0.86641773602854366</v>
      </c>
      <c r="P131" s="5">
        <f t="shared" ca="1" si="63"/>
        <v>-4.2340182285455996E-2</v>
      </c>
      <c r="Q131" s="5">
        <f t="shared" ca="1" si="82"/>
        <v>0.79329452731096084</v>
      </c>
      <c r="R131" s="5">
        <f t="shared" ca="1" si="83"/>
        <v>0.81790585753140355</v>
      </c>
      <c r="S131" s="5">
        <f t="shared" ca="1" si="64"/>
        <v>0.23292066448624271</v>
      </c>
      <c r="T131" s="5">
        <f t="shared" ca="1" si="84"/>
        <v>0.68405880110023798</v>
      </c>
      <c r="U131" s="5">
        <f t="shared" ca="1" si="85"/>
        <v>0.47907904334711787</v>
      </c>
      <c r="V131" s="5">
        <f t="shared" ca="1" si="65"/>
        <v>0.17182440694226409</v>
      </c>
      <c r="W131" s="5">
        <f t="shared" ca="1" si="86"/>
        <v>0.93542194730517036</v>
      </c>
      <c r="X131" s="5">
        <f t="shared" ca="1" si="87"/>
        <v>1.517438121007074</v>
      </c>
      <c r="Y131" s="5">
        <f t="shared" ca="1" si="66"/>
        <v>0.36932198811524719</v>
      </c>
      <c r="Z131" s="5">
        <f t="shared" ca="1" si="88"/>
        <v>0.87705823070207023</v>
      </c>
      <c r="AA131" s="5">
        <f t="shared" ca="1" si="89"/>
        <v>1.1604060158810285</v>
      </c>
      <c r="AB131" s="5">
        <f t="shared" ca="1" si="67"/>
        <v>0.29791729939683198</v>
      </c>
      <c r="AC131" s="5">
        <f t="shared" ca="1" si="90"/>
        <v>0.95443165794814855</v>
      </c>
      <c r="AD131" s="5">
        <f t="shared" ca="1" si="91"/>
        <v>1.6894319416496988</v>
      </c>
      <c r="AE131" s="5">
        <f t="shared" ca="1" si="68"/>
        <v>0.40510887550699604</v>
      </c>
      <c r="AF131" s="5">
        <f t="shared" ca="1" si="93"/>
        <v>1.2175152921719521</v>
      </c>
      <c r="AG131" s="5">
        <f t="shared" ca="1" si="94"/>
        <v>1.2518874812305567</v>
      </c>
      <c r="AH131" s="5">
        <f t="shared" ca="1" si="95"/>
        <v>1.0679214472635601</v>
      </c>
      <c r="AI131" s="5">
        <f t="shared" ca="1" si="96"/>
        <v>0.90556322787698695</v>
      </c>
      <c r="AJ131" s="5">
        <f t="shared" ca="1" si="97"/>
        <v>0.957659817714544</v>
      </c>
      <c r="AK131" s="5">
        <f t="shared" ca="1" si="98"/>
        <v>1.2329206644862427</v>
      </c>
      <c r="AL131" s="5">
        <f t="shared" ca="1" si="99"/>
        <v>1.1718244069422641</v>
      </c>
      <c r="AM131" s="5">
        <f t="shared" ca="1" si="100"/>
        <v>1.3693219881152472</v>
      </c>
      <c r="AN131" s="5">
        <f t="shared" ca="1" si="101"/>
        <v>1.297917299396832</v>
      </c>
      <c r="AO131" s="5">
        <f t="shared" ca="1" si="102"/>
        <v>1.405108875506996</v>
      </c>
      <c r="AP131" s="5">
        <f t="shared" ca="1" si="103"/>
        <v>5.0929489744515015</v>
      </c>
      <c r="AQ131" s="4">
        <f t="shared" ca="1" si="69"/>
        <v>50929.489744515013</v>
      </c>
      <c r="AR131">
        <f t="shared" ca="1" si="70"/>
        <v>1</v>
      </c>
      <c r="AS131">
        <f t="shared" ca="1" si="71"/>
        <v>0</v>
      </c>
    </row>
    <row r="132" spans="1:45" x14ac:dyDescent="0.25">
      <c r="A132" s="10">
        <f t="shared" si="92"/>
        <v>111</v>
      </c>
      <c r="B132" s="5">
        <f t="shared" ca="1" si="72"/>
        <v>0.86770036961977237</v>
      </c>
      <c r="C132" s="5">
        <f t="shared" ca="1" si="73"/>
        <v>1.1155862960010237</v>
      </c>
      <c r="D132" s="5">
        <f t="shared" ca="1" si="59"/>
        <v>0.28922072204668403</v>
      </c>
      <c r="E132" s="5">
        <f t="shared" ca="1" si="74"/>
        <v>0.59700014620501218</v>
      </c>
      <c r="F132" s="5">
        <f t="shared" ca="1" si="75"/>
        <v>0.24558990112407769</v>
      </c>
      <c r="G132" s="5">
        <f t="shared" ca="1" si="60"/>
        <v>0.13149354942418978</v>
      </c>
      <c r="H132" s="5">
        <f t="shared" ca="1" si="76"/>
        <v>0.19545849482333244</v>
      </c>
      <c r="I132" s="5">
        <f t="shared" ca="1" si="77"/>
        <v>-0.85795558412109829</v>
      </c>
      <c r="J132" s="5">
        <f t="shared" ca="1" si="61"/>
        <v>-4.1123831049626136E-2</v>
      </c>
      <c r="K132" s="5">
        <f t="shared" ca="1" si="78"/>
        <v>0.43794618942304098</v>
      </c>
      <c r="L132" s="5">
        <f t="shared" ca="1" si="79"/>
        <v>-0.15617842950580763</v>
      </c>
      <c r="M132" s="5">
        <f t="shared" ca="1" si="62"/>
        <v>6.5317882211022527E-2</v>
      </c>
      <c r="N132" s="5">
        <f t="shared" ca="1" si="80"/>
        <v>9.1487114053861451E-2</v>
      </c>
      <c r="O132" s="5">
        <f t="shared" ca="1" si="81"/>
        <v>-1.3316530370615807</v>
      </c>
      <c r="P132" s="5">
        <f t="shared" ca="1" si="63"/>
        <v>-0.10689217039638454</v>
      </c>
      <c r="Q132" s="5">
        <f t="shared" ca="1" si="82"/>
        <v>0.34955444332842511</v>
      </c>
      <c r="R132" s="5">
        <f t="shared" ca="1" si="83"/>
        <v>-0.38652365557601009</v>
      </c>
      <c r="S132" s="5">
        <f t="shared" ca="1" si="64"/>
        <v>2.9137889899284009E-2</v>
      </c>
      <c r="T132" s="5">
        <f t="shared" ca="1" si="84"/>
        <v>0.74529152736730064</v>
      </c>
      <c r="U132" s="5">
        <f t="shared" ca="1" si="85"/>
        <v>0.65974583882336468</v>
      </c>
      <c r="V132" s="5">
        <f t="shared" ca="1" si="65"/>
        <v>0.20401508493449683</v>
      </c>
      <c r="W132" s="5">
        <f t="shared" ca="1" si="86"/>
        <v>0.69988130899518308</v>
      </c>
      <c r="X132" s="5">
        <f t="shared" ca="1" si="87"/>
        <v>0.52405917561917514</v>
      </c>
      <c r="Y132" s="5">
        <f t="shared" ca="1" si="66"/>
        <v>0.17975746161026596</v>
      </c>
      <c r="Z132" s="5">
        <f t="shared" ca="1" si="88"/>
        <v>0.87265424421007753</v>
      </c>
      <c r="AA132" s="5">
        <f t="shared" ca="1" si="89"/>
        <v>1.1390279143261119</v>
      </c>
      <c r="AB132" s="5">
        <f t="shared" ca="1" si="67"/>
        <v>0.29376191435046373</v>
      </c>
      <c r="AC132" s="5">
        <f t="shared" ca="1" si="90"/>
        <v>0.82254934241946476</v>
      </c>
      <c r="AD132" s="5">
        <f t="shared" ca="1" si="91"/>
        <v>0.92512418299846999</v>
      </c>
      <c r="AE132" s="5">
        <f t="shared" ca="1" si="68"/>
        <v>0.25290972652647814</v>
      </c>
      <c r="AF132" s="5">
        <f t="shared" ca="1" si="93"/>
        <v>1.289220722046684</v>
      </c>
      <c r="AG132" s="5">
        <f t="shared" ca="1" si="94"/>
        <v>1.1314935494241898</v>
      </c>
      <c r="AH132" s="5">
        <f t="shared" ca="1" si="95"/>
        <v>0.95887616895037386</v>
      </c>
      <c r="AI132" s="5">
        <f t="shared" ca="1" si="96"/>
        <v>1.0653178822110225</v>
      </c>
      <c r="AJ132" s="5">
        <f t="shared" ca="1" si="97"/>
        <v>0.89310782960361546</v>
      </c>
      <c r="AK132" s="5">
        <f t="shared" ca="1" si="98"/>
        <v>1.029137889899284</v>
      </c>
      <c r="AL132" s="5">
        <f t="shared" ca="1" si="99"/>
        <v>1.2040150849344968</v>
      </c>
      <c r="AM132" s="5">
        <f t="shared" ca="1" si="100"/>
        <v>1.179757461610266</v>
      </c>
      <c r="AN132" s="5">
        <f t="shared" ca="1" si="101"/>
        <v>1.2937619143504637</v>
      </c>
      <c r="AO132" s="5">
        <f t="shared" ca="1" si="102"/>
        <v>1.2529097265264781</v>
      </c>
      <c r="AP132" s="5">
        <f t="shared" ca="1" si="103"/>
        <v>3.1535329330320758</v>
      </c>
      <c r="AQ132" s="4">
        <f t="shared" ca="1" si="69"/>
        <v>31535.329330320757</v>
      </c>
      <c r="AR132">
        <f t="shared" ca="1" si="70"/>
        <v>1</v>
      </c>
      <c r="AS132">
        <f t="shared" ca="1" si="71"/>
        <v>0</v>
      </c>
    </row>
    <row r="133" spans="1:45" x14ac:dyDescent="0.25">
      <c r="A133" s="10">
        <f t="shared" si="92"/>
        <v>112</v>
      </c>
      <c r="B133" s="5">
        <f t="shared" ca="1" si="72"/>
        <v>0.3388586400292759</v>
      </c>
      <c r="C133" s="5">
        <f t="shared" ca="1" si="73"/>
        <v>-0.41558011487827617</v>
      </c>
      <c r="D133" s="5">
        <f t="shared" ca="1" si="59"/>
        <v>2.4662185112323654E-2</v>
      </c>
      <c r="E133" s="5">
        <f t="shared" ca="1" si="74"/>
        <v>0.735969802858498</v>
      </c>
      <c r="F133" s="5">
        <f t="shared" ca="1" si="75"/>
        <v>0.63096961145948072</v>
      </c>
      <c r="G133" s="5">
        <f t="shared" ca="1" si="60"/>
        <v>0.19882923340438152</v>
      </c>
      <c r="H133" s="5">
        <f t="shared" ca="1" si="76"/>
        <v>0.53576681801205484</v>
      </c>
      <c r="I133" s="5">
        <f t="shared" ca="1" si="77"/>
        <v>8.9774560936411896E-2</v>
      </c>
      <c r="J133" s="5">
        <f t="shared" ca="1" si="61"/>
        <v>0.10535459521642254</v>
      </c>
      <c r="K133" s="5">
        <f t="shared" ca="1" si="78"/>
        <v>0.99099337841402002</v>
      </c>
      <c r="L133" s="5">
        <f t="shared" ca="1" si="79"/>
        <v>2.3653457937813998</v>
      </c>
      <c r="M133" s="5">
        <f t="shared" ca="1" si="62"/>
        <v>0.5550409334817521</v>
      </c>
      <c r="N133" s="5">
        <f t="shared" ca="1" si="80"/>
        <v>0.93397711529382954</v>
      </c>
      <c r="O133" s="5">
        <f t="shared" ca="1" si="81"/>
        <v>1.506083384454133</v>
      </c>
      <c r="P133" s="5">
        <f t="shared" ca="1" si="63"/>
        <v>0.36699172957428061</v>
      </c>
      <c r="Q133" s="5">
        <f t="shared" ca="1" si="82"/>
        <v>0.58780094877911937</v>
      </c>
      <c r="R133" s="5">
        <f t="shared" ca="1" si="83"/>
        <v>0.22189181494792926</v>
      </c>
      <c r="S133" s="5">
        <f t="shared" ca="1" si="64"/>
        <v>0.12747855498199279</v>
      </c>
      <c r="T133" s="5">
        <f t="shared" ca="1" si="84"/>
        <v>0.13956843961691678</v>
      </c>
      <c r="U133" s="5">
        <f t="shared" ca="1" si="85"/>
        <v>-1.0822603043284393</v>
      </c>
      <c r="V133" s="5">
        <f t="shared" ca="1" si="65"/>
        <v>-7.2849194714729171E-2</v>
      </c>
      <c r="W133" s="5">
        <f t="shared" ca="1" si="86"/>
        <v>0.42217527276386402</v>
      </c>
      <c r="X133" s="5">
        <f t="shared" ca="1" si="87"/>
        <v>-0.19633170721859081</v>
      </c>
      <c r="Y133" s="5">
        <f t="shared" ca="1" si="66"/>
        <v>5.8920765722818791E-2</v>
      </c>
      <c r="Z133" s="5">
        <f t="shared" ca="1" si="88"/>
        <v>0.81640351873552586</v>
      </c>
      <c r="AA133" s="5">
        <f t="shared" ca="1" si="89"/>
        <v>0.90174383302249272</v>
      </c>
      <c r="AB133" s="5">
        <f t="shared" ca="1" si="67"/>
        <v>0.24852340237260906</v>
      </c>
      <c r="AC133" s="5">
        <f t="shared" ca="1" si="90"/>
        <v>0.52223339617963027</v>
      </c>
      <c r="AD133" s="5">
        <f t="shared" ca="1" si="91"/>
        <v>5.5759740254490417E-2</v>
      </c>
      <c r="AE133" s="5">
        <f t="shared" ca="1" si="68"/>
        <v>9.9729192697521674E-2</v>
      </c>
      <c r="AF133" s="5">
        <f t="shared" ca="1" si="93"/>
        <v>1.0246621851123237</v>
      </c>
      <c r="AG133" s="5">
        <f t="shared" ca="1" si="94"/>
        <v>1.1988292334043815</v>
      </c>
      <c r="AH133" s="5">
        <f t="shared" ca="1" si="95"/>
        <v>1.1053545952164225</v>
      </c>
      <c r="AI133" s="5">
        <f t="shared" ca="1" si="96"/>
        <v>1.5550409334817521</v>
      </c>
      <c r="AJ133" s="5">
        <f t="shared" ca="1" si="97"/>
        <v>1.3669917295742806</v>
      </c>
      <c r="AK133" s="5">
        <f t="shared" ca="1" si="98"/>
        <v>1.1274785549819928</v>
      </c>
      <c r="AL133" s="5">
        <f t="shared" ca="1" si="99"/>
        <v>0.92715080528527083</v>
      </c>
      <c r="AM133" s="5">
        <f t="shared" ca="1" si="100"/>
        <v>1.0589207657228188</v>
      </c>
      <c r="AN133" s="5">
        <f t="shared" ca="1" si="101"/>
        <v>1.2485234023726091</v>
      </c>
      <c r="AO133" s="5">
        <f t="shared" ca="1" si="102"/>
        <v>1.0997291926975217</v>
      </c>
      <c r="AP133" s="5">
        <f t="shared" ca="1" si="103"/>
        <v>4.3868414991520552</v>
      </c>
      <c r="AQ133" s="4">
        <f t="shared" ca="1" si="69"/>
        <v>43868.414991520549</v>
      </c>
      <c r="AR133">
        <f t="shared" ca="1" si="70"/>
        <v>1</v>
      </c>
      <c r="AS133">
        <f t="shared" ca="1" si="71"/>
        <v>0</v>
      </c>
    </row>
    <row r="134" spans="1:45" x14ac:dyDescent="0.25">
      <c r="A134" s="10">
        <f t="shared" si="92"/>
        <v>113</v>
      </c>
      <c r="B134" s="5">
        <f t="shared" ca="1" si="72"/>
        <v>0.92047161091714125</v>
      </c>
      <c r="C134" s="5">
        <f t="shared" ca="1" si="73"/>
        <v>1.4082509367627121</v>
      </c>
      <c r="D134" s="5">
        <f t="shared" ca="1" si="59"/>
        <v>0.3470777821827542</v>
      </c>
      <c r="E134" s="5">
        <f t="shared" ca="1" si="74"/>
        <v>0.66406516557178452</v>
      </c>
      <c r="F134" s="5">
        <f t="shared" ca="1" si="75"/>
        <v>0.42358339291288777</v>
      </c>
      <c r="G134" s="5">
        <f t="shared" ca="1" si="60"/>
        <v>0.16211022151658305</v>
      </c>
      <c r="H134" s="5">
        <f t="shared" ca="1" si="76"/>
        <v>3.8463244437768607E-3</v>
      </c>
      <c r="I134" s="5">
        <f t="shared" ca="1" si="77"/>
        <v>-2.6652701913827763</v>
      </c>
      <c r="J134" s="5">
        <f t="shared" ca="1" si="61"/>
        <v>-0.26881628354413178</v>
      </c>
      <c r="K134" s="5">
        <f t="shared" ca="1" si="78"/>
        <v>0.37014700129855549</v>
      </c>
      <c r="L134" s="5">
        <f t="shared" ca="1" si="79"/>
        <v>-0.33146403536174224</v>
      </c>
      <c r="M134" s="5">
        <f t="shared" ca="1" si="62"/>
        <v>3.7672676750180267E-2</v>
      </c>
      <c r="N134" s="5">
        <f t="shared" ca="1" si="80"/>
        <v>0.16715423602735213</v>
      </c>
      <c r="O134" s="5">
        <f t="shared" ca="1" si="81"/>
        <v>-0.96547196361665411</v>
      </c>
      <c r="P134" s="5">
        <f t="shared" ca="1" si="63"/>
        <v>-5.6464033442607753E-2</v>
      </c>
      <c r="Q134" s="5">
        <f t="shared" ca="1" si="82"/>
        <v>0.99327904920603671</v>
      </c>
      <c r="R134" s="5">
        <f t="shared" ca="1" si="83"/>
        <v>2.4718417190803712</v>
      </c>
      <c r="S134" s="5">
        <f t="shared" ca="1" si="64"/>
        <v>0.58008123118868804</v>
      </c>
      <c r="T134" s="5">
        <f t="shared" ca="1" si="84"/>
        <v>0.75182144834944276</v>
      </c>
      <c r="U134" s="5">
        <f t="shared" ca="1" si="85"/>
        <v>0.68023274252967303</v>
      </c>
      <c r="V134" s="5">
        <f t="shared" ca="1" si="65"/>
        <v>0.20772075701520376</v>
      </c>
      <c r="W134" s="5">
        <f t="shared" ca="1" si="86"/>
        <v>0.40609912206961807</v>
      </c>
      <c r="X134" s="5">
        <f t="shared" ca="1" si="87"/>
        <v>-0.2375911127803286</v>
      </c>
      <c r="Y134" s="5">
        <f t="shared" ca="1" si="66"/>
        <v>5.2387437469835429E-2</v>
      </c>
      <c r="Z134" s="5">
        <f t="shared" ca="1" si="88"/>
        <v>0.93023725153123238</v>
      </c>
      <c r="AA134" s="5">
        <f t="shared" ca="1" si="89"/>
        <v>1.477560337981394</v>
      </c>
      <c r="AB134" s="5">
        <f t="shared" ca="1" si="67"/>
        <v>0.36115560797987412</v>
      </c>
      <c r="AC134" s="5">
        <f t="shared" ca="1" si="90"/>
        <v>0.84420506210081958</v>
      </c>
      <c r="AD134" s="5">
        <f t="shared" ca="1" si="91"/>
        <v>1.0118916214168194</v>
      </c>
      <c r="AE134" s="5">
        <f t="shared" ca="1" si="68"/>
        <v>0.26932307075327477</v>
      </c>
      <c r="AF134" s="5">
        <f t="shared" ca="1" si="93"/>
        <v>1.3470777821827542</v>
      </c>
      <c r="AG134" s="5">
        <f t="shared" ca="1" si="94"/>
        <v>1.1621102215165831</v>
      </c>
      <c r="AH134" s="5">
        <f t="shared" ca="1" si="95"/>
        <v>0.73118371645586822</v>
      </c>
      <c r="AI134" s="5">
        <f t="shared" ca="1" si="96"/>
        <v>1.0376726767501803</v>
      </c>
      <c r="AJ134" s="5">
        <f t="shared" ca="1" si="97"/>
        <v>0.94353596655739225</v>
      </c>
      <c r="AK134" s="5">
        <f t="shared" ca="1" si="98"/>
        <v>1.580081231188688</v>
      </c>
      <c r="AL134" s="5">
        <f t="shared" ca="1" si="99"/>
        <v>1.2077207570152038</v>
      </c>
      <c r="AM134" s="5">
        <f t="shared" ca="1" si="100"/>
        <v>1.0523874374698354</v>
      </c>
      <c r="AN134" s="5">
        <f t="shared" ca="1" si="101"/>
        <v>1.3611556079798741</v>
      </c>
      <c r="AO134" s="5">
        <f t="shared" ca="1" si="102"/>
        <v>1.2693230707532748</v>
      </c>
      <c r="AP134" s="5">
        <f t="shared" ca="1" si="103"/>
        <v>3.8885429214162492</v>
      </c>
      <c r="AQ134" s="4">
        <f t="shared" ca="1" si="69"/>
        <v>38885.42921416249</v>
      </c>
      <c r="AR134">
        <f t="shared" ca="1" si="70"/>
        <v>1</v>
      </c>
      <c r="AS134">
        <f t="shared" ca="1" si="71"/>
        <v>0</v>
      </c>
    </row>
    <row r="135" spans="1:45" x14ac:dyDescent="0.25">
      <c r="A135" s="10">
        <f t="shared" si="92"/>
        <v>114</v>
      </c>
      <c r="B135" s="5">
        <f t="shared" ca="1" si="72"/>
        <v>0.2123699249770834</v>
      </c>
      <c r="C135" s="5">
        <f t="shared" ca="1" si="73"/>
        <v>-0.79822514166986291</v>
      </c>
      <c r="D135" s="5">
        <f t="shared" ca="1" si="59"/>
        <v>-3.2494114846280953E-2</v>
      </c>
      <c r="E135" s="5">
        <f t="shared" ca="1" si="74"/>
        <v>0.94204768413310502</v>
      </c>
      <c r="F135" s="5">
        <f t="shared" ca="1" si="75"/>
        <v>1.572198031972456</v>
      </c>
      <c r="G135" s="5">
        <f t="shared" ca="1" si="60"/>
        <v>0.38061590116398558</v>
      </c>
      <c r="H135" s="5">
        <f t="shared" ca="1" si="76"/>
        <v>0.69829299349162333</v>
      </c>
      <c r="I135" s="5">
        <f t="shared" ca="1" si="77"/>
        <v>0.51949727451596672</v>
      </c>
      <c r="J135" s="5">
        <f t="shared" ca="1" si="61"/>
        <v>0.17895044722589626</v>
      </c>
      <c r="K135" s="5">
        <f t="shared" ca="1" si="78"/>
        <v>0.70748614150801792</v>
      </c>
      <c r="L135" s="5">
        <f t="shared" ca="1" si="79"/>
        <v>0.54605560256633212</v>
      </c>
      <c r="M135" s="5">
        <f t="shared" ca="1" si="62"/>
        <v>0.18365645769471839</v>
      </c>
      <c r="N135" s="5">
        <f t="shared" ca="1" si="80"/>
        <v>0.77278229849960245</v>
      </c>
      <c r="O135" s="5">
        <f t="shared" ca="1" si="81"/>
        <v>0.7480410408405237</v>
      </c>
      <c r="P135" s="5">
        <f t="shared" ca="1" si="63"/>
        <v>0.22006746467000693</v>
      </c>
      <c r="Q135" s="5">
        <f t="shared" ca="1" si="82"/>
        <v>0.38590285136292313</v>
      </c>
      <c r="R135" s="5">
        <f t="shared" ca="1" si="83"/>
        <v>-0.29001377058319183</v>
      </c>
      <c r="S135" s="5">
        <f t="shared" ca="1" si="64"/>
        <v>4.4144546535603846E-2</v>
      </c>
      <c r="T135" s="5">
        <f t="shared" ca="1" si="84"/>
        <v>0.43304177265559296</v>
      </c>
      <c r="U135" s="5">
        <f t="shared" ca="1" si="85"/>
        <v>-0.16863525867176674</v>
      </c>
      <c r="V135" s="5">
        <f t="shared" ca="1" si="65"/>
        <v>6.3329168339885999E-2</v>
      </c>
      <c r="W135" s="5">
        <f t="shared" ca="1" si="86"/>
        <v>0.44483443734539541</v>
      </c>
      <c r="X135" s="5">
        <f t="shared" ca="1" si="87"/>
        <v>-0.13872321229608675</v>
      </c>
      <c r="Y135" s="5">
        <f t="shared" ca="1" si="66"/>
        <v>6.8110840246848436E-2</v>
      </c>
      <c r="Z135" s="5">
        <f t="shared" ca="1" si="88"/>
        <v>0.47213653136322575</v>
      </c>
      <c r="AA135" s="5">
        <f t="shared" ca="1" si="89"/>
        <v>-6.9900239220461277E-2</v>
      </c>
      <c r="AB135" s="5">
        <f t="shared" ca="1" si="67"/>
        <v>7.9194537325224523E-2</v>
      </c>
      <c r="AC135" s="5">
        <f t="shared" ca="1" si="90"/>
        <v>0.15538206223335072</v>
      </c>
      <c r="AD135" s="5">
        <f t="shared" ca="1" si="91"/>
        <v>-1.0136199709027442</v>
      </c>
      <c r="AE135" s="5">
        <f t="shared" ca="1" si="68"/>
        <v>-6.3253891557800701E-2</v>
      </c>
      <c r="AF135" s="5">
        <f t="shared" ca="1" si="93"/>
        <v>0.96750588515371905</v>
      </c>
      <c r="AG135" s="5">
        <f t="shared" ca="1" si="94"/>
        <v>1.3806159011639856</v>
      </c>
      <c r="AH135" s="5">
        <f t="shared" ca="1" si="95"/>
        <v>1.1789504472258963</v>
      </c>
      <c r="AI135" s="5">
        <f t="shared" ca="1" si="96"/>
        <v>1.1836564576947184</v>
      </c>
      <c r="AJ135" s="5">
        <f t="shared" ca="1" si="97"/>
        <v>1.2200674646700069</v>
      </c>
      <c r="AK135" s="5">
        <f t="shared" ca="1" si="98"/>
        <v>1.0441445465356038</v>
      </c>
      <c r="AL135" s="5">
        <f t="shared" ca="1" si="99"/>
        <v>1.063329168339886</v>
      </c>
      <c r="AM135" s="5">
        <f t="shared" ca="1" si="100"/>
        <v>1.0681108402468484</v>
      </c>
      <c r="AN135" s="5">
        <f t="shared" ca="1" si="101"/>
        <v>1.0791945373252245</v>
      </c>
      <c r="AO135" s="5">
        <f t="shared" ca="1" si="102"/>
        <v>0.9367461084421993</v>
      </c>
      <c r="AP135" s="5">
        <f t="shared" ca="1" si="103"/>
        <v>2.7264520633675038</v>
      </c>
      <c r="AQ135" s="4">
        <f t="shared" ca="1" si="69"/>
        <v>27264.520633675038</v>
      </c>
      <c r="AR135">
        <f t="shared" ca="1" si="70"/>
        <v>1</v>
      </c>
      <c r="AS135">
        <f t="shared" ca="1" si="71"/>
        <v>0</v>
      </c>
    </row>
    <row r="136" spans="1:45" x14ac:dyDescent="0.25">
      <c r="A136" s="10">
        <f t="shared" si="92"/>
        <v>115</v>
      </c>
      <c r="B136" s="5">
        <f t="shared" ca="1" si="72"/>
        <v>0.74567592956699724</v>
      </c>
      <c r="C136" s="5">
        <f t="shared" ca="1" si="73"/>
        <v>0.66094413469225677</v>
      </c>
      <c r="D136" s="5">
        <f t="shared" ca="1" si="59"/>
        <v>0.20423151933070161</v>
      </c>
      <c r="E136" s="5">
        <f t="shared" ca="1" si="74"/>
        <v>0.20514341321092355</v>
      </c>
      <c r="F136" s="5">
        <f t="shared" ca="1" si="75"/>
        <v>-0.82338898237329872</v>
      </c>
      <c r="G136" s="5">
        <f t="shared" ca="1" si="60"/>
        <v>-3.6139155872244699E-2</v>
      </c>
      <c r="H136" s="5">
        <f t="shared" ca="1" si="76"/>
        <v>0.8418001254668368</v>
      </c>
      <c r="I136" s="5">
        <f t="shared" ca="1" si="77"/>
        <v>1.0018837349449718</v>
      </c>
      <c r="J136" s="5">
        <f t="shared" ca="1" si="61"/>
        <v>0.26741901410133018</v>
      </c>
      <c r="K136" s="5">
        <f t="shared" ca="1" si="78"/>
        <v>0.24936396494503588</v>
      </c>
      <c r="L136" s="5">
        <f t="shared" ca="1" si="79"/>
        <v>-0.67649262028326196</v>
      </c>
      <c r="M136" s="5">
        <f t="shared" ca="1" si="62"/>
        <v>-1.466529454996135E-2</v>
      </c>
      <c r="N136" s="5">
        <f t="shared" ca="1" si="80"/>
        <v>0.15976041412331088</v>
      </c>
      <c r="O136" s="5">
        <f t="shared" ca="1" si="81"/>
        <v>-0.99544305267230293</v>
      </c>
      <c r="P136" s="5">
        <f t="shared" ca="1" si="63"/>
        <v>-6.0696332889725646E-2</v>
      </c>
      <c r="Q136" s="5">
        <f t="shared" ca="1" si="82"/>
        <v>0.85350225275111902</v>
      </c>
      <c r="R136" s="5">
        <f t="shared" ca="1" si="83"/>
        <v>1.05157301362269</v>
      </c>
      <c r="S136" s="5">
        <f t="shared" ca="1" si="64"/>
        <v>0.27690087671333519</v>
      </c>
      <c r="T136" s="5">
        <f t="shared" ca="1" si="84"/>
        <v>0.16470406326879949</v>
      </c>
      <c r="U136" s="5">
        <f t="shared" ca="1" si="85"/>
        <v>-0.97530674332434442</v>
      </c>
      <c r="V136" s="5">
        <f t="shared" ca="1" si="65"/>
        <v>-5.7854927511710286E-2</v>
      </c>
      <c r="W136" s="5">
        <f t="shared" ca="1" si="86"/>
        <v>0.93096087982732967</v>
      </c>
      <c r="X136" s="5">
        <f t="shared" ca="1" si="87"/>
        <v>1.4829855863029382</v>
      </c>
      <c r="Y136" s="5">
        <f t="shared" ca="1" si="66"/>
        <v>0.36226374989123</v>
      </c>
      <c r="Z136" s="5">
        <f t="shared" ca="1" si="88"/>
        <v>0.12280242755823367</v>
      </c>
      <c r="AA136" s="5">
        <f t="shared" ca="1" si="89"/>
        <v>-1.161091096557076</v>
      </c>
      <c r="AB136" s="5">
        <f t="shared" ca="1" si="67"/>
        <v>-8.3747836458414771E-2</v>
      </c>
      <c r="AC136" s="5">
        <f t="shared" ca="1" si="90"/>
        <v>0.99147299476084427</v>
      </c>
      <c r="AD136" s="5">
        <f t="shared" ca="1" si="91"/>
        <v>2.3855412332186141</v>
      </c>
      <c r="AE136" s="5">
        <f t="shared" ca="1" si="68"/>
        <v>0.5597587860559945</v>
      </c>
      <c r="AF136" s="5">
        <f t="shared" ca="1" si="93"/>
        <v>1.2042315193307016</v>
      </c>
      <c r="AG136" s="5">
        <f t="shared" ca="1" si="94"/>
        <v>0.9638608441277553</v>
      </c>
      <c r="AH136" s="5">
        <f t="shared" ca="1" si="95"/>
        <v>1.2674190141013302</v>
      </c>
      <c r="AI136" s="5">
        <f t="shared" ca="1" si="96"/>
        <v>0.98533470545003865</v>
      </c>
      <c r="AJ136" s="5">
        <f t="shared" ca="1" si="97"/>
        <v>0.93930366711027435</v>
      </c>
      <c r="AK136" s="5">
        <f t="shared" ca="1" si="98"/>
        <v>1.2769008767133352</v>
      </c>
      <c r="AL136" s="5">
        <f t="shared" ca="1" si="99"/>
        <v>0.94214507248828971</v>
      </c>
      <c r="AM136" s="5">
        <f t="shared" ca="1" si="100"/>
        <v>1.36226374989123</v>
      </c>
      <c r="AN136" s="5">
        <f t="shared" ca="1" si="101"/>
        <v>0.91625216354158523</v>
      </c>
      <c r="AO136" s="5">
        <f t="shared" ca="1" si="102"/>
        <v>1.5597587860559945</v>
      </c>
      <c r="AP136" s="5">
        <f t="shared" ca="1" si="103"/>
        <v>3.1889151517494181</v>
      </c>
      <c r="AQ136" s="4">
        <f t="shared" ca="1" si="69"/>
        <v>31889.151517494181</v>
      </c>
      <c r="AR136">
        <f t="shared" ca="1" si="70"/>
        <v>1</v>
      </c>
      <c r="AS136">
        <f t="shared" ca="1" si="71"/>
        <v>0</v>
      </c>
    </row>
    <row r="137" spans="1:45" x14ac:dyDescent="0.25">
      <c r="A137" s="10">
        <f t="shared" si="92"/>
        <v>116</v>
      </c>
      <c r="B137" s="5">
        <f t="shared" ca="1" si="72"/>
        <v>0.34330082477455792</v>
      </c>
      <c r="C137" s="5">
        <f t="shared" ca="1" si="73"/>
        <v>-0.40347115630882496</v>
      </c>
      <c r="D137" s="5">
        <f t="shared" ca="1" si="59"/>
        <v>2.6525015162157883E-2</v>
      </c>
      <c r="E137" s="5">
        <f t="shared" ca="1" si="74"/>
        <v>0.53905146945851379</v>
      </c>
      <c r="F137" s="5">
        <f t="shared" ca="1" si="75"/>
        <v>9.8044369770772119E-2</v>
      </c>
      <c r="G137" s="5">
        <f t="shared" ca="1" si="60"/>
        <v>0.10672660669042733</v>
      </c>
      <c r="H137" s="5">
        <f t="shared" ca="1" si="76"/>
        <v>0.88402469176807907</v>
      </c>
      <c r="I137" s="5">
        <f t="shared" ca="1" si="77"/>
        <v>1.1953492207887579</v>
      </c>
      <c r="J137" s="5">
        <f t="shared" ca="1" si="61"/>
        <v>0.30473816802864584</v>
      </c>
      <c r="K137" s="5">
        <f t="shared" ca="1" si="78"/>
        <v>0.87810586087038001</v>
      </c>
      <c r="L137" s="5">
        <f t="shared" ca="1" si="79"/>
        <v>1.1655701601947752</v>
      </c>
      <c r="M137" s="5">
        <f t="shared" ca="1" si="62"/>
        <v>0.29892308373390852</v>
      </c>
      <c r="N137" s="5">
        <f t="shared" ca="1" si="80"/>
        <v>0.62682239965898712</v>
      </c>
      <c r="O137" s="5">
        <f t="shared" ca="1" si="81"/>
        <v>0.32344903270551506</v>
      </c>
      <c r="P137" s="5">
        <f t="shared" ca="1" si="63"/>
        <v>0.14478558207401626</v>
      </c>
      <c r="Q137" s="5">
        <f t="shared" ca="1" si="82"/>
        <v>0.20569732142686847</v>
      </c>
      <c r="R137" s="5">
        <f t="shared" ca="1" si="83"/>
        <v>-0.82144183414515226</v>
      </c>
      <c r="S137" s="5">
        <f t="shared" ca="1" si="64"/>
        <v>-3.5857597766370208E-2</v>
      </c>
      <c r="T137" s="5">
        <f t="shared" ca="1" si="84"/>
        <v>0.81166360841013008</v>
      </c>
      <c r="U137" s="5">
        <f t="shared" ca="1" si="85"/>
        <v>0.88404340354506983</v>
      </c>
      <c r="V137" s="5">
        <f t="shared" ca="1" si="65"/>
        <v>0.24521288906521943</v>
      </c>
      <c r="W137" s="5">
        <f t="shared" ca="1" si="86"/>
        <v>0.61456228761852316</v>
      </c>
      <c r="X137" s="5">
        <f t="shared" ca="1" si="87"/>
        <v>0.29122999351105167</v>
      </c>
      <c r="Y137" s="5">
        <f t="shared" ca="1" si="66"/>
        <v>0.13926634592224096</v>
      </c>
      <c r="Z137" s="5">
        <f t="shared" ca="1" si="88"/>
        <v>2.1243760353255814E-2</v>
      </c>
      <c r="AA137" s="5">
        <f t="shared" ca="1" si="89"/>
        <v>-2.0287131011226727</v>
      </c>
      <c r="AB137" s="5">
        <f t="shared" ca="1" si="67"/>
        <v>-0.19555844690855939</v>
      </c>
      <c r="AC137" s="5">
        <f t="shared" ca="1" si="90"/>
        <v>0.13779743930449095</v>
      </c>
      <c r="AD137" s="5">
        <f t="shared" ca="1" si="91"/>
        <v>-1.09026851839474</v>
      </c>
      <c r="AE137" s="5">
        <f t="shared" ca="1" si="68"/>
        <v>-7.3962249380456035E-2</v>
      </c>
      <c r="AF137" s="5">
        <f t="shared" ca="1" si="93"/>
        <v>1.0265250151621579</v>
      </c>
      <c r="AG137" s="5">
        <f t="shared" ca="1" si="94"/>
        <v>1.1067266066904273</v>
      </c>
      <c r="AH137" s="5">
        <f t="shared" ca="1" si="95"/>
        <v>1.3047381680286458</v>
      </c>
      <c r="AI137" s="5">
        <f t="shared" ca="1" si="96"/>
        <v>1.2989230837339085</v>
      </c>
      <c r="AJ137" s="5">
        <f t="shared" ca="1" si="97"/>
        <v>1.1447855820740163</v>
      </c>
      <c r="AK137" s="5">
        <f t="shared" ca="1" si="98"/>
        <v>0.96414240223362979</v>
      </c>
      <c r="AL137" s="5">
        <f t="shared" ca="1" si="99"/>
        <v>1.2452128890652194</v>
      </c>
      <c r="AM137" s="5">
        <f t="shared" ca="1" si="100"/>
        <v>1.139266345922241</v>
      </c>
      <c r="AN137" s="5">
        <f t="shared" ca="1" si="101"/>
        <v>0.80444155309144061</v>
      </c>
      <c r="AO137" s="5">
        <f t="shared" ca="1" si="102"/>
        <v>0.92603775061954396</v>
      </c>
      <c r="AP137" s="5">
        <f t="shared" ca="1" si="103"/>
        <v>2.245815564403256</v>
      </c>
      <c r="AQ137" s="4">
        <f t="shared" ca="1" si="69"/>
        <v>22458.155644032558</v>
      </c>
      <c r="AR137">
        <f t="shared" ca="1" si="70"/>
        <v>0</v>
      </c>
      <c r="AS137">
        <f t="shared" ca="1" si="71"/>
        <v>0</v>
      </c>
    </row>
    <row r="138" spans="1:45" x14ac:dyDescent="0.25">
      <c r="A138" s="10">
        <f t="shared" si="92"/>
        <v>117</v>
      </c>
      <c r="B138" s="5">
        <f t="shared" ca="1" si="72"/>
        <v>9.3165341069492036E-2</v>
      </c>
      <c r="C138" s="5">
        <f t="shared" ca="1" si="73"/>
        <v>-1.3215120655998869</v>
      </c>
      <c r="D138" s="5">
        <f t="shared" ca="1" si="59"/>
        <v>-0.10553258944633903</v>
      </c>
      <c r="E138" s="5">
        <f t="shared" ca="1" si="74"/>
        <v>0.80291135573425498</v>
      </c>
      <c r="F138" s="5">
        <f t="shared" ca="1" si="75"/>
        <v>0.85206631162197799</v>
      </c>
      <c r="G138" s="5">
        <f t="shared" ca="1" si="60"/>
        <v>0.23925444745905255</v>
      </c>
      <c r="H138" s="5">
        <f t="shared" ca="1" si="76"/>
        <v>0.37004014320309386</v>
      </c>
      <c r="I138" s="5">
        <f t="shared" ca="1" si="77"/>
        <v>-0.33174702814434465</v>
      </c>
      <c r="J138" s="5">
        <f t="shared" ca="1" si="61"/>
        <v>3.7628629603330133E-2</v>
      </c>
      <c r="K138" s="5">
        <f t="shared" ca="1" si="78"/>
        <v>0.44505129624554629</v>
      </c>
      <c r="L138" s="5">
        <f t="shared" ca="1" si="79"/>
        <v>-0.13817439285894775</v>
      </c>
      <c r="M138" s="5">
        <f t="shared" ca="1" si="62"/>
        <v>6.8198773864796669E-2</v>
      </c>
      <c r="N138" s="5">
        <f t="shared" ca="1" si="80"/>
        <v>5.3089211887859422E-2</v>
      </c>
      <c r="O138" s="5">
        <f t="shared" ca="1" si="81"/>
        <v>-1.6156110940698465</v>
      </c>
      <c r="P138" s="5">
        <f t="shared" ca="1" si="63"/>
        <v>-0.14413417713002674</v>
      </c>
      <c r="Q138" s="5">
        <f t="shared" ca="1" si="82"/>
        <v>0.4315887073004927</v>
      </c>
      <c r="R138" s="5">
        <f t="shared" ca="1" si="83"/>
        <v>-0.17233087258109619</v>
      </c>
      <c r="S138" s="5">
        <f t="shared" ca="1" si="64"/>
        <v>6.273988357794158E-2</v>
      </c>
      <c r="T138" s="5">
        <f t="shared" ca="1" si="84"/>
        <v>0.80368615392859433</v>
      </c>
      <c r="U138" s="5">
        <f t="shared" ca="1" si="85"/>
        <v>0.8548617428118469</v>
      </c>
      <c r="V138" s="5">
        <f t="shared" ca="1" si="65"/>
        <v>0.23977419400030575</v>
      </c>
      <c r="W138" s="5">
        <f t="shared" ca="1" si="86"/>
        <v>0.84866003264774836</v>
      </c>
      <c r="X138" s="5">
        <f t="shared" ca="1" si="87"/>
        <v>1.0307033896843363</v>
      </c>
      <c r="Y138" s="5">
        <f t="shared" ca="1" si="66"/>
        <v>0.27290986063237854</v>
      </c>
      <c r="Z138" s="5">
        <f t="shared" ca="1" si="88"/>
        <v>0.25796826377474702</v>
      </c>
      <c r="AA138" s="5">
        <f t="shared" ca="1" si="89"/>
        <v>-0.64962183154201081</v>
      </c>
      <c r="AB138" s="5">
        <f t="shared" ca="1" si="67"/>
        <v>-1.0685771862589455E-2</v>
      </c>
      <c r="AC138" s="5">
        <f t="shared" ca="1" si="90"/>
        <v>0.11340002384948467</v>
      </c>
      <c r="AD138" s="5">
        <f t="shared" ca="1" si="91"/>
        <v>-1.2086429511299759</v>
      </c>
      <c r="AE138" s="5">
        <f t="shared" ca="1" si="68"/>
        <v>-9.0260007358375582E-2</v>
      </c>
      <c r="AF138" s="5">
        <f t="shared" ca="1" si="93"/>
        <v>0.89446741055366097</v>
      </c>
      <c r="AG138" s="5">
        <f t="shared" ca="1" si="94"/>
        <v>1.2392544474590526</v>
      </c>
      <c r="AH138" s="5">
        <f t="shared" ca="1" si="95"/>
        <v>1.0376286296033301</v>
      </c>
      <c r="AI138" s="5">
        <f t="shared" ca="1" si="96"/>
        <v>1.0681987738647967</v>
      </c>
      <c r="AJ138" s="5">
        <f t="shared" ca="1" si="97"/>
        <v>0.85586582286997326</v>
      </c>
      <c r="AK138" s="5">
        <f t="shared" ca="1" si="98"/>
        <v>1.0627398835779416</v>
      </c>
      <c r="AL138" s="5">
        <f t="shared" ca="1" si="99"/>
        <v>1.2397741940003058</v>
      </c>
      <c r="AM138" s="5">
        <f t="shared" ca="1" si="100"/>
        <v>1.2729098606323785</v>
      </c>
      <c r="AN138" s="5">
        <f t="shared" ca="1" si="101"/>
        <v>0.98931422813741055</v>
      </c>
      <c r="AO138" s="5">
        <f t="shared" ca="1" si="102"/>
        <v>0.90973999264162442</v>
      </c>
      <c r="AP138" s="5">
        <f t="shared" ca="1" si="103"/>
        <v>1.5872432100135947</v>
      </c>
      <c r="AQ138" s="4">
        <f t="shared" ca="1" si="69"/>
        <v>15872.432100135948</v>
      </c>
      <c r="AR138">
        <f t="shared" ca="1" si="70"/>
        <v>0</v>
      </c>
      <c r="AS138">
        <f t="shared" ca="1" si="71"/>
        <v>0</v>
      </c>
    </row>
    <row r="139" spans="1:45" x14ac:dyDescent="0.25">
      <c r="A139" s="10">
        <f t="shared" si="92"/>
        <v>118</v>
      </c>
      <c r="B139" s="5">
        <f t="shared" ca="1" si="72"/>
        <v>0.19024990516256979</v>
      </c>
      <c r="C139" s="5">
        <f t="shared" ca="1" si="73"/>
        <v>-0.876975749003719</v>
      </c>
      <c r="D139" s="5">
        <f t="shared" ca="1" si="59"/>
        <v>-4.3855629677406416E-2</v>
      </c>
      <c r="E139" s="5">
        <f t="shared" ca="1" si="74"/>
        <v>0.15439396866968425</v>
      </c>
      <c r="F139" s="5">
        <f t="shared" ca="1" si="75"/>
        <v>-1.017768600515345</v>
      </c>
      <c r="G139" s="5">
        <f t="shared" ca="1" si="60"/>
        <v>-6.3836642114524333E-2</v>
      </c>
      <c r="H139" s="5">
        <f t="shared" ca="1" si="76"/>
        <v>0.5695231546669175</v>
      </c>
      <c r="I139" s="5">
        <f t="shared" ca="1" si="77"/>
        <v>0.17516028390645508</v>
      </c>
      <c r="J139" s="5">
        <f t="shared" ca="1" si="61"/>
        <v>0.11960287057613295</v>
      </c>
      <c r="K139" s="5">
        <f t="shared" ca="1" si="78"/>
        <v>0.6443626508624013</v>
      </c>
      <c r="L139" s="5">
        <f t="shared" ca="1" si="79"/>
        <v>0.37014467252099381</v>
      </c>
      <c r="M139" s="5">
        <f t="shared" ca="1" si="62"/>
        <v>0.15283220411952159</v>
      </c>
      <c r="N139" s="5">
        <f t="shared" ca="1" si="80"/>
        <v>0.4165916730787772</v>
      </c>
      <c r="O139" s="5">
        <f t="shared" ca="1" si="81"/>
        <v>-0.21062058750832763</v>
      </c>
      <c r="P139" s="5">
        <f t="shared" ca="1" si="63"/>
        <v>5.6653577450726411E-2</v>
      </c>
      <c r="Q139" s="5">
        <f t="shared" ca="1" si="82"/>
        <v>0.21172568498272148</v>
      </c>
      <c r="R139" s="5">
        <f t="shared" ca="1" si="83"/>
        <v>-0.80044784475689656</v>
      </c>
      <c r="S139" s="5">
        <f t="shared" ca="1" si="64"/>
        <v>-3.2816632826313308E-2</v>
      </c>
      <c r="T139" s="5">
        <f t="shared" ca="1" si="84"/>
        <v>0.53583034056128598</v>
      </c>
      <c r="U139" s="5">
        <f t="shared" ca="1" si="85"/>
        <v>8.9934432441345233E-2</v>
      </c>
      <c r="V139" s="5">
        <f t="shared" ca="1" si="65"/>
        <v>0.1053811027396494</v>
      </c>
      <c r="W139" s="5">
        <f t="shared" ca="1" si="86"/>
        <v>0.4029987314476009</v>
      </c>
      <c r="X139" s="5">
        <f t="shared" ca="1" si="87"/>
        <v>-0.2455928005665344</v>
      </c>
      <c r="Y139" s="5">
        <f t="shared" ca="1" si="66"/>
        <v>5.1125063849638552E-2</v>
      </c>
      <c r="Z139" s="5">
        <f t="shared" ca="1" si="88"/>
        <v>0.96715120487030415</v>
      </c>
      <c r="AA139" s="5">
        <f t="shared" ca="1" si="89"/>
        <v>1.8404814155086013</v>
      </c>
      <c r="AB139" s="5">
        <f t="shared" ca="1" si="67"/>
        <v>0.43730842080782661</v>
      </c>
      <c r="AC139" s="5">
        <f t="shared" ca="1" si="90"/>
        <v>0.95472310925943382</v>
      </c>
      <c r="AD139" s="5">
        <f t="shared" ca="1" si="91"/>
        <v>1.6924837206204795</v>
      </c>
      <c r="AE139" s="5">
        <f t="shared" ca="1" si="68"/>
        <v>0.40575223500777535</v>
      </c>
      <c r="AF139" s="5">
        <f t="shared" ca="1" si="93"/>
        <v>0.95614437032259358</v>
      </c>
      <c r="AG139" s="5">
        <f t="shared" ca="1" si="94"/>
        <v>0.93616335788547567</v>
      </c>
      <c r="AH139" s="5">
        <f t="shared" ca="1" si="95"/>
        <v>1.1196028705761329</v>
      </c>
      <c r="AI139" s="5">
        <f t="shared" ca="1" si="96"/>
        <v>1.1528322041195216</v>
      </c>
      <c r="AJ139" s="5">
        <f t="shared" ca="1" si="97"/>
        <v>1.0566535774507264</v>
      </c>
      <c r="AK139" s="5">
        <f t="shared" ca="1" si="98"/>
        <v>0.96718336717368669</v>
      </c>
      <c r="AL139" s="5">
        <f t="shared" ca="1" si="99"/>
        <v>1.1053811027396494</v>
      </c>
      <c r="AM139" s="5">
        <f t="shared" ca="1" si="100"/>
        <v>1.0511250638496386</v>
      </c>
      <c r="AN139" s="5">
        <f t="shared" ca="1" si="101"/>
        <v>1.4373084208078266</v>
      </c>
      <c r="AO139" s="5">
        <f t="shared" ca="1" si="102"/>
        <v>1.4057522350077754</v>
      </c>
      <c r="AP139" s="5">
        <f t="shared" ca="1" si="103"/>
        <v>2.7718635102727793</v>
      </c>
      <c r="AQ139" s="4">
        <f t="shared" ca="1" si="69"/>
        <v>27718.635102727792</v>
      </c>
      <c r="AR139">
        <f t="shared" ca="1" si="70"/>
        <v>1</v>
      </c>
      <c r="AS139">
        <f t="shared" ca="1" si="71"/>
        <v>0</v>
      </c>
    </row>
    <row r="140" spans="1:45" x14ac:dyDescent="0.25">
      <c r="A140" s="10">
        <f t="shared" si="92"/>
        <v>119</v>
      </c>
      <c r="B140" s="5">
        <f t="shared" ca="1" si="72"/>
        <v>0.44136199751724237</v>
      </c>
      <c r="C140" s="5">
        <f t="shared" ca="1" si="73"/>
        <v>-0.14751695872786896</v>
      </c>
      <c r="D140" s="5">
        <f t="shared" ca="1" si="59"/>
        <v>6.6702864670985518E-2</v>
      </c>
      <c r="E140" s="5">
        <f t="shared" ca="1" si="74"/>
        <v>9.3754207211350971E-2</v>
      </c>
      <c r="F140" s="5">
        <f t="shared" ca="1" si="75"/>
        <v>-1.3179857613716304</v>
      </c>
      <c r="G140" s="5">
        <f t="shared" ca="1" si="60"/>
        <v>-0.10505933966388892</v>
      </c>
      <c r="H140" s="5">
        <f t="shared" ca="1" si="76"/>
        <v>9.2573067057176939E-2</v>
      </c>
      <c r="I140" s="5">
        <f t="shared" ca="1" si="77"/>
        <v>-1.3250754309285548</v>
      </c>
      <c r="J140" s="5">
        <f t="shared" ca="1" si="61"/>
        <v>-0.10601055882025601</v>
      </c>
      <c r="K140" s="5">
        <f t="shared" ca="1" si="78"/>
        <v>0.89292409623913194</v>
      </c>
      <c r="L140" s="5">
        <f t="shared" ca="1" si="79"/>
        <v>1.2422297461928629</v>
      </c>
      <c r="M140" s="5">
        <f t="shared" ca="1" si="62"/>
        <v>0.31394552514181573</v>
      </c>
      <c r="N140" s="5">
        <f t="shared" ca="1" si="80"/>
        <v>0.59593536628562804</v>
      </c>
      <c r="O140" s="5">
        <f t="shared" ca="1" si="81"/>
        <v>0.24284010315703855</v>
      </c>
      <c r="P140" s="5">
        <f t="shared" ca="1" si="63"/>
        <v>0.13102693886287464</v>
      </c>
      <c r="Q140" s="5">
        <f t="shared" ca="1" si="82"/>
        <v>0.4174504305714013</v>
      </c>
      <c r="R140" s="5">
        <f t="shared" ca="1" si="83"/>
        <v>-0.20842023095577403</v>
      </c>
      <c r="S140" s="5">
        <f t="shared" ca="1" si="64"/>
        <v>5.7002387203935356E-2</v>
      </c>
      <c r="T140" s="5">
        <f t="shared" ca="1" si="84"/>
        <v>0.5813721909140559</v>
      </c>
      <c r="U140" s="5">
        <f t="shared" ca="1" si="85"/>
        <v>0.20540512282765197</v>
      </c>
      <c r="V140" s="5">
        <f t="shared" ca="1" si="65"/>
        <v>0.12469374105776398</v>
      </c>
      <c r="W140" s="5">
        <f t="shared" ca="1" si="86"/>
        <v>0.52660633215243047</v>
      </c>
      <c r="X140" s="5">
        <f t="shared" ca="1" si="87"/>
        <v>6.6741701014343346E-2</v>
      </c>
      <c r="Y140" s="5">
        <f t="shared" ca="1" si="66"/>
        <v>0.10154226304368441</v>
      </c>
      <c r="Z140" s="5">
        <f t="shared" ca="1" si="88"/>
        <v>0.80197472046249385</v>
      </c>
      <c r="AA140" s="5">
        <f t="shared" ca="1" si="89"/>
        <v>0.84869584455717439</v>
      </c>
      <c r="AB140" s="5">
        <f t="shared" ca="1" si="67"/>
        <v>0.23862807586474566</v>
      </c>
      <c r="AC140" s="5">
        <f t="shared" ca="1" si="90"/>
        <v>8.9094732730435999E-2</v>
      </c>
      <c r="AD140" s="5">
        <f t="shared" ca="1" si="91"/>
        <v>-1.3463506278671575</v>
      </c>
      <c r="AE140" s="5">
        <f t="shared" ca="1" si="68"/>
        <v>-0.10885898155954588</v>
      </c>
      <c r="AF140" s="5">
        <f t="shared" ca="1" si="93"/>
        <v>1.0667028646709855</v>
      </c>
      <c r="AG140" s="5">
        <f t="shared" ca="1" si="94"/>
        <v>0.89494066033611108</v>
      </c>
      <c r="AH140" s="5">
        <f t="shared" ca="1" si="95"/>
        <v>0.89398944117974399</v>
      </c>
      <c r="AI140" s="5">
        <f t="shared" ca="1" si="96"/>
        <v>1.3139455251418157</v>
      </c>
      <c r="AJ140" s="5">
        <f t="shared" ca="1" si="97"/>
        <v>1.1310269388628746</v>
      </c>
      <c r="AK140" s="5">
        <f t="shared" ca="1" si="98"/>
        <v>1.0570023872039354</v>
      </c>
      <c r="AL140" s="5">
        <f t="shared" ca="1" si="99"/>
        <v>1.124693741057764</v>
      </c>
      <c r="AM140" s="5">
        <f t="shared" ca="1" si="100"/>
        <v>1.1015422630436844</v>
      </c>
      <c r="AN140" s="5">
        <f t="shared" ca="1" si="101"/>
        <v>1.2386280758647457</v>
      </c>
      <c r="AO140" s="5">
        <f t="shared" ca="1" si="102"/>
        <v>0.89114101844045412</v>
      </c>
      <c r="AP140" s="5">
        <f t="shared" ca="1" si="103"/>
        <v>1.8332393272032763</v>
      </c>
      <c r="AQ140" s="4">
        <f t="shared" ca="1" si="69"/>
        <v>18332.393272032765</v>
      </c>
      <c r="AR140">
        <f t="shared" ca="1" si="70"/>
        <v>0</v>
      </c>
      <c r="AS140">
        <f t="shared" ca="1" si="71"/>
        <v>0</v>
      </c>
    </row>
    <row r="141" spans="1:45" x14ac:dyDescent="0.25">
      <c r="A141" s="10">
        <f t="shared" si="92"/>
        <v>120</v>
      </c>
      <c r="B141" s="5">
        <f t="shared" ca="1" si="72"/>
        <v>0.49421432305613899</v>
      </c>
      <c r="C141" s="5">
        <f t="shared" ca="1" si="73"/>
        <v>-1.4503049824168756E-2</v>
      </c>
      <c r="D141" s="5">
        <f t="shared" ca="1" si="59"/>
        <v>8.8199551070459181E-2</v>
      </c>
      <c r="E141" s="5">
        <f t="shared" ca="1" si="74"/>
        <v>0.68999694915425613</v>
      </c>
      <c r="F141" s="5">
        <f t="shared" ca="1" si="75"/>
        <v>0.49584169968525815</v>
      </c>
      <c r="G141" s="5">
        <f t="shared" ca="1" si="60"/>
        <v>0.17477454777608648</v>
      </c>
      <c r="H141" s="5">
        <f t="shared" ca="1" si="76"/>
        <v>0.69086317058559299</v>
      </c>
      <c r="I141" s="5">
        <f t="shared" ca="1" si="77"/>
        <v>0.49829850869666392</v>
      </c>
      <c r="J141" s="5">
        <f t="shared" ca="1" si="61"/>
        <v>0.17520755706207169</v>
      </c>
      <c r="K141" s="5">
        <f t="shared" ca="1" si="78"/>
        <v>0.79345601177799308</v>
      </c>
      <c r="L141" s="5">
        <f t="shared" ca="1" si="79"/>
        <v>0.81847155751697365</v>
      </c>
      <c r="M141" s="5">
        <f t="shared" ca="1" si="62"/>
        <v>0.23302528840542736</v>
      </c>
      <c r="N141" s="5">
        <f t="shared" ca="1" si="80"/>
        <v>0.96699912661841758</v>
      </c>
      <c r="O141" s="5">
        <f t="shared" ca="1" si="81"/>
        <v>1.8384118059940942</v>
      </c>
      <c r="P141" s="5">
        <f t="shared" ca="1" si="63"/>
        <v>0.43686228998270682</v>
      </c>
      <c r="Q141" s="5">
        <f t="shared" ca="1" si="82"/>
        <v>0.33192503678534957</v>
      </c>
      <c r="R141" s="5">
        <f t="shared" ca="1" si="83"/>
        <v>-0.4346037486581612</v>
      </c>
      <c r="S141" s="5">
        <f t="shared" ca="1" si="64"/>
        <v>2.1742433191743959E-2</v>
      </c>
      <c r="T141" s="5">
        <f t="shared" ca="1" si="84"/>
        <v>0.46631425297333029</v>
      </c>
      <c r="U141" s="5">
        <f t="shared" ca="1" si="85"/>
        <v>-8.4538233174886651E-2</v>
      </c>
      <c r="V141" s="5">
        <f t="shared" ca="1" si="65"/>
        <v>7.6827550404745093E-2</v>
      </c>
      <c r="W141" s="5">
        <f t="shared" ca="1" si="86"/>
        <v>0.45671753538523985</v>
      </c>
      <c r="X141" s="5">
        <f t="shared" ca="1" si="87"/>
        <v>-0.10870677154746589</v>
      </c>
      <c r="Y141" s="5">
        <f t="shared" ca="1" si="66"/>
        <v>7.2930815855028364E-2</v>
      </c>
      <c r="Z141" s="5">
        <f t="shared" ca="1" si="88"/>
        <v>0.80277442784472164</v>
      </c>
      <c r="AA141" s="5">
        <f t="shared" ca="1" si="89"/>
        <v>0.85157297520834196</v>
      </c>
      <c r="AB141" s="5">
        <f t="shared" ca="1" si="67"/>
        <v>0.23916274545038618</v>
      </c>
      <c r="AC141" s="5">
        <f t="shared" ca="1" si="90"/>
        <v>0.44290638174972197</v>
      </c>
      <c r="AD141" s="5">
        <f t="shared" ca="1" si="91"/>
        <v>-0.14360452976793539</v>
      </c>
      <c r="AE141" s="5">
        <f t="shared" ca="1" si="68"/>
        <v>6.7329058275270137E-2</v>
      </c>
      <c r="AF141" s="5">
        <f t="shared" ca="1" si="93"/>
        <v>1.0881995510704592</v>
      </c>
      <c r="AG141" s="5">
        <f t="shared" ca="1" si="94"/>
        <v>1.1747745477760865</v>
      </c>
      <c r="AH141" s="5">
        <f t="shared" ca="1" si="95"/>
        <v>1.1752075570620717</v>
      </c>
      <c r="AI141" s="5">
        <f t="shared" ca="1" si="96"/>
        <v>1.2330252884054274</v>
      </c>
      <c r="AJ141" s="5">
        <f t="shared" ca="1" si="97"/>
        <v>1.4368622899827068</v>
      </c>
      <c r="AK141" s="5">
        <f t="shared" ca="1" si="98"/>
        <v>1.021742433191744</v>
      </c>
      <c r="AL141" s="5">
        <f t="shared" ca="1" si="99"/>
        <v>1.0768275504047451</v>
      </c>
      <c r="AM141" s="5">
        <f t="shared" ca="1" si="100"/>
        <v>1.0729308158550284</v>
      </c>
      <c r="AN141" s="5">
        <f t="shared" ca="1" si="101"/>
        <v>1.2391627454503862</v>
      </c>
      <c r="AO141" s="5">
        <f t="shared" ca="1" si="102"/>
        <v>1.0673290582752701</v>
      </c>
      <c r="AP141" s="5">
        <f t="shared" ca="1" si="103"/>
        <v>4.1557629438759847</v>
      </c>
      <c r="AQ141" s="4">
        <f t="shared" ca="1" si="69"/>
        <v>41557.629438759846</v>
      </c>
      <c r="AR141">
        <f t="shared" ca="1" si="70"/>
        <v>1</v>
      </c>
      <c r="AS141">
        <f t="shared" ca="1" si="71"/>
        <v>0</v>
      </c>
    </row>
    <row r="142" spans="1:45" x14ac:dyDescent="0.25">
      <c r="A142" s="10">
        <f t="shared" si="92"/>
        <v>121</v>
      </c>
      <c r="B142" s="5">
        <f t="shared" ca="1" si="72"/>
        <v>0.58658830138371532</v>
      </c>
      <c r="C142" s="5">
        <f t="shared" ca="1" si="73"/>
        <v>0.21877747107663961</v>
      </c>
      <c r="D142" s="5">
        <f t="shared" ca="1" si="59"/>
        <v>0.12695197459884056</v>
      </c>
      <c r="E142" s="5">
        <f t="shared" ca="1" si="74"/>
        <v>0.66040268273886638</v>
      </c>
      <c r="F142" s="5">
        <f t="shared" ca="1" si="75"/>
        <v>0.41356237277626062</v>
      </c>
      <c r="G142" s="5">
        <f t="shared" ca="1" si="60"/>
        <v>0.16036470424540439</v>
      </c>
      <c r="H142" s="5">
        <f t="shared" ca="1" si="76"/>
        <v>0.957480984652191</v>
      </c>
      <c r="I142" s="5">
        <f t="shared" ca="1" si="77"/>
        <v>1.7221738483150373</v>
      </c>
      <c r="J142" s="5">
        <f t="shared" ca="1" si="61"/>
        <v>0.41202674095801362</v>
      </c>
      <c r="K142" s="5">
        <f t="shared" ca="1" si="78"/>
        <v>0.44299660301335275</v>
      </c>
      <c r="L142" s="5">
        <f t="shared" ca="1" si="79"/>
        <v>-0.14337603840648838</v>
      </c>
      <c r="M142" s="5">
        <f t="shared" ca="1" si="62"/>
        <v>6.7365640222611489E-2</v>
      </c>
      <c r="N142" s="5">
        <f t="shared" ca="1" si="80"/>
        <v>0.54975021941394331</v>
      </c>
      <c r="O142" s="5">
        <f t="shared" ca="1" si="81"/>
        <v>0.1250303018306341</v>
      </c>
      <c r="P142" s="5">
        <f t="shared" ca="1" si="63"/>
        <v>0.11121559337521303</v>
      </c>
      <c r="Q142" s="5">
        <f t="shared" ca="1" si="82"/>
        <v>0.81077148469015337</v>
      </c>
      <c r="R142" s="5">
        <f t="shared" ca="1" si="83"/>
        <v>0.88074282759884803</v>
      </c>
      <c r="S142" s="5">
        <f t="shared" ca="1" si="64"/>
        <v>0.24459655369100086</v>
      </c>
      <c r="T142" s="5">
        <f t="shared" ca="1" si="84"/>
        <v>0.88543048993673668</v>
      </c>
      <c r="U142" s="5">
        <f t="shared" ca="1" si="85"/>
        <v>1.2025796665002728</v>
      </c>
      <c r="V142" s="5">
        <f t="shared" ca="1" si="65"/>
        <v>0.30615401145203602</v>
      </c>
      <c r="W142" s="5">
        <f t="shared" ca="1" si="86"/>
        <v>0.48176258231449787</v>
      </c>
      <c r="X142" s="5">
        <f t="shared" ca="1" si="87"/>
        <v>-4.5730360885495487E-2</v>
      </c>
      <c r="Y142" s="5">
        <f t="shared" ca="1" si="66"/>
        <v>8.3114238534444329E-2</v>
      </c>
      <c r="Z142" s="5">
        <f t="shared" ca="1" si="88"/>
        <v>0.1231689277435114</v>
      </c>
      <c r="AA142" s="5">
        <f t="shared" ca="1" si="89"/>
        <v>-1.159290346116832</v>
      </c>
      <c r="AB142" s="5">
        <f t="shared" ca="1" si="67"/>
        <v>-8.3500311807129579E-2</v>
      </c>
      <c r="AC142" s="5">
        <f t="shared" ca="1" si="90"/>
        <v>0.38933380032832732</v>
      </c>
      <c r="AD142" s="5">
        <f t="shared" ca="1" si="91"/>
        <v>-0.28105580137554886</v>
      </c>
      <c r="AE142" s="5">
        <f t="shared" ca="1" si="68"/>
        <v>4.5548501772877836E-2</v>
      </c>
      <c r="AF142" s="5">
        <f t="shared" ca="1" si="93"/>
        <v>1.1269519745988406</v>
      </c>
      <c r="AG142" s="5">
        <f t="shared" ca="1" si="94"/>
        <v>1.1603647042454044</v>
      </c>
      <c r="AH142" s="5">
        <f t="shared" ca="1" si="95"/>
        <v>1.4120267409580136</v>
      </c>
      <c r="AI142" s="5">
        <f t="shared" ca="1" si="96"/>
        <v>1.0673656402226115</v>
      </c>
      <c r="AJ142" s="5">
        <f t="shared" ca="1" si="97"/>
        <v>1.111215593375213</v>
      </c>
      <c r="AK142" s="5">
        <f t="shared" ca="1" si="98"/>
        <v>1.2445965536910009</v>
      </c>
      <c r="AL142" s="5">
        <f t="shared" ca="1" si="99"/>
        <v>1.306154011452036</v>
      </c>
      <c r="AM142" s="5">
        <f t="shared" ca="1" si="100"/>
        <v>1.0831142385344443</v>
      </c>
      <c r="AN142" s="5">
        <f t="shared" ca="1" si="101"/>
        <v>0.91649968819287042</v>
      </c>
      <c r="AO142" s="5">
        <f t="shared" ca="1" si="102"/>
        <v>1.0455485017728778</v>
      </c>
      <c r="AP142" s="5">
        <f t="shared" ca="1" si="103"/>
        <v>3.6951165303017879</v>
      </c>
      <c r="AQ142" s="4">
        <f t="shared" ca="1" si="69"/>
        <v>36951.165303017879</v>
      </c>
      <c r="AR142">
        <f t="shared" ca="1" si="70"/>
        <v>1</v>
      </c>
      <c r="AS142">
        <f t="shared" ca="1" si="71"/>
        <v>0</v>
      </c>
    </row>
    <row r="143" spans="1:45" x14ac:dyDescent="0.25">
      <c r="A143" s="10">
        <f t="shared" si="92"/>
        <v>122</v>
      </c>
      <c r="B143" s="5">
        <f t="shared" ca="1" si="72"/>
        <v>0.52421818361899575</v>
      </c>
      <c r="C143" s="5">
        <f t="shared" ca="1" si="73"/>
        <v>6.0743317770350982E-2</v>
      </c>
      <c r="D143" s="5">
        <f t="shared" ca="1" si="59"/>
        <v>0.10055158789623064</v>
      </c>
      <c r="E143" s="5">
        <f t="shared" ca="1" si="74"/>
        <v>0.40053091888890879</v>
      </c>
      <c r="F143" s="5">
        <f t="shared" ca="1" si="75"/>
        <v>-0.25197312380263887</v>
      </c>
      <c r="G143" s="5">
        <f t="shared" ca="1" si="60"/>
        <v>5.0119567430459533E-2</v>
      </c>
      <c r="H143" s="5">
        <f t="shared" ca="1" si="76"/>
        <v>4.2929887912162568E-2</v>
      </c>
      <c r="I143" s="5">
        <f t="shared" ca="1" si="77"/>
        <v>-1.7176538279622224</v>
      </c>
      <c r="J143" s="5">
        <f t="shared" ca="1" si="61"/>
        <v>-0.15713466120287922</v>
      </c>
      <c r="K143" s="5">
        <f t="shared" ca="1" si="78"/>
        <v>0.55285426950891359</v>
      </c>
      <c r="L143" s="5">
        <f t="shared" ca="1" si="79"/>
        <v>0.13287598332927869</v>
      </c>
      <c r="M143" s="5">
        <f t="shared" ca="1" si="62"/>
        <v>0.11252409972678956</v>
      </c>
      <c r="N143" s="5">
        <f t="shared" ca="1" si="80"/>
        <v>0.54285822877048728</v>
      </c>
      <c r="O143" s="5">
        <f t="shared" ca="1" si="81"/>
        <v>0.10763713017764996</v>
      </c>
      <c r="P143" s="5">
        <f t="shared" ca="1" si="63"/>
        <v>0.1083202374403951</v>
      </c>
      <c r="Q143" s="5">
        <f t="shared" ca="1" si="82"/>
        <v>0.64319128823957739</v>
      </c>
      <c r="R143" s="5">
        <f t="shared" ca="1" si="83"/>
        <v>0.36700213760509465</v>
      </c>
      <c r="S143" s="5">
        <f t="shared" ca="1" si="64"/>
        <v>0.15228890986062704</v>
      </c>
      <c r="T143" s="5">
        <f t="shared" ca="1" si="84"/>
        <v>0.20650403493040348</v>
      </c>
      <c r="U143" s="5">
        <f t="shared" ca="1" si="85"/>
        <v>-0.81861155924096607</v>
      </c>
      <c r="V143" s="5">
        <f t="shared" ca="1" si="65"/>
        <v>-3.5448192661079125E-2</v>
      </c>
      <c r="W143" s="5">
        <f t="shared" ca="1" si="86"/>
        <v>0.34585338310728841</v>
      </c>
      <c r="X143" s="5">
        <f t="shared" ca="1" si="87"/>
        <v>-0.39653991752839896</v>
      </c>
      <c r="Y143" s="5">
        <f t="shared" ca="1" si="66"/>
        <v>2.7592833662970717E-2</v>
      </c>
      <c r="Z143" s="5">
        <f t="shared" ca="1" si="88"/>
        <v>0.72741766113066852</v>
      </c>
      <c r="AA143" s="5">
        <f t="shared" ca="1" si="89"/>
        <v>0.60502155041149575</v>
      </c>
      <c r="AB143" s="5">
        <f t="shared" ca="1" si="67"/>
        <v>0.19417220822145786</v>
      </c>
      <c r="AC143" s="5">
        <f t="shared" ca="1" si="90"/>
        <v>0.64682463382703959</v>
      </c>
      <c r="AD143" s="5">
        <f t="shared" ca="1" si="91"/>
        <v>0.37676166425638524</v>
      </c>
      <c r="AE143" s="5">
        <f t="shared" ca="1" si="68"/>
        <v>0.15397701434056277</v>
      </c>
      <c r="AF143" s="5">
        <f t="shared" ca="1" si="93"/>
        <v>1.1005515878962306</v>
      </c>
      <c r="AG143" s="5">
        <f t="shared" ca="1" si="94"/>
        <v>1.0501195674304595</v>
      </c>
      <c r="AH143" s="5">
        <f t="shared" ca="1" si="95"/>
        <v>0.84286533879712078</v>
      </c>
      <c r="AI143" s="5">
        <f t="shared" ca="1" si="96"/>
        <v>1.1125240997267896</v>
      </c>
      <c r="AJ143" s="5">
        <f t="shared" ca="1" si="97"/>
        <v>1.1083202374403951</v>
      </c>
      <c r="AK143" s="5">
        <f t="shared" ca="1" si="98"/>
        <v>1.152288909860627</v>
      </c>
      <c r="AL143" s="5">
        <f t="shared" ca="1" si="99"/>
        <v>0.96455180733892087</v>
      </c>
      <c r="AM143" s="5">
        <f t="shared" ca="1" si="100"/>
        <v>1.0275928336629707</v>
      </c>
      <c r="AN143" s="5">
        <f t="shared" ca="1" si="101"/>
        <v>1.1941722082214579</v>
      </c>
      <c r="AO143" s="5">
        <f t="shared" ca="1" si="102"/>
        <v>1.1539770143405628</v>
      </c>
      <c r="AP143" s="5">
        <f t="shared" ca="1" si="103"/>
        <v>1.8904019969474832</v>
      </c>
      <c r="AQ143" s="4">
        <f t="shared" ca="1" si="69"/>
        <v>18904.019969474833</v>
      </c>
      <c r="AR143">
        <f t="shared" ca="1" si="70"/>
        <v>0</v>
      </c>
      <c r="AS143">
        <f t="shared" ca="1" si="71"/>
        <v>0</v>
      </c>
    </row>
    <row r="144" spans="1:45" x14ac:dyDescent="0.25">
      <c r="A144" s="10">
        <f t="shared" si="92"/>
        <v>123</v>
      </c>
      <c r="B144" s="5">
        <f t="shared" ca="1" si="72"/>
        <v>0.94276010723794323</v>
      </c>
      <c r="C144" s="5">
        <f t="shared" ca="1" si="73"/>
        <v>1.5783736913349349</v>
      </c>
      <c r="D144" s="5">
        <f t="shared" ca="1" si="59"/>
        <v>0.38189542574298407</v>
      </c>
      <c r="E144" s="5">
        <f t="shared" ca="1" si="74"/>
        <v>0.36937905048067743</v>
      </c>
      <c r="F144" s="5">
        <f t="shared" ca="1" si="75"/>
        <v>-0.33349839476271936</v>
      </c>
      <c r="G144" s="5">
        <f t="shared" ca="1" si="60"/>
        <v>3.7356075183977433E-2</v>
      </c>
      <c r="H144" s="5">
        <f t="shared" ca="1" si="76"/>
        <v>0.93821514485999991</v>
      </c>
      <c r="I144" s="5">
        <f t="shared" ca="1" si="77"/>
        <v>1.5399616148305397</v>
      </c>
      <c r="J144" s="5">
        <f t="shared" ca="1" si="61"/>
        <v>0.37395609923651074</v>
      </c>
      <c r="K144" s="5">
        <f t="shared" ca="1" si="78"/>
        <v>0.88688848403282894</v>
      </c>
      <c r="L144" s="5">
        <f t="shared" ca="1" si="79"/>
        <v>1.2101455900897775</v>
      </c>
      <c r="M144" s="5">
        <f t="shared" ca="1" si="62"/>
        <v>0.30763719213223739</v>
      </c>
      <c r="N144" s="5">
        <f t="shared" ca="1" si="80"/>
        <v>0.93638820191024585</v>
      </c>
      <c r="O144" s="5">
        <f t="shared" ca="1" si="81"/>
        <v>1.5251423497049221</v>
      </c>
      <c r="P144" s="5">
        <f t="shared" ca="1" si="63"/>
        <v>0.37090533828953842</v>
      </c>
      <c r="Q144" s="5">
        <f t="shared" ca="1" si="82"/>
        <v>0.72722797374465487</v>
      </c>
      <c r="R144" s="5">
        <f t="shared" ca="1" si="83"/>
        <v>0.604450676248379</v>
      </c>
      <c r="S144" s="5">
        <f t="shared" ca="1" si="64"/>
        <v>0.19406995429058216</v>
      </c>
      <c r="T144" s="5">
        <f t="shared" ca="1" si="84"/>
        <v>0.71526253171692278</v>
      </c>
      <c r="U144" s="5">
        <f t="shared" ca="1" si="85"/>
        <v>0.56882495640894659</v>
      </c>
      <c r="V144" s="5">
        <f t="shared" ca="1" si="65"/>
        <v>0.18770603313140599</v>
      </c>
      <c r="W144" s="5">
        <f t="shared" ca="1" si="86"/>
        <v>0.99047255260074973</v>
      </c>
      <c r="X144" s="5">
        <f t="shared" ca="1" si="87"/>
        <v>2.3444552931402871</v>
      </c>
      <c r="Y144" s="5">
        <f t="shared" ca="1" si="66"/>
        <v>0.55017572267186599</v>
      </c>
      <c r="Z144" s="5">
        <f t="shared" ca="1" si="88"/>
        <v>0.73365409553776639</v>
      </c>
      <c r="AA144" s="5">
        <f t="shared" ca="1" si="89"/>
        <v>0.62390220987750122</v>
      </c>
      <c r="AB144" s="5">
        <f t="shared" ca="1" si="67"/>
        <v>0.19755901566565237</v>
      </c>
      <c r="AC144" s="5">
        <f t="shared" ca="1" si="90"/>
        <v>0.47781826865902932</v>
      </c>
      <c r="AD144" s="5">
        <f t="shared" ca="1" si="91"/>
        <v>-5.5630034696769186E-2</v>
      </c>
      <c r="AE144" s="5">
        <f t="shared" ca="1" si="68"/>
        <v>8.150706047089229E-2</v>
      </c>
      <c r="AF144" s="5">
        <f t="shared" ca="1" si="93"/>
        <v>1.3818954257429841</v>
      </c>
      <c r="AG144" s="5">
        <f t="shared" ca="1" si="94"/>
        <v>1.0373560751839774</v>
      </c>
      <c r="AH144" s="5">
        <f t="shared" ca="1" si="95"/>
        <v>1.3739560992365107</v>
      </c>
      <c r="AI144" s="5">
        <f t="shared" ca="1" si="96"/>
        <v>1.3076371921322374</v>
      </c>
      <c r="AJ144" s="5">
        <f t="shared" ca="1" si="97"/>
        <v>1.3709053382895384</v>
      </c>
      <c r="AK144" s="5">
        <f t="shared" ca="1" si="98"/>
        <v>1.1940699542905822</v>
      </c>
      <c r="AL144" s="5">
        <f t="shared" ca="1" si="99"/>
        <v>1.187706033131406</v>
      </c>
      <c r="AM144" s="5">
        <f t="shared" ca="1" si="100"/>
        <v>1.550175722671866</v>
      </c>
      <c r="AN144" s="5">
        <f t="shared" ca="1" si="101"/>
        <v>1.1975590156656524</v>
      </c>
      <c r="AO144" s="5">
        <f t="shared" ca="1" si="102"/>
        <v>1.0815070604708923</v>
      </c>
      <c r="AP144" s="5">
        <f t="shared" ca="1" si="103"/>
        <v>10.053483514714552</v>
      </c>
      <c r="AQ144" s="4">
        <f t="shared" ca="1" si="69"/>
        <v>100534.83514714552</v>
      </c>
      <c r="AR144">
        <f t="shared" ca="1" si="70"/>
        <v>1</v>
      </c>
      <c r="AS144">
        <f t="shared" ca="1" si="71"/>
        <v>0</v>
      </c>
    </row>
    <row r="145" spans="1:45" x14ac:dyDescent="0.25">
      <c r="A145" s="10">
        <f t="shared" si="92"/>
        <v>124</v>
      </c>
      <c r="B145" s="5">
        <f t="shared" ca="1" si="72"/>
        <v>0.5147826661482936</v>
      </c>
      <c r="C145" s="5">
        <f t="shared" ca="1" si="73"/>
        <v>3.7063132648332019E-2</v>
      </c>
      <c r="D145" s="5">
        <f t="shared" ca="1" si="59"/>
        <v>9.6649332657919418E-2</v>
      </c>
      <c r="E145" s="5">
        <f t="shared" ca="1" si="74"/>
        <v>0.40077397393857983</v>
      </c>
      <c r="F145" s="5">
        <f t="shared" ca="1" si="75"/>
        <v>-0.251344273925867</v>
      </c>
      <c r="G145" s="5">
        <f t="shared" ca="1" si="60"/>
        <v>5.0218627236503055E-2</v>
      </c>
      <c r="H145" s="5">
        <f t="shared" ca="1" si="76"/>
        <v>0.73347914414541793</v>
      </c>
      <c r="I145" s="5">
        <f t="shared" ca="1" si="77"/>
        <v>0.62336953696186592</v>
      </c>
      <c r="J145" s="5">
        <f t="shared" ca="1" si="61"/>
        <v>0.19746333340037658</v>
      </c>
      <c r="K145" s="5">
        <f t="shared" ca="1" si="78"/>
        <v>0.28078895934454762</v>
      </c>
      <c r="L145" s="5">
        <f t="shared" ca="1" si="79"/>
        <v>-0.58049935930259533</v>
      </c>
      <c r="M145" s="5">
        <f t="shared" ca="1" si="62"/>
        <v>-3.7483362770540651E-4</v>
      </c>
      <c r="N145" s="5">
        <f t="shared" ca="1" si="80"/>
        <v>0.13721166005381236</v>
      </c>
      <c r="O145" s="5">
        <f t="shared" ca="1" si="81"/>
        <v>-1.0929327673302831</v>
      </c>
      <c r="P145" s="5">
        <f t="shared" ca="1" si="63"/>
        <v>-7.4332254705263723E-2</v>
      </c>
      <c r="Q145" s="5">
        <f t="shared" ca="1" si="82"/>
        <v>0.65868474441063041</v>
      </c>
      <c r="R145" s="5">
        <f t="shared" ca="1" si="83"/>
        <v>0.40887620627533933</v>
      </c>
      <c r="S145" s="5">
        <f t="shared" ca="1" si="64"/>
        <v>0.15954934151750688</v>
      </c>
      <c r="T145" s="5">
        <f t="shared" ca="1" si="84"/>
        <v>0.8461104941839046</v>
      </c>
      <c r="U145" s="5">
        <f t="shared" ca="1" si="85"/>
        <v>1.0198934176971022</v>
      </c>
      <c r="V145" s="5">
        <f t="shared" ca="1" si="65"/>
        <v>0.27084751513616845</v>
      </c>
      <c r="W145" s="5">
        <f t="shared" ca="1" si="86"/>
        <v>0.23954169592539742</v>
      </c>
      <c r="X145" s="5">
        <f t="shared" ca="1" si="87"/>
        <v>-0.70777757909896688</v>
      </c>
      <c r="Y145" s="5">
        <f t="shared" ca="1" si="66"/>
        <v>-1.9278385409370768E-2</v>
      </c>
      <c r="Z145" s="5">
        <f t="shared" ca="1" si="88"/>
        <v>0.27425311912696515</v>
      </c>
      <c r="AA145" s="5">
        <f t="shared" ca="1" si="89"/>
        <v>-0.59999999586797759</v>
      </c>
      <c r="AB145" s="5">
        <f t="shared" ca="1" si="67"/>
        <v>-3.2945603668005363E-3</v>
      </c>
      <c r="AC145" s="5">
        <f t="shared" ca="1" si="90"/>
        <v>0.2718811893167995</v>
      </c>
      <c r="AD145" s="5">
        <f t="shared" ca="1" si="91"/>
        <v>-0.60713341137963528</v>
      </c>
      <c r="AE145" s="5">
        <f t="shared" ca="1" si="68"/>
        <v>-4.3604770996240605E-3</v>
      </c>
      <c r="AF145" s="5">
        <f t="shared" ca="1" si="93"/>
        <v>1.0966493326579194</v>
      </c>
      <c r="AG145" s="5">
        <f t="shared" ca="1" si="94"/>
        <v>1.0502186272365031</v>
      </c>
      <c r="AH145" s="5">
        <f t="shared" ca="1" si="95"/>
        <v>1.1974633334003766</v>
      </c>
      <c r="AI145" s="5">
        <f t="shared" ca="1" si="96"/>
        <v>0.99962516637229459</v>
      </c>
      <c r="AJ145" s="5">
        <f t="shared" ca="1" si="97"/>
        <v>0.92566774529473628</v>
      </c>
      <c r="AK145" s="5">
        <f t="shared" ca="1" si="98"/>
        <v>1.1595493415175069</v>
      </c>
      <c r="AL145" s="5">
        <f t="shared" ca="1" si="99"/>
        <v>1.2708475151361684</v>
      </c>
      <c r="AM145" s="5">
        <f t="shared" ca="1" si="100"/>
        <v>0.98072161459062923</v>
      </c>
      <c r="AN145" s="5">
        <f t="shared" ca="1" si="101"/>
        <v>0.99670543963319946</v>
      </c>
      <c r="AO145" s="5">
        <f t="shared" ca="1" si="102"/>
        <v>0.99563952290037594</v>
      </c>
      <c r="AP145" s="5">
        <f t="shared" ca="1" si="103"/>
        <v>1.8302036338702028</v>
      </c>
      <c r="AQ145" s="4">
        <f t="shared" ca="1" si="69"/>
        <v>18302.03633870203</v>
      </c>
      <c r="AR145">
        <f t="shared" ca="1" si="70"/>
        <v>0</v>
      </c>
      <c r="AS145">
        <f t="shared" ca="1" si="71"/>
        <v>0</v>
      </c>
    </row>
    <row r="146" spans="1:45" x14ac:dyDescent="0.25">
      <c r="A146" s="10">
        <f t="shared" si="92"/>
        <v>125</v>
      </c>
      <c r="B146" s="5">
        <f t="shared" ca="1" si="72"/>
        <v>0.162855076707632</v>
      </c>
      <c r="C146" s="5">
        <f t="shared" ca="1" si="73"/>
        <v>-0.98279132268549485</v>
      </c>
      <c r="D146" s="5">
        <f t="shared" ca="1" si="59"/>
        <v>-5.8912067916542243E-2</v>
      </c>
      <c r="E146" s="5">
        <f t="shared" ca="1" si="74"/>
        <v>0.21521373993684212</v>
      </c>
      <c r="F146" s="5">
        <f t="shared" ca="1" si="75"/>
        <v>-0.78846035409979154</v>
      </c>
      <c r="G146" s="5">
        <f t="shared" ca="1" si="60"/>
        <v>-3.1075953079997554E-2</v>
      </c>
      <c r="H146" s="5">
        <f t="shared" ca="1" si="76"/>
        <v>0.80535459916994534</v>
      </c>
      <c r="I146" s="5">
        <f t="shared" ca="1" si="77"/>
        <v>0.86090421200931189</v>
      </c>
      <c r="J146" s="5">
        <f t="shared" ca="1" si="61"/>
        <v>0.24089839800280699</v>
      </c>
      <c r="K146" s="5">
        <f t="shared" ca="1" si="78"/>
        <v>0.31970194506116967</v>
      </c>
      <c r="L146" s="5">
        <f t="shared" ca="1" si="79"/>
        <v>-0.46853242314380117</v>
      </c>
      <c r="M146" s="5">
        <f t="shared" ca="1" si="62"/>
        <v>1.6555687877806369E-2</v>
      </c>
      <c r="N146" s="5">
        <f t="shared" ca="1" si="80"/>
        <v>0.24133913395078832</v>
      </c>
      <c r="O146" s="5">
        <f t="shared" ca="1" si="81"/>
        <v>-0.70200143601543785</v>
      </c>
      <c r="P146" s="5">
        <f t="shared" ca="1" si="63"/>
        <v>-1.8428298940321053E-2</v>
      </c>
      <c r="Q146" s="5">
        <f t="shared" ca="1" si="82"/>
        <v>0.70650964696214502</v>
      </c>
      <c r="R146" s="5">
        <f t="shared" ca="1" si="83"/>
        <v>0.54321655995723395</v>
      </c>
      <c r="S146" s="5">
        <f t="shared" ca="1" si="64"/>
        <v>0.18315249734201378</v>
      </c>
      <c r="T146" s="5">
        <f t="shared" ca="1" si="84"/>
        <v>0.97843426741067241</v>
      </c>
      <c r="U146" s="5">
        <f t="shared" ca="1" si="85"/>
        <v>2.0224346816591461</v>
      </c>
      <c r="V146" s="5">
        <f t="shared" ca="1" si="65"/>
        <v>0.47707709949158139</v>
      </c>
      <c r="W146" s="5">
        <f t="shared" ca="1" si="86"/>
        <v>0.94699828209082493</v>
      </c>
      <c r="X146" s="5">
        <f t="shared" ca="1" si="87"/>
        <v>1.6164204687648618</v>
      </c>
      <c r="Y146" s="5">
        <f t="shared" ca="1" si="66"/>
        <v>0.38980447296264331</v>
      </c>
      <c r="Z146" s="5">
        <f t="shared" ca="1" si="88"/>
        <v>0.21969343949944742</v>
      </c>
      <c r="AA146" s="5">
        <f t="shared" ca="1" si="89"/>
        <v>-0.77322897849979322</v>
      </c>
      <c r="AB146" s="5">
        <f t="shared" ca="1" si="67"/>
        <v>-2.8859715404929265E-2</v>
      </c>
      <c r="AC146" s="5">
        <f t="shared" ca="1" si="90"/>
        <v>0.74383451264124623</v>
      </c>
      <c r="AD146" s="5">
        <f t="shared" ca="1" si="91"/>
        <v>0.65521245759641411</v>
      </c>
      <c r="AE146" s="5">
        <f t="shared" ca="1" si="68"/>
        <v>0.20319662433812713</v>
      </c>
      <c r="AF146" s="5">
        <f t="shared" ca="1" si="93"/>
        <v>0.94108793208345776</v>
      </c>
      <c r="AG146" s="5">
        <f t="shared" ca="1" si="94"/>
        <v>0.96892404692000245</v>
      </c>
      <c r="AH146" s="5">
        <f t="shared" ca="1" si="95"/>
        <v>1.240898398002807</v>
      </c>
      <c r="AI146" s="5">
        <f t="shared" ca="1" si="96"/>
        <v>1.0165556878778064</v>
      </c>
      <c r="AJ146" s="5">
        <f t="shared" ca="1" si="97"/>
        <v>0.98157170105967895</v>
      </c>
      <c r="AK146" s="5">
        <f t="shared" ca="1" si="98"/>
        <v>1.1831524973420138</v>
      </c>
      <c r="AL146" s="5">
        <f t="shared" ca="1" si="99"/>
        <v>1.4770770994915814</v>
      </c>
      <c r="AM146" s="5">
        <f t="shared" ca="1" si="100"/>
        <v>1.3898044729626433</v>
      </c>
      <c r="AN146" s="5">
        <f t="shared" ca="1" si="101"/>
        <v>0.97114028459507074</v>
      </c>
      <c r="AO146" s="5">
        <f t="shared" ca="1" si="102"/>
        <v>1.2031966243381271</v>
      </c>
      <c r="AP146" s="5">
        <f t="shared" ca="1" si="103"/>
        <v>3.2042436754691304</v>
      </c>
      <c r="AQ146" s="4">
        <f t="shared" ca="1" si="69"/>
        <v>32042.436754691305</v>
      </c>
      <c r="AR146">
        <f t="shared" ca="1" si="70"/>
        <v>1</v>
      </c>
      <c r="AS146">
        <f t="shared" ca="1" si="71"/>
        <v>0</v>
      </c>
    </row>
    <row r="147" spans="1:45" x14ac:dyDescent="0.25">
      <c r="A147" s="10">
        <f t="shared" si="92"/>
        <v>126</v>
      </c>
      <c r="B147" s="5">
        <f t="shared" ca="1" si="72"/>
        <v>0.72312817630862369</v>
      </c>
      <c r="C147" s="5">
        <f t="shared" ca="1" si="73"/>
        <v>0.59215970813886509</v>
      </c>
      <c r="D147" s="5">
        <f t="shared" ca="1" si="59"/>
        <v>0.1918705410231385</v>
      </c>
      <c r="E147" s="5">
        <f t="shared" ca="1" si="74"/>
        <v>0.59692368144796792</v>
      </c>
      <c r="F147" s="5">
        <f t="shared" ca="1" si="75"/>
        <v>0.24539236896025626</v>
      </c>
      <c r="G147" s="5">
        <f t="shared" ca="1" si="60"/>
        <v>0.13146002396549394</v>
      </c>
      <c r="H147" s="5">
        <f t="shared" ca="1" si="76"/>
        <v>0.13150867375552422</v>
      </c>
      <c r="I147" s="5">
        <f t="shared" ca="1" si="77"/>
        <v>-1.1192878734325726</v>
      </c>
      <c r="J147" s="5">
        <f t="shared" ca="1" si="61"/>
        <v>-7.7984441662105386E-2</v>
      </c>
      <c r="K147" s="5">
        <f t="shared" ca="1" si="78"/>
        <v>0.11031092555264543</v>
      </c>
      <c r="L147" s="5">
        <f t="shared" ca="1" si="79"/>
        <v>-1.2248762473240709</v>
      </c>
      <c r="M147" s="5">
        <f t="shared" ca="1" si="62"/>
        <v>-9.2472524345926677E-2</v>
      </c>
      <c r="N147" s="5">
        <f t="shared" ca="1" si="80"/>
        <v>0.83709638708407674</v>
      </c>
      <c r="O147" s="5">
        <f t="shared" ca="1" si="81"/>
        <v>0.98259414779157128</v>
      </c>
      <c r="P147" s="5">
        <f t="shared" ca="1" si="63"/>
        <v>0.26375711596399642</v>
      </c>
      <c r="Q147" s="5">
        <f t="shared" ca="1" si="82"/>
        <v>0.84809084637744758</v>
      </c>
      <c r="R147" s="5">
        <f t="shared" ca="1" si="83"/>
        <v>1.0282796361832809</v>
      </c>
      <c r="S147" s="5">
        <f t="shared" ca="1" si="64"/>
        <v>0.27244716178788564</v>
      </c>
      <c r="T147" s="5">
        <f t="shared" ca="1" si="84"/>
        <v>0.1926366695865811</v>
      </c>
      <c r="U147" s="5">
        <f t="shared" ca="1" si="85"/>
        <v>-0.8682210382737976</v>
      </c>
      <c r="V147" s="5">
        <f t="shared" ca="1" si="65"/>
        <v>-4.2599189768639634E-2</v>
      </c>
      <c r="W147" s="5">
        <f t="shared" ca="1" si="86"/>
        <v>0.70349338381282067</v>
      </c>
      <c r="X147" s="5">
        <f t="shared" ca="1" si="87"/>
        <v>0.53447457947023924</v>
      </c>
      <c r="Y147" s="5">
        <f t="shared" ca="1" si="66"/>
        <v>0.18160204970616811</v>
      </c>
      <c r="Z147" s="5">
        <f t="shared" ca="1" si="88"/>
        <v>0.47100153806159362</v>
      </c>
      <c r="AA147" s="5">
        <f t="shared" ca="1" si="89"/>
        <v>-7.2752492610266215E-2</v>
      </c>
      <c r="AB147" s="5">
        <f t="shared" ca="1" si="67"/>
        <v>7.8732915640315371E-2</v>
      </c>
      <c r="AC147" s="5">
        <f t="shared" ca="1" si="90"/>
        <v>0.82201797608684035</v>
      </c>
      <c r="AD147" s="5">
        <f t="shared" ca="1" si="91"/>
        <v>0.9230828182167411</v>
      </c>
      <c r="AE147" s="5">
        <f t="shared" ca="1" si="68"/>
        <v>0.25252613838916149</v>
      </c>
      <c r="AF147" s="5">
        <f t="shared" ca="1" si="93"/>
        <v>1.1918705410231385</v>
      </c>
      <c r="AG147" s="5">
        <f t="shared" ca="1" si="94"/>
        <v>1.1314600239654939</v>
      </c>
      <c r="AH147" s="5">
        <f t="shared" ca="1" si="95"/>
        <v>0.92201555833789461</v>
      </c>
      <c r="AI147" s="5">
        <f t="shared" ca="1" si="96"/>
        <v>0.90752747565407332</v>
      </c>
      <c r="AJ147" s="5">
        <f t="shared" ca="1" si="97"/>
        <v>1.2637571159639964</v>
      </c>
      <c r="AK147" s="5">
        <f t="shared" ca="1" si="98"/>
        <v>1.2724471617878856</v>
      </c>
      <c r="AL147" s="5">
        <f t="shared" ca="1" si="99"/>
        <v>0.95740081023136037</v>
      </c>
      <c r="AM147" s="5">
        <f t="shared" ca="1" si="100"/>
        <v>1.1816020497061681</v>
      </c>
      <c r="AN147" s="5">
        <f t="shared" ca="1" si="101"/>
        <v>1.0787329156403154</v>
      </c>
      <c r="AO147" s="5">
        <f t="shared" ca="1" si="102"/>
        <v>1.2525261383891615</v>
      </c>
      <c r="AP147" s="5">
        <f t="shared" ca="1" si="103"/>
        <v>2.7735465412594675</v>
      </c>
      <c r="AQ147" s="4">
        <f t="shared" ca="1" si="69"/>
        <v>27735.465412594676</v>
      </c>
      <c r="AR147">
        <f t="shared" ca="1" si="70"/>
        <v>1</v>
      </c>
      <c r="AS147">
        <f t="shared" ca="1" si="71"/>
        <v>0</v>
      </c>
    </row>
    <row r="148" spans="1:45" x14ac:dyDescent="0.25">
      <c r="A148" s="10">
        <f t="shared" si="92"/>
        <v>127</v>
      </c>
      <c r="B148" s="5">
        <f t="shared" ca="1" si="72"/>
        <v>0.72400741315322492</v>
      </c>
      <c r="C148" s="5">
        <f t="shared" ca="1" si="73"/>
        <v>0.59478802421204857</v>
      </c>
      <c r="D148" s="5">
        <f t="shared" ca="1" si="59"/>
        <v>0.19234052553715864</v>
      </c>
      <c r="E148" s="5">
        <f t="shared" ca="1" si="74"/>
        <v>0.12328041641689025</v>
      </c>
      <c r="F148" s="5">
        <f t="shared" ca="1" si="75"/>
        <v>-1.1587433063321129</v>
      </c>
      <c r="G148" s="5">
        <f t="shared" ca="1" si="60"/>
        <v>-8.342510445274709E-2</v>
      </c>
      <c r="H148" s="5">
        <f t="shared" ca="1" si="76"/>
        <v>0.70369249095758046</v>
      </c>
      <c r="I148" s="5">
        <f t="shared" ca="1" si="77"/>
        <v>0.5350503833375313</v>
      </c>
      <c r="J148" s="5">
        <f t="shared" ca="1" si="61"/>
        <v>0.18170410976807116</v>
      </c>
      <c r="K148" s="5">
        <f t="shared" ca="1" si="78"/>
        <v>8.9934568302716511E-2</v>
      </c>
      <c r="L148" s="5">
        <f t="shared" ca="1" si="79"/>
        <v>-1.3411580703697468</v>
      </c>
      <c r="M148" s="5">
        <f t="shared" ca="1" si="62"/>
        <v>-0.1081646160331976</v>
      </c>
      <c r="N148" s="5">
        <f t="shared" ca="1" si="80"/>
        <v>0.5227347910956589</v>
      </c>
      <c r="O148" s="5">
        <f t="shared" ca="1" si="81"/>
        <v>5.7018550762765095E-2</v>
      </c>
      <c r="P148" s="5">
        <f t="shared" ca="1" si="63"/>
        <v>9.9936864903004796E-2</v>
      </c>
      <c r="Q148" s="5">
        <f t="shared" ca="1" si="82"/>
        <v>0.83258885287501472</v>
      </c>
      <c r="R148" s="5">
        <f t="shared" ca="1" si="83"/>
        <v>0.96444614971365761</v>
      </c>
      <c r="S148" s="5">
        <f t="shared" ca="1" si="64"/>
        <v>0.26032159491602025</v>
      </c>
      <c r="T148" s="5">
        <f t="shared" ca="1" si="84"/>
        <v>9.1757497081638495E-2</v>
      </c>
      <c r="U148" s="5">
        <f t="shared" ca="1" si="85"/>
        <v>-1.3300099464751234</v>
      </c>
      <c r="V148" s="5">
        <f t="shared" ca="1" si="65"/>
        <v>-0.10667202470842396</v>
      </c>
      <c r="W148" s="5">
        <f t="shared" ca="1" si="86"/>
        <v>0.26118010363202349</v>
      </c>
      <c r="X148" s="5">
        <f t="shared" ca="1" si="87"/>
        <v>-0.63971145442044297</v>
      </c>
      <c r="Y148" s="5">
        <f t="shared" ca="1" si="66"/>
        <v>-9.2140066386047215E-3</v>
      </c>
      <c r="Z148" s="5">
        <f t="shared" ca="1" si="88"/>
        <v>0.94491940411213771</v>
      </c>
      <c r="AA148" s="5">
        <f t="shared" ca="1" si="89"/>
        <v>1.5974690480859139</v>
      </c>
      <c r="AB148" s="5">
        <f t="shared" ca="1" si="67"/>
        <v>0.38585926777835944</v>
      </c>
      <c r="AC148" s="5">
        <f t="shared" ca="1" si="90"/>
        <v>0.57406876908668691</v>
      </c>
      <c r="AD148" s="5">
        <f t="shared" ca="1" si="91"/>
        <v>0.18674258951924813</v>
      </c>
      <c r="AE148" s="5">
        <f t="shared" ca="1" si="68"/>
        <v>0.12154969863505816</v>
      </c>
      <c r="AF148" s="5">
        <f t="shared" ca="1" si="93"/>
        <v>1.1923405255371586</v>
      </c>
      <c r="AG148" s="5">
        <f t="shared" ca="1" si="94"/>
        <v>0.91657489554725291</v>
      </c>
      <c r="AH148" s="5">
        <f t="shared" ca="1" si="95"/>
        <v>1.1817041097680712</v>
      </c>
      <c r="AI148" s="5">
        <f t="shared" ca="1" si="96"/>
        <v>0.8918353839668024</v>
      </c>
      <c r="AJ148" s="5">
        <f t="shared" ca="1" si="97"/>
        <v>1.0999368649030048</v>
      </c>
      <c r="AK148" s="5">
        <f t="shared" ca="1" si="98"/>
        <v>1.2603215949160202</v>
      </c>
      <c r="AL148" s="5">
        <f t="shared" ca="1" si="99"/>
        <v>0.89332797529157604</v>
      </c>
      <c r="AM148" s="5">
        <f t="shared" ca="1" si="100"/>
        <v>0.99078599336139528</v>
      </c>
      <c r="AN148" s="5">
        <f t="shared" ca="1" si="101"/>
        <v>1.3858592677783594</v>
      </c>
      <c r="AO148" s="5">
        <f t="shared" ca="1" si="102"/>
        <v>1.1215496986350582</v>
      </c>
      <c r="AP148" s="5">
        <f t="shared" ca="1" si="103"/>
        <v>2.1965408789396932</v>
      </c>
      <c r="AQ148" s="4">
        <f t="shared" ca="1" si="69"/>
        <v>21965.408789396934</v>
      </c>
      <c r="AR148">
        <f t="shared" ca="1" si="70"/>
        <v>0</v>
      </c>
      <c r="AS148">
        <f t="shared" ca="1" si="71"/>
        <v>0</v>
      </c>
    </row>
    <row r="149" spans="1:45" x14ac:dyDescent="0.25">
      <c r="A149" s="10">
        <f t="shared" si="92"/>
        <v>128</v>
      </c>
      <c r="B149" s="5">
        <f t="shared" ca="1" si="72"/>
        <v>0.42307324764753051</v>
      </c>
      <c r="C149" s="5">
        <f t="shared" ca="1" si="73"/>
        <v>-0.19403753042949695</v>
      </c>
      <c r="D149" s="5">
        <f t="shared" ca="1" si="59"/>
        <v>5.9285231146662509E-2</v>
      </c>
      <c r="E149" s="5">
        <f t="shared" ca="1" si="74"/>
        <v>0.45281282850376647</v>
      </c>
      <c r="F149" s="5">
        <f t="shared" ca="1" si="75"/>
        <v>-0.11855785450309002</v>
      </c>
      <c r="G149" s="5">
        <f t="shared" ca="1" si="60"/>
        <v>7.1346557072252459E-2</v>
      </c>
      <c r="H149" s="5">
        <f t="shared" ca="1" si="76"/>
        <v>0.23487002708733129</v>
      </c>
      <c r="I149" s="5">
        <f t="shared" ca="1" si="77"/>
        <v>-0.72290206599067064</v>
      </c>
      <c r="J149" s="5">
        <f t="shared" ca="1" si="61"/>
        <v>-2.1500800170586531E-2</v>
      </c>
      <c r="K149" s="5">
        <f t="shared" ca="1" si="78"/>
        <v>0.98042982836310133</v>
      </c>
      <c r="L149" s="5">
        <f t="shared" ca="1" si="79"/>
        <v>2.0627083798066259</v>
      </c>
      <c r="M149" s="5">
        <f t="shared" ca="1" si="62"/>
        <v>0.48602720991279891</v>
      </c>
      <c r="N149" s="5">
        <f t="shared" ca="1" si="80"/>
        <v>0.82072233965030439</v>
      </c>
      <c r="O149" s="5">
        <f t="shared" ca="1" si="81"/>
        <v>0.91812138410116628</v>
      </c>
      <c r="P149" s="5">
        <f t="shared" ca="1" si="63"/>
        <v>0.25159433627573002</v>
      </c>
      <c r="Q149" s="5">
        <f t="shared" ca="1" si="82"/>
        <v>0.57101724004573684</v>
      </c>
      <c r="R149" s="5">
        <f t="shared" ca="1" si="83"/>
        <v>0.17896457209786701</v>
      </c>
      <c r="S149" s="5">
        <f t="shared" ca="1" si="64"/>
        <v>0.12024194669796229</v>
      </c>
      <c r="T149" s="5">
        <f t="shared" ca="1" si="84"/>
        <v>1.432342777614859E-2</v>
      </c>
      <c r="U149" s="5">
        <f t="shared" ca="1" si="85"/>
        <v>-2.1883123823982542</v>
      </c>
      <c r="V149" s="5">
        <f t="shared" ca="1" si="65"/>
        <v>-0.214587999405913</v>
      </c>
      <c r="W149" s="5">
        <f t="shared" ca="1" si="86"/>
        <v>0.10916235047775014</v>
      </c>
      <c r="X149" s="5">
        <f t="shared" ca="1" si="87"/>
        <v>-1.2309950892603287</v>
      </c>
      <c r="Y149" s="5">
        <f t="shared" ca="1" si="66"/>
        <v>-9.3305094786411247E-2</v>
      </c>
      <c r="Z149" s="5">
        <f t="shared" ca="1" si="88"/>
        <v>0.79457057352866478</v>
      </c>
      <c r="AA149" s="5">
        <f t="shared" ca="1" si="89"/>
        <v>0.8223831733748922</v>
      </c>
      <c r="AB149" s="5">
        <f t="shared" ca="1" si="67"/>
        <v>0.23374896888236929</v>
      </c>
      <c r="AC149" s="5">
        <f t="shared" ca="1" si="90"/>
        <v>0.84425519423264406</v>
      </c>
      <c r="AD149" s="5">
        <f t="shared" ca="1" si="91"/>
        <v>1.0121013195672135</v>
      </c>
      <c r="AE149" s="5">
        <f t="shared" ca="1" si="68"/>
        <v>0.26936299758624371</v>
      </c>
      <c r="AF149" s="5">
        <f t="shared" ca="1" si="93"/>
        <v>1.0592852311466625</v>
      </c>
      <c r="AG149" s="5">
        <f t="shared" ca="1" si="94"/>
        <v>1.0713465570722525</v>
      </c>
      <c r="AH149" s="5">
        <f t="shared" ca="1" si="95"/>
        <v>0.97849919982941347</v>
      </c>
      <c r="AI149" s="5">
        <f t="shared" ca="1" si="96"/>
        <v>1.4860272099127989</v>
      </c>
      <c r="AJ149" s="5">
        <f t="shared" ca="1" si="97"/>
        <v>1.25159433627573</v>
      </c>
      <c r="AK149" s="5">
        <f t="shared" ca="1" si="98"/>
        <v>1.1202419466979623</v>
      </c>
      <c r="AL149" s="5">
        <f t="shared" ca="1" si="99"/>
        <v>0.785412000594087</v>
      </c>
      <c r="AM149" s="5">
        <f t="shared" ca="1" si="100"/>
        <v>0.90669490521358875</v>
      </c>
      <c r="AN149" s="5">
        <f t="shared" ca="1" si="101"/>
        <v>1.2337489688823693</v>
      </c>
      <c r="AO149" s="5">
        <f t="shared" ca="1" si="102"/>
        <v>1.2693629975862437</v>
      </c>
      <c r="AP149" s="5">
        <f t="shared" ca="1" si="103"/>
        <v>2.5803397748865962</v>
      </c>
      <c r="AQ149" s="4">
        <f t="shared" ca="1" si="69"/>
        <v>25803.397748865962</v>
      </c>
      <c r="AR149">
        <f t="shared" ca="1" si="70"/>
        <v>1</v>
      </c>
      <c r="AS149">
        <f t="shared" ca="1" si="71"/>
        <v>0</v>
      </c>
    </row>
    <row r="150" spans="1:45" x14ac:dyDescent="0.25">
      <c r="A150" s="10">
        <f t="shared" si="92"/>
        <v>129</v>
      </c>
      <c r="B150" s="5">
        <f t="shared" ca="1" si="72"/>
        <v>0.68677421248791981</v>
      </c>
      <c r="C150" s="5">
        <f t="shared" ca="1" si="73"/>
        <v>0.48672732966381221</v>
      </c>
      <c r="D150" s="5">
        <f t="shared" ref="D150:D213" ca="1" si="104">EXP(mu+sigma*C150)-1</f>
        <v>0.17316954568177256</v>
      </c>
      <c r="E150" s="5">
        <f t="shared" ca="1" si="74"/>
        <v>0.97349140169053383</v>
      </c>
      <c r="F150" s="5">
        <f t="shared" ca="1" si="75"/>
        <v>1.9347808288597705</v>
      </c>
      <c r="G150" s="5">
        <f t="shared" ref="G150:G213" ca="1" si="105">EXP(mu+sigma*F150)-1</f>
        <v>0.45778348957986248</v>
      </c>
      <c r="H150" s="5">
        <f t="shared" ca="1" si="76"/>
        <v>0.46155572404327549</v>
      </c>
      <c r="I150" s="5">
        <f t="shared" ca="1" si="77"/>
        <v>-9.6515142508757826E-2</v>
      </c>
      <c r="J150" s="5">
        <f t="shared" ref="J150:J213" ca="1" si="106">EXP(mu+sigma*I150)-1</f>
        <v>7.489472722728574E-2</v>
      </c>
      <c r="K150" s="5">
        <f t="shared" ca="1" si="78"/>
        <v>7.524960639009215E-2</v>
      </c>
      <c r="L150" s="5">
        <f t="shared" ca="1" si="79"/>
        <v>-1.4377703920873084</v>
      </c>
      <c r="M150" s="5">
        <f t="shared" ref="M150:M213" ca="1" si="107">EXP(mu+sigma*L150)-1</f>
        <v>-0.12099576102646259</v>
      </c>
      <c r="N150" s="5">
        <f t="shared" ca="1" si="80"/>
        <v>0.70272076342841217</v>
      </c>
      <c r="O150" s="5">
        <f t="shared" ca="1" si="81"/>
        <v>0.5322418903549696</v>
      </c>
      <c r="P150" s="5">
        <f t="shared" ref="P150:P213" ca="1" si="108">EXP(mu+sigma*O150)-1</f>
        <v>0.18120639345792711</v>
      </c>
      <c r="Q150" s="5">
        <f t="shared" ca="1" si="82"/>
        <v>4.225841507196304E-2</v>
      </c>
      <c r="R150" s="5">
        <f t="shared" ca="1" si="83"/>
        <v>-1.7250590567105852</v>
      </c>
      <c r="S150" s="5">
        <f t="shared" ref="S150:S213" ca="1" si="109">EXP(mu+sigma*R150)-1</f>
        <v>-0.15807038300979515</v>
      </c>
      <c r="T150" s="5">
        <f t="shared" ca="1" si="84"/>
        <v>0.95552862229688129</v>
      </c>
      <c r="U150" s="5">
        <f t="shared" ca="1" si="85"/>
        <v>1.7010012343289371</v>
      </c>
      <c r="V150" s="5">
        <f t="shared" ref="V150:V213" ca="1" si="110">EXP(mu+sigma*U150)-1</f>
        <v>0.40754940991280786</v>
      </c>
      <c r="W150" s="5">
        <f t="shared" ca="1" si="86"/>
        <v>0.69308539258321422</v>
      </c>
      <c r="X150" s="5">
        <f t="shared" ca="1" si="87"/>
        <v>0.5046150818057531</v>
      </c>
      <c r="Y150" s="5">
        <f t="shared" ref="Y150:Y213" ca="1" si="111">EXP(mu+sigma*X150)-1</f>
        <v>0.17632157740593235</v>
      </c>
      <c r="Z150" s="5">
        <f t="shared" ca="1" si="88"/>
        <v>0.15020920735386356</v>
      </c>
      <c r="AA150" s="5">
        <f t="shared" ca="1" si="89"/>
        <v>-1.0355365321304824</v>
      </c>
      <c r="AB150" s="5">
        <f t="shared" ref="AB150:AB213" ca="1" si="112">EXP(mu+sigma*AA150)-1</f>
        <v>-6.6328373150105979E-2</v>
      </c>
      <c r="AC150" s="5">
        <f t="shared" ca="1" si="90"/>
        <v>0.88569918753441712</v>
      </c>
      <c r="AD150" s="5">
        <f t="shared" ca="1" si="91"/>
        <v>1.2039688334539684</v>
      </c>
      <c r="AE150" s="5">
        <f t="shared" ref="AE150:AE213" ca="1" si="113">EXP(mu+sigma*AD150)-1</f>
        <v>0.30642620970908463</v>
      </c>
      <c r="AF150" s="5">
        <f t="shared" ca="1" si="93"/>
        <v>1.1731695456817726</v>
      </c>
      <c r="AG150" s="5">
        <f t="shared" ca="1" si="94"/>
        <v>1.4577834895798625</v>
      </c>
      <c r="AH150" s="5">
        <f t="shared" ca="1" si="95"/>
        <v>1.0748947272272857</v>
      </c>
      <c r="AI150" s="5">
        <f t="shared" ca="1" si="96"/>
        <v>0.87900423897353741</v>
      </c>
      <c r="AJ150" s="5">
        <f t="shared" ca="1" si="97"/>
        <v>1.1812063934579271</v>
      </c>
      <c r="AK150" s="5">
        <f t="shared" ca="1" si="98"/>
        <v>0.84192961699020485</v>
      </c>
      <c r="AL150" s="5">
        <f t="shared" ca="1" si="99"/>
        <v>1.4075494099128079</v>
      </c>
      <c r="AM150" s="5">
        <f t="shared" ca="1" si="100"/>
        <v>1.1763215774059324</v>
      </c>
      <c r="AN150" s="5">
        <f t="shared" ca="1" si="101"/>
        <v>0.93367162684989402</v>
      </c>
      <c r="AO150" s="5">
        <f t="shared" ca="1" si="102"/>
        <v>1.3064262097090846</v>
      </c>
      <c r="AP150" s="5">
        <f t="shared" ca="1" si="103"/>
        <v>3.2454957476290081</v>
      </c>
      <c r="AQ150" s="4">
        <f t="shared" ref="AQ150:AQ213" ca="1" si="114">initial_amount*AP150</f>
        <v>32454.957476290081</v>
      </c>
      <c r="AR150">
        <f t="shared" ref="AR150:AR213" ca="1" si="115">IF(AQ150&gt;upper_amount,1,0)</f>
        <v>1</v>
      </c>
      <c r="AS150">
        <f t="shared" ref="AS150:AS213" ca="1" si="116">IF(AQ150&lt;lower_amount,1,0)</f>
        <v>0</v>
      </c>
    </row>
    <row r="151" spans="1:45" x14ac:dyDescent="0.25">
      <c r="A151" s="10">
        <f t="shared" si="92"/>
        <v>130</v>
      </c>
      <c r="B151" s="5">
        <f t="shared" ref="B151:B214" ca="1" si="117">RAND()</f>
        <v>0.87062565668471914</v>
      </c>
      <c r="C151" s="5">
        <f t="shared" ref="C151:C214" ca="1" si="118">_xlfn.NORM.S.INV(B151)</f>
        <v>1.1293536275362366</v>
      </c>
      <c r="D151" s="5">
        <f t="shared" ca="1" si="104"/>
        <v>0.29188584233450299</v>
      </c>
      <c r="E151" s="5">
        <f t="shared" ref="E151:E214" ca="1" si="119">RAND()</f>
        <v>9.8961086026627565E-2</v>
      </c>
      <c r="F151" s="5">
        <f t="shared" ref="F151:F214" ca="1" si="120">_xlfn.NORM.S.INV(E151)</f>
        <v>-1.2874939641334229</v>
      </c>
      <c r="G151" s="5">
        <f t="shared" ca="1" si="105"/>
        <v>-0.10095671220629454</v>
      </c>
      <c r="H151" s="5">
        <f t="shared" ref="H151:H214" ca="1" si="121">RAND()</f>
        <v>0.26542362608789283</v>
      </c>
      <c r="I151" s="5">
        <f t="shared" ref="I151:I214" ca="1" si="122">_xlfn.NORM.S.INV(H151)</f>
        <v>-0.62671319617943821</v>
      </c>
      <c r="J151" s="5">
        <f t="shared" ca="1" si="106"/>
        <v>-7.2803483564486404E-3</v>
      </c>
      <c r="K151" s="5">
        <f t="shared" ref="K151:K214" ca="1" si="123">RAND()</f>
        <v>0.7991651407313749</v>
      </c>
      <c r="L151" s="5">
        <f t="shared" ref="L151:L214" ca="1" si="124">_xlfn.NORM.S.INV(K151)</f>
        <v>0.83864291922347323</v>
      </c>
      <c r="M151" s="5">
        <f t="shared" ca="1" si="107"/>
        <v>0.23676170806817742</v>
      </c>
      <c r="N151" s="5">
        <f t="shared" ref="N151:N214" ca="1" si="125">RAND()</f>
        <v>9.7131449752457022E-2</v>
      </c>
      <c r="O151" s="5">
        <f t="shared" ref="O151:O214" ca="1" si="126">_xlfn.NORM.S.INV(N151)</f>
        <v>-1.2980711133520375</v>
      </c>
      <c r="P151" s="5">
        <f t="shared" ca="1" si="108"/>
        <v>-0.10238197851458652</v>
      </c>
      <c r="Q151" s="5">
        <f t="shared" ref="Q151:Q214" ca="1" si="127">RAND()</f>
        <v>0.85325868868962029</v>
      </c>
      <c r="R151" s="5">
        <f t="shared" ref="R151:R214" ca="1" si="128">_xlfn.NORM.S.INV(Q151)</f>
        <v>1.0505123353374015</v>
      </c>
      <c r="S151" s="5">
        <f t="shared" ca="1" si="109"/>
        <v>0.27669773571894751</v>
      </c>
      <c r="T151" s="5">
        <f t="shared" ref="T151:T214" ca="1" si="129">RAND()</f>
        <v>0.39789642470627651</v>
      </c>
      <c r="U151" s="5">
        <f t="shared" ref="U151:U214" ca="1" si="130">_xlfn.NORM.S.INV(T151)</f>
        <v>-0.25879573418072538</v>
      </c>
      <c r="V151" s="5">
        <f t="shared" ca="1" si="110"/>
        <v>4.9045433655078075E-2</v>
      </c>
      <c r="W151" s="5">
        <f t="shared" ref="W151:W214" ca="1" si="131">RAND()</f>
        <v>0.78950511452315364</v>
      </c>
      <c r="X151" s="5">
        <f t="shared" ref="X151:X214" ca="1" si="132">_xlfn.NORM.S.INV(W151)</f>
        <v>0.8047052817521535</v>
      </c>
      <c r="Y151" s="5">
        <f t="shared" ca="1" si="111"/>
        <v>0.23048179047447981</v>
      </c>
      <c r="Z151" s="5">
        <f t="shared" ref="Z151:Z214" ca="1" si="133">RAND()</f>
        <v>8.016073893853759E-2</v>
      </c>
      <c r="AA151" s="5">
        <f t="shared" ref="AA151:AA214" ca="1" si="134">_xlfn.NORM.S.INV(Z151)</f>
        <v>-1.403991173713421</v>
      </c>
      <c r="AB151" s="5">
        <f t="shared" ca="1" si="112"/>
        <v>-0.11653064705383476</v>
      </c>
      <c r="AC151" s="5">
        <f t="shared" ref="AC151:AC214" ca="1" si="135">RAND()</f>
        <v>0.17919511827719115</v>
      </c>
      <c r="AD151" s="5">
        <f t="shared" ref="AD151:AD214" ca="1" si="136">_xlfn.NORM.S.INV(AC151)</f>
        <v>-0.91843679142923607</v>
      </c>
      <c r="AE151" s="5">
        <f t="shared" ca="1" si="113"/>
        <v>-4.9783588464787254E-2</v>
      </c>
      <c r="AF151" s="5">
        <f t="shared" ca="1" si="93"/>
        <v>1.291885842334503</v>
      </c>
      <c r="AG151" s="5">
        <f t="shared" ca="1" si="94"/>
        <v>0.89904328779370546</v>
      </c>
      <c r="AH151" s="5">
        <f t="shared" ca="1" si="95"/>
        <v>0.99271965164355136</v>
      </c>
      <c r="AI151" s="5">
        <f t="shared" ca="1" si="96"/>
        <v>1.2367617080681774</v>
      </c>
      <c r="AJ151" s="5">
        <f t="shared" ca="1" si="97"/>
        <v>0.89761802148541348</v>
      </c>
      <c r="AK151" s="5">
        <f t="shared" ca="1" si="98"/>
        <v>1.2766977357189475</v>
      </c>
      <c r="AL151" s="5">
        <f t="shared" ca="1" si="99"/>
        <v>1.0490454336550781</v>
      </c>
      <c r="AM151" s="5">
        <f t="shared" ca="1" si="100"/>
        <v>1.2304817904744798</v>
      </c>
      <c r="AN151" s="5">
        <f t="shared" ca="1" si="101"/>
        <v>0.88346935294616524</v>
      </c>
      <c r="AO151" s="5">
        <f t="shared" ca="1" si="102"/>
        <v>0.95021641153521275</v>
      </c>
      <c r="AP151" s="5">
        <f t="shared" ca="1" si="103"/>
        <v>1.7708449908502748</v>
      </c>
      <c r="AQ151" s="4">
        <f t="shared" ca="1" si="114"/>
        <v>17708.449908502749</v>
      </c>
      <c r="AR151">
        <f t="shared" ca="1" si="115"/>
        <v>0</v>
      </c>
      <c r="AS151">
        <f t="shared" ca="1" si="116"/>
        <v>0</v>
      </c>
    </row>
    <row r="152" spans="1:45" x14ac:dyDescent="0.25">
      <c r="A152" s="10">
        <f t="shared" si="92"/>
        <v>131</v>
      </c>
      <c r="B152" s="5">
        <f t="shared" ca="1" si="117"/>
        <v>0.17139099212165543</v>
      </c>
      <c r="C152" s="5">
        <f t="shared" ca="1" si="118"/>
        <v>-0.94868276125765594</v>
      </c>
      <c r="D152" s="5">
        <f t="shared" ca="1" si="104"/>
        <v>-5.4084856422388472E-2</v>
      </c>
      <c r="E152" s="5">
        <f t="shared" ca="1" si="119"/>
        <v>0.11770751594834328</v>
      </c>
      <c r="F152" s="5">
        <f t="shared" ca="1" si="120"/>
        <v>-1.1865250069786701</v>
      </c>
      <c r="G152" s="5">
        <f t="shared" ca="1" si="105"/>
        <v>-8.7236758274972681E-2</v>
      </c>
      <c r="H152" s="5">
        <f t="shared" ca="1" si="121"/>
        <v>0.93260370983702379</v>
      </c>
      <c r="I152" s="5">
        <f t="shared" ca="1" si="122"/>
        <v>1.4954670987889924</v>
      </c>
      <c r="J152" s="5">
        <f t="shared" ca="1" si="106"/>
        <v>0.36481660570870078</v>
      </c>
      <c r="K152" s="5">
        <f t="shared" ca="1" si="123"/>
        <v>0.80685059167676343</v>
      </c>
      <c r="L152" s="5">
        <f t="shared" ca="1" si="124"/>
        <v>0.86634897465515037</v>
      </c>
      <c r="M152" s="5">
        <f t="shared" ca="1" si="107"/>
        <v>0.24191227155572337</v>
      </c>
      <c r="N152" s="5">
        <f t="shared" ca="1" si="125"/>
        <v>8.4025416449791446E-2</v>
      </c>
      <c r="O152" s="5">
        <f t="shared" ca="1" si="126"/>
        <v>-1.3784939551747166</v>
      </c>
      <c r="P152" s="5">
        <f t="shared" ca="1" si="108"/>
        <v>-0.11314527568928046</v>
      </c>
      <c r="Q152" s="5">
        <f t="shared" ca="1" si="127"/>
        <v>0.75165716594729104</v>
      </c>
      <c r="R152" s="5">
        <f t="shared" ca="1" si="128"/>
        <v>0.67971384455124673</v>
      </c>
      <c r="S152" s="5">
        <f t="shared" ca="1" si="109"/>
        <v>0.20762675809454234</v>
      </c>
      <c r="T152" s="5">
        <f t="shared" ca="1" si="129"/>
        <v>0.60896825669618093</v>
      </c>
      <c r="U152" s="5">
        <f t="shared" ca="1" si="130"/>
        <v>0.27663096365022061</v>
      </c>
      <c r="V152" s="5">
        <f t="shared" ca="1" si="110"/>
        <v>0.1367742480734222</v>
      </c>
      <c r="W152" s="5">
        <f t="shared" ca="1" si="131"/>
        <v>0.17866980499698182</v>
      </c>
      <c r="X152" s="5">
        <f t="shared" ca="1" si="132"/>
        <v>-0.92044624824225307</v>
      </c>
      <c r="Y152" s="5">
        <f t="shared" ca="1" si="111"/>
        <v>-5.0069958130358416E-2</v>
      </c>
      <c r="Z152" s="5">
        <f t="shared" ca="1" si="133"/>
        <v>0.44373402087749791</v>
      </c>
      <c r="AA152" s="5">
        <f t="shared" ca="1" si="134"/>
        <v>-0.14150875803342788</v>
      </c>
      <c r="AB152" s="5">
        <f t="shared" ca="1" si="112"/>
        <v>6.7664642731400493E-2</v>
      </c>
      <c r="AC152" s="5">
        <f t="shared" ca="1" si="135"/>
        <v>0.9809608327985434</v>
      </c>
      <c r="AD152" s="5">
        <f t="shared" ca="1" si="136"/>
        <v>2.0740105140841045</v>
      </c>
      <c r="AE152" s="5">
        <f t="shared" ca="1" si="113"/>
        <v>0.4885486384831772</v>
      </c>
      <c r="AF152" s="5">
        <f t="shared" ca="1" si="93"/>
        <v>0.94591514357761153</v>
      </c>
      <c r="AG152" s="5">
        <f t="shared" ca="1" si="94"/>
        <v>0.91276324172502732</v>
      </c>
      <c r="AH152" s="5">
        <f t="shared" ca="1" si="95"/>
        <v>1.3648166057087008</v>
      </c>
      <c r="AI152" s="5">
        <f t="shared" ca="1" si="96"/>
        <v>1.2419122715557234</v>
      </c>
      <c r="AJ152" s="5">
        <f t="shared" ca="1" si="97"/>
        <v>0.88685472431071954</v>
      </c>
      <c r="AK152" s="5">
        <f t="shared" ca="1" si="98"/>
        <v>1.2076267580945423</v>
      </c>
      <c r="AL152" s="5">
        <f t="shared" ca="1" si="99"/>
        <v>1.1367742480734222</v>
      </c>
      <c r="AM152" s="5">
        <f t="shared" ca="1" si="100"/>
        <v>0.94993004186964158</v>
      </c>
      <c r="AN152" s="5">
        <f t="shared" ca="1" si="101"/>
        <v>1.0676646427314005</v>
      </c>
      <c r="AO152" s="5">
        <f t="shared" ca="1" si="102"/>
        <v>1.4885486384831772</v>
      </c>
      <c r="AP152" s="5">
        <f t="shared" ca="1" si="103"/>
        <v>2.6898278624352847</v>
      </c>
      <c r="AQ152" s="4">
        <f t="shared" ca="1" si="114"/>
        <v>26898.278624352846</v>
      </c>
      <c r="AR152">
        <f t="shared" ca="1" si="115"/>
        <v>1</v>
      </c>
      <c r="AS152">
        <f t="shared" ca="1" si="116"/>
        <v>0</v>
      </c>
    </row>
    <row r="153" spans="1:45" x14ac:dyDescent="0.25">
      <c r="A153" s="10">
        <f t="shared" si="92"/>
        <v>132</v>
      </c>
      <c r="B153" s="5">
        <f t="shared" ca="1" si="117"/>
        <v>0.39949538257403305</v>
      </c>
      <c r="C153" s="5">
        <f t="shared" ca="1" si="118"/>
        <v>-0.25465345963258013</v>
      </c>
      <c r="D153" s="5">
        <f t="shared" ca="1" si="104"/>
        <v>4.9697451326768283E-2</v>
      </c>
      <c r="E153" s="5">
        <f t="shared" ca="1" si="119"/>
        <v>0.87697446854644423</v>
      </c>
      <c r="F153" s="5">
        <f t="shared" ca="1" si="120"/>
        <v>1.1599944569883125</v>
      </c>
      <c r="G153" s="5">
        <f t="shared" ca="1" si="105"/>
        <v>0.29783717645901908</v>
      </c>
      <c r="H153" s="5">
        <f t="shared" ca="1" si="121"/>
        <v>0.90198011931822397</v>
      </c>
      <c r="I153" s="5">
        <f t="shared" ca="1" si="122"/>
        <v>1.2929170167983022</v>
      </c>
      <c r="J153" s="5">
        <f t="shared" ca="1" si="106"/>
        <v>0.32397364604881429</v>
      </c>
      <c r="K153" s="5">
        <f t="shared" ca="1" si="123"/>
        <v>0.53652225128336584</v>
      </c>
      <c r="L153" s="5">
        <f t="shared" ca="1" si="124"/>
        <v>9.167596081680221E-2</v>
      </c>
      <c r="M153" s="5">
        <f t="shared" ca="1" si="107"/>
        <v>0.10566989834235474</v>
      </c>
      <c r="N153" s="5">
        <f t="shared" ca="1" si="125"/>
        <v>0.18766413699840256</v>
      </c>
      <c r="O153" s="5">
        <f t="shared" ca="1" si="126"/>
        <v>-0.88653690957940379</v>
      </c>
      <c r="P153" s="5">
        <f t="shared" ca="1" si="108"/>
        <v>-4.5225924300740572E-2</v>
      </c>
      <c r="Q153" s="5">
        <f t="shared" ca="1" si="127"/>
        <v>0.70824217266023137</v>
      </c>
      <c r="R153" s="5">
        <f t="shared" ca="1" si="128"/>
        <v>0.54825669963679236</v>
      </c>
      <c r="S153" s="5">
        <f t="shared" ca="1" si="109"/>
        <v>0.1840473236304272</v>
      </c>
      <c r="T153" s="5">
        <f t="shared" ca="1" si="129"/>
        <v>0.7552285747393267</v>
      </c>
      <c r="U153" s="5">
        <f t="shared" ca="1" si="130"/>
        <v>0.69103610718243991</v>
      </c>
      <c r="V153" s="5">
        <f t="shared" ca="1" si="110"/>
        <v>0.20967946079141675</v>
      </c>
      <c r="W153" s="5">
        <f t="shared" ca="1" si="131"/>
        <v>3.6370428971245539E-2</v>
      </c>
      <c r="X153" s="5">
        <f t="shared" ca="1" si="132"/>
        <v>-1.7944532258843946</v>
      </c>
      <c r="Y153" s="5">
        <f t="shared" ca="1" si="111"/>
        <v>-0.16678868030731797</v>
      </c>
      <c r="Z153" s="5">
        <f t="shared" ca="1" si="133"/>
        <v>0.41090310959637899</v>
      </c>
      <c r="AA153" s="5">
        <f t="shared" ca="1" si="134"/>
        <v>-0.22522245809651759</v>
      </c>
      <c r="AB153" s="5">
        <f t="shared" ca="1" si="112"/>
        <v>5.4341742339556909E-2</v>
      </c>
      <c r="AC153" s="5">
        <f t="shared" ca="1" si="135"/>
        <v>0.19059306400278431</v>
      </c>
      <c r="AD153" s="5">
        <f t="shared" ca="1" si="136"/>
        <v>-0.87571290491530274</v>
      </c>
      <c r="AE153" s="5">
        <f t="shared" ca="1" si="113"/>
        <v>-4.3674493332065745E-2</v>
      </c>
      <c r="AF153" s="5">
        <f t="shared" ca="1" si="93"/>
        <v>1.0496974513267683</v>
      </c>
      <c r="AG153" s="5">
        <f t="shared" ca="1" si="94"/>
        <v>1.2978371764590191</v>
      </c>
      <c r="AH153" s="5">
        <f t="shared" ca="1" si="95"/>
        <v>1.3239736460488143</v>
      </c>
      <c r="AI153" s="5">
        <f t="shared" ca="1" si="96"/>
        <v>1.1056698983423547</v>
      </c>
      <c r="AJ153" s="5">
        <f t="shared" ca="1" si="97"/>
        <v>0.95477407569925943</v>
      </c>
      <c r="AK153" s="5">
        <f t="shared" ca="1" si="98"/>
        <v>1.1840473236304272</v>
      </c>
      <c r="AL153" s="5">
        <f t="shared" ca="1" si="99"/>
        <v>1.2096794607914167</v>
      </c>
      <c r="AM153" s="5">
        <f t="shared" ca="1" si="100"/>
        <v>0.83321131969268203</v>
      </c>
      <c r="AN153" s="5">
        <f t="shared" ca="1" si="101"/>
        <v>1.0543417423395569</v>
      </c>
      <c r="AO153" s="5">
        <f t="shared" ca="1" si="102"/>
        <v>0.95632550666793426</v>
      </c>
      <c r="AP153" s="5">
        <f t="shared" ca="1" si="103"/>
        <v>2.2912446667217568</v>
      </c>
      <c r="AQ153" s="4">
        <f t="shared" ca="1" si="114"/>
        <v>22912.446667217566</v>
      </c>
      <c r="AR153">
        <f t="shared" ca="1" si="115"/>
        <v>0</v>
      </c>
      <c r="AS153">
        <f t="shared" ca="1" si="116"/>
        <v>0</v>
      </c>
    </row>
    <row r="154" spans="1:45" x14ac:dyDescent="0.25">
      <c r="A154" s="10">
        <f t="shared" si="92"/>
        <v>133</v>
      </c>
      <c r="B154" s="5">
        <f t="shared" ca="1" si="117"/>
        <v>0.71395560899571731</v>
      </c>
      <c r="C154" s="5">
        <f t="shared" ca="1" si="118"/>
        <v>0.56497792080671971</v>
      </c>
      <c r="D154" s="5">
        <f t="shared" ca="1" si="104"/>
        <v>0.18702085873302665</v>
      </c>
      <c r="E154" s="5">
        <f t="shared" ca="1" si="119"/>
        <v>0.86803975968231306</v>
      </c>
      <c r="F154" s="5">
        <f t="shared" ca="1" si="120"/>
        <v>1.1171727239349007</v>
      </c>
      <c r="G154" s="5">
        <f t="shared" ca="1" si="105"/>
        <v>0.28952754691686033</v>
      </c>
      <c r="H154" s="5">
        <f t="shared" ca="1" si="121"/>
        <v>8.8652694586086822E-2</v>
      </c>
      <c r="I154" s="5">
        <f t="shared" ca="1" si="122"/>
        <v>-1.3490983157857881</v>
      </c>
      <c r="J154" s="5">
        <f t="shared" ca="1" si="106"/>
        <v>-0.10922619249229415</v>
      </c>
      <c r="K154" s="5">
        <f t="shared" ca="1" si="123"/>
        <v>0.58262747468087739</v>
      </c>
      <c r="L154" s="5">
        <f t="shared" ca="1" si="124"/>
        <v>0.20861980238379005</v>
      </c>
      <c r="M154" s="5">
        <f t="shared" ca="1" si="107"/>
        <v>0.12523620133139368</v>
      </c>
      <c r="N154" s="5">
        <f t="shared" ca="1" si="125"/>
        <v>9.4374021953820275E-3</v>
      </c>
      <c r="O154" s="5">
        <f t="shared" ca="1" si="126"/>
        <v>-2.3479944136191442</v>
      </c>
      <c r="P154" s="5">
        <f t="shared" ca="1" si="108"/>
        <v>-0.23317691454976852</v>
      </c>
      <c r="Q154" s="5">
        <f t="shared" ca="1" si="127"/>
        <v>0.14755747224059101</v>
      </c>
      <c r="R154" s="5">
        <f t="shared" ca="1" si="128"/>
        <v>-1.0469666834401505</v>
      </c>
      <c r="S154" s="5">
        <f t="shared" ca="1" si="109"/>
        <v>-6.7927802824327532E-2</v>
      </c>
      <c r="T154" s="5">
        <f t="shared" ca="1" si="129"/>
        <v>0.51603863225195068</v>
      </c>
      <c r="U154" s="5">
        <f t="shared" ca="1" si="130"/>
        <v>4.021372502240695E-2</v>
      </c>
      <c r="V154" s="5">
        <f t="shared" ca="1" si="110"/>
        <v>9.716771939384472E-2</v>
      </c>
      <c r="W154" s="5">
        <f t="shared" ca="1" si="131"/>
        <v>0.97470658556393275</v>
      </c>
      <c r="X154" s="5">
        <f t="shared" ca="1" si="132"/>
        <v>1.9549681569318083</v>
      </c>
      <c r="Y154" s="5">
        <f t="shared" ca="1" si="111"/>
        <v>0.46220449285429188</v>
      </c>
      <c r="Z154" s="5">
        <f t="shared" ca="1" si="133"/>
        <v>0.73823431690886387</v>
      </c>
      <c r="AA154" s="5">
        <f t="shared" ca="1" si="134"/>
        <v>0.63791138499384226</v>
      </c>
      <c r="AB154" s="5">
        <f t="shared" ca="1" si="112"/>
        <v>0.20007818369298946</v>
      </c>
      <c r="AC154" s="5">
        <f t="shared" ca="1" si="135"/>
        <v>0.10883575413231505</v>
      </c>
      <c r="AD154" s="5">
        <f t="shared" ca="1" si="136"/>
        <v>-1.232743415868863</v>
      </c>
      <c r="AE154" s="5">
        <f t="shared" ca="1" si="113"/>
        <v>-9.3542843434668121E-2</v>
      </c>
      <c r="AF154" s="5">
        <f t="shared" ca="1" si="93"/>
        <v>1.1870208587330267</v>
      </c>
      <c r="AG154" s="5">
        <f t="shared" ca="1" si="94"/>
        <v>1.2895275469168603</v>
      </c>
      <c r="AH154" s="5">
        <f t="shared" ca="1" si="95"/>
        <v>0.89077380750770585</v>
      </c>
      <c r="AI154" s="5">
        <f t="shared" ca="1" si="96"/>
        <v>1.1252362013313937</v>
      </c>
      <c r="AJ154" s="5">
        <f t="shared" ca="1" si="97"/>
        <v>0.76682308545023148</v>
      </c>
      <c r="AK154" s="5">
        <f t="shared" ca="1" si="98"/>
        <v>0.93207219717567247</v>
      </c>
      <c r="AL154" s="5">
        <f t="shared" ca="1" si="99"/>
        <v>1.0971677193938447</v>
      </c>
      <c r="AM154" s="5">
        <f t="shared" ca="1" si="100"/>
        <v>1.4622044928542919</v>
      </c>
      <c r="AN154" s="5">
        <f t="shared" ca="1" si="101"/>
        <v>1.2000781836929895</v>
      </c>
      <c r="AO154" s="5">
        <f t="shared" ca="1" si="102"/>
        <v>0.90645715656533188</v>
      </c>
      <c r="AP154" s="5">
        <f t="shared" ca="1" si="103"/>
        <v>1.9137394070674385</v>
      </c>
      <c r="AQ154" s="4">
        <f t="shared" ca="1" si="114"/>
        <v>19137.394070674385</v>
      </c>
      <c r="AR154">
        <f t="shared" ca="1" si="115"/>
        <v>0</v>
      </c>
      <c r="AS154">
        <f t="shared" ca="1" si="116"/>
        <v>0</v>
      </c>
    </row>
    <row r="155" spans="1:45" x14ac:dyDescent="0.25">
      <c r="A155" s="10">
        <f t="shared" si="92"/>
        <v>134</v>
      </c>
      <c r="B155" s="5">
        <f t="shared" ca="1" si="117"/>
        <v>0.44827389098938719</v>
      </c>
      <c r="C155" s="5">
        <f t="shared" ca="1" si="118"/>
        <v>-0.13002356601088258</v>
      </c>
      <c r="D155" s="5">
        <f t="shared" ca="1" si="104"/>
        <v>6.9505578053874695E-2</v>
      </c>
      <c r="E155" s="5">
        <f t="shared" ca="1" si="119"/>
        <v>0.97043620327456281</v>
      </c>
      <c r="F155" s="5">
        <f t="shared" ca="1" si="120"/>
        <v>1.8872434142691266</v>
      </c>
      <c r="G155" s="5">
        <f t="shared" ca="1" si="105"/>
        <v>0.44742557388852666</v>
      </c>
      <c r="H155" s="5">
        <f t="shared" ca="1" si="121"/>
        <v>0.26300725141865222</v>
      </c>
      <c r="I155" s="5">
        <f t="shared" ca="1" si="122"/>
        <v>-0.63410162424720573</v>
      </c>
      <c r="J155" s="5">
        <f t="shared" ca="1" si="106"/>
        <v>-8.3799345885120502E-3</v>
      </c>
      <c r="K155" s="5">
        <f t="shared" ca="1" si="123"/>
        <v>0.92250009112256093</v>
      </c>
      <c r="L155" s="5">
        <f t="shared" ca="1" si="124"/>
        <v>1.4220910599809338</v>
      </c>
      <c r="M155" s="5">
        <f t="shared" ca="1" si="107"/>
        <v>0.34987724541951626</v>
      </c>
      <c r="N155" s="5">
        <f t="shared" ca="1" si="125"/>
        <v>0.25331097256735957</v>
      </c>
      <c r="O155" s="5">
        <f t="shared" ca="1" si="126"/>
        <v>-0.66410682048678105</v>
      </c>
      <c r="P155" s="5">
        <f t="shared" ca="1" si="108"/>
        <v>-1.2832969206762468E-2</v>
      </c>
      <c r="Q155" s="5">
        <f t="shared" ca="1" si="127"/>
        <v>6.3414301954007768E-2</v>
      </c>
      <c r="R155" s="5">
        <f t="shared" ca="1" si="128"/>
        <v>-1.5267282327680987</v>
      </c>
      <c r="S155" s="5">
        <f t="shared" ca="1" si="109"/>
        <v>-0.13264700082037351</v>
      </c>
      <c r="T155" s="5">
        <f t="shared" ca="1" si="129"/>
        <v>0.26179491701141899</v>
      </c>
      <c r="U155" s="5">
        <f t="shared" ca="1" si="130"/>
        <v>-0.63782157421094532</v>
      </c>
      <c r="V155" s="5">
        <f t="shared" ca="1" si="110"/>
        <v>-8.9330967979346365E-3</v>
      </c>
      <c r="W155" s="5">
        <f t="shared" ca="1" si="131"/>
        <v>0.36382361162638543</v>
      </c>
      <c r="X155" s="5">
        <f t="shared" ca="1" si="132"/>
        <v>-0.3482569476166103</v>
      </c>
      <c r="Y155" s="5">
        <f t="shared" ca="1" si="111"/>
        <v>3.5062134095053876E-2</v>
      </c>
      <c r="Z155" s="5">
        <f t="shared" ca="1" si="133"/>
        <v>0.84423450414947754</v>
      </c>
      <c r="AA155" s="5">
        <f t="shared" ca="1" si="134"/>
        <v>1.0120147694368928</v>
      </c>
      <c r="AB155" s="5">
        <f t="shared" ca="1" si="112"/>
        <v>0.26934651816328636</v>
      </c>
      <c r="AC155" s="5">
        <f t="shared" ca="1" si="135"/>
        <v>0.36236827857501797</v>
      </c>
      <c r="AD155" s="5">
        <f t="shared" ca="1" si="136"/>
        <v>-0.35213561864784959</v>
      </c>
      <c r="AE155" s="5">
        <f t="shared" ca="1" si="113"/>
        <v>3.4460109413955387E-2</v>
      </c>
      <c r="AF155" s="5">
        <f t="shared" ca="1" si="93"/>
        <v>1.0695055780538747</v>
      </c>
      <c r="AG155" s="5">
        <f t="shared" ca="1" si="94"/>
        <v>1.4474255738885267</v>
      </c>
      <c r="AH155" s="5">
        <f t="shared" ca="1" si="95"/>
        <v>0.99162006541148795</v>
      </c>
      <c r="AI155" s="5">
        <f t="shared" ca="1" si="96"/>
        <v>1.3498772454195163</v>
      </c>
      <c r="AJ155" s="5">
        <f t="shared" ca="1" si="97"/>
        <v>0.98716703079323753</v>
      </c>
      <c r="AK155" s="5">
        <f t="shared" ca="1" si="98"/>
        <v>0.86735299917962649</v>
      </c>
      <c r="AL155" s="5">
        <f t="shared" ca="1" si="99"/>
        <v>0.99106690320206536</v>
      </c>
      <c r="AM155" s="5">
        <f t="shared" ca="1" si="100"/>
        <v>1.0350621340950539</v>
      </c>
      <c r="AN155" s="5">
        <f t="shared" ca="1" si="101"/>
        <v>1.2693465181632864</v>
      </c>
      <c r="AO155" s="5">
        <f t="shared" ca="1" si="102"/>
        <v>1.0344601094139554</v>
      </c>
      <c r="AP155" s="5">
        <f t="shared" ca="1" si="103"/>
        <v>2.3898395479833616</v>
      </c>
      <c r="AQ155" s="4">
        <f t="shared" ca="1" si="114"/>
        <v>23898.395479833616</v>
      </c>
      <c r="AR155">
        <f t="shared" ca="1" si="115"/>
        <v>0</v>
      </c>
      <c r="AS155">
        <f t="shared" ca="1" si="116"/>
        <v>0</v>
      </c>
    </row>
    <row r="156" spans="1:45" x14ac:dyDescent="0.25">
      <c r="A156" s="10">
        <f t="shared" ref="A156:A219" si="137">A155+1</f>
        <v>135</v>
      </c>
      <c r="B156" s="5">
        <f t="shared" ca="1" si="117"/>
        <v>0.82876258278767623</v>
      </c>
      <c r="C156" s="5">
        <f t="shared" ca="1" si="118"/>
        <v>0.94928666389212579</v>
      </c>
      <c r="D156" s="5">
        <f t="shared" ca="1" si="104"/>
        <v>0.25745897673368057</v>
      </c>
      <c r="E156" s="5">
        <f t="shared" ca="1" si="119"/>
        <v>0.89335975974297477</v>
      </c>
      <c r="F156" s="5">
        <f t="shared" ca="1" si="120"/>
        <v>1.2445954859315891</v>
      </c>
      <c r="G156" s="5">
        <f t="shared" ca="1" si="105"/>
        <v>0.31441187585325525</v>
      </c>
      <c r="H156" s="5">
        <f t="shared" ca="1" si="121"/>
        <v>0.1807453483561714</v>
      </c>
      <c r="I156" s="5">
        <f t="shared" ca="1" si="122"/>
        <v>-0.91252826623024841</v>
      </c>
      <c r="J156" s="5">
        <f t="shared" ca="1" si="106"/>
        <v>-4.8941058519924252E-2</v>
      </c>
      <c r="K156" s="5">
        <f t="shared" ca="1" si="123"/>
        <v>0.43856451824708786</v>
      </c>
      <c r="L156" s="5">
        <f t="shared" ca="1" si="124"/>
        <v>-0.15460968220344884</v>
      </c>
      <c r="M156" s="5">
        <f t="shared" ca="1" si="107"/>
        <v>6.5568593890692028E-2</v>
      </c>
      <c r="N156" s="5">
        <f t="shared" ca="1" si="125"/>
        <v>0.43608628591491616</v>
      </c>
      <c r="O156" s="5">
        <f t="shared" ca="1" si="126"/>
        <v>-0.16089948004955881</v>
      </c>
      <c r="P156" s="5">
        <f t="shared" ca="1" si="108"/>
        <v>6.4563736334536825E-2</v>
      </c>
      <c r="Q156" s="5">
        <f t="shared" ca="1" si="127"/>
        <v>0.14355644402408274</v>
      </c>
      <c r="R156" s="5">
        <f t="shared" ca="1" si="128"/>
        <v>-1.0644765145254511</v>
      </c>
      <c r="S156" s="5">
        <f t="shared" ca="1" si="109"/>
        <v>-7.0372654757818953E-2</v>
      </c>
      <c r="T156" s="5">
        <f t="shared" ca="1" si="129"/>
        <v>8.9699321242629027E-2</v>
      </c>
      <c r="U156" s="5">
        <f t="shared" ca="1" si="130"/>
        <v>-1.3426089138801953</v>
      </c>
      <c r="V156" s="5">
        <f t="shared" ca="1" si="110"/>
        <v>-0.1083586819523682</v>
      </c>
      <c r="W156" s="5">
        <f t="shared" ca="1" si="131"/>
        <v>4.2898609210983318E-2</v>
      </c>
      <c r="X156" s="5">
        <f t="shared" ca="1" si="132"/>
        <v>-1.7179966932863655</v>
      </c>
      <c r="Y156" s="5">
        <f t="shared" ca="1" si="111"/>
        <v>-0.15717800848283814</v>
      </c>
      <c r="Z156" s="5">
        <f t="shared" ca="1" si="133"/>
        <v>0.3897424028781572</v>
      </c>
      <c r="AA156" s="5">
        <f t="shared" ca="1" si="134"/>
        <v>-0.27999048391758469</v>
      </c>
      <c r="AB156" s="5">
        <f t="shared" ca="1" si="112"/>
        <v>4.5715591283588264E-2</v>
      </c>
      <c r="AC156" s="5">
        <f t="shared" ca="1" si="135"/>
        <v>0.69196015904573061</v>
      </c>
      <c r="AD156" s="5">
        <f t="shared" ca="1" si="136"/>
        <v>0.5014141520780464</v>
      </c>
      <c r="AE156" s="5">
        <f t="shared" ca="1" si="113"/>
        <v>0.17575691456926545</v>
      </c>
      <c r="AF156" s="5">
        <f t="shared" ref="AF156:AF219" ca="1" si="138">1+D156</f>
        <v>1.2574589767336806</v>
      </c>
      <c r="AG156" s="5">
        <f t="shared" ref="AG156:AG219" ca="1" si="139">1+G156</f>
        <v>1.3144118758532553</v>
      </c>
      <c r="AH156" s="5">
        <f t="shared" ref="AH156:AH219" ca="1" si="140">1+J156</f>
        <v>0.95105894148007575</v>
      </c>
      <c r="AI156" s="5">
        <f t="shared" ref="AI156:AI219" ca="1" si="141">1+M156</f>
        <v>1.065568593890692</v>
      </c>
      <c r="AJ156" s="5">
        <f t="shared" ref="AJ156:AJ219" ca="1" si="142">1+P156</f>
        <v>1.0645637363345368</v>
      </c>
      <c r="AK156" s="5">
        <f t="shared" ref="AK156:AK219" ca="1" si="143">1+S156</f>
        <v>0.92962734524218105</v>
      </c>
      <c r="AL156" s="5">
        <f t="shared" ref="AL156:AL219" ca="1" si="144">1+V156</f>
        <v>0.8916413180476318</v>
      </c>
      <c r="AM156" s="5">
        <f t="shared" ref="AM156:AM219" ca="1" si="145">1+Y156</f>
        <v>0.84282199151716186</v>
      </c>
      <c r="AN156" s="5">
        <f t="shared" ref="AN156:AN219" ca="1" si="146">1+AB156</f>
        <v>1.0457155912835883</v>
      </c>
      <c r="AO156" s="5">
        <f t="shared" ref="AO156:AO219" ca="1" si="147">1+AE156</f>
        <v>1.1757569145692655</v>
      </c>
      <c r="AP156" s="5">
        <f t="shared" ref="AP156:AP219" ca="1" si="148">PRODUCT(AF156:AO156)</f>
        <v>1.5316229734835867</v>
      </c>
      <c r="AQ156" s="4">
        <f t="shared" ca="1" si="114"/>
        <v>15316.229734835866</v>
      </c>
      <c r="AR156">
        <f t="shared" ca="1" si="115"/>
        <v>0</v>
      </c>
      <c r="AS156">
        <f t="shared" ca="1" si="116"/>
        <v>0</v>
      </c>
    </row>
    <row r="157" spans="1:45" x14ac:dyDescent="0.25">
      <c r="A157" s="10">
        <f t="shared" si="137"/>
        <v>136</v>
      </c>
      <c r="B157" s="5">
        <f t="shared" ca="1" si="117"/>
        <v>0.13094966005211783</v>
      </c>
      <c r="C157" s="5">
        <f t="shared" ca="1" si="118"/>
        <v>-1.1219132648216654</v>
      </c>
      <c r="D157" s="5">
        <f t="shared" ca="1" si="104"/>
        <v>-7.8347467932081027E-2</v>
      </c>
      <c r="E157" s="5">
        <f t="shared" ca="1" si="119"/>
        <v>0.86489420107825399</v>
      </c>
      <c r="F157" s="5">
        <f t="shared" ca="1" si="120"/>
        <v>1.102575400536614</v>
      </c>
      <c r="G157" s="5">
        <f t="shared" ca="1" si="105"/>
        <v>0.28670708828472091</v>
      </c>
      <c r="H157" s="5">
        <f t="shared" ca="1" si="121"/>
        <v>0.91843744057683441</v>
      </c>
      <c r="I157" s="5">
        <f t="shared" ca="1" si="122"/>
        <v>1.3946377052880874</v>
      </c>
      <c r="J157" s="5">
        <f t="shared" ca="1" si="106"/>
        <v>0.34432987647883784</v>
      </c>
      <c r="K157" s="5">
        <f t="shared" ca="1" si="123"/>
        <v>0.65133678943216644</v>
      </c>
      <c r="L157" s="5">
        <f t="shared" ca="1" si="124"/>
        <v>0.38893203848420849</v>
      </c>
      <c r="M157" s="5">
        <f t="shared" ca="1" si="107"/>
        <v>0.15608558823219276</v>
      </c>
      <c r="N157" s="5">
        <f t="shared" ca="1" si="125"/>
        <v>0.50474968223968464</v>
      </c>
      <c r="O157" s="5">
        <f t="shared" ca="1" si="126"/>
        <v>1.1905969074211117E-2</v>
      </c>
      <c r="P157" s="5">
        <f t="shared" ca="1" si="108"/>
        <v>9.2518842918069444E-2</v>
      </c>
      <c r="Q157" s="5">
        <f t="shared" ca="1" si="127"/>
        <v>0.45519723956647562</v>
      </c>
      <c r="R157" s="5">
        <f t="shared" ca="1" si="128"/>
        <v>-0.11254097954026053</v>
      </c>
      <c r="S157" s="5">
        <f t="shared" ca="1" si="109"/>
        <v>7.2313917284360096E-2</v>
      </c>
      <c r="T157" s="5">
        <f t="shared" ca="1" si="129"/>
        <v>0.7052204589613621</v>
      </c>
      <c r="U157" s="5">
        <f t="shared" ca="1" si="130"/>
        <v>0.5394750877978195</v>
      </c>
      <c r="V157" s="5">
        <f t="shared" ca="1" si="110"/>
        <v>0.18248867381585865</v>
      </c>
      <c r="W157" s="5">
        <f t="shared" ca="1" si="131"/>
        <v>3.0262595672736925E-2</v>
      </c>
      <c r="X157" s="5">
        <f t="shared" ca="1" si="132"/>
        <v>-1.8769482177511303</v>
      </c>
      <c r="Y157" s="5">
        <f t="shared" ca="1" si="111"/>
        <v>-0.17703551526998185</v>
      </c>
      <c r="Z157" s="5">
        <f t="shared" ca="1" si="133"/>
        <v>0.91489395535425833</v>
      </c>
      <c r="AA157" s="5">
        <f t="shared" ca="1" si="134"/>
        <v>1.3715226450224525</v>
      </c>
      <c r="AB157" s="5">
        <f t="shared" ca="1" si="112"/>
        <v>0.33967680792064692</v>
      </c>
      <c r="AC157" s="5">
        <f t="shared" ca="1" si="135"/>
        <v>0.12288223042120927</v>
      </c>
      <c r="AD157" s="5">
        <f t="shared" ca="1" si="136"/>
        <v>-1.1606986751110602</v>
      </c>
      <c r="AE157" s="5">
        <f t="shared" ca="1" si="113"/>
        <v>-8.3693901321192699E-2</v>
      </c>
      <c r="AF157" s="5">
        <f t="shared" ca="1" si="138"/>
        <v>0.92165253206791897</v>
      </c>
      <c r="AG157" s="5">
        <f t="shared" ca="1" si="139"/>
        <v>1.2867070882847209</v>
      </c>
      <c r="AH157" s="5">
        <f t="shared" ca="1" si="140"/>
        <v>1.3443298764788378</v>
      </c>
      <c r="AI157" s="5">
        <f t="shared" ca="1" si="141"/>
        <v>1.1560855882321928</v>
      </c>
      <c r="AJ157" s="5">
        <f t="shared" ca="1" si="142"/>
        <v>1.0925188429180694</v>
      </c>
      <c r="AK157" s="5">
        <f t="shared" ca="1" si="143"/>
        <v>1.0723139172843601</v>
      </c>
      <c r="AL157" s="5">
        <f t="shared" ca="1" si="144"/>
        <v>1.1824886738158586</v>
      </c>
      <c r="AM157" s="5">
        <f t="shared" ca="1" si="145"/>
        <v>0.82296448473001815</v>
      </c>
      <c r="AN157" s="5">
        <f t="shared" ca="1" si="146"/>
        <v>1.3396768079206469</v>
      </c>
      <c r="AO157" s="5">
        <f t="shared" ca="1" si="147"/>
        <v>0.9163060986788073</v>
      </c>
      <c r="AP157" s="5">
        <f t="shared" ca="1" si="148"/>
        <v>2.5793621929762613</v>
      </c>
      <c r="AQ157" s="4">
        <f t="shared" ca="1" si="114"/>
        <v>25793.621929762612</v>
      </c>
      <c r="AR157">
        <f t="shared" ca="1" si="115"/>
        <v>1</v>
      </c>
      <c r="AS157">
        <f t="shared" ca="1" si="116"/>
        <v>0</v>
      </c>
    </row>
    <row r="158" spans="1:45" x14ac:dyDescent="0.25">
      <c r="A158" s="10">
        <f t="shared" si="137"/>
        <v>137</v>
      </c>
      <c r="B158" s="5">
        <f t="shared" ca="1" si="117"/>
        <v>0.90674020056786431</v>
      </c>
      <c r="C158" s="5">
        <f t="shared" ca="1" si="118"/>
        <v>1.3209453144720631</v>
      </c>
      <c r="D158" s="5">
        <f t="shared" ca="1" si="104"/>
        <v>0.32955167264632923</v>
      </c>
      <c r="E158" s="5">
        <f t="shared" ca="1" si="119"/>
        <v>0.48068572128666187</v>
      </c>
      <c r="F158" s="5">
        <f t="shared" ca="1" si="120"/>
        <v>-4.8432645379756424E-2</v>
      </c>
      <c r="G158" s="5">
        <f t="shared" ca="1" si="105"/>
        <v>8.2675295079865485E-2</v>
      </c>
      <c r="H158" s="5">
        <f t="shared" ca="1" si="121"/>
        <v>0.8501107585174954</v>
      </c>
      <c r="I158" s="5">
        <f t="shared" ca="1" si="122"/>
        <v>1.0369085412268686</v>
      </c>
      <c r="J158" s="5">
        <f t="shared" ca="1" si="106"/>
        <v>0.27409520197628434</v>
      </c>
      <c r="K158" s="5">
        <f t="shared" ca="1" si="123"/>
        <v>0.62364563542241636</v>
      </c>
      <c r="L158" s="5">
        <f t="shared" ca="1" si="124"/>
        <v>0.31506970591433636</v>
      </c>
      <c r="M158" s="5">
        <f t="shared" ca="1" si="107"/>
        <v>0.14334760608392649</v>
      </c>
      <c r="N158" s="5">
        <f t="shared" ca="1" si="125"/>
        <v>0.63193460304300875</v>
      </c>
      <c r="O158" s="5">
        <f t="shared" ca="1" si="126"/>
        <v>0.33698156932807977</v>
      </c>
      <c r="P158" s="5">
        <f t="shared" ca="1" si="108"/>
        <v>0.14711172008854567</v>
      </c>
      <c r="Q158" s="5">
        <f t="shared" ca="1" si="127"/>
        <v>0.73915581495478</v>
      </c>
      <c r="R158" s="5">
        <f t="shared" ca="1" si="128"/>
        <v>0.64074500310173699</v>
      </c>
      <c r="S158" s="5">
        <f t="shared" ca="1" si="109"/>
        <v>0.20058837660302897</v>
      </c>
      <c r="T158" s="5">
        <f t="shared" ca="1" si="129"/>
        <v>7.0932529321596549E-2</v>
      </c>
      <c r="U158" s="5">
        <f t="shared" ca="1" si="130"/>
        <v>-1.4688810379540729</v>
      </c>
      <c r="V158" s="5">
        <f t="shared" ca="1" si="110"/>
        <v>-0.12508816324314076</v>
      </c>
      <c r="W158" s="5">
        <f t="shared" ca="1" si="131"/>
        <v>0.38456289598143578</v>
      </c>
      <c r="X158" s="5">
        <f t="shared" ca="1" si="132"/>
        <v>-0.29351859025207544</v>
      </c>
      <c r="Y158" s="5">
        <f t="shared" ca="1" si="111"/>
        <v>4.3595760051489796E-2</v>
      </c>
      <c r="Z158" s="5">
        <f t="shared" ca="1" si="133"/>
        <v>0.66763126849478704</v>
      </c>
      <c r="AA158" s="5">
        <f t="shared" ca="1" si="134"/>
        <v>0.43338174126089951</v>
      </c>
      <c r="AB158" s="5">
        <f t="shared" ca="1" si="112"/>
        <v>0.16381949142592012</v>
      </c>
      <c r="AC158" s="5">
        <f t="shared" ca="1" si="135"/>
        <v>0.3747610563268301</v>
      </c>
      <c r="AD158" s="5">
        <f t="shared" ca="1" si="136"/>
        <v>-0.3192695609018254</v>
      </c>
      <c r="AE158" s="5">
        <f t="shared" ca="1" si="113"/>
        <v>3.9572494709745332E-2</v>
      </c>
      <c r="AF158" s="5">
        <f t="shared" ca="1" si="138"/>
        <v>1.3295516726463292</v>
      </c>
      <c r="AG158" s="5">
        <f t="shared" ca="1" si="139"/>
        <v>1.0826752950798655</v>
      </c>
      <c r="AH158" s="5">
        <f t="shared" ca="1" si="140"/>
        <v>1.2740952019762843</v>
      </c>
      <c r="AI158" s="5">
        <f t="shared" ca="1" si="141"/>
        <v>1.1433476060839265</v>
      </c>
      <c r="AJ158" s="5">
        <f t="shared" ca="1" si="142"/>
        <v>1.1471117200885457</v>
      </c>
      <c r="AK158" s="5">
        <f t="shared" ca="1" si="143"/>
        <v>1.200588376603029</v>
      </c>
      <c r="AL158" s="5">
        <f t="shared" ca="1" si="144"/>
        <v>0.87491183675685924</v>
      </c>
      <c r="AM158" s="5">
        <f t="shared" ca="1" si="145"/>
        <v>1.0435957600514898</v>
      </c>
      <c r="AN158" s="5">
        <f t="shared" ca="1" si="146"/>
        <v>1.1638194914259201</v>
      </c>
      <c r="AO158" s="5">
        <f t="shared" ca="1" si="147"/>
        <v>1.0395724947097453</v>
      </c>
      <c r="AP158" s="5">
        <f t="shared" ca="1" si="148"/>
        <v>3.1902188074527769</v>
      </c>
      <c r="AQ158" s="4">
        <f t="shared" ca="1" si="114"/>
        <v>31902.18807452777</v>
      </c>
      <c r="AR158">
        <f t="shared" ca="1" si="115"/>
        <v>1</v>
      </c>
      <c r="AS158">
        <f t="shared" ca="1" si="116"/>
        <v>0</v>
      </c>
    </row>
    <row r="159" spans="1:45" x14ac:dyDescent="0.25">
      <c r="A159" s="10">
        <f t="shared" si="137"/>
        <v>138</v>
      </c>
      <c r="B159" s="5">
        <f t="shared" ca="1" si="117"/>
        <v>0.51839558618880066</v>
      </c>
      <c r="C159" s="5">
        <f t="shared" ca="1" si="118"/>
        <v>4.6127248918681606E-2</v>
      </c>
      <c r="D159" s="5">
        <f t="shared" ca="1" si="104"/>
        <v>9.8141370287119223E-2</v>
      </c>
      <c r="E159" s="5">
        <f t="shared" ca="1" si="119"/>
        <v>0.60769308416007328</v>
      </c>
      <c r="F159" s="5">
        <f t="shared" ca="1" si="120"/>
        <v>0.27331142760173105</v>
      </c>
      <c r="G159" s="5">
        <f t="shared" ca="1" si="105"/>
        <v>0.13620835450859969</v>
      </c>
      <c r="H159" s="5">
        <f t="shared" ca="1" si="121"/>
        <v>9.4931220470846456E-2</v>
      </c>
      <c r="I159" s="5">
        <f t="shared" ca="1" si="122"/>
        <v>-1.3109861557434084</v>
      </c>
      <c r="J159" s="5">
        <f t="shared" ca="1" si="106"/>
        <v>-0.1041192114583005</v>
      </c>
      <c r="K159" s="5">
        <f t="shared" ca="1" si="123"/>
        <v>0.26210221134275202</v>
      </c>
      <c r="L159" s="5">
        <f t="shared" ca="1" si="124"/>
        <v>-0.63687783308279022</v>
      </c>
      <c r="M159" s="5">
        <f t="shared" ca="1" si="107"/>
        <v>-8.7927902775956079E-3</v>
      </c>
      <c r="N159" s="5">
        <f t="shared" ca="1" si="125"/>
        <v>0.89487407824840393</v>
      </c>
      <c r="O159" s="5">
        <f t="shared" ca="1" si="126"/>
        <v>1.2528732359514239</v>
      </c>
      <c r="P159" s="5">
        <f t="shared" ca="1" si="108"/>
        <v>0.31604494544379302</v>
      </c>
      <c r="Q159" s="5">
        <f t="shared" ca="1" si="127"/>
        <v>0.14852475378427765</v>
      </c>
      <c r="R159" s="5">
        <f t="shared" ca="1" si="128"/>
        <v>-1.0427814866781908</v>
      </c>
      <c r="S159" s="5">
        <f t="shared" ca="1" si="109"/>
        <v>-6.7342483286513266E-2</v>
      </c>
      <c r="T159" s="5">
        <f t="shared" ca="1" si="129"/>
        <v>0.14923977251349563</v>
      </c>
      <c r="U159" s="5">
        <f t="shared" ca="1" si="130"/>
        <v>-1.0396994740726202</v>
      </c>
      <c r="V159" s="5">
        <f t="shared" ca="1" si="110"/>
        <v>-6.6911214272475261E-2</v>
      </c>
      <c r="W159" s="5">
        <f t="shared" ca="1" si="131"/>
        <v>1.3592125610756289E-2</v>
      </c>
      <c r="X159" s="5">
        <f t="shared" ca="1" si="132"/>
        <v>-2.2088618532602413</v>
      </c>
      <c r="Y159" s="5">
        <f t="shared" ca="1" si="111"/>
        <v>-0.21700524216565265</v>
      </c>
      <c r="Z159" s="5">
        <f t="shared" ca="1" si="133"/>
        <v>0.96618494069003646</v>
      </c>
      <c r="AA159" s="5">
        <f t="shared" ca="1" si="134"/>
        <v>1.8274634381967818</v>
      </c>
      <c r="AB159" s="5">
        <f t="shared" ca="1" si="112"/>
        <v>0.43450453200900085</v>
      </c>
      <c r="AC159" s="5">
        <f t="shared" ca="1" si="135"/>
        <v>0.65239917528636548</v>
      </c>
      <c r="AD159" s="5">
        <f t="shared" ca="1" si="136"/>
        <v>0.39180588094817415</v>
      </c>
      <c r="AE159" s="5">
        <f t="shared" ca="1" si="113"/>
        <v>0.15658405684180887</v>
      </c>
      <c r="AF159" s="5">
        <f t="shared" ca="1" si="138"/>
        <v>1.0981413702871192</v>
      </c>
      <c r="AG159" s="5">
        <f t="shared" ca="1" si="139"/>
        <v>1.1362083545085997</v>
      </c>
      <c r="AH159" s="5">
        <f t="shared" ca="1" si="140"/>
        <v>0.8958807885416995</v>
      </c>
      <c r="AI159" s="5">
        <f t="shared" ca="1" si="141"/>
        <v>0.99120720972240439</v>
      </c>
      <c r="AJ159" s="5">
        <f t="shared" ca="1" si="142"/>
        <v>1.316044945443793</v>
      </c>
      <c r="AK159" s="5">
        <f t="shared" ca="1" si="143"/>
        <v>0.93265751671348673</v>
      </c>
      <c r="AL159" s="5">
        <f t="shared" ca="1" si="144"/>
        <v>0.93308878572752474</v>
      </c>
      <c r="AM159" s="5">
        <f t="shared" ca="1" si="145"/>
        <v>0.78299475783434735</v>
      </c>
      <c r="AN159" s="5">
        <f t="shared" ca="1" si="146"/>
        <v>1.4345045320090009</v>
      </c>
      <c r="AO159" s="5">
        <f t="shared" ca="1" si="147"/>
        <v>1.1565840568418089</v>
      </c>
      <c r="AP159" s="5">
        <f t="shared" ca="1" si="148"/>
        <v>1.6484841428041017</v>
      </c>
      <c r="AQ159" s="4">
        <f t="shared" ca="1" si="114"/>
        <v>16484.841428041018</v>
      </c>
      <c r="AR159">
        <f t="shared" ca="1" si="115"/>
        <v>0</v>
      </c>
      <c r="AS159">
        <f t="shared" ca="1" si="116"/>
        <v>0</v>
      </c>
    </row>
    <row r="160" spans="1:45" x14ac:dyDescent="0.25">
      <c r="A160" s="10">
        <f t="shared" si="137"/>
        <v>139</v>
      </c>
      <c r="B160" s="5">
        <f t="shared" ca="1" si="117"/>
        <v>0.55282112226017477</v>
      </c>
      <c r="C160" s="5">
        <f t="shared" ca="1" si="118"/>
        <v>0.1327921592173773</v>
      </c>
      <c r="D160" s="5">
        <f t="shared" ca="1" si="104"/>
        <v>0.11251011136303779</v>
      </c>
      <c r="E160" s="5">
        <f t="shared" ca="1" si="119"/>
        <v>0.59602536525125815</v>
      </c>
      <c r="F160" s="5">
        <f t="shared" ca="1" si="120"/>
        <v>0.2430724544892828</v>
      </c>
      <c r="G160" s="5">
        <f t="shared" ca="1" si="105"/>
        <v>0.13106635889222518</v>
      </c>
      <c r="H160" s="5">
        <f t="shared" ca="1" si="121"/>
        <v>0.46619707940562716</v>
      </c>
      <c r="I160" s="5">
        <f t="shared" ca="1" si="122"/>
        <v>-8.4832998839592513E-2</v>
      </c>
      <c r="J160" s="5">
        <f t="shared" ca="1" si="106"/>
        <v>7.6779939689002985E-2</v>
      </c>
      <c r="K160" s="5">
        <f t="shared" ca="1" si="123"/>
        <v>0.51043243294604745</v>
      </c>
      <c r="L160" s="5">
        <f t="shared" ca="1" si="124"/>
        <v>2.6153212514815217E-2</v>
      </c>
      <c r="M160" s="5">
        <f t="shared" ca="1" si="107"/>
        <v>9.4856146826612031E-2</v>
      </c>
      <c r="N160" s="5">
        <f t="shared" ca="1" si="125"/>
        <v>4.4844090095068623E-3</v>
      </c>
      <c r="O160" s="5">
        <f t="shared" ca="1" si="126"/>
        <v>-2.613240441041587</v>
      </c>
      <c r="P160" s="5">
        <f t="shared" ca="1" si="108"/>
        <v>-0.26308746150081319</v>
      </c>
      <c r="Q160" s="5">
        <f t="shared" ca="1" si="127"/>
        <v>1.4662437794570327E-3</v>
      </c>
      <c r="R160" s="5">
        <f t="shared" ca="1" si="128"/>
        <v>-2.9747276712302622</v>
      </c>
      <c r="S160" s="5">
        <f t="shared" ca="1" si="109"/>
        <v>-0.30198113592150799</v>
      </c>
      <c r="T160" s="5">
        <f t="shared" ca="1" si="129"/>
        <v>0.17023993033289675</v>
      </c>
      <c r="U160" s="5">
        <f t="shared" ca="1" si="130"/>
        <v>-0.95321754103246092</v>
      </c>
      <c r="V160" s="5">
        <f t="shared" ca="1" si="110"/>
        <v>-5.4728065166104178E-2</v>
      </c>
      <c r="W160" s="5">
        <f t="shared" ca="1" si="131"/>
        <v>1.984782473401614E-3</v>
      </c>
      <c r="X160" s="5">
        <f t="shared" ca="1" si="132"/>
        <v>-2.8805702377028473</v>
      </c>
      <c r="Y160" s="5">
        <f t="shared" ca="1" si="111"/>
        <v>-0.29205263810298754</v>
      </c>
      <c r="Z160" s="5">
        <f t="shared" ca="1" si="133"/>
        <v>0.41061023678742858</v>
      </c>
      <c r="AA160" s="5">
        <f t="shared" ca="1" si="134"/>
        <v>-0.22597550267048871</v>
      </c>
      <c r="AB160" s="5">
        <f t="shared" ca="1" si="112"/>
        <v>5.4222654116362179E-2</v>
      </c>
      <c r="AC160" s="5">
        <f t="shared" ca="1" si="135"/>
        <v>0.34903583338712052</v>
      </c>
      <c r="AD160" s="5">
        <f t="shared" ca="1" si="136"/>
        <v>-0.38792482427332159</v>
      </c>
      <c r="AE160" s="5">
        <f t="shared" ca="1" si="113"/>
        <v>2.8921613258602985E-2</v>
      </c>
      <c r="AF160" s="5">
        <f t="shared" ca="1" si="138"/>
        <v>1.1125101113630378</v>
      </c>
      <c r="AG160" s="5">
        <f t="shared" ca="1" si="139"/>
        <v>1.1310663588922252</v>
      </c>
      <c r="AH160" s="5">
        <f t="shared" ca="1" si="140"/>
        <v>1.076779939689003</v>
      </c>
      <c r="AI160" s="5">
        <f t="shared" ca="1" si="141"/>
        <v>1.094856146826612</v>
      </c>
      <c r="AJ160" s="5">
        <f t="shared" ca="1" si="142"/>
        <v>0.73691253849918681</v>
      </c>
      <c r="AK160" s="5">
        <f t="shared" ca="1" si="143"/>
        <v>0.69801886407849201</v>
      </c>
      <c r="AL160" s="5">
        <f t="shared" ca="1" si="144"/>
        <v>0.94527193483389582</v>
      </c>
      <c r="AM160" s="5">
        <f t="shared" ca="1" si="145"/>
        <v>0.70794736189701246</v>
      </c>
      <c r="AN160" s="5">
        <f t="shared" ca="1" si="146"/>
        <v>1.0542226541163622</v>
      </c>
      <c r="AO160" s="5">
        <f t="shared" ca="1" si="147"/>
        <v>1.028921613258603</v>
      </c>
      <c r="AP160" s="5">
        <f t="shared" ca="1" si="148"/>
        <v>0.5539002245276845</v>
      </c>
      <c r="AQ160" s="4">
        <f t="shared" ca="1" si="114"/>
        <v>5539.0022452768453</v>
      </c>
      <c r="AR160">
        <f t="shared" ca="1" si="115"/>
        <v>0</v>
      </c>
      <c r="AS160">
        <f t="shared" ca="1" si="116"/>
        <v>0</v>
      </c>
    </row>
    <row r="161" spans="1:45" x14ac:dyDescent="0.25">
      <c r="A161" s="10">
        <f t="shared" si="137"/>
        <v>140</v>
      </c>
      <c r="B161" s="5">
        <f t="shared" ca="1" si="117"/>
        <v>0.60962061162151038</v>
      </c>
      <c r="C161" s="5">
        <f t="shared" ca="1" si="118"/>
        <v>0.27833035456458394</v>
      </c>
      <c r="D161" s="5">
        <f t="shared" ca="1" si="104"/>
        <v>0.13706405858378279</v>
      </c>
      <c r="E161" s="5">
        <f t="shared" ca="1" si="119"/>
        <v>0.86674349286763208</v>
      </c>
      <c r="F161" s="5">
        <f t="shared" ca="1" si="120"/>
        <v>1.1111285643552311</v>
      </c>
      <c r="G161" s="5">
        <f t="shared" ca="1" si="105"/>
        <v>0.28835896018986307</v>
      </c>
      <c r="H161" s="5">
        <f t="shared" ca="1" si="121"/>
        <v>7.5306966850122614E-2</v>
      </c>
      <c r="I161" s="5">
        <f t="shared" ca="1" si="122"/>
        <v>-1.4373663192585671</v>
      </c>
      <c r="J161" s="5">
        <f t="shared" ca="1" si="106"/>
        <v>-0.1209424821524403</v>
      </c>
      <c r="K161" s="5">
        <f t="shared" ca="1" si="123"/>
        <v>0.62247556226543643</v>
      </c>
      <c r="L161" s="5">
        <f t="shared" ca="1" si="124"/>
        <v>0.31198901007562696</v>
      </c>
      <c r="M161" s="5">
        <f t="shared" ca="1" si="107"/>
        <v>0.14281938220876911</v>
      </c>
      <c r="N161" s="5">
        <f t="shared" ca="1" si="125"/>
        <v>7.1377388952021836E-2</v>
      </c>
      <c r="O161" s="5">
        <f t="shared" ca="1" si="126"/>
        <v>-1.4656092203598199</v>
      </c>
      <c r="P161" s="5">
        <f t="shared" ca="1" si="108"/>
        <v>-0.12465867507010087</v>
      </c>
      <c r="Q161" s="5">
        <f t="shared" ca="1" si="127"/>
        <v>0.17749989333916327</v>
      </c>
      <c r="R161" s="5">
        <f t="shared" ca="1" si="128"/>
        <v>-0.92493487060860402</v>
      </c>
      <c r="S161" s="5">
        <f t="shared" ca="1" si="109"/>
        <v>-5.0709324450518456E-2</v>
      </c>
      <c r="T161" s="5">
        <f t="shared" ca="1" si="129"/>
        <v>0.65795200218857597</v>
      </c>
      <c r="U161" s="5">
        <f t="shared" ca="1" si="130"/>
        <v>0.40688017735468218</v>
      </c>
      <c r="V161" s="5">
        <f t="shared" ca="1" si="110"/>
        <v>0.1592022193819469</v>
      </c>
      <c r="W161" s="5">
        <f t="shared" ca="1" si="131"/>
        <v>0.80842423337574743</v>
      </c>
      <c r="X161" s="5">
        <f t="shared" ca="1" si="132"/>
        <v>0.87210420340236938</v>
      </c>
      <c r="Y161" s="5">
        <f t="shared" ca="1" si="111"/>
        <v>0.24298485784358537</v>
      </c>
      <c r="Z161" s="5">
        <f t="shared" ca="1" si="133"/>
        <v>0.2186457028970169</v>
      </c>
      <c r="AA161" s="5">
        <f t="shared" ca="1" si="134"/>
        <v>-0.77677520856485649</v>
      </c>
      <c r="AB161" s="5">
        <f t="shared" ca="1" si="112"/>
        <v>-2.9376161066310691E-2</v>
      </c>
      <c r="AC161" s="5">
        <f t="shared" ca="1" si="135"/>
        <v>0.69435236192107719</v>
      </c>
      <c r="AD161" s="5">
        <f t="shared" ca="1" si="136"/>
        <v>0.50822540526422977</v>
      </c>
      <c r="AE161" s="5">
        <f t="shared" ca="1" si="113"/>
        <v>0.17695878513765417</v>
      </c>
      <c r="AF161" s="5">
        <f t="shared" ca="1" si="138"/>
        <v>1.1370640585837828</v>
      </c>
      <c r="AG161" s="5">
        <f t="shared" ca="1" si="139"/>
        <v>1.2883589601898631</v>
      </c>
      <c r="AH161" s="5">
        <f t="shared" ca="1" si="140"/>
        <v>0.8790575178475597</v>
      </c>
      <c r="AI161" s="5">
        <f t="shared" ca="1" si="141"/>
        <v>1.1428193822087691</v>
      </c>
      <c r="AJ161" s="5">
        <f t="shared" ca="1" si="142"/>
        <v>0.87534132492989913</v>
      </c>
      <c r="AK161" s="5">
        <f t="shared" ca="1" si="143"/>
        <v>0.94929067554948154</v>
      </c>
      <c r="AL161" s="5">
        <f t="shared" ca="1" si="144"/>
        <v>1.1592022193819469</v>
      </c>
      <c r="AM161" s="5">
        <f t="shared" ca="1" si="145"/>
        <v>1.2429848578435854</v>
      </c>
      <c r="AN161" s="5">
        <f t="shared" ca="1" si="146"/>
        <v>0.97062383893368931</v>
      </c>
      <c r="AO161" s="5">
        <f t="shared" ca="1" si="147"/>
        <v>1.1769587851376542</v>
      </c>
      <c r="AP161" s="5">
        <f t="shared" ca="1" si="148"/>
        <v>2.0129389421592578</v>
      </c>
      <c r="AQ161" s="4">
        <f t="shared" ca="1" si="114"/>
        <v>20129.389421592579</v>
      </c>
      <c r="AR161">
        <f t="shared" ca="1" si="115"/>
        <v>0</v>
      </c>
      <c r="AS161">
        <f t="shared" ca="1" si="116"/>
        <v>0</v>
      </c>
    </row>
    <row r="162" spans="1:45" x14ac:dyDescent="0.25">
      <c r="A162" s="10">
        <f t="shared" si="137"/>
        <v>141</v>
      </c>
      <c r="B162" s="5">
        <f t="shared" ca="1" si="117"/>
        <v>0.6383567411520169</v>
      </c>
      <c r="C162" s="5">
        <f t="shared" ca="1" si="118"/>
        <v>0.35406987517663968</v>
      </c>
      <c r="D162" s="5">
        <f t="shared" ca="1" si="104"/>
        <v>0.15005582109127413</v>
      </c>
      <c r="E162" s="5">
        <f t="shared" ca="1" si="119"/>
        <v>0.13012647346172612</v>
      </c>
      <c r="F162" s="5">
        <f t="shared" ca="1" si="120"/>
        <v>-1.125793474458183</v>
      </c>
      <c r="G162" s="5">
        <f t="shared" ca="1" si="105"/>
        <v>-7.8883742608047092E-2</v>
      </c>
      <c r="H162" s="5">
        <f t="shared" ca="1" si="121"/>
        <v>0.56161539023250828</v>
      </c>
      <c r="I162" s="5">
        <f t="shared" ca="1" si="122"/>
        <v>0.15506608429542318</v>
      </c>
      <c r="J162" s="5">
        <f t="shared" ca="1" si="106"/>
        <v>0.11623332271973097</v>
      </c>
      <c r="K162" s="5">
        <f t="shared" ca="1" si="123"/>
        <v>3.1905634287855089E-2</v>
      </c>
      <c r="L162" s="5">
        <f t="shared" ca="1" si="124"/>
        <v>-1.8534962120660914</v>
      </c>
      <c r="M162" s="5">
        <f t="shared" ca="1" si="107"/>
        <v>-0.17413539206660467</v>
      </c>
      <c r="N162" s="5">
        <f t="shared" ca="1" si="125"/>
        <v>0.4305946240790467</v>
      </c>
      <c r="O162" s="5">
        <f t="shared" ca="1" si="126"/>
        <v>-0.1748605003650141</v>
      </c>
      <c r="P162" s="5">
        <f t="shared" ca="1" si="108"/>
        <v>6.2336709623295405E-2</v>
      </c>
      <c r="Q162" s="5">
        <f t="shared" ca="1" si="127"/>
        <v>0.68728466705812108</v>
      </c>
      <c r="R162" s="5">
        <f t="shared" ca="1" si="128"/>
        <v>0.48816825807943404</v>
      </c>
      <c r="S162" s="5">
        <f t="shared" ca="1" si="109"/>
        <v>0.17342314108695445</v>
      </c>
      <c r="T162" s="5">
        <f t="shared" ca="1" si="129"/>
        <v>0.78365003269268585</v>
      </c>
      <c r="U162" s="5">
        <f t="shared" ca="1" si="130"/>
        <v>0.78457987289694042</v>
      </c>
      <c r="V162" s="5">
        <f t="shared" ca="1" si="110"/>
        <v>0.2267727992951829</v>
      </c>
      <c r="W162" s="5">
        <f t="shared" ca="1" si="131"/>
        <v>0.65912618836350723</v>
      </c>
      <c r="X162" s="5">
        <f t="shared" ca="1" si="132"/>
        <v>0.41007950945801341</v>
      </c>
      <c r="Y162" s="5">
        <f t="shared" ca="1" si="111"/>
        <v>0.15975865381886778</v>
      </c>
      <c r="Z162" s="5">
        <f t="shared" ca="1" si="133"/>
        <v>0.12555773095225298</v>
      </c>
      <c r="AA162" s="5">
        <f t="shared" ca="1" si="134"/>
        <v>-1.1476442322557892</v>
      </c>
      <c r="AB162" s="5">
        <f t="shared" ca="1" si="112"/>
        <v>-8.1897863584217911E-2</v>
      </c>
      <c r="AC162" s="5">
        <f t="shared" ca="1" si="135"/>
        <v>0.72020069177055135</v>
      </c>
      <c r="AD162" s="5">
        <f t="shared" ca="1" si="136"/>
        <v>0.5834378018010421</v>
      </c>
      <c r="AE162" s="5">
        <f t="shared" ca="1" si="113"/>
        <v>0.19031225310465727</v>
      </c>
      <c r="AF162" s="5">
        <f t="shared" ca="1" si="138"/>
        <v>1.1500558210912741</v>
      </c>
      <c r="AG162" s="5">
        <f t="shared" ca="1" si="139"/>
        <v>0.92111625739195291</v>
      </c>
      <c r="AH162" s="5">
        <f t="shared" ca="1" si="140"/>
        <v>1.116233322719731</v>
      </c>
      <c r="AI162" s="5">
        <f t="shared" ca="1" si="141"/>
        <v>0.82586460793339533</v>
      </c>
      <c r="AJ162" s="5">
        <f t="shared" ca="1" si="142"/>
        <v>1.0623367096232954</v>
      </c>
      <c r="AK162" s="5">
        <f t="shared" ca="1" si="143"/>
        <v>1.1734231410869544</v>
      </c>
      <c r="AL162" s="5">
        <f t="shared" ca="1" si="144"/>
        <v>1.2267727992951829</v>
      </c>
      <c r="AM162" s="5">
        <f t="shared" ca="1" si="145"/>
        <v>1.1597586538188678</v>
      </c>
      <c r="AN162" s="5">
        <f t="shared" ca="1" si="146"/>
        <v>0.91810213641578209</v>
      </c>
      <c r="AO162" s="5">
        <f t="shared" ca="1" si="147"/>
        <v>1.1903122531046573</v>
      </c>
      <c r="AP162" s="5">
        <f t="shared" ca="1" si="148"/>
        <v>1.8927693996192478</v>
      </c>
      <c r="AQ162" s="4">
        <f t="shared" ca="1" si="114"/>
        <v>18927.69399619248</v>
      </c>
      <c r="AR162">
        <f t="shared" ca="1" si="115"/>
        <v>0</v>
      </c>
      <c r="AS162">
        <f t="shared" ca="1" si="116"/>
        <v>0</v>
      </c>
    </row>
    <row r="163" spans="1:45" x14ac:dyDescent="0.25">
      <c r="A163" s="10">
        <f t="shared" si="137"/>
        <v>142</v>
      </c>
      <c r="B163" s="5">
        <f t="shared" ca="1" si="117"/>
        <v>0.25264754033852799</v>
      </c>
      <c r="C163" s="5">
        <f t="shared" ca="1" si="118"/>
        <v>-0.66618152438929712</v>
      </c>
      <c r="D163" s="5">
        <f t="shared" ca="1" si="104"/>
        <v>-1.3140133302375623E-2</v>
      </c>
      <c r="E163" s="5">
        <f t="shared" ca="1" si="119"/>
        <v>0.40577084232745964</v>
      </c>
      <c r="F163" s="5">
        <f t="shared" ca="1" si="120"/>
        <v>-0.23843762962379483</v>
      </c>
      <c r="G163" s="5">
        <f t="shared" ca="1" si="105"/>
        <v>5.2253816399700836E-2</v>
      </c>
      <c r="H163" s="5">
        <f t="shared" ca="1" si="121"/>
        <v>0.57923333974589208</v>
      </c>
      <c r="I163" s="5">
        <f t="shared" ca="1" si="122"/>
        <v>0.19993256614733743</v>
      </c>
      <c r="J163" s="5">
        <f t="shared" ca="1" si="106"/>
        <v>0.12377087735449099</v>
      </c>
      <c r="K163" s="5">
        <f t="shared" ca="1" si="123"/>
        <v>0.63521836574250745</v>
      </c>
      <c r="L163" s="5">
        <f t="shared" ca="1" si="124"/>
        <v>0.34570654034972415</v>
      </c>
      <c r="M163" s="5">
        <f t="shared" ca="1" si="107"/>
        <v>0.14861398038989493</v>
      </c>
      <c r="N163" s="5">
        <f t="shared" ca="1" si="125"/>
        <v>0.58753088778612006</v>
      </c>
      <c r="O163" s="5">
        <f t="shared" ca="1" si="126"/>
        <v>0.22119805398680606</v>
      </c>
      <c r="P163" s="5">
        <f t="shared" ca="1" si="108"/>
        <v>0.12736123099581631</v>
      </c>
      <c r="Q163" s="5">
        <f t="shared" ca="1" si="127"/>
        <v>5.9352955678864561E-2</v>
      </c>
      <c r="R163" s="5">
        <f t="shared" ca="1" si="128"/>
        <v>-1.5602284219887956</v>
      </c>
      <c r="S163" s="5">
        <f t="shared" ca="1" si="109"/>
        <v>-0.13699454185260329</v>
      </c>
      <c r="T163" s="5">
        <f t="shared" ca="1" si="129"/>
        <v>0.45900761553512703</v>
      </c>
      <c r="U163" s="5">
        <f t="shared" ca="1" si="130"/>
        <v>-0.10293415352217075</v>
      </c>
      <c r="V163" s="5">
        <f t="shared" ca="1" si="110"/>
        <v>7.386026116203559E-2</v>
      </c>
      <c r="W163" s="5">
        <f t="shared" ca="1" si="131"/>
        <v>0.58105746315019968</v>
      </c>
      <c r="X163" s="5">
        <f t="shared" ca="1" si="132"/>
        <v>0.20459946465208365</v>
      </c>
      <c r="Y163" s="5">
        <f t="shared" ca="1" si="111"/>
        <v>0.12455783146405608</v>
      </c>
      <c r="Z163" s="5">
        <f t="shared" ca="1" si="133"/>
        <v>0.37488077297091682</v>
      </c>
      <c r="AA163" s="5">
        <f t="shared" ca="1" si="134"/>
        <v>-0.31895380093678888</v>
      </c>
      <c r="AB163" s="5">
        <f t="shared" ca="1" si="112"/>
        <v>3.9621734182012647E-2</v>
      </c>
      <c r="AC163" s="5">
        <f t="shared" ca="1" si="135"/>
        <v>0.7240668856540724</v>
      </c>
      <c r="AD163" s="5">
        <f t="shared" ca="1" si="136"/>
        <v>0.59496595450934509</v>
      </c>
      <c r="AE163" s="5">
        <f t="shared" ca="1" si="113"/>
        <v>0.19237234898746158</v>
      </c>
      <c r="AF163" s="5">
        <f t="shared" ca="1" si="138"/>
        <v>0.98685986669762438</v>
      </c>
      <c r="AG163" s="5">
        <f t="shared" ca="1" si="139"/>
        <v>1.0522538163997008</v>
      </c>
      <c r="AH163" s="5">
        <f t="shared" ca="1" si="140"/>
        <v>1.123770877354491</v>
      </c>
      <c r="AI163" s="5">
        <f t="shared" ca="1" si="141"/>
        <v>1.1486139803898949</v>
      </c>
      <c r="AJ163" s="5">
        <f t="shared" ca="1" si="142"/>
        <v>1.1273612309958163</v>
      </c>
      <c r="AK163" s="5">
        <f t="shared" ca="1" si="143"/>
        <v>0.86300545814739671</v>
      </c>
      <c r="AL163" s="5">
        <f t="shared" ca="1" si="144"/>
        <v>1.0738602611620356</v>
      </c>
      <c r="AM163" s="5">
        <f t="shared" ca="1" si="145"/>
        <v>1.1245578314640561</v>
      </c>
      <c r="AN163" s="5">
        <f t="shared" ca="1" si="146"/>
        <v>1.0396217341820126</v>
      </c>
      <c r="AO163" s="5">
        <f t="shared" ca="1" si="147"/>
        <v>1.1923723489874616</v>
      </c>
      <c r="AP163" s="5">
        <f t="shared" ca="1" si="148"/>
        <v>1.9521865603575559</v>
      </c>
      <c r="AQ163" s="4">
        <f t="shared" ca="1" si="114"/>
        <v>19521.865603575559</v>
      </c>
      <c r="AR163">
        <f t="shared" ca="1" si="115"/>
        <v>0</v>
      </c>
      <c r="AS163">
        <f t="shared" ca="1" si="116"/>
        <v>0</v>
      </c>
    </row>
    <row r="164" spans="1:45" x14ac:dyDescent="0.25">
      <c r="A164" s="10">
        <f t="shared" si="137"/>
        <v>143</v>
      </c>
      <c r="B164" s="5">
        <f t="shared" ca="1" si="117"/>
        <v>0.87404788208846818</v>
      </c>
      <c r="C164" s="5">
        <f t="shared" ca="1" si="118"/>
        <v>1.1457364048566379</v>
      </c>
      <c r="D164" s="5">
        <f t="shared" ca="1" si="104"/>
        <v>0.29506444802584131</v>
      </c>
      <c r="E164" s="5">
        <f t="shared" ca="1" si="119"/>
        <v>0.72634344935502326</v>
      </c>
      <c r="F164" s="5">
        <f t="shared" ca="1" si="120"/>
        <v>0.60179124847452103</v>
      </c>
      <c r="G164" s="5">
        <f t="shared" ca="1" si="105"/>
        <v>0.19359371786557023</v>
      </c>
      <c r="H164" s="5">
        <f t="shared" ca="1" si="121"/>
        <v>0.79531469304216995</v>
      </c>
      <c r="I164" s="5">
        <f t="shared" ca="1" si="122"/>
        <v>0.82500172049071441</v>
      </c>
      <c r="J164" s="5">
        <f t="shared" ca="1" si="106"/>
        <v>0.23423365853545719</v>
      </c>
      <c r="K164" s="5">
        <f t="shared" ca="1" si="123"/>
        <v>0.48635448079095234</v>
      </c>
      <c r="L164" s="5">
        <f t="shared" ca="1" si="124"/>
        <v>-3.4210916434212257E-2</v>
      </c>
      <c r="M164" s="5">
        <f t="shared" ca="1" si="107"/>
        <v>8.498738753685986E-2</v>
      </c>
      <c r="N164" s="5">
        <f t="shared" ca="1" si="125"/>
        <v>0.42782510684564046</v>
      </c>
      <c r="O164" s="5">
        <f t="shared" ca="1" si="126"/>
        <v>-0.18191400473591396</v>
      </c>
      <c r="P164" s="5">
        <f t="shared" ca="1" si="108"/>
        <v>6.1213324519516332E-2</v>
      </c>
      <c r="Q164" s="5">
        <f t="shared" ca="1" si="127"/>
        <v>0.2642675844486998</v>
      </c>
      <c r="R164" s="5">
        <f t="shared" ca="1" si="128"/>
        <v>-0.6302436739542282</v>
      </c>
      <c r="S164" s="5">
        <f t="shared" ca="1" si="109"/>
        <v>-7.8059253788246297E-3</v>
      </c>
      <c r="T164" s="5">
        <f t="shared" ca="1" si="129"/>
        <v>7.2671809499225026E-2</v>
      </c>
      <c r="U164" s="5">
        <f t="shared" ca="1" si="130"/>
        <v>-1.4561772783671239</v>
      </c>
      <c r="V164" s="5">
        <f t="shared" ca="1" si="110"/>
        <v>-0.12341937331006425</v>
      </c>
      <c r="W164" s="5">
        <f t="shared" ca="1" si="131"/>
        <v>0.6244362004029923</v>
      </c>
      <c r="X164" s="5">
        <f t="shared" ca="1" si="132"/>
        <v>0.31715288357090715</v>
      </c>
      <c r="Y164" s="5">
        <f t="shared" ca="1" si="111"/>
        <v>0.14370493133692097</v>
      </c>
      <c r="Z164" s="5">
        <f t="shared" ca="1" si="133"/>
        <v>0.90340884017256073</v>
      </c>
      <c r="AA164" s="5">
        <f t="shared" ca="1" si="134"/>
        <v>1.3012224596180153</v>
      </c>
      <c r="AB164" s="5">
        <f t="shared" ca="1" si="112"/>
        <v>0.32562410202974035</v>
      </c>
      <c r="AC164" s="5">
        <f t="shared" ca="1" si="135"/>
        <v>0.74192936779591379</v>
      </c>
      <c r="AD164" s="5">
        <f t="shared" ca="1" si="136"/>
        <v>0.64930498478116483</v>
      </c>
      <c r="AE164" s="5">
        <f t="shared" ca="1" si="113"/>
        <v>0.20213091887736212</v>
      </c>
      <c r="AF164" s="5">
        <f t="shared" ca="1" si="138"/>
        <v>1.2950644480258413</v>
      </c>
      <c r="AG164" s="5">
        <f t="shared" ca="1" si="139"/>
        <v>1.1935937178655702</v>
      </c>
      <c r="AH164" s="5">
        <f t="shared" ca="1" si="140"/>
        <v>1.2342336585354572</v>
      </c>
      <c r="AI164" s="5">
        <f t="shared" ca="1" si="141"/>
        <v>1.0849873875368599</v>
      </c>
      <c r="AJ164" s="5">
        <f t="shared" ca="1" si="142"/>
        <v>1.0612133245195163</v>
      </c>
      <c r="AK164" s="5">
        <f t="shared" ca="1" si="143"/>
        <v>0.99219407462117537</v>
      </c>
      <c r="AL164" s="5">
        <f t="shared" ca="1" si="144"/>
        <v>0.87658062668993575</v>
      </c>
      <c r="AM164" s="5">
        <f t="shared" ca="1" si="145"/>
        <v>1.143704931336921</v>
      </c>
      <c r="AN164" s="5">
        <f t="shared" ca="1" si="146"/>
        <v>1.3256241020297403</v>
      </c>
      <c r="AO164" s="5">
        <f t="shared" ca="1" si="147"/>
        <v>1.2021309188773621</v>
      </c>
      <c r="AP164" s="5">
        <f t="shared" ca="1" si="148"/>
        <v>3.4821487991338662</v>
      </c>
      <c r="AQ164" s="4">
        <f t="shared" ca="1" si="114"/>
        <v>34821.487991338661</v>
      </c>
      <c r="AR164">
        <f t="shared" ca="1" si="115"/>
        <v>1</v>
      </c>
      <c r="AS164">
        <f t="shared" ca="1" si="116"/>
        <v>0</v>
      </c>
    </row>
    <row r="165" spans="1:45" x14ac:dyDescent="0.25">
      <c r="A165" s="10">
        <f t="shared" si="137"/>
        <v>144</v>
      </c>
      <c r="B165" s="5">
        <f t="shared" ca="1" si="117"/>
        <v>4.2218904065596474E-2</v>
      </c>
      <c r="C165" s="5">
        <f t="shared" ca="1" si="118"/>
        <v>-1.725497754417427</v>
      </c>
      <c r="D165" s="5">
        <f t="shared" ca="1" si="104"/>
        <v>-0.15812578407579547</v>
      </c>
      <c r="E165" s="5">
        <f t="shared" ca="1" si="119"/>
        <v>0.82246425266182166</v>
      </c>
      <c r="F165" s="5">
        <f t="shared" ca="1" si="120"/>
        <v>0.92479703218486708</v>
      </c>
      <c r="G165" s="5">
        <f t="shared" ca="1" si="105"/>
        <v>0.25284824446957277</v>
      </c>
      <c r="H165" s="5">
        <f t="shared" ca="1" si="121"/>
        <v>0.60202977258660784</v>
      </c>
      <c r="I165" s="5">
        <f t="shared" ca="1" si="122"/>
        <v>0.25860444299202701</v>
      </c>
      <c r="J165" s="5">
        <f t="shared" ca="1" si="106"/>
        <v>0.13370458742133717</v>
      </c>
      <c r="K165" s="5">
        <f t="shared" ca="1" si="123"/>
        <v>0.70645544171765706</v>
      </c>
      <c r="L165" s="5">
        <f t="shared" ca="1" si="124"/>
        <v>0.54305909301451338</v>
      </c>
      <c r="M165" s="5">
        <f t="shared" ca="1" si="107"/>
        <v>0.18312455156107599</v>
      </c>
      <c r="N165" s="5">
        <f t="shared" ca="1" si="125"/>
        <v>0.39104520466755999</v>
      </c>
      <c r="O165" s="5">
        <f t="shared" ca="1" si="126"/>
        <v>-0.27659590509512111</v>
      </c>
      <c r="P165" s="5">
        <f t="shared" ca="1" si="108"/>
        <v>4.6248191468652999E-2</v>
      </c>
      <c r="Q165" s="5">
        <f t="shared" ca="1" si="127"/>
        <v>0.92671086763407751</v>
      </c>
      <c r="R165" s="5">
        <f t="shared" ca="1" si="128"/>
        <v>1.4517243542125224</v>
      </c>
      <c r="S165" s="5">
        <f t="shared" ca="1" si="109"/>
        <v>0.35589079705760684</v>
      </c>
      <c r="T165" s="5">
        <f t="shared" ca="1" si="129"/>
        <v>0.25927473013089708</v>
      </c>
      <c r="U165" s="5">
        <f t="shared" ca="1" si="130"/>
        <v>-0.6455829838700079</v>
      </c>
      <c r="V165" s="5">
        <f t="shared" ca="1" si="110"/>
        <v>-1.0086236853554587E-2</v>
      </c>
      <c r="W165" s="5">
        <f t="shared" ca="1" si="131"/>
        <v>0.92447926965861049</v>
      </c>
      <c r="X165" s="5">
        <f t="shared" ca="1" si="132"/>
        <v>1.4358625363326767</v>
      </c>
      <c r="Y165" s="5">
        <f t="shared" ca="1" si="111"/>
        <v>0.35266859788970772</v>
      </c>
      <c r="Z165" s="5">
        <f t="shared" ca="1" si="133"/>
        <v>0.34851405910362399</v>
      </c>
      <c r="AA165" s="5">
        <f t="shared" ca="1" si="134"/>
        <v>-0.38933531133234056</v>
      </c>
      <c r="AB165" s="5">
        <f t="shared" ca="1" si="112"/>
        <v>2.8703944192833175E-2</v>
      </c>
      <c r="AC165" s="5">
        <f t="shared" ca="1" si="135"/>
        <v>0.99103241952201715</v>
      </c>
      <c r="AD165" s="5">
        <f t="shared" ca="1" si="136"/>
        <v>2.3669540179822244</v>
      </c>
      <c r="AE165" s="5">
        <f t="shared" ca="1" si="113"/>
        <v>0.55541610690153043</v>
      </c>
      <c r="AF165" s="5">
        <f t="shared" ca="1" si="138"/>
        <v>0.84187421592420453</v>
      </c>
      <c r="AG165" s="5">
        <f t="shared" ca="1" si="139"/>
        <v>1.2528482444695728</v>
      </c>
      <c r="AH165" s="5">
        <f t="shared" ca="1" si="140"/>
        <v>1.1337045874213372</v>
      </c>
      <c r="AI165" s="5">
        <f t="shared" ca="1" si="141"/>
        <v>1.183124551561076</v>
      </c>
      <c r="AJ165" s="5">
        <f t="shared" ca="1" si="142"/>
        <v>1.046248191468653</v>
      </c>
      <c r="AK165" s="5">
        <f t="shared" ca="1" si="143"/>
        <v>1.3558907970576068</v>
      </c>
      <c r="AL165" s="5">
        <f t="shared" ca="1" si="144"/>
        <v>0.98991376314644541</v>
      </c>
      <c r="AM165" s="5">
        <f t="shared" ca="1" si="145"/>
        <v>1.3526685978897077</v>
      </c>
      <c r="AN165" s="5">
        <f t="shared" ca="1" si="146"/>
        <v>1.0287039441928332</v>
      </c>
      <c r="AO165" s="5">
        <f t="shared" ca="1" si="147"/>
        <v>1.5554161069015304</v>
      </c>
      <c r="AP165" s="5">
        <f t="shared" ca="1" si="148"/>
        <v>4.2999286446766671</v>
      </c>
      <c r="AQ165" s="4">
        <f t="shared" ca="1" si="114"/>
        <v>42999.286446766673</v>
      </c>
      <c r="AR165">
        <f t="shared" ca="1" si="115"/>
        <v>1</v>
      </c>
      <c r="AS165">
        <f t="shared" ca="1" si="116"/>
        <v>0</v>
      </c>
    </row>
    <row r="166" spans="1:45" x14ac:dyDescent="0.25">
      <c r="A166" s="10">
        <f t="shared" si="137"/>
        <v>145</v>
      </c>
      <c r="B166" s="5">
        <f t="shared" ca="1" si="117"/>
        <v>0.39715635844291619</v>
      </c>
      <c r="C166" s="5">
        <f t="shared" ca="1" si="118"/>
        <v>-0.26071445644914876</v>
      </c>
      <c r="D166" s="5">
        <f t="shared" ca="1" si="104"/>
        <v>4.8743553073915091E-2</v>
      </c>
      <c r="E166" s="5">
        <f t="shared" ca="1" si="119"/>
        <v>0.10836008016303855</v>
      </c>
      <c r="F166" s="5">
        <f t="shared" ca="1" si="120"/>
        <v>-1.2352965417580546</v>
      </c>
      <c r="G166" s="5">
        <f t="shared" ca="1" si="105"/>
        <v>-9.3889921855389025E-2</v>
      </c>
      <c r="H166" s="5">
        <f t="shared" ca="1" si="121"/>
        <v>0.29457136780351967</v>
      </c>
      <c r="I166" s="5">
        <f t="shared" ca="1" si="122"/>
        <v>-0.54007873425756459</v>
      </c>
      <c r="J166" s="5">
        <f t="shared" ca="1" si="106"/>
        <v>5.7043983310258728E-3</v>
      </c>
      <c r="K166" s="5">
        <f t="shared" ca="1" si="123"/>
        <v>0.32100633621799834</v>
      </c>
      <c r="L166" s="5">
        <f t="shared" ca="1" si="124"/>
        <v>-0.46488659246775099</v>
      </c>
      <c r="M166" s="5">
        <f t="shared" ca="1" si="107"/>
        <v>1.7111768403722083E-2</v>
      </c>
      <c r="N166" s="5">
        <f t="shared" ca="1" si="125"/>
        <v>8.0094695196901933E-2</v>
      </c>
      <c r="O166" s="5">
        <f t="shared" ca="1" si="126"/>
        <v>-1.4044348800378905</v>
      </c>
      <c r="P166" s="5">
        <f t="shared" ca="1" si="108"/>
        <v>-0.11658944523803516</v>
      </c>
      <c r="Q166" s="5">
        <f t="shared" ca="1" si="127"/>
        <v>0.29042046719067682</v>
      </c>
      <c r="R166" s="5">
        <f t="shared" ca="1" si="128"/>
        <v>-0.5521567924054972</v>
      </c>
      <c r="S166" s="5">
        <f t="shared" ca="1" si="109"/>
        <v>3.8840044103183313E-3</v>
      </c>
      <c r="T166" s="5">
        <f t="shared" ca="1" si="129"/>
        <v>0.52164422691834533</v>
      </c>
      <c r="U166" s="5">
        <f t="shared" ca="1" si="130"/>
        <v>5.4280674754108957E-2</v>
      </c>
      <c r="V166" s="5">
        <f t="shared" ca="1" si="110"/>
        <v>9.9485234034533354E-2</v>
      </c>
      <c r="W166" s="5">
        <f t="shared" ca="1" si="131"/>
        <v>0.92535066548798106</v>
      </c>
      <c r="X166" s="5">
        <f t="shared" ca="1" si="132"/>
        <v>1.4420131320372811</v>
      </c>
      <c r="Y166" s="5">
        <f t="shared" ca="1" si="111"/>
        <v>0.35391713139319836</v>
      </c>
      <c r="Z166" s="5">
        <f t="shared" ca="1" si="133"/>
        <v>0.23229735344548419</v>
      </c>
      <c r="AA166" s="5">
        <f t="shared" ca="1" si="134"/>
        <v>-0.73130200369034482</v>
      </c>
      <c r="AB166" s="5">
        <f t="shared" ca="1" si="112"/>
        <v>-2.2732923623223211E-2</v>
      </c>
      <c r="AC166" s="5">
        <f t="shared" ca="1" si="135"/>
        <v>0.94178682813915282</v>
      </c>
      <c r="AD166" s="5">
        <f t="shared" ca="1" si="136"/>
        <v>1.569951720362782</v>
      </c>
      <c r="AE166" s="5">
        <f t="shared" ca="1" si="113"/>
        <v>0.38015078549889725</v>
      </c>
      <c r="AF166" s="5">
        <f t="shared" ca="1" si="138"/>
        <v>1.0487435530739151</v>
      </c>
      <c r="AG166" s="5">
        <f t="shared" ca="1" si="139"/>
        <v>0.90611007814461098</v>
      </c>
      <c r="AH166" s="5">
        <f t="shared" ca="1" si="140"/>
        <v>1.0057043983310259</v>
      </c>
      <c r="AI166" s="5">
        <f t="shared" ca="1" si="141"/>
        <v>1.0171117684037221</v>
      </c>
      <c r="AJ166" s="5">
        <f t="shared" ca="1" si="142"/>
        <v>0.88341055476196484</v>
      </c>
      <c r="AK166" s="5">
        <f t="shared" ca="1" si="143"/>
        <v>1.0038840044103183</v>
      </c>
      <c r="AL166" s="5">
        <f t="shared" ca="1" si="144"/>
        <v>1.0994852340345334</v>
      </c>
      <c r="AM166" s="5">
        <f t="shared" ca="1" si="145"/>
        <v>1.3539171313931984</v>
      </c>
      <c r="AN166" s="5">
        <f t="shared" ca="1" si="146"/>
        <v>0.97726707637677679</v>
      </c>
      <c r="AO166" s="5">
        <f t="shared" ca="1" si="147"/>
        <v>1.3801507854988972</v>
      </c>
      <c r="AP166" s="5">
        <f t="shared" ca="1" si="148"/>
        <v>1.7308391157337828</v>
      </c>
      <c r="AQ166" s="4">
        <f t="shared" ca="1" si="114"/>
        <v>17308.391157337828</v>
      </c>
      <c r="AR166">
        <f t="shared" ca="1" si="115"/>
        <v>0</v>
      </c>
      <c r="AS166">
        <f t="shared" ca="1" si="116"/>
        <v>0</v>
      </c>
    </row>
    <row r="167" spans="1:45" x14ac:dyDescent="0.25">
      <c r="A167" s="10">
        <f t="shared" si="137"/>
        <v>146</v>
      </c>
      <c r="B167" s="5">
        <f t="shared" ca="1" si="117"/>
        <v>0.56329098380336751</v>
      </c>
      <c r="C167" s="5">
        <f t="shared" ca="1" si="118"/>
        <v>0.15931839036723849</v>
      </c>
      <c r="D167" s="5">
        <f t="shared" ca="1" si="104"/>
        <v>0.11694553469669722</v>
      </c>
      <c r="E167" s="5">
        <f t="shared" ca="1" si="119"/>
        <v>0.83333512350933037</v>
      </c>
      <c r="F167" s="5">
        <f t="shared" ca="1" si="120"/>
        <v>0.96742873110254879</v>
      </c>
      <c r="G167" s="5">
        <f t="shared" ca="1" si="105"/>
        <v>0.2608855728248165</v>
      </c>
      <c r="H167" s="5">
        <f t="shared" ca="1" si="121"/>
        <v>0.30611164271641389</v>
      </c>
      <c r="I167" s="5">
        <f t="shared" ca="1" si="122"/>
        <v>-0.50690242308031008</v>
      </c>
      <c r="J167" s="5">
        <f t="shared" ca="1" si="106"/>
        <v>1.072170647046411E-2</v>
      </c>
      <c r="K167" s="5">
        <f t="shared" ca="1" si="123"/>
        <v>0.64655674775754435</v>
      </c>
      <c r="L167" s="5">
        <f t="shared" ca="1" si="124"/>
        <v>0.37604088041603595</v>
      </c>
      <c r="M167" s="5">
        <f t="shared" ca="1" si="107"/>
        <v>0.15385225588736429</v>
      </c>
      <c r="N167" s="5">
        <f t="shared" ca="1" si="125"/>
        <v>0.42276131132477845</v>
      </c>
      <c r="O167" s="5">
        <f t="shared" ca="1" si="126"/>
        <v>-0.1948343595881151</v>
      </c>
      <c r="P167" s="5">
        <f t="shared" ca="1" si="108"/>
        <v>5.9158628308954908E-2</v>
      </c>
      <c r="Q167" s="5">
        <f t="shared" ca="1" si="127"/>
        <v>0.65262698164096222</v>
      </c>
      <c r="R167" s="5">
        <f t="shared" ca="1" si="128"/>
        <v>0.392422536909454</v>
      </c>
      <c r="S167" s="5">
        <f t="shared" ca="1" si="109"/>
        <v>0.15669104395780686</v>
      </c>
      <c r="T167" s="5">
        <f t="shared" ca="1" si="129"/>
        <v>0.246410918530652</v>
      </c>
      <c r="U167" s="5">
        <f t="shared" ca="1" si="130"/>
        <v>-0.68582758823262191</v>
      </c>
      <c r="V167" s="5">
        <f t="shared" ca="1" si="110"/>
        <v>-1.6044039218605755E-2</v>
      </c>
      <c r="W167" s="5">
        <f t="shared" ca="1" si="131"/>
        <v>0.16842717680518748</v>
      </c>
      <c r="X167" s="5">
        <f t="shared" ca="1" si="132"/>
        <v>-0.96039917412003817</v>
      </c>
      <c r="Y167" s="5">
        <f t="shared" ca="1" si="111"/>
        <v>-5.5745806320012026E-2</v>
      </c>
      <c r="Z167" s="5">
        <f t="shared" ca="1" si="133"/>
        <v>0.44821193838266804</v>
      </c>
      <c r="AA167" s="5">
        <f t="shared" ca="1" si="134"/>
        <v>-0.1301801780200863</v>
      </c>
      <c r="AB167" s="5">
        <f t="shared" ca="1" si="112"/>
        <v>6.9480453736368686E-2</v>
      </c>
      <c r="AC167" s="5">
        <f t="shared" ca="1" si="135"/>
        <v>0.67156029059038469</v>
      </c>
      <c r="AD167" s="5">
        <f t="shared" ca="1" si="136"/>
        <v>0.44422569216981922</v>
      </c>
      <c r="AE167" s="5">
        <f t="shared" ca="1" si="113"/>
        <v>0.16571409209471999</v>
      </c>
      <c r="AF167" s="5">
        <f t="shared" ca="1" si="138"/>
        <v>1.1169455346966972</v>
      </c>
      <c r="AG167" s="5">
        <f t="shared" ca="1" si="139"/>
        <v>1.2608855728248165</v>
      </c>
      <c r="AH167" s="5">
        <f t="shared" ca="1" si="140"/>
        <v>1.0107217064704641</v>
      </c>
      <c r="AI167" s="5">
        <f t="shared" ca="1" si="141"/>
        <v>1.1538522558873643</v>
      </c>
      <c r="AJ167" s="5">
        <f t="shared" ca="1" si="142"/>
        <v>1.0591586283089549</v>
      </c>
      <c r="AK167" s="5">
        <f t="shared" ca="1" si="143"/>
        <v>1.1566910439578069</v>
      </c>
      <c r="AL167" s="5">
        <f t="shared" ca="1" si="144"/>
        <v>0.98395596078139425</v>
      </c>
      <c r="AM167" s="5">
        <f t="shared" ca="1" si="145"/>
        <v>0.94425419367998797</v>
      </c>
      <c r="AN167" s="5">
        <f t="shared" ca="1" si="146"/>
        <v>1.0694804537363687</v>
      </c>
      <c r="AO167" s="5">
        <f t="shared" ca="1" si="147"/>
        <v>1.16571409209472</v>
      </c>
      <c r="AP167" s="5">
        <f t="shared" ca="1" si="148"/>
        <v>2.3307587915914163</v>
      </c>
      <c r="AQ167" s="4">
        <f t="shared" ca="1" si="114"/>
        <v>23307.587915914162</v>
      </c>
      <c r="AR167">
        <f t="shared" ca="1" si="115"/>
        <v>0</v>
      </c>
      <c r="AS167">
        <f t="shared" ca="1" si="116"/>
        <v>0</v>
      </c>
    </row>
    <row r="168" spans="1:45" x14ac:dyDescent="0.25">
      <c r="A168" s="10">
        <f t="shared" si="137"/>
        <v>147</v>
      </c>
      <c r="B168" s="5">
        <f t="shared" ca="1" si="117"/>
        <v>0.74261064876738947</v>
      </c>
      <c r="C168" s="5">
        <f t="shared" ca="1" si="118"/>
        <v>0.65141488824018889</v>
      </c>
      <c r="D168" s="5">
        <f t="shared" ca="1" si="104"/>
        <v>0.20251143611587463</v>
      </c>
      <c r="E168" s="5">
        <f t="shared" ca="1" si="119"/>
        <v>0.82978269657775328</v>
      </c>
      <c r="F168" s="5">
        <f t="shared" ca="1" si="120"/>
        <v>0.95330687956486371</v>
      </c>
      <c r="G168" s="5">
        <f t="shared" ca="1" si="105"/>
        <v>0.25821749385879045</v>
      </c>
      <c r="H168" s="5">
        <f t="shared" ca="1" si="121"/>
        <v>0.68311365640710509</v>
      </c>
      <c r="I168" s="5">
        <f t="shared" ca="1" si="122"/>
        <v>0.47642351229873958</v>
      </c>
      <c r="J168" s="5">
        <f t="shared" ca="1" si="106"/>
        <v>0.17135772748018741</v>
      </c>
      <c r="K168" s="5">
        <f t="shared" ca="1" si="123"/>
        <v>0.45256139651202543</v>
      </c>
      <c r="L168" s="5">
        <f t="shared" ca="1" si="124"/>
        <v>-0.1191925699289505</v>
      </c>
      <c r="M168" s="5">
        <f t="shared" ca="1" si="107"/>
        <v>7.1244561899740377E-2</v>
      </c>
      <c r="N168" s="5">
        <f t="shared" ca="1" si="125"/>
        <v>0.8789521119515189</v>
      </c>
      <c r="O168" s="5">
        <f t="shared" ca="1" si="126"/>
        <v>1.1697644438077104</v>
      </c>
      <c r="P168" s="5">
        <f t="shared" ca="1" si="108"/>
        <v>0.29974054862860045</v>
      </c>
      <c r="Q168" s="5">
        <f t="shared" ca="1" si="127"/>
        <v>0.82536664710259511</v>
      </c>
      <c r="R168" s="5">
        <f t="shared" ca="1" si="128"/>
        <v>0.93601258948262267</v>
      </c>
      <c r="S168" s="5">
        <f t="shared" ca="1" si="109"/>
        <v>0.25495772708946873</v>
      </c>
      <c r="T168" s="5">
        <f t="shared" ca="1" si="129"/>
        <v>0.17945936395868167</v>
      </c>
      <c r="U168" s="5">
        <f t="shared" ca="1" si="130"/>
        <v>-0.91742738526431711</v>
      </c>
      <c r="V168" s="5">
        <f t="shared" ca="1" si="110"/>
        <v>-4.9639704426682862E-2</v>
      </c>
      <c r="W168" s="5">
        <f t="shared" ca="1" si="131"/>
        <v>0.51970648919031914</v>
      </c>
      <c r="X168" s="5">
        <f t="shared" ca="1" si="132"/>
        <v>4.9416948617607738E-2</v>
      </c>
      <c r="Y168" s="5">
        <f t="shared" ca="1" si="111"/>
        <v>9.8683387306894854E-2</v>
      </c>
      <c r="Z168" s="5">
        <f t="shared" ca="1" si="133"/>
        <v>0.54634133376684757</v>
      </c>
      <c r="AA168" s="5">
        <f t="shared" ca="1" si="134"/>
        <v>0.11642296909564742</v>
      </c>
      <c r="AB168" s="5">
        <f t="shared" ca="1" si="112"/>
        <v>0.10978182878817155</v>
      </c>
      <c r="AC168" s="5">
        <f t="shared" ca="1" si="135"/>
        <v>1.242558417290307E-2</v>
      </c>
      <c r="AD168" s="5">
        <f t="shared" ca="1" si="136"/>
        <v>-2.243708414780055</v>
      </c>
      <c r="AE168" s="5">
        <f t="shared" ca="1" si="113"/>
        <v>-0.22108726578503235</v>
      </c>
      <c r="AF168" s="5">
        <f t="shared" ca="1" si="138"/>
        <v>1.2025114361158746</v>
      </c>
      <c r="AG168" s="5">
        <f t="shared" ca="1" si="139"/>
        <v>1.2582174938587904</v>
      </c>
      <c r="AH168" s="5">
        <f t="shared" ca="1" si="140"/>
        <v>1.1713577274801874</v>
      </c>
      <c r="AI168" s="5">
        <f t="shared" ca="1" si="141"/>
        <v>1.0712445618997404</v>
      </c>
      <c r="AJ168" s="5">
        <f t="shared" ca="1" si="142"/>
        <v>1.2997405486286004</v>
      </c>
      <c r="AK168" s="5">
        <f t="shared" ca="1" si="143"/>
        <v>1.2549577270894687</v>
      </c>
      <c r="AL168" s="5">
        <f t="shared" ca="1" si="144"/>
        <v>0.95036029557331714</v>
      </c>
      <c r="AM168" s="5">
        <f t="shared" ca="1" si="145"/>
        <v>1.0986833873068949</v>
      </c>
      <c r="AN168" s="5">
        <f t="shared" ca="1" si="146"/>
        <v>1.1097818287881716</v>
      </c>
      <c r="AO168" s="5">
        <f t="shared" ca="1" si="147"/>
        <v>0.77891273421496765</v>
      </c>
      <c r="AP168" s="5">
        <f t="shared" ca="1" si="148"/>
        <v>2.7950921598330796</v>
      </c>
      <c r="AQ168" s="4">
        <f t="shared" ca="1" si="114"/>
        <v>27950.921598330795</v>
      </c>
      <c r="AR168">
        <f t="shared" ca="1" si="115"/>
        <v>1</v>
      </c>
      <c r="AS168">
        <f t="shared" ca="1" si="116"/>
        <v>0</v>
      </c>
    </row>
    <row r="169" spans="1:45" x14ac:dyDescent="0.25">
      <c r="A169" s="10">
        <f t="shared" si="137"/>
        <v>148</v>
      </c>
      <c r="B169" s="5">
        <f t="shared" ca="1" si="117"/>
        <v>0.43786115450260132</v>
      </c>
      <c r="C169" s="5">
        <f t="shared" ca="1" si="118"/>
        <v>-0.15639419955250575</v>
      </c>
      <c r="D169" s="5">
        <f t="shared" ca="1" si="104"/>
        <v>6.5283403215611768E-2</v>
      </c>
      <c r="E169" s="5">
        <f t="shared" ca="1" si="119"/>
        <v>0.55806914234648797</v>
      </c>
      <c r="F169" s="5">
        <f t="shared" ca="1" si="120"/>
        <v>0.1460755909481711</v>
      </c>
      <c r="G169" s="5">
        <f t="shared" ca="1" si="105"/>
        <v>0.11472901404421698</v>
      </c>
      <c r="H169" s="5">
        <f t="shared" ca="1" si="121"/>
        <v>0.79308041446748268</v>
      </c>
      <c r="I169" s="5">
        <f t="shared" ca="1" si="122"/>
        <v>0.81715619719935573</v>
      </c>
      <c r="J169" s="5">
        <f t="shared" ca="1" si="106"/>
        <v>0.2327820315237521</v>
      </c>
      <c r="K169" s="5">
        <f t="shared" ca="1" si="123"/>
        <v>0.75575954478266627</v>
      </c>
      <c r="L169" s="5">
        <f t="shared" ca="1" si="124"/>
        <v>0.69272697001785166</v>
      </c>
      <c r="M169" s="5">
        <f t="shared" ca="1" si="107"/>
        <v>0.20998631000921919</v>
      </c>
      <c r="N169" s="5">
        <f t="shared" ca="1" si="125"/>
        <v>0.60905271393381544</v>
      </c>
      <c r="O169" s="5">
        <f t="shared" ca="1" si="126"/>
        <v>0.27685093045634745</v>
      </c>
      <c r="P169" s="5">
        <f t="shared" ca="1" si="108"/>
        <v>0.13681175658231126</v>
      </c>
      <c r="Q169" s="5">
        <f t="shared" ca="1" si="127"/>
        <v>8.8064090160044683E-2</v>
      </c>
      <c r="R169" s="5">
        <f t="shared" ca="1" si="128"/>
        <v>-1.3527729392926537</v>
      </c>
      <c r="S169" s="5">
        <f t="shared" ca="1" si="109"/>
        <v>-0.10971704595809573</v>
      </c>
      <c r="T169" s="5">
        <f t="shared" ca="1" si="129"/>
        <v>8.1161336122695271E-2</v>
      </c>
      <c r="U169" s="5">
        <f t="shared" ca="1" si="130"/>
        <v>-1.3973023407406271</v>
      </c>
      <c r="V169" s="5">
        <f t="shared" ca="1" si="110"/>
        <v>-0.11564379538726521</v>
      </c>
      <c r="W169" s="5">
        <f t="shared" ca="1" si="131"/>
        <v>0.82928487054488631</v>
      </c>
      <c r="X169" s="5">
        <f t="shared" ca="1" si="132"/>
        <v>0.95134305206737446</v>
      </c>
      <c r="Y169" s="5">
        <f t="shared" ca="1" si="111"/>
        <v>0.25784691012682015</v>
      </c>
      <c r="Z169" s="5">
        <f t="shared" ca="1" si="133"/>
        <v>0.82956007429915457</v>
      </c>
      <c r="AA169" s="5">
        <f t="shared" ca="1" si="134"/>
        <v>0.95242822367755764</v>
      </c>
      <c r="AB169" s="5">
        <f t="shared" ca="1" si="112"/>
        <v>0.25805167375516769</v>
      </c>
      <c r="AC169" s="5">
        <f t="shared" ca="1" si="135"/>
        <v>0.91117285307604423</v>
      </c>
      <c r="AD169" s="5">
        <f t="shared" ca="1" si="136"/>
        <v>1.3480127125932257</v>
      </c>
      <c r="AE169" s="5">
        <f t="shared" ca="1" si="113"/>
        <v>0.3349607716504539</v>
      </c>
      <c r="AF169" s="5">
        <f t="shared" ca="1" si="138"/>
        <v>1.0652834032156118</v>
      </c>
      <c r="AG169" s="5">
        <f t="shared" ca="1" si="139"/>
        <v>1.114729014044217</v>
      </c>
      <c r="AH169" s="5">
        <f t="shared" ca="1" si="140"/>
        <v>1.2327820315237521</v>
      </c>
      <c r="AI169" s="5">
        <f t="shared" ca="1" si="141"/>
        <v>1.2099863100092192</v>
      </c>
      <c r="AJ169" s="5">
        <f t="shared" ca="1" si="142"/>
        <v>1.1368117565823113</v>
      </c>
      <c r="AK169" s="5">
        <f t="shared" ca="1" si="143"/>
        <v>0.89028295404190427</v>
      </c>
      <c r="AL169" s="5">
        <f t="shared" ca="1" si="144"/>
        <v>0.88435620461273479</v>
      </c>
      <c r="AM169" s="5">
        <f t="shared" ca="1" si="145"/>
        <v>1.2578469101268202</v>
      </c>
      <c r="AN169" s="5">
        <f t="shared" ca="1" si="146"/>
        <v>1.2580516737551677</v>
      </c>
      <c r="AO169" s="5">
        <f t="shared" ca="1" si="147"/>
        <v>1.3349607716504539</v>
      </c>
      <c r="AP169" s="5">
        <f t="shared" ca="1" si="148"/>
        <v>3.3491903484835168</v>
      </c>
      <c r="AQ169" s="4">
        <f t="shared" ca="1" si="114"/>
        <v>33491.903484835166</v>
      </c>
      <c r="AR169">
        <f t="shared" ca="1" si="115"/>
        <v>1</v>
      </c>
      <c r="AS169">
        <f t="shared" ca="1" si="116"/>
        <v>0</v>
      </c>
    </row>
    <row r="170" spans="1:45" x14ac:dyDescent="0.25">
      <c r="A170" s="10">
        <f t="shared" si="137"/>
        <v>149</v>
      </c>
      <c r="B170" s="5">
        <f t="shared" ca="1" si="117"/>
        <v>0.32111065418647278</v>
      </c>
      <c r="C170" s="5">
        <f t="shared" ca="1" si="118"/>
        <v>-0.46459528647668807</v>
      </c>
      <c r="D170" s="5">
        <f t="shared" ca="1" si="104"/>
        <v>1.7156212987495367E-2</v>
      </c>
      <c r="E170" s="5">
        <f t="shared" ca="1" si="119"/>
        <v>0.400342720140483</v>
      </c>
      <c r="F170" s="5">
        <f t="shared" ca="1" si="120"/>
        <v>-0.25246011387167938</v>
      </c>
      <c r="G170" s="5">
        <f t="shared" ca="1" si="105"/>
        <v>5.00428605620582E-2</v>
      </c>
      <c r="H170" s="5">
        <f t="shared" ca="1" si="121"/>
        <v>0.93786868064544715</v>
      </c>
      <c r="I170" s="5">
        <f t="shared" ca="1" si="122"/>
        <v>1.537125258388599</v>
      </c>
      <c r="J170" s="5">
        <f t="shared" ca="1" si="106"/>
        <v>0.37337166918427012</v>
      </c>
      <c r="K170" s="5">
        <f t="shared" ca="1" si="123"/>
        <v>0.59574316176992248</v>
      </c>
      <c r="L170" s="5">
        <f t="shared" ca="1" si="124"/>
        <v>0.2423439304939278</v>
      </c>
      <c r="M170" s="5">
        <f t="shared" ca="1" si="107"/>
        <v>0.13094276429805141</v>
      </c>
      <c r="N170" s="5">
        <f t="shared" ca="1" si="125"/>
        <v>0.76705604366671365</v>
      </c>
      <c r="O170" s="5">
        <f t="shared" ca="1" si="126"/>
        <v>0.72918596920224443</v>
      </c>
      <c r="P170" s="5">
        <f t="shared" ca="1" si="108"/>
        <v>0.21662167085114703</v>
      </c>
      <c r="Q170" s="5">
        <f t="shared" ca="1" si="127"/>
        <v>0.48050203311749529</v>
      </c>
      <c r="R170" s="5">
        <f t="shared" ca="1" si="128"/>
        <v>-4.8893628847040627E-2</v>
      </c>
      <c r="S170" s="5">
        <f t="shared" ca="1" si="109"/>
        <v>8.2600433356426084E-2</v>
      </c>
      <c r="T170" s="5">
        <f t="shared" ca="1" si="129"/>
        <v>0.74952953704594305</v>
      </c>
      <c r="U170" s="5">
        <f t="shared" ca="1" si="130"/>
        <v>0.67301000490650742</v>
      </c>
      <c r="V170" s="5">
        <f t="shared" ca="1" si="110"/>
        <v>0.20641300803520735</v>
      </c>
      <c r="W170" s="5">
        <f t="shared" ca="1" si="131"/>
        <v>0.63578831348773157</v>
      </c>
      <c r="X170" s="5">
        <f t="shared" ca="1" si="132"/>
        <v>0.34722355906226188</v>
      </c>
      <c r="Y170" s="5">
        <f t="shared" ca="1" si="111"/>
        <v>0.14887538046518767</v>
      </c>
      <c r="Z170" s="5">
        <f t="shared" ca="1" si="133"/>
        <v>0.97554360952585828</v>
      </c>
      <c r="AA170" s="5">
        <f t="shared" ca="1" si="134"/>
        <v>1.9693511524472564</v>
      </c>
      <c r="AB170" s="5">
        <f t="shared" ca="1" si="112"/>
        <v>0.4653625303818234</v>
      </c>
      <c r="AC170" s="5">
        <f t="shared" ca="1" si="135"/>
        <v>0.93889938694789077</v>
      </c>
      <c r="AD170" s="5">
        <f t="shared" ca="1" si="136"/>
        <v>1.5455998970108051</v>
      </c>
      <c r="AE170" s="5">
        <f t="shared" ca="1" si="113"/>
        <v>0.37511860358540305</v>
      </c>
      <c r="AF170" s="5">
        <f t="shared" ca="1" si="138"/>
        <v>1.0171562129874954</v>
      </c>
      <c r="AG170" s="5">
        <f t="shared" ca="1" si="139"/>
        <v>1.0500428605620582</v>
      </c>
      <c r="AH170" s="5">
        <f t="shared" ca="1" si="140"/>
        <v>1.3733716691842701</v>
      </c>
      <c r="AI170" s="5">
        <f t="shared" ca="1" si="141"/>
        <v>1.1309427642980514</v>
      </c>
      <c r="AJ170" s="5">
        <f t="shared" ca="1" si="142"/>
        <v>1.216621670851147</v>
      </c>
      <c r="AK170" s="5">
        <f t="shared" ca="1" si="143"/>
        <v>1.0826004333564261</v>
      </c>
      <c r="AL170" s="5">
        <f t="shared" ca="1" si="144"/>
        <v>1.2064130080352073</v>
      </c>
      <c r="AM170" s="5">
        <f t="shared" ca="1" si="145"/>
        <v>1.1488753804651877</v>
      </c>
      <c r="AN170" s="5">
        <f t="shared" ca="1" si="146"/>
        <v>1.4653625303818234</v>
      </c>
      <c r="AO170" s="5">
        <f t="shared" ca="1" si="147"/>
        <v>1.3751186035854031</v>
      </c>
      <c r="AP170" s="5">
        <f t="shared" ca="1" si="148"/>
        <v>6.1024090005795957</v>
      </c>
      <c r="AQ170" s="4">
        <f t="shared" ca="1" si="114"/>
        <v>61024.090005795959</v>
      </c>
      <c r="AR170">
        <f t="shared" ca="1" si="115"/>
        <v>1</v>
      </c>
      <c r="AS170">
        <f t="shared" ca="1" si="116"/>
        <v>0</v>
      </c>
    </row>
    <row r="171" spans="1:45" x14ac:dyDescent="0.25">
      <c r="A171" s="10">
        <f t="shared" si="137"/>
        <v>150</v>
      </c>
      <c r="B171" s="5">
        <f t="shared" ca="1" si="117"/>
        <v>0.78731067370988062</v>
      </c>
      <c r="C171" s="5">
        <f t="shared" ca="1" si="118"/>
        <v>0.79712463109456499</v>
      </c>
      <c r="D171" s="5">
        <f t="shared" ca="1" si="104"/>
        <v>0.22908340778483693</v>
      </c>
      <c r="E171" s="5">
        <f t="shared" ca="1" si="119"/>
        <v>0.18909387146913992</v>
      </c>
      <c r="F171" s="5">
        <f t="shared" ca="1" si="120"/>
        <v>-0.88124035204899187</v>
      </c>
      <c r="G171" s="5">
        <f t="shared" ca="1" si="105"/>
        <v>-4.4467070519130125E-2</v>
      </c>
      <c r="H171" s="5">
        <f t="shared" ca="1" si="121"/>
        <v>0.97523645900669598</v>
      </c>
      <c r="I171" s="5">
        <f t="shared" ca="1" si="122"/>
        <v>1.9640259553868353</v>
      </c>
      <c r="J171" s="5">
        <f t="shared" ca="1" si="106"/>
        <v>0.4641924961078796</v>
      </c>
      <c r="K171" s="5">
        <f t="shared" ca="1" si="123"/>
        <v>0.95050300744760019</v>
      </c>
      <c r="L171" s="5">
        <f t="shared" ca="1" si="124"/>
        <v>1.6497504592632803</v>
      </c>
      <c r="M171" s="5">
        <f t="shared" ca="1" si="107"/>
        <v>0.39677019649785472</v>
      </c>
      <c r="N171" s="5">
        <f t="shared" ca="1" si="125"/>
        <v>0.99336053470522501</v>
      </c>
      <c r="O171" s="5">
        <f t="shared" ca="1" si="126"/>
        <v>2.4761996327858924</v>
      </c>
      <c r="P171" s="5">
        <f t="shared" ca="1" si="108"/>
        <v>0.58111444749994567</v>
      </c>
      <c r="Q171" s="5">
        <f t="shared" ca="1" si="127"/>
        <v>0.33482748231385562</v>
      </c>
      <c r="R171" s="5">
        <f t="shared" ca="1" si="128"/>
        <v>-0.42662159705125341</v>
      </c>
      <c r="S171" s="5">
        <f t="shared" ca="1" si="109"/>
        <v>2.2966521310521015E-2</v>
      </c>
      <c r="T171" s="5">
        <f t="shared" ca="1" si="129"/>
        <v>1.1215421064284414E-2</v>
      </c>
      <c r="U171" s="5">
        <f t="shared" ca="1" si="130"/>
        <v>-2.2829919571049531</v>
      </c>
      <c r="V171" s="5">
        <f t="shared" ca="1" si="110"/>
        <v>-0.22566353733612943</v>
      </c>
      <c r="W171" s="5">
        <f t="shared" ca="1" si="131"/>
        <v>0.98806253805299005</v>
      </c>
      <c r="X171" s="5">
        <f t="shared" ca="1" si="132"/>
        <v>2.2591360402465051</v>
      </c>
      <c r="Y171" s="5">
        <f t="shared" ca="1" si="111"/>
        <v>0.53046315615627404</v>
      </c>
      <c r="Z171" s="5">
        <f t="shared" ca="1" si="133"/>
        <v>0.95700032166392834</v>
      </c>
      <c r="AA171" s="5">
        <f t="shared" ca="1" si="134"/>
        <v>1.7168895387175322</v>
      </c>
      <c r="AB171" s="5">
        <f t="shared" ca="1" si="112"/>
        <v>0.41090794645195472</v>
      </c>
      <c r="AC171" s="5">
        <f t="shared" ca="1" si="135"/>
        <v>0.48227148403264852</v>
      </c>
      <c r="AD171" s="5">
        <f t="shared" ca="1" si="136"/>
        <v>-4.4453435850325518E-2</v>
      </c>
      <c r="AE171" s="5">
        <f t="shared" ca="1" si="113"/>
        <v>8.3321716756940223E-2</v>
      </c>
      <c r="AF171" s="5">
        <f t="shared" ca="1" si="138"/>
        <v>1.2290834077848369</v>
      </c>
      <c r="AG171" s="5">
        <f t="shared" ca="1" si="139"/>
        <v>0.95553292948086987</v>
      </c>
      <c r="AH171" s="5">
        <f t="shared" ca="1" si="140"/>
        <v>1.4641924961078796</v>
      </c>
      <c r="AI171" s="5">
        <f t="shared" ca="1" si="141"/>
        <v>1.3967701964978547</v>
      </c>
      <c r="AJ171" s="5">
        <f t="shared" ca="1" si="142"/>
        <v>1.5811144474999457</v>
      </c>
      <c r="AK171" s="5">
        <f t="shared" ca="1" si="143"/>
        <v>1.022966521310521</v>
      </c>
      <c r="AL171" s="5">
        <f t="shared" ca="1" si="144"/>
        <v>0.77433646266387057</v>
      </c>
      <c r="AM171" s="5">
        <f t="shared" ca="1" si="145"/>
        <v>1.530463156156274</v>
      </c>
      <c r="AN171" s="5">
        <f t="shared" ca="1" si="146"/>
        <v>1.4109079464519547</v>
      </c>
      <c r="AO171" s="5">
        <f t="shared" ca="1" si="147"/>
        <v>1.0833217167569402</v>
      </c>
      <c r="AP171" s="5">
        <f t="shared" ca="1" si="148"/>
        <v>7.0369359237021483</v>
      </c>
      <c r="AQ171" s="4">
        <f t="shared" ca="1" si="114"/>
        <v>70369.359237021476</v>
      </c>
      <c r="AR171">
        <f t="shared" ca="1" si="115"/>
        <v>1</v>
      </c>
      <c r="AS171">
        <f t="shared" ca="1" si="116"/>
        <v>0</v>
      </c>
    </row>
    <row r="172" spans="1:45" x14ac:dyDescent="0.25">
      <c r="A172" s="10">
        <f t="shared" si="137"/>
        <v>151</v>
      </c>
      <c r="B172" s="5">
        <f t="shared" ca="1" si="117"/>
        <v>0.40758820548892272</v>
      </c>
      <c r="C172" s="5">
        <f t="shared" ca="1" si="118"/>
        <v>-0.23375342287838763</v>
      </c>
      <c r="D172" s="5">
        <f t="shared" ca="1" si="104"/>
        <v>5.2993422368016629E-2</v>
      </c>
      <c r="E172" s="5">
        <f t="shared" ca="1" si="119"/>
        <v>0.72813564614742599</v>
      </c>
      <c r="F172" s="5">
        <f t="shared" ca="1" si="120"/>
        <v>0.60718415302869988</v>
      </c>
      <c r="G172" s="5">
        <f t="shared" ca="1" si="105"/>
        <v>0.19455964905053547</v>
      </c>
      <c r="H172" s="5">
        <f t="shared" ca="1" si="121"/>
        <v>0.2218406664915632</v>
      </c>
      <c r="I172" s="5">
        <f t="shared" ca="1" si="122"/>
        <v>-0.7659915451118624</v>
      </c>
      <c r="J172" s="5">
        <f t="shared" ca="1" si="106"/>
        <v>-2.7804858456248915E-2</v>
      </c>
      <c r="K172" s="5">
        <f t="shared" ca="1" si="123"/>
        <v>0.71575196987721823</v>
      </c>
      <c r="L172" s="5">
        <f t="shared" ca="1" si="124"/>
        <v>0.57026782466924186</v>
      </c>
      <c r="M172" s="5">
        <f t="shared" ca="1" si="107"/>
        <v>0.18796311645136976</v>
      </c>
      <c r="N172" s="5">
        <f t="shared" ca="1" si="125"/>
        <v>0.14397930800900327</v>
      </c>
      <c r="O172" s="5">
        <f t="shared" ca="1" si="126"/>
        <v>-1.0626105161750263</v>
      </c>
      <c r="P172" s="5">
        <f t="shared" ca="1" si="108"/>
        <v>-7.0112415875208778E-2</v>
      </c>
      <c r="Q172" s="5">
        <f t="shared" ca="1" si="127"/>
        <v>0.84029315447183817</v>
      </c>
      <c r="R172" s="5">
        <f t="shared" ca="1" si="128"/>
        <v>0.9956634572087607</v>
      </c>
      <c r="S172" s="5">
        <f t="shared" ca="1" si="109"/>
        <v>0.26623701087482798</v>
      </c>
      <c r="T172" s="5">
        <f t="shared" ca="1" si="129"/>
        <v>0.11615157559733391</v>
      </c>
      <c r="U172" s="5">
        <f t="shared" ca="1" si="130"/>
        <v>-1.1944470252817538</v>
      </c>
      <c r="V172" s="5">
        <f t="shared" ca="1" si="110"/>
        <v>-8.8320753156469145E-2</v>
      </c>
      <c r="W172" s="5">
        <f t="shared" ca="1" si="131"/>
        <v>0.57634523951978855</v>
      </c>
      <c r="X172" s="5">
        <f t="shared" ca="1" si="132"/>
        <v>0.19255240704632781</v>
      </c>
      <c r="Y172" s="5">
        <f t="shared" ca="1" si="111"/>
        <v>0.12252752451190974</v>
      </c>
      <c r="Z172" s="5">
        <f t="shared" ca="1" si="133"/>
        <v>0.36047826758399293</v>
      </c>
      <c r="AA172" s="5">
        <f t="shared" ca="1" si="134"/>
        <v>-0.35718069763054411</v>
      </c>
      <c r="AB172" s="5">
        <f t="shared" ca="1" si="112"/>
        <v>3.3677565607483695E-2</v>
      </c>
      <c r="AC172" s="5">
        <f t="shared" ca="1" si="135"/>
        <v>0.42483425707718769</v>
      </c>
      <c r="AD172" s="5">
        <f t="shared" ca="1" si="136"/>
        <v>-0.18954139547913737</v>
      </c>
      <c r="AE172" s="5">
        <f t="shared" ca="1" si="113"/>
        <v>5.9999875507410039E-2</v>
      </c>
      <c r="AF172" s="5">
        <f t="shared" ca="1" si="138"/>
        <v>1.0529934223680166</v>
      </c>
      <c r="AG172" s="5">
        <f t="shared" ca="1" si="139"/>
        <v>1.1945596490505355</v>
      </c>
      <c r="AH172" s="5">
        <f t="shared" ca="1" si="140"/>
        <v>0.97219514154375108</v>
      </c>
      <c r="AI172" s="5">
        <f t="shared" ca="1" si="141"/>
        <v>1.1879631164513698</v>
      </c>
      <c r="AJ172" s="5">
        <f t="shared" ca="1" si="142"/>
        <v>0.92988758412479122</v>
      </c>
      <c r="AK172" s="5">
        <f t="shared" ca="1" si="143"/>
        <v>1.266237010874828</v>
      </c>
      <c r="AL172" s="5">
        <f t="shared" ca="1" si="144"/>
        <v>0.91167924684353085</v>
      </c>
      <c r="AM172" s="5">
        <f t="shared" ca="1" si="145"/>
        <v>1.1225275245119097</v>
      </c>
      <c r="AN172" s="5">
        <f t="shared" ca="1" si="146"/>
        <v>1.0336775656074837</v>
      </c>
      <c r="AO172" s="5">
        <f t="shared" ca="1" si="147"/>
        <v>1.05999987550741</v>
      </c>
      <c r="AP172" s="5">
        <f t="shared" ca="1" si="148"/>
        <v>1.918073862543844</v>
      </c>
      <c r="AQ172" s="4">
        <f t="shared" ca="1" si="114"/>
        <v>19180.73862543844</v>
      </c>
      <c r="AR172">
        <f t="shared" ca="1" si="115"/>
        <v>0</v>
      </c>
      <c r="AS172">
        <f t="shared" ca="1" si="116"/>
        <v>0</v>
      </c>
    </row>
    <row r="173" spans="1:45" x14ac:dyDescent="0.25">
      <c r="A173" s="10">
        <f t="shared" si="137"/>
        <v>152</v>
      </c>
      <c r="B173" s="5">
        <f t="shared" ca="1" si="117"/>
        <v>0.67831086726979983</v>
      </c>
      <c r="C173" s="5">
        <f t="shared" ca="1" si="118"/>
        <v>0.46298061030049142</v>
      </c>
      <c r="D173" s="5">
        <f t="shared" ca="1" si="104"/>
        <v>0.16899814018694093</v>
      </c>
      <c r="E173" s="5">
        <f t="shared" ca="1" si="119"/>
        <v>0.60843995274081175</v>
      </c>
      <c r="F173" s="5">
        <f t="shared" ca="1" si="120"/>
        <v>0.2752553121656523</v>
      </c>
      <c r="G173" s="5">
        <f t="shared" ca="1" si="105"/>
        <v>0.13653970149603345</v>
      </c>
      <c r="H173" s="5">
        <f t="shared" ca="1" si="121"/>
        <v>0.84271827329012416</v>
      </c>
      <c r="I173" s="5">
        <f t="shared" ca="1" si="122"/>
        <v>1.0056926218990003</v>
      </c>
      <c r="J173" s="5">
        <f t="shared" ca="1" si="106"/>
        <v>0.26814333935931889</v>
      </c>
      <c r="K173" s="5">
        <f t="shared" ca="1" si="123"/>
        <v>0.58268338902767391</v>
      </c>
      <c r="L173" s="5">
        <f t="shared" ca="1" si="124"/>
        <v>0.20876304439522644</v>
      </c>
      <c r="M173" s="5">
        <f t="shared" ca="1" si="107"/>
        <v>0.12526037875565743</v>
      </c>
      <c r="N173" s="5">
        <f t="shared" ca="1" si="125"/>
        <v>0.51801839036531372</v>
      </c>
      <c r="O173" s="5">
        <f t="shared" ca="1" si="126"/>
        <v>4.5180773316811841E-2</v>
      </c>
      <c r="P173" s="5">
        <f t="shared" ca="1" si="108"/>
        <v>9.7985476751431211E-2</v>
      </c>
      <c r="Q173" s="5">
        <f t="shared" ca="1" si="127"/>
        <v>0.2782763008843997</v>
      </c>
      <c r="R173" s="5">
        <f t="shared" ca="1" si="128"/>
        <v>-0.58796974335446284</v>
      </c>
      <c r="S173" s="5">
        <f t="shared" ca="1" si="109"/>
        <v>-1.4943438578169932E-3</v>
      </c>
      <c r="T173" s="5">
        <f t="shared" ca="1" si="129"/>
        <v>0.1896971380861926</v>
      </c>
      <c r="U173" s="5">
        <f t="shared" ca="1" si="130"/>
        <v>-0.87901290971008939</v>
      </c>
      <c r="V173" s="5">
        <f t="shared" ca="1" si="110"/>
        <v>-4.4147758002833104E-2</v>
      </c>
      <c r="W173" s="5">
        <f t="shared" ca="1" si="131"/>
        <v>0.14482813669002703</v>
      </c>
      <c r="X173" s="5">
        <f t="shared" ca="1" si="132"/>
        <v>-1.0588759611778438</v>
      </c>
      <c r="Y173" s="5">
        <f t="shared" ca="1" si="111"/>
        <v>-6.9591362497530618E-2</v>
      </c>
      <c r="Z173" s="5">
        <f t="shared" ca="1" si="133"/>
        <v>0.762502757438695</v>
      </c>
      <c r="AA173" s="5">
        <f t="shared" ca="1" si="134"/>
        <v>0.71437636124745962</v>
      </c>
      <c r="AB173" s="5">
        <f t="shared" ca="1" si="112"/>
        <v>0.21392201702625169</v>
      </c>
      <c r="AC173" s="5">
        <f t="shared" ca="1" si="135"/>
        <v>0.46220747531359518</v>
      </c>
      <c r="AD173" s="5">
        <f t="shared" ca="1" si="136"/>
        <v>-9.4873946761630551E-2</v>
      </c>
      <c r="AE173" s="5">
        <f t="shared" ca="1" si="113"/>
        <v>7.5159376699808655E-2</v>
      </c>
      <c r="AF173" s="5">
        <f t="shared" ca="1" si="138"/>
        <v>1.1689981401869409</v>
      </c>
      <c r="AG173" s="5">
        <f t="shared" ca="1" si="139"/>
        <v>1.1365397014960334</v>
      </c>
      <c r="AH173" s="5">
        <f t="shared" ca="1" si="140"/>
        <v>1.2681433393593189</v>
      </c>
      <c r="AI173" s="5">
        <f t="shared" ca="1" si="141"/>
        <v>1.1252603787556574</v>
      </c>
      <c r="AJ173" s="5">
        <f t="shared" ca="1" si="142"/>
        <v>1.0979854767514312</v>
      </c>
      <c r="AK173" s="5">
        <f t="shared" ca="1" si="143"/>
        <v>0.99850565614218301</v>
      </c>
      <c r="AL173" s="5">
        <f t="shared" ca="1" si="144"/>
        <v>0.9558522419971669</v>
      </c>
      <c r="AM173" s="5">
        <f t="shared" ca="1" si="145"/>
        <v>0.93040863750246938</v>
      </c>
      <c r="AN173" s="5">
        <f t="shared" ca="1" si="146"/>
        <v>1.2139220170262517</v>
      </c>
      <c r="AO173" s="5">
        <f t="shared" ca="1" si="147"/>
        <v>1.0751593766998087</v>
      </c>
      <c r="AP173" s="5">
        <f t="shared" ca="1" si="148"/>
        <v>2.4126540915783483</v>
      </c>
      <c r="AQ173" s="4">
        <f t="shared" ca="1" si="114"/>
        <v>24126.540915783484</v>
      </c>
      <c r="AR173">
        <f t="shared" ca="1" si="115"/>
        <v>0</v>
      </c>
      <c r="AS173">
        <f t="shared" ca="1" si="116"/>
        <v>0</v>
      </c>
    </row>
    <row r="174" spans="1:45" x14ac:dyDescent="0.25">
      <c r="A174" s="10">
        <f t="shared" si="137"/>
        <v>153</v>
      </c>
      <c r="B174" s="5">
        <f t="shared" ca="1" si="117"/>
        <v>0.83308725325461763</v>
      </c>
      <c r="C174" s="5">
        <f t="shared" ca="1" si="118"/>
        <v>0.96643712731137088</v>
      </c>
      <c r="D174" s="5">
        <f t="shared" ca="1" si="104"/>
        <v>0.26069804193474955</v>
      </c>
      <c r="E174" s="5">
        <f t="shared" ca="1" si="119"/>
        <v>0.49876864381807073</v>
      </c>
      <c r="F174" s="5">
        <f t="shared" ca="1" si="120"/>
        <v>-3.0865571226119074E-3</v>
      </c>
      <c r="G174" s="5">
        <f t="shared" ca="1" si="105"/>
        <v>9.0064660925536222E-2</v>
      </c>
      <c r="H174" s="5">
        <f t="shared" ca="1" si="121"/>
        <v>0.29074520850274821</v>
      </c>
      <c r="I174" s="5">
        <f t="shared" ca="1" si="122"/>
        <v>-0.5512089914966789</v>
      </c>
      <c r="J174" s="5">
        <f t="shared" ca="1" si="106"/>
        <v>4.0267368819846272E-3</v>
      </c>
      <c r="K174" s="5">
        <f t="shared" ca="1" si="123"/>
        <v>0.94378499890694545</v>
      </c>
      <c r="L174" s="5">
        <f t="shared" ca="1" si="124"/>
        <v>1.5873649968862831</v>
      </c>
      <c r="M174" s="5">
        <f t="shared" ca="1" si="107"/>
        <v>0.38376043973050855</v>
      </c>
      <c r="N174" s="5">
        <f t="shared" ca="1" si="125"/>
        <v>0.38710318770643981</v>
      </c>
      <c r="O174" s="5">
        <f t="shared" ca="1" si="126"/>
        <v>-0.28687716526327339</v>
      </c>
      <c r="P174" s="5">
        <f t="shared" ca="1" si="108"/>
        <v>4.4635922521393256E-2</v>
      </c>
      <c r="Q174" s="5">
        <f t="shared" ca="1" si="127"/>
        <v>0.96306528793019508</v>
      </c>
      <c r="R174" s="5">
        <f t="shared" ca="1" si="128"/>
        <v>1.7874212839359864</v>
      </c>
      <c r="S174" s="5">
        <f t="shared" ca="1" si="109"/>
        <v>0.4259142580509987</v>
      </c>
      <c r="T174" s="5">
        <f t="shared" ca="1" si="129"/>
        <v>0.51982079767304867</v>
      </c>
      <c r="U174" s="5">
        <f t="shared" ca="1" si="130"/>
        <v>4.970382960031873E-2</v>
      </c>
      <c r="V174" s="5">
        <f t="shared" ca="1" si="110"/>
        <v>9.8730667029637287E-2</v>
      </c>
      <c r="W174" s="5">
        <f t="shared" ca="1" si="131"/>
        <v>0.56476801829667345</v>
      </c>
      <c r="X174" s="5">
        <f t="shared" ca="1" si="132"/>
        <v>0.16306918297415163</v>
      </c>
      <c r="Y174" s="5">
        <f t="shared" ca="1" si="111"/>
        <v>0.11757412616691387</v>
      </c>
      <c r="Z174" s="5">
        <f t="shared" ca="1" si="133"/>
        <v>0.20508347736735555</v>
      </c>
      <c r="AA174" s="5">
        <f t="shared" ca="1" si="134"/>
        <v>-0.82359986143071207</v>
      </c>
      <c r="AB174" s="5">
        <f t="shared" ca="1" si="112"/>
        <v>-3.6169644099985576E-2</v>
      </c>
      <c r="AC174" s="5">
        <f t="shared" ca="1" si="135"/>
        <v>0.51188485227469549</v>
      </c>
      <c r="AD174" s="5">
        <f t="shared" ca="1" si="136"/>
        <v>2.9795314683189196E-2</v>
      </c>
      <c r="AE174" s="5">
        <f t="shared" ca="1" si="113"/>
        <v>9.5454446933952442E-2</v>
      </c>
      <c r="AF174" s="5">
        <f t="shared" ca="1" si="138"/>
        <v>1.2606980419347495</v>
      </c>
      <c r="AG174" s="5">
        <f t="shared" ca="1" si="139"/>
        <v>1.0900646609255362</v>
      </c>
      <c r="AH174" s="5">
        <f t="shared" ca="1" si="140"/>
        <v>1.0040267368819846</v>
      </c>
      <c r="AI174" s="5">
        <f t="shared" ca="1" si="141"/>
        <v>1.3837604397305086</v>
      </c>
      <c r="AJ174" s="5">
        <f t="shared" ca="1" si="142"/>
        <v>1.0446359225213933</v>
      </c>
      <c r="AK174" s="5">
        <f t="shared" ca="1" si="143"/>
        <v>1.4259142580509987</v>
      </c>
      <c r="AL174" s="5">
        <f t="shared" ca="1" si="144"/>
        <v>1.0987306670296373</v>
      </c>
      <c r="AM174" s="5">
        <f t="shared" ca="1" si="145"/>
        <v>1.1175741261669139</v>
      </c>
      <c r="AN174" s="5">
        <f t="shared" ca="1" si="146"/>
        <v>0.96383035590001442</v>
      </c>
      <c r="AO174" s="5">
        <f t="shared" ca="1" si="147"/>
        <v>1.0954544469339524</v>
      </c>
      <c r="AP174" s="5">
        <f t="shared" ca="1" si="148"/>
        <v>3.6871465787125799</v>
      </c>
      <c r="AQ174" s="4">
        <f t="shared" ca="1" si="114"/>
        <v>36871.465787125802</v>
      </c>
      <c r="AR174">
        <f t="shared" ca="1" si="115"/>
        <v>1</v>
      </c>
      <c r="AS174">
        <f t="shared" ca="1" si="116"/>
        <v>0</v>
      </c>
    </row>
    <row r="175" spans="1:45" x14ac:dyDescent="0.25">
      <c r="A175" s="10">
        <f t="shared" si="137"/>
        <v>154</v>
      </c>
      <c r="B175" s="5">
        <f t="shared" ca="1" si="117"/>
        <v>0.49618528400885609</v>
      </c>
      <c r="C175" s="5">
        <f t="shared" ca="1" si="118"/>
        <v>-9.562220683060757E-3</v>
      </c>
      <c r="D175" s="5">
        <f t="shared" ca="1" si="104"/>
        <v>8.9006341207437556E-2</v>
      </c>
      <c r="E175" s="5">
        <f t="shared" ca="1" si="119"/>
        <v>0.47183358097831962</v>
      </c>
      <c r="F175" s="5">
        <f t="shared" ca="1" si="120"/>
        <v>-7.0661501008110708E-2</v>
      </c>
      <c r="G175" s="5">
        <f t="shared" ca="1" si="105"/>
        <v>7.9071311926461663E-2</v>
      </c>
      <c r="H175" s="5">
        <f t="shared" ca="1" si="121"/>
        <v>0.70541115468009952</v>
      </c>
      <c r="I175" s="5">
        <f t="shared" ca="1" si="122"/>
        <v>0.54002804658977277</v>
      </c>
      <c r="J175" s="5">
        <f t="shared" ca="1" si="106"/>
        <v>0.18258675800982682</v>
      </c>
      <c r="K175" s="5">
        <f t="shared" ca="1" si="123"/>
        <v>0.14883074325616807</v>
      </c>
      <c r="L175" s="5">
        <f t="shared" ca="1" si="124"/>
        <v>-1.0414613405098188</v>
      </c>
      <c r="M175" s="5">
        <f t="shared" ca="1" si="107"/>
        <v>-6.7157778362240572E-2</v>
      </c>
      <c r="N175" s="5">
        <f t="shared" ca="1" si="125"/>
        <v>0.41893601576845396</v>
      </c>
      <c r="O175" s="5">
        <f t="shared" ca="1" si="126"/>
        <v>-0.20461615634097099</v>
      </c>
      <c r="P175" s="5">
        <f t="shared" ca="1" si="108"/>
        <v>5.760569670748561E-2</v>
      </c>
      <c r="Q175" s="5">
        <f t="shared" ca="1" si="127"/>
        <v>0.26856829032602902</v>
      </c>
      <c r="R175" s="5">
        <f t="shared" ca="1" si="128"/>
        <v>-0.61714880376854231</v>
      </c>
      <c r="S175" s="5">
        <f t="shared" ca="1" si="109"/>
        <v>-5.8551121917099769E-3</v>
      </c>
      <c r="T175" s="5">
        <f t="shared" ca="1" si="129"/>
        <v>0.53550359553712135</v>
      </c>
      <c r="U175" s="5">
        <f t="shared" ca="1" si="130"/>
        <v>8.911211550048119E-2</v>
      </c>
      <c r="V175" s="5">
        <f t="shared" ca="1" si="110"/>
        <v>0.10524476510724412</v>
      </c>
      <c r="W175" s="5">
        <f t="shared" ca="1" si="131"/>
        <v>0.62287872851228054</v>
      </c>
      <c r="X175" s="5">
        <f t="shared" ca="1" si="132"/>
        <v>0.31305017420882264</v>
      </c>
      <c r="Y175" s="5">
        <f t="shared" ca="1" si="111"/>
        <v>0.14300130452796123</v>
      </c>
      <c r="Z175" s="5">
        <f t="shared" ca="1" si="133"/>
        <v>0.47679079045645389</v>
      </c>
      <c r="AA175" s="5">
        <f t="shared" ca="1" si="134"/>
        <v>-5.8209716860112171E-2</v>
      </c>
      <c r="AB175" s="5">
        <f t="shared" ca="1" si="112"/>
        <v>8.1088649757598219E-2</v>
      </c>
      <c r="AC175" s="5">
        <f t="shared" ca="1" si="135"/>
        <v>0.62249636424755284</v>
      </c>
      <c r="AD175" s="5">
        <f t="shared" ca="1" si="136"/>
        <v>0.31204375386470978</v>
      </c>
      <c r="AE175" s="5">
        <f t="shared" ca="1" si="113"/>
        <v>0.14282876658678223</v>
      </c>
      <c r="AF175" s="5">
        <f t="shared" ca="1" si="138"/>
        <v>1.0890063412074376</v>
      </c>
      <c r="AG175" s="5">
        <f t="shared" ca="1" si="139"/>
        <v>1.0790713119264617</v>
      </c>
      <c r="AH175" s="5">
        <f t="shared" ca="1" si="140"/>
        <v>1.1825867580098268</v>
      </c>
      <c r="AI175" s="5">
        <f t="shared" ca="1" si="141"/>
        <v>0.93284222163775943</v>
      </c>
      <c r="AJ175" s="5">
        <f t="shared" ca="1" si="142"/>
        <v>1.0576056967074856</v>
      </c>
      <c r="AK175" s="5">
        <f t="shared" ca="1" si="143"/>
        <v>0.99414488780829002</v>
      </c>
      <c r="AL175" s="5">
        <f t="shared" ca="1" si="144"/>
        <v>1.1052447651072441</v>
      </c>
      <c r="AM175" s="5">
        <f t="shared" ca="1" si="145"/>
        <v>1.1430013045279612</v>
      </c>
      <c r="AN175" s="5">
        <f t="shared" ca="1" si="146"/>
        <v>1.0810886497575982</v>
      </c>
      <c r="AO175" s="5">
        <f t="shared" ca="1" si="147"/>
        <v>1.1428287665867822</v>
      </c>
      <c r="AP175" s="5">
        <f t="shared" ca="1" si="148"/>
        <v>2.1273693142070518</v>
      </c>
      <c r="AQ175" s="4">
        <f t="shared" ca="1" si="114"/>
        <v>21273.693142070519</v>
      </c>
      <c r="AR175">
        <f t="shared" ca="1" si="115"/>
        <v>0</v>
      </c>
      <c r="AS175">
        <f t="shared" ca="1" si="116"/>
        <v>0</v>
      </c>
    </row>
    <row r="176" spans="1:45" x14ac:dyDescent="0.25">
      <c r="A176" s="10">
        <f t="shared" si="137"/>
        <v>155</v>
      </c>
      <c r="B176" s="5">
        <f t="shared" ca="1" si="117"/>
        <v>5.4828493815892276E-2</v>
      </c>
      <c r="C176" s="5">
        <f t="shared" ca="1" si="118"/>
        <v>-1.5997367855367124</v>
      </c>
      <c r="D176" s="5">
        <f t="shared" ca="1" si="104"/>
        <v>-0.14209380716411979</v>
      </c>
      <c r="E176" s="5">
        <f t="shared" ca="1" si="119"/>
        <v>0.26557364934547301</v>
      </c>
      <c r="F176" s="5">
        <f t="shared" ca="1" si="120"/>
        <v>-0.6262556077181376</v>
      </c>
      <c r="G176" s="5">
        <f t="shared" ca="1" si="105"/>
        <v>-7.2122074592539942E-3</v>
      </c>
      <c r="H176" s="5">
        <f t="shared" ca="1" si="121"/>
        <v>0.32016098857504771</v>
      </c>
      <c r="I176" s="5">
        <f t="shared" ca="1" si="122"/>
        <v>-0.46724866850422148</v>
      </c>
      <c r="J176" s="5">
        <f t="shared" ca="1" si="106"/>
        <v>1.6751457938361192E-2</v>
      </c>
      <c r="K176" s="5">
        <f t="shared" ca="1" si="123"/>
        <v>0.68801433651861932</v>
      </c>
      <c r="L176" s="5">
        <f t="shared" ca="1" si="124"/>
        <v>0.49022975599270202</v>
      </c>
      <c r="M176" s="5">
        <f t="shared" ca="1" si="107"/>
        <v>0.17378604859755309</v>
      </c>
      <c r="N176" s="5">
        <f t="shared" ca="1" si="125"/>
        <v>0.11465762655293832</v>
      </c>
      <c r="O176" s="5">
        <f t="shared" ca="1" si="126"/>
        <v>-1.2021246091086608</v>
      </c>
      <c r="P176" s="5">
        <f t="shared" ca="1" si="108"/>
        <v>-8.9370072898608544E-2</v>
      </c>
      <c r="Q176" s="5">
        <f t="shared" ca="1" si="127"/>
        <v>0.56056874215837638</v>
      </c>
      <c r="R176" s="5">
        <f t="shared" ca="1" si="128"/>
        <v>0.15241133728270778</v>
      </c>
      <c r="S176" s="5">
        <f t="shared" ca="1" si="109"/>
        <v>0.11578891364828015</v>
      </c>
      <c r="T176" s="5">
        <f t="shared" ca="1" si="129"/>
        <v>0.74243822417603234</v>
      </c>
      <c r="U176" s="5">
        <f t="shared" ca="1" si="130"/>
        <v>0.65088062149945303</v>
      </c>
      <c r="V176" s="5">
        <f t="shared" ca="1" si="110"/>
        <v>0.20241507069743836</v>
      </c>
      <c r="W176" s="5">
        <f t="shared" ca="1" si="131"/>
        <v>0.77797203662355818</v>
      </c>
      <c r="X176" s="5">
        <f t="shared" ca="1" si="132"/>
        <v>0.76536214696904581</v>
      </c>
      <c r="Y176" s="5">
        <f t="shared" ca="1" si="111"/>
        <v>0.22324152395673358</v>
      </c>
      <c r="Z176" s="5">
        <f t="shared" ca="1" si="133"/>
        <v>0.27398086147786405</v>
      </c>
      <c r="AA176" s="5">
        <f t="shared" ca="1" si="134"/>
        <v>-0.60081723574693413</v>
      </c>
      <c r="AB176" s="5">
        <f t="shared" ca="1" si="112"/>
        <v>-3.4167349931254476E-3</v>
      </c>
      <c r="AC176" s="5">
        <f t="shared" ca="1" si="135"/>
        <v>0.64603660181474976</v>
      </c>
      <c r="AD176" s="5">
        <f t="shared" ca="1" si="136"/>
        <v>0.37464191449199186</v>
      </c>
      <c r="AE176" s="5">
        <f t="shared" ca="1" si="113"/>
        <v>0.15361015129235356</v>
      </c>
      <c r="AF176" s="5">
        <f t="shared" ca="1" si="138"/>
        <v>0.85790619283588021</v>
      </c>
      <c r="AG176" s="5">
        <f t="shared" ca="1" si="139"/>
        <v>0.99278779254074601</v>
      </c>
      <c r="AH176" s="5">
        <f t="shared" ca="1" si="140"/>
        <v>1.0167514579383612</v>
      </c>
      <c r="AI176" s="5">
        <f t="shared" ca="1" si="141"/>
        <v>1.1737860485975531</v>
      </c>
      <c r="AJ176" s="5">
        <f t="shared" ca="1" si="142"/>
        <v>0.91062992710139146</v>
      </c>
      <c r="AK176" s="5">
        <f t="shared" ca="1" si="143"/>
        <v>1.1157889136482801</v>
      </c>
      <c r="AL176" s="5">
        <f t="shared" ca="1" si="144"/>
        <v>1.2024150706974384</v>
      </c>
      <c r="AM176" s="5">
        <f t="shared" ca="1" si="145"/>
        <v>1.2232415239567336</v>
      </c>
      <c r="AN176" s="5">
        <f t="shared" ca="1" si="146"/>
        <v>0.99658326500687455</v>
      </c>
      <c r="AO176" s="5">
        <f t="shared" ca="1" si="147"/>
        <v>1.1536101512923536</v>
      </c>
      <c r="AP176" s="5">
        <f t="shared" ca="1" si="148"/>
        <v>1.7464784224374315</v>
      </c>
      <c r="AQ176" s="4">
        <f t="shared" ca="1" si="114"/>
        <v>17464.784224374314</v>
      </c>
      <c r="AR176">
        <f t="shared" ca="1" si="115"/>
        <v>0</v>
      </c>
      <c r="AS176">
        <f t="shared" ca="1" si="116"/>
        <v>0</v>
      </c>
    </row>
    <row r="177" spans="1:45" x14ac:dyDescent="0.25">
      <c r="A177" s="10">
        <f t="shared" si="137"/>
        <v>156</v>
      </c>
      <c r="B177" s="5">
        <f t="shared" ca="1" si="117"/>
        <v>0.18934058365411433</v>
      </c>
      <c r="C177" s="5">
        <f t="shared" ca="1" si="118"/>
        <v>-0.88032888838554424</v>
      </c>
      <c r="D177" s="5">
        <f t="shared" ca="1" si="104"/>
        <v>-4.4336421556532613E-2</v>
      </c>
      <c r="E177" s="5">
        <f t="shared" ca="1" si="119"/>
        <v>0.87858887402886532</v>
      </c>
      <c r="F177" s="5">
        <f t="shared" ca="1" si="120"/>
        <v>1.1679616066110383</v>
      </c>
      <c r="G177" s="5">
        <f t="shared" ca="1" si="105"/>
        <v>0.29938911305826243</v>
      </c>
      <c r="H177" s="5">
        <f t="shared" ca="1" si="121"/>
        <v>0.25451460716840812</v>
      </c>
      <c r="I177" s="5">
        <f t="shared" ca="1" si="122"/>
        <v>-0.66035005655986767</v>
      </c>
      <c r="J177" s="5">
        <f t="shared" ca="1" si="106"/>
        <v>-1.2276529416849091E-2</v>
      </c>
      <c r="K177" s="5">
        <f t="shared" ca="1" si="123"/>
        <v>0.82327178441324866</v>
      </c>
      <c r="L177" s="5">
        <f t="shared" ca="1" si="124"/>
        <v>0.92790580844506609</v>
      </c>
      <c r="M177" s="5">
        <f t="shared" ca="1" si="107"/>
        <v>0.25343260443931959</v>
      </c>
      <c r="N177" s="5">
        <f t="shared" ca="1" si="125"/>
        <v>0.32086795638943766</v>
      </c>
      <c r="O177" s="5">
        <f t="shared" ca="1" si="126"/>
        <v>-0.46527307645980703</v>
      </c>
      <c r="P177" s="5">
        <f t="shared" ca="1" si="108"/>
        <v>1.7052805500362034E-2</v>
      </c>
      <c r="Q177" s="5">
        <f t="shared" ca="1" si="127"/>
        <v>0.85577479875827789</v>
      </c>
      <c r="R177" s="5">
        <f t="shared" ca="1" si="128"/>
        <v>1.0615271470150554</v>
      </c>
      <c r="S177" s="5">
        <f t="shared" ca="1" si="109"/>
        <v>0.27880886703647034</v>
      </c>
      <c r="T177" s="5">
        <f t="shared" ca="1" si="129"/>
        <v>0.6701208787735784</v>
      </c>
      <c r="U177" s="5">
        <f t="shared" ca="1" si="130"/>
        <v>0.44024697232640858</v>
      </c>
      <c r="V177" s="5">
        <f t="shared" ca="1" si="110"/>
        <v>0.16501859218681592</v>
      </c>
      <c r="W177" s="5">
        <f t="shared" ca="1" si="131"/>
        <v>0.92311822028795054</v>
      </c>
      <c r="X177" s="5">
        <f t="shared" ca="1" si="132"/>
        <v>1.4263630992783938</v>
      </c>
      <c r="Y177" s="5">
        <f t="shared" ca="1" si="111"/>
        <v>0.35074253192613059</v>
      </c>
      <c r="Z177" s="5">
        <f t="shared" ca="1" si="133"/>
        <v>0.89401811188337221</v>
      </c>
      <c r="AA177" s="5">
        <f t="shared" ca="1" si="134"/>
        <v>1.24818374249802</v>
      </c>
      <c r="AB177" s="5">
        <f t="shared" ca="1" si="112"/>
        <v>0.31511953333709575</v>
      </c>
      <c r="AC177" s="5">
        <f t="shared" ca="1" si="135"/>
        <v>0.11669880654310949</v>
      </c>
      <c r="AD177" s="5">
        <f t="shared" ca="1" si="136"/>
        <v>-1.19165228892264</v>
      </c>
      <c r="AE177" s="5">
        <f t="shared" ca="1" si="113"/>
        <v>-8.7938487566351142E-2</v>
      </c>
      <c r="AF177" s="5">
        <f t="shared" ca="1" si="138"/>
        <v>0.95566357844346739</v>
      </c>
      <c r="AG177" s="5">
        <f t="shared" ca="1" si="139"/>
        <v>1.2993891130582624</v>
      </c>
      <c r="AH177" s="5">
        <f t="shared" ca="1" si="140"/>
        <v>0.98772347058315091</v>
      </c>
      <c r="AI177" s="5">
        <f t="shared" ca="1" si="141"/>
        <v>1.2534326044393196</v>
      </c>
      <c r="AJ177" s="5">
        <f t="shared" ca="1" si="142"/>
        <v>1.017052805500362</v>
      </c>
      <c r="AK177" s="5">
        <f t="shared" ca="1" si="143"/>
        <v>1.2788088670364703</v>
      </c>
      <c r="AL177" s="5">
        <f t="shared" ca="1" si="144"/>
        <v>1.1650185921868159</v>
      </c>
      <c r="AM177" s="5">
        <f t="shared" ca="1" si="145"/>
        <v>1.3507425319261306</v>
      </c>
      <c r="AN177" s="5">
        <f t="shared" ca="1" si="146"/>
        <v>1.3151195333370957</v>
      </c>
      <c r="AO177" s="5">
        <f t="shared" ca="1" si="147"/>
        <v>0.91206151243364886</v>
      </c>
      <c r="AP177" s="5">
        <f t="shared" ca="1" si="148"/>
        <v>3.7741968680344962</v>
      </c>
      <c r="AQ177" s="4">
        <f t="shared" ca="1" si="114"/>
        <v>37741.968680344959</v>
      </c>
      <c r="AR177">
        <f t="shared" ca="1" si="115"/>
        <v>1</v>
      </c>
      <c r="AS177">
        <f t="shared" ca="1" si="116"/>
        <v>0</v>
      </c>
    </row>
    <row r="178" spans="1:45" x14ac:dyDescent="0.25">
      <c r="A178" s="10">
        <f t="shared" si="137"/>
        <v>157</v>
      </c>
      <c r="B178" s="5">
        <f t="shared" ca="1" si="117"/>
        <v>0.48122475145471699</v>
      </c>
      <c r="C178" s="5">
        <f t="shared" ca="1" si="118"/>
        <v>-4.7079955380163685E-2</v>
      </c>
      <c r="D178" s="5">
        <f t="shared" ca="1" si="104"/>
        <v>8.2894995974821084E-2</v>
      </c>
      <c r="E178" s="5">
        <f t="shared" ca="1" si="119"/>
        <v>0.15581939915664256</v>
      </c>
      <c r="F178" s="5">
        <f t="shared" ca="1" si="120"/>
        <v>-1.0117893183512194</v>
      </c>
      <c r="G178" s="5">
        <f t="shared" ca="1" si="105"/>
        <v>-6.2996627739334676E-2</v>
      </c>
      <c r="H178" s="5">
        <f t="shared" ca="1" si="121"/>
        <v>0.77003969584792797</v>
      </c>
      <c r="I178" s="5">
        <f t="shared" ca="1" si="122"/>
        <v>0.73897758528186697</v>
      </c>
      <c r="J178" s="5">
        <f t="shared" ca="1" si="106"/>
        <v>0.21840988759183766</v>
      </c>
      <c r="K178" s="5">
        <f t="shared" ca="1" si="123"/>
        <v>0.72049363241944431</v>
      </c>
      <c r="L178" s="5">
        <f t="shared" ca="1" si="124"/>
        <v>0.58430855843183149</v>
      </c>
      <c r="M178" s="5">
        <f t="shared" ca="1" si="107"/>
        <v>0.19046773410145934</v>
      </c>
      <c r="N178" s="5">
        <f t="shared" ca="1" si="125"/>
        <v>0.88306186404214049</v>
      </c>
      <c r="O178" s="5">
        <f t="shared" ca="1" si="126"/>
        <v>1.1904329420177353</v>
      </c>
      <c r="P178" s="5">
        <f t="shared" ca="1" si="108"/>
        <v>0.30377635422950733</v>
      </c>
      <c r="Q178" s="5">
        <f t="shared" ca="1" si="127"/>
        <v>0.69942020631145729</v>
      </c>
      <c r="R178" s="5">
        <f t="shared" ca="1" si="128"/>
        <v>0.52273369386582835</v>
      </c>
      <c r="S178" s="5">
        <f t="shared" ca="1" si="109"/>
        <v>0.17952292287848848</v>
      </c>
      <c r="T178" s="5">
        <f t="shared" ca="1" si="129"/>
        <v>0.13739213156810592</v>
      </c>
      <c r="U178" s="5">
        <f t="shared" ca="1" si="130"/>
        <v>-1.0921111181013525</v>
      </c>
      <c r="V178" s="5">
        <f t="shared" ca="1" si="110"/>
        <v>-7.4218161546191319E-2</v>
      </c>
      <c r="W178" s="5">
        <f t="shared" ca="1" si="131"/>
        <v>0.23257337615192142</v>
      </c>
      <c r="X178" s="5">
        <f t="shared" ca="1" si="132"/>
        <v>-0.73039830801965455</v>
      </c>
      <c r="Y178" s="5">
        <f t="shared" ca="1" si="111"/>
        <v>-2.2600441840280538E-2</v>
      </c>
      <c r="Z178" s="5">
        <f t="shared" ca="1" si="133"/>
        <v>0.17584092978349852</v>
      </c>
      <c r="AA178" s="5">
        <f t="shared" ca="1" si="134"/>
        <v>-0.93133198904446546</v>
      </c>
      <c r="AB178" s="5">
        <f t="shared" ca="1" si="112"/>
        <v>-5.1619796283178587E-2</v>
      </c>
      <c r="AC178" s="5">
        <f t="shared" ca="1" si="135"/>
        <v>0.39442303191600447</v>
      </c>
      <c r="AD178" s="5">
        <f t="shared" ca="1" si="136"/>
        <v>-0.2678093622802461</v>
      </c>
      <c r="AE178" s="5">
        <f t="shared" ca="1" si="113"/>
        <v>4.7628036253206218E-2</v>
      </c>
      <c r="AF178" s="5">
        <f t="shared" ca="1" si="138"/>
        <v>1.0828949959748211</v>
      </c>
      <c r="AG178" s="5">
        <f t="shared" ca="1" si="139"/>
        <v>0.93700337226066532</v>
      </c>
      <c r="AH178" s="5">
        <f t="shared" ca="1" si="140"/>
        <v>1.2184098875918377</v>
      </c>
      <c r="AI178" s="5">
        <f t="shared" ca="1" si="141"/>
        <v>1.1904677341014593</v>
      </c>
      <c r="AJ178" s="5">
        <f t="shared" ca="1" si="142"/>
        <v>1.3037763542295073</v>
      </c>
      <c r="AK178" s="5">
        <f t="shared" ca="1" si="143"/>
        <v>1.1795229228784885</v>
      </c>
      <c r="AL178" s="5">
        <f t="shared" ca="1" si="144"/>
        <v>0.92578183845380868</v>
      </c>
      <c r="AM178" s="5">
        <f t="shared" ca="1" si="145"/>
        <v>0.97739955815971946</v>
      </c>
      <c r="AN178" s="5">
        <f t="shared" ca="1" si="146"/>
        <v>0.94838020371682141</v>
      </c>
      <c r="AO178" s="5">
        <f t="shared" ca="1" si="147"/>
        <v>1.0476280362532062</v>
      </c>
      <c r="AP178" s="5">
        <f t="shared" ca="1" si="148"/>
        <v>2.0347844853125698</v>
      </c>
      <c r="AQ178" s="4">
        <f t="shared" ca="1" si="114"/>
        <v>20347.844853125698</v>
      </c>
      <c r="AR178">
        <f t="shared" ca="1" si="115"/>
        <v>0</v>
      </c>
      <c r="AS178">
        <f t="shared" ca="1" si="116"/>
        <v>0</v>
      </c>
    </row>
    <row r="179" spans="1:45" x14ac:dyDescent="0.25">
      <c r="A179" s="10">
        <f t="shared" si="137"/>
        <v>158</v>
      </c>
      <c r="B179" s="5">
        <f t="shared" ca="1" si="117"/>
        <v>0.23376217723916615</v>
      </c>
      <c r="C179" s="5">
        <f t="shared" ca="1" si="118"/>
        <v>-0.72651297791255631</v>
      </c>
      <c r="D179" s="5">
        <f t="shared" ca="1" si="104"/>
        <v>-2.2030647829073935E-2</v>
      </c>
      <c r="E179" s="5">
        <f t="shared" ca="1" si="119"/>
        <v>0.71544392813374258</v>
      </c>
      <c r="F179" s="5">
        <f t="shared" ca="1" si="120"/>
        <v>0.56935957647070967</v>
      </c>
      <c r="G179" s="5">
        <f t="shared" ca="1" si="105"/>
        <v>0.18780128267144702</v>
      </c>
      <c r="H179" s="5">
        <f t="shared" ca="1" si="121"/>
        <v>0.67215928062207497</v>
      </c>
      <c r="I179" s="5">
        <f t="shared" ca="1" si="122"/>
        <v>0.4458834485131517</v>
      </c>
      <c r="J179" s="5">
        <f t="shared" ca="1" si="106"/>
        <v>0.166003998627408</v>
      </c>
      <c r="K179" s="5">
        <f t="shared" ca="1" si="123"/>
        <v>8.8626526998824007E-3</v>
      </c>
      <c r="L179" s="5">
        <f t="shared" ca="1" si="124"/>
        <v>-2.371306914463891</v>
      </c>
      <c r="M179" s="5">
        <f t="shared" ca="1" si="107"/>
        <v>-0.23585371617566508</v>
      </c>
      <c r="N179" s="5">
        <f t="shared" ca="1" si="125"/>
        <v>1.5995494803739962E-3</v>
      </c>
      <c r="O179" s="5">
        <f t="shared" ca="1" si="126"/>
        <v>-2.9479296124925702</v>
      </c>
      <c r="P179" s="5">
        <f t="shared" ca="1" si="108"/>
        <v>-0.29916965646486759</v>
      </c>
      <c r="Q179" s="5">
        <f t="shared" ca="1" si="127"/>
        <v>0.42607552026708218</v>
      </c>
      <c r="R179" s="5">
        <f t="shared" ca="1" si="128"/>
        <v>-0.18637456069044905</v>
      </c>
      <c r="S179" s="5">
        <f t="shared" ca="1" si="109"/>
        <v>6.0503521792547144E-2</v>
      </c>
      <c r="T179" s="5">
        <f t="shared" ca="1" si="129"/>
        <v>0.23903762563859854</v>
      </c>
      <c r="U179" s="5">
        <f t="shared" ca="1" si="130"/>
        <v>-0.70940167071423099</v>
      </c>
      <c r="V179" s="5">
        <f t="shared" ca="1" si="110"/>
        <v>-1.9517273572644322E-2</v>
      </c>
      <c r="W179" s="5">
        <f t="shared" ca="1" si="131"/>
        <v>0.21586637113682805</v>
      </c>
      <c r="X179" s="5">
        <f t="shared" ca="1" si="132"/>
        <v>-0.78623001921614022</v>
      </c>
      <c r="Y179" s="5">
        <f t="shared" ca="1" si="111"/>
        <v>-3.0751745085873305E-2</v>
      </c>
      <c r="Z179" s="5">
        <f t="shared" ca="1" si="133"/>
        <v>0.38267112561849814</v>
      </c>
      <c r="AA179" s="5">
        <f t="shared" ca="1" si="134"/>
        <v>-0.29847290715714025</v>
      </c>
      <c r="AB179" s="5">
        <f t="shared" ca="1" si="112"/>
        <v>4.2820502535113825E-2</v>
      </c>
      <c r="AC179" s="5">
        <f t="shared" ca="1" si="135"/>
        <v>0.36782809418429319</v>
      </c>
      <c r="AD179" s="5">
        <f t="shared" ca="1" si="136"/>
        <v>-0.337611216629709</v>
      </c>
      <c r="AE179" s="5">
        <f t="shared" ca="1" si="113"/>
        <v>3.67163034368303E-2</v>
      </c>
      <c r="AF179" s="5">
        <f t="shared" ca="1" si="138"/>
        <v>0.97796935217092607</v>
      </c>
      <c r="AG179" s="5">
        <f t="shared" ca="1" si="139"/>
        <v>1.187801282671447</v>
      </c>
      <c r="AH179" s="5">
        <f t="shared" ca="1" si="140"/>
        <v>1.166003998627408</v>
      </c>
      <c r="AI179" s="5">
        <f t="shared" ca="1" si="141"/>
        <v>0.76414628382433492</v>
      </c>
      <c r="AJ179" s="5">
        <f t="shared" ca="1" si="142"/>
        <v>0.70083034353513241</v>
      </c>
      <c r="AK179" s="5">
        <f t="shared" ca="1" si="143"/>
        <v>1.0605035217925471</v>
      </c>
      <c r="AL179" s="5">
        <f t="shared" ca="1" si="144"/>
        <v>0.98048272642735568</v>
      </c>
      <c r="AM179" s="5">
        <f t="shared" ca="1" si="145"/>
        <v>0.96924825491412669</v>
      </c>
      <c r="AN179" s="5">
        <f t="shared" ca="1" si="146"/>
        <v>1.0428205025351138</v>
      </c>
      <c r="AO179" s="5">
        <f t="shared" ca="1" si="147"/>
        <v>1.0367163034368303</v>
      </c>
      <c r="AP179" s="5">
        <f t="shared" ca="1" si="148"/>
        <v>0.79034199025021634</v>
      </c>
      <c r="AQ179" s="4">
        <f t="shared" ca="1" si="114"/>
        <v>7903.4199025021635</v>
      </c>
      <c r="AR179">
        <f t="shared" ca="1" si="115"/>
        <v>0</v>
      </c>
      <c r="AS179">
        <f t="shared" ca="1" si="116"/>
        <v>0</v>
      </c>
    </row>
    <row r="180" spans="1:45" x14ac:dyDescent="0.25">
      <c r="A180" s="10">
        <f t="shared" si="137"/>
        <v>159</v>
      </c>
      <c r="B180" s="5">
        <f t="shared" ca="1" si="117"/>
        <v>0.24838365471584134</v>
      </c>
      <c r="C180" s="5">
        <f t="shared" ca="1" si="118"/>
        <v>-0.67958493789034036</v>
      </c>
      <c r="D180" s="5">
        <f t="shared" ca="1" si="104"/>
        <v>-1.5122233745463953E-2</v>
      </c>
      <c r="E180" s="5">
        <f t="shared" ca="1" si="119"/>
        <v>4.7195959282177125E-2</v>
      </c>
      <c r="F180" s="5">
        <f t="shared" ca="1" si="120"/>
        <v>-1.6726718258574205</v>
      </c>
      <c r="G180" s="5">
        <f t="shared" ca="1" si="105"/>
        <v>-0.15142836624215361</v>
      </c>
      <c r="H180" s="5">
        <f t="shared" ca="1" si="121"/>
        <v>6.1161785448703321E-2</v>
      </c>
      <c r="I180" s="5">
        <f t="shared" ca="1" si="122"/>
        <v>-1.5450938229473996</v>
      </c>
      <c r="J180" s="5">
        <f t="shared" ca="1" si="106"/>
        <v>-0.13503313006948425</v>
      </c>
      <c r="K180" s="5">
        <f t="shared" ca="1" si="123"/>
        <v>0.17446413175531106</v>
      </c>
      <c r="L180" s="5">
        <f t="shared" ca="1" si="124"/>
        <v>-0.93667013402112687</v>
      </c>
      <c r="M180" s="5">
        <f t="shared" ca="1" si="107"/>
        <v>-5.2378880987871135E-2</v>
      </c>
      <c r="N180" s="5">
        <f t="shared" ca="1" si="125"/>
        <v>0.82706551458496602</v>
      </c>
      <c r="O180" s="5">
        <f t="shared" ca="1" si="126"/>
        <v>0.94263238152669904</v>
      </c>
      <c r="P180" s="5">
        <f t="shared" ca="1" si="108"/>
        <v>0.25620447985694828</v>
      </c>
      <c r="Q180" s="5">
        <f t="shared" ca="1" si="127"/>
        <v>0.79809386661510739</v>
      </c>
      <c r="R180" s="5">
        <f t="shared" ca="1" si="128"/>
        <v>0.83483206932485499</v>
      </c>
      <c r="S180" s="5">
        <f t="shared" ca="1" si="109"/>
        <v>0.23605494310609032</v>
      </c>
      <c r="T180" s="5">
        <f t="shared" ca="1" si="129"/>
        <v>0.58916537477055309</v>
      </c>
      <c r="U180" s="5">
        <f t="shared" ca="1" si="130"/>
        <v>0.22539853598471535</v>
      </c>
      <c r="V180" s="5">
        <f t="shared" ca="1" si="110"/>
        <v>0.12807177390240199</v>
      </c>
      <c r="W180" s="5">
        <f t="shared" ca="1" si="131"/>
        <v>0.15980496282567669</v>
      </c>
      <c r="X180" s="5">
        <f t="shared" ca="1" si="132"/>
        <v>-0.99525979672616838</v>
      </c>
      <c r="Y180" s="5">
        <f t="shared" ca="1" si="111"/>
        <v>-6.0670512587514325E-2</v>
      </c>
      <c r="Z180" s="5">
        <f t="shared" ca="1" si="133"/>
        <v>0.53397770734050387</v>
      </c>
      <c r="AA180" s="5">
        <f t="shared" ca="1" si="134"/>
        <v>8.5272711809356541E-2</v>
      </c>
      <c r="AB180" s="5">
        <f t="shared" ca="1" si="112"/>
        <v>0.10460842623735522</v>
      </c>
      <c r="AC180" s="5">
        <f t="shared" ca="1" si="135"/>
        <v>0.11358677040534482</v>
      </c>
      <c r="AD180" s="5">
        <f t="shared" ca="1" si="136"/>
        <v>-1.2076717699903998</v>
      </c>
      <c r="AE180" s="5">
        <f t="shared" ca="1" si="113"/>
        <v>-9.0127469356313661E-2</v>
      </c>
      <c r="AF180" s="5">
        <f t="shared" ca="1" si="138"/>
        <v>0.98487776625453605</v>
      </c>
      <c r="AG180" s="5">
        <f t="shared" ca="1" si="139"/>
        <v>0.84857163375784639</v>
      </c>
      <c r="AH180" s="5">
        <f t="shared" ca="1" si="140"/>
        <v>0.86496686993051575</v>
      </c>
      <c r="AI180" s="5">
        <f t="shared" ca="1" si="141"/>
        <v>0.94762111901212887</v>
      </c>
      <c r="AJ180" s="5">
        <f t="shared" ca="1" si="142"/>
        <v>1.2562044798569483</v>
      </c>
      <c r="AK180" s="5">
        <f t="shared" ca="1" si="143"/>
        <v>1.2360549431060903</v>
      </c>
      <c r="AL180" s="5">
        <f t="shared" ca="1" si="144"/>
        <v>1.128071773902402</v>
      </c>
      <c r="AM180" s="5">
        <f t="shared" ca="1" si="145"/>
        <v>0.93932948741248568</v>
      </c>
      <c r="AN180" s="5">
        <f t="shared" ca="1" si="146"/>
        <v>1.1046084262373552</v>
      </c>
      <c r="AO180" s="5">
        <f t="shared" ca="1" si="147"/>
        <v>0.90987253064368634</v>
      </c>
      <c r="AP180" s="5">
        <f t="shared" ca="1" si="148"/>
        <v>1.1327830848447147</v>
      </c>
      <c r="AQ180" s="4">
        <f t="shared" ca="1" si="114"/>
        <v>11327.830848447147</v>
      </c>
      <c r="AR180">
        <f t="shared" ca="1" si="115"/>
        <v>0</v>
      </c>
      <c r="AS180">
        <f t="shared" ca="1" si="116"/>
        <v>0</v>
      </c>
    </row>
    <row r="181" spans="1:45" x14ac:dyDescent="0.25">
      <c r="A181" s="10">
        <f t="shared" si="137"/>
        <v>160</v>
      </c>
      <c r="B181" s="5">
        <f t="shared" ca="1" si="117"/>
        <v>0.22975691420239208</v>
      </c>
      <c r="C181" s="5">
        <f t="shared" ca="1" si="118"/>
        <v>-0.73964763718787818</v>
      </c>
      <c r="D181" s="5">
        <f t="shared" ca="1" si="104"/>
        <v>-2.3955545124532684E-2</v>
      </c>
      <c r="E181" s="5">
        <f t="shared" ca="1" si="119"/>
        <v>6.2581121088442826E-2</v>
      </c>
      <c r="F181" s="5">
        <f t="shared" ca="1" si="120"/>
        <v>-1.5334612706752206</v>
      </c>
      <c r="G181" s="5">
        <f t="shared" ca="1" si="105"/>
        <v>-0.13352254670802743</v>
      </c>
      <c r="H181" s="5">
        <f t="shared" ca="1" si="121"/>
        <v>0.38563645132337121</v>
      </c>
      <c r="I181" s="5">
        <f t="shared" ca="1" si="122"/>
        <v>-0.29071028792601078</v>
      </c>
      <c r="J181" s="5">
        <f t="shared" ca="1" si="106"/>
        <v>4.4035462516360591E-2</v>
      </c>
      <c r="K181" s="5">
        <f t="shared" ca="1" si="123"/>
        <v>0.30311296692295253</v>
      </c>
      <c r="L181" s="5">
        <f t="shared" ca="1" si="124"/>
        <v>-0.51546813094225263</v>
      </c>
      <c r="M181" s="5">
        <f t="shared" ca="1" si="107"/>
        <v>9.4239083608615992E-3</v>
      </c>
      <c r="N181" s="5">
        <f t="shared" ca="1" si="125"/>
        <v>0.85804320317768434</v>
      </c>
      <c r="O181" s="5">
        <f t="shared" ca="1" si="126"/>
        <v>1.0715691552748055</v>
      </c>
      <c r="P181" s="5">
        <f t="shared" ca="1" si="108"/>
        <v>0.28073658991847528</v>
      </c>
      <c r="Q181" s="5">
        <f t="shared" ca="1" si="127"/>
        <v>0.65754370078866053</v>
      </c>
      <c r="R181" s="5">
        <f t="shared" ca="1" si="128"/>
        <v>0.40576864597270251</v>
      </c>
      <c r="S181" s="5">
        <f t="shared" ca="1" si="109"/>
        <v>0.15900896204652848</v>
      </c>
      <c r="T181" s="5">
        <f t="shared" ca="1" si="129"/>
        <v>0.25244895008787882</v>
      </c>
      <c r="U181" s="5">
        <f t="shared" ca="1" si="130"/>
        <v>-0.6668031190501329</v>
      </c>
      <c r="V181" s="5">
        <f t="shared" ca="1" si="110"/>
        <v>-1.3232143036471911E-2</v>
      </c>
      <c r="W181" s="5">
        <f t="shared" ca="1" si="131"/>
        <v>0.12809961648000767</v>
      </c>
      <c r="X181" s="5">
        <f t="shared" ca="1" si="132"/>
        <v>-1.1354203600602246</v>
      </c>
      <c r="Y181" s="5">
        <f t="shared" ca="1" si="111"/>
        <v>-8.0212904825547549E-2</v>
      </c>
      <c r="Z181" s="5">
        <f t="shared" ca="1" si="133"/>
        <v>0.73400419839675213</v>
      </c>
      <c r="AA181" s="5">
        <f t="shared" ca="1" si="134"/>
        <v>0.62496869690473444</v>
      </c>
      <c r="AB181" s="5">
        <f t="shared" ca="1" si="112"/>
        <v>0.19775060816324541</v>
      </c>
      <c r="AC181" s="5">
        <f t="shared" ca="1" si="135"/>
        <v>0.75890279067064048</v>
      </c>
      <c r="AD181" s="5">
        <f t="shared" ca="1" si="136"/>
        <v>0.70277750407788186</v>
      </c>
      <c r="AE181" s="5">
        <f t="shared" ca="1" si="113"/>
        <v>0.21181183702070783</v>
      </c>
      <c r="AF181" s="5">
        <f t="shared" ca="1" si="138"/>
        <v>0.97604445487546732</v>
      </c>
      <c r="AG181" s="5">
        <f t="shared" ca="1" si="139"/>
        <v>0.86647745329197257</v>
      </c>
      <c r="AH181" s="5">
        <f t="shared" ca="1" si="140"/>
        <v>1.0440354625163606</v>
      </c>
      <c r="AI181" s="5">
        <f t="shared" ca="1" si="141"/>
        <v>1.0094239083608616</v>
      </c>
      <c r="AJ181" s="5">
        <f t="shared" ca="1" si="142"/>
        <v>1.2807365899184753</v>
      </c>
      <c r="AK181" s="5">
        <f t="shared" ca="1" si="143"/>
        <v>1.1590089620465285</v>
      </c>
      <c r="AL181" s="5">
        <f t="shared" ca="1" si="144"/>
        <v>0.98676785696352809</v>
      </c>
      <c r="AM181" s="5">
        <f t="shared" ca="1" si="145"/>
        <v>0.91978709517445245</v>
      </c>
      <c r="AN181" s="5">
        <f t="shared" ca="1" si="146"/>
        <v>1.1977506081632454</v>
      </c>
      <c r="AO181" s="5">
        <f t="shared" ca="1" si="147"/>
        <v>1.2118118370207078</v>
      </c>
      <c r="AP181" s="5">
        <f t="shared" ca="1" si="148"/>
        <v>1.7428748796112841</v>
      </c>
      <c r="AQ181" s="4">
        <f t="shared" ca="1" si="114"/>
        <v>17428.748796112839</v>
      </c>
      <c r="AR181">
        <f t="shared" ca="1" si="115"/>
        <v>0</v>
      </c>
      <c r="AS181">
        <f t="shared" ca="1" si="116"/>
        <v>0</v>
      </c>
    </row>
    <row r="182" spans="1:45" x14ac:dyDescent="0.25">
      <c r="A182" s="10">
        <f t="shared" si="137"/>
        <v>161</v>
      </c>
      <c r="B182" s="5">
        <f t="shared" ca="1" si="117"/>
        <v>0.7990089071086276</v>
      </c>
      <c r="C182" s="5">
        <f t="shared" ca="1" si="118"/>
        <v>0.83808639057282408</v>
      </c>
      <c r="D182" s="5">
        <f t="shared" ca="1" si="104"/>
        <v>0.23665846837874072</v>
      </c>
      <c r="E182" s="5">
        <f t="shared" ca="1" si="119"/>
        <v>0.5656197311305533</v>
      </c>
      <c r="F182" s="5">
        <f t="shared" ca="1" si="120"/>
        <v>0.16523306893378506</v>
      </c>
      <c r="G182" s="5">
        <f t="shared" ca="1" si="105"/>
        <v>0.11793693048783616</v>
      </c>
      <c r="H182" s="5">
        <f t="shared" ca="1" si="121"/>
        <v>0.57036762965457044</v>
      </c>
      <c r="I182" s="5">
        <f t="shared" ca="1" si="122"/>
        <v>0.17731019822348126</v>
      </c>
      <c r="J182" s="5">
        <f t="shared" ca="1" si="106"/>
        <v>0.11996398633672434</v>
      </c>
      <c r="K182" s="5">
        <f t="shared" ca="1" si="123"/>
        <v>7.4345203418134886E-2</v>
      </c>
      <c r="L182" s="5">
        <f t="shared" ca="1" si="124"/>
        <v>-1.4441726833019755</v>
      </c>
      <c r="M182" s="5">
        <f t="shared" ca="1" si="107"/>
        <v>-0.12183950198849103</v>
      </c>
      <c r="N182" s="5">
        <f t="shared" ca="1" si="125"/>
        <v>5.7903229969553549E-2</v>
      </c>
      <c r="O182" s="5">
        <f t="shared" ca="1" si="126"/>
        <v>-1.5726216137598892</v>
      </c>
      <c r="P182" s="5">
        <f t="shared" ca="1" si="108"/>
        <v>-0.13859736040953496</v>
      </c>
      <c r="Q182" s="5">
        <f t="shared" ca="1" si="127"/>
        <v>0.92310902209949774</v>
      </c>
      <c r="R182" s="5">
        <f t="shared" ca="1" si="128"/>
        <v>1.4262993374020294</v>
      </c>
      <c r="S182" s="5">
        <f t="shared" ca="1" si="109"/>
        <v>0.35072961310616213</v>
      </c>
      <c r="T182" s="5">
        <f t="shared" ca="1" si="129"/>
        <v>0.2241857007424829</v>
      </c>
      <c r="U182" s="5">
        <f t="shared" ca="1" si="130"/>
        <v>-0.75813294057550895</v>
      </c>
      <c r="V182" s="5">
        <f t="shared" ca="1" si="110"/>
        <v>-2.6658168162681406E-2</v>
      </c>
      <c r="W182" s="5">
        <f t="shared" ca="1" si="131"/>
        <v>0.26797868398104119</v>
      </c>
      <c r="X182" s="5">
        <f t="shared" ca="1" si="132"/>
        <v>-0.61893775078045177</v>
      </c>
      <c r="Y182" s="5">
        <f t="shared" ca="1" si="111"/>
        <v>-6.1218472809563274E-3</v>
      </c>
      <c r="Z182" s="5">
        <f t="shared" ca="1" si="133"/>
        <v>0.34918608452307431</v>
      </c>
      <c r="AA182" s="5">
        <f t="shared" ca="1" si="134"/>
        <v>-0.38751880088086649</v>
      </c>
      <c r="AB182" s="5">
        <f t="shared" ca="1" si="112"/>
        <v>2.898428010349674E-2</v>
      </c>
      <c r="AC182" s="5">
        <f t="shared" ca="1" si="135"/>
        <v>0.53900964267211571</v>
      </c>
      <c r="AD182" s="5">
        <f t="shared" ca="1" si="136"/>
        <v>9.7939020978412727E-2</v>
      </c>
      <c r="AE182" s="5">
        <f t="shared" ca="1" si="113"/>
        <v>0.10670911798188576</v>
      </c>
      <c r="AF182" s="5">
        <f t="shared" ca="1" si="138"/>
        <v>1.2366584683787407</v>
      </c>
      <c r="AG182" s="5">
        <f t="shared" ca="1" si="139"/>
        <v>1.1179369304878362</v>
      </c>
      <c r="AH182" s="5">
        <f t="shared" ca="1" si="140"/>
        <v>1.1199639863367243</v>
      </c>
      <c r="AI182" s="5">
        <f t="shared" ca="1" si="141"/>
        <v>0.87816049801150897</v>
      </c>
      <c r="AJ182" s="5">
        <f t="shared" ca="1" si="142"/>
        <v>0.86140263959046504</v>
      </c>
      <c r="AK182" s="5">
        <f t="shared" ca="1" si="143"/>
        <v>1.3507296131061621</v>
      </c>
      <c r="AL182" s="5">
        <f t="shared" ca="1" si="144"/>
        <v>0.97334183183731859</v>
      </c>
      <c r="AM182" s="5">
        <f t="shared" ca="1" si="145"/>
        <v>0.99387815271904367</v>
      </c>
      <c r="AN182" s="5">
        <f t="shared" ca="1" si="146"/>
        <v>1.0289842801034967</v>
      </c>
      <c r="AO182" s="5">
        <f t="shared" ca="1" si="147"/>
        <v>1.1067091179818858</v>
      </c>
      <c r="AP182" s="5">
        <f t="shared" ca="1" si="148"/>
        <v>1.7428516203404805</v>
      </c>
      <c r="AQ182" s="4">
        <f t="shared" ca="1" si="114"/>
        <v>17428.516203404804</v>
      </c>
      <c r="AR182">
        <f t="shared" ca="1" si="115"/>
        <v>0</v>
      </c>
      <c r="AS182">
        <f t="shared" ca="1" si="116"/>
        <v>0</v>
      </c>
    </row>
    <row r="183" spans="1:45" x14ac:dyDescent="0.25">
      <c r="A183" s="10">
        <f t="shared" si="137"/>
        <v>162</v>
      </c>
      <c r="B183" s="5">
        <f t="shared" ca="1" si="117"/>
        <v>0.56029227840123563</v>
      </c>
      <c r="C183" s="5">
        <f t="shared" ca="1" si="118"/>
        <v>0.15171028705664491</v>
      </c>
      <c r="D183" s="5">
        <f t="shared" ca="1" si="104"/>
        <v>0.11567158620679785</v>
      </c>
      <c r="E183" s="5">
        <f t="shared" ca="1" si="119"/>
        <v>0.89805896760612236</v>
      </c>
      <c r="F183" s="5">
        <f t="shared" ca="1" si="120"/>
        <v>1.2705688775627508</v>
      </c>
      <c r="G183" s="5">
        <f t="shared" ca="1" si="105"/>
        <v>0.31954282463617512</v>
      </c>
      <c r="H183" s="5">
        <f t="shared" ca="1" si="121"/>
        <v>0.20705043189679029</v>
      </c>
      <c r="I183" s="5">
        <f t="shared" ca="1" si="122"/>
        <v>-0.81669829874530586</v>
      </c>
      <c r="J183" s="5">
        <f t="shared" ca="1" si="106"/>
        <v>-3.5171337105369682E-2</v>
      </c>
      <c r="K183" s="5">
        <f t="shared" ca="1" si="123"/>
        <v>0.4690287205992576</v>
      </c>
      <c r="L183" s="5">
        <f t="shared" ca="1" si="124"/>
        <v>-7.7711631866597825E-2</v>
      </c>
      <c r="M183" s="5">
        <f t="shared" ca="1" si="107"/>
        <v>7.7930776009106362E-2</v>
      </c>
      <c r="N183" s="5">
        <f t="shared" ca="1" si="125"/>
        <v>0.63210655258200599</v>
      </c>
      <c r="O183" s="5">
        <f t="shared" ca="1" si="126"/>
        <v>0.33743779828506842</v>
      </c>
      <c r="P183" s="5">
        <f t="shared" ca="1" si="108"/>
        <v>0.1471902246122585</v>
      </c>
      <c r="Q183" s="5">
        <f t="shared" ca="1" si="127"/>
        <v>0.21399568106404032</v>
      </c>
      <c r="R183" s="5">
        <f t="shared" ca="1" si="128"/>
        <v>-0.79263353915517121</v>
      </c>
      <c r="S183" s="5">
        <f t="shared" ca="1" si="109"/>
        <v>-3.1682288186913432E-2</v>
      </c>
      <c r="T183" s="5">
        <f t="shared" ca="1" si="129"/>
        <v>8.1538395950561116E-2</v>
      </c>
      <c r="U183" s="5">
        <f t="shared" ca="1" si="130"/>
        <v>-1.3947979015185457</v>
      </c>
      <c r="V183" s="5">
        <f t="shared" ca="1" si="110"/>
        <v>-0.11531151052236088</v>
      </c>
      <c r="W183" s="5">
        <f t="shared" ca="1" si="131"/>
        <v>0.26249850687242371</v>
      </c>
      <c r="X183" s="5">
        <f t="shared" ca="1" si="132"/>
        <v>-0.63566159435657765</v>
      </c>
      <c r="Y183" s="5">
        <f t="shared" ca="1" si="111"/>
        <v>-8.6119420923799206E-3</v>
      </c>
      <c r="Z183" s="5">
        <f t="shared" ca="1" si="133"/>
        <v>0.30667597999526652</v>
      </c>
      <c r="AA183" s="5">
        <f t="shared" ca="1" si="134"/>
        <v>-0.50529456443145748</v>
      </c>
      <c r="AB183" s="5">
        <f t="shared" ca="1" si="112"/>
        <v>1.0965500513859139E-2</v>
      </c>
      <c r="AC183" s="5">
        <f t="shared" ca="1" si="135"/>
        <v>0.85408669658381253</v>
      </c>
      <c r="AD183" s="5">
        <f t="shared" ca="1" si="136"/>
        <v>1.0541230008995719</v>
      </c>
      <c r="AE183" s="5">
        <f t="shared" ca="1" si="113"/>
        <v>0.27738938228202192</v>
      </c>
      <c r="AF183" s="5">
        <f t="shared" ca="1" si="138"/>
        <v>1.1156715862067978</v>
      </c>
      <c r="AG183" s="5">
        <f t="shared" ca="1" si="139"/>
        <v>1.3195428246361751</v>
      </c>
      <c r="AH183" s="5">
        <f t="shared" ca="1" si="140"/>
        <v>0.96482866289463032</v>
      </c>
      <c r="AI183" s="5">
        <f t="shared" ca="1" si="141"/>
        <v>1.0779307760091064</v>
      </c>
      <c r="AJ183" s="5">
        <f t="shared" ca="1" si="142"/>
        <v>1.1471902246122585</v>
      </c>
      <c r="AK183" s="5">
        <f t="shared" ca="1" si="143"/>
        <v>0.96831771181308657</v>
      </c>
      <c r="AL183" s="5">
        <f t="shared" ca="1" si="144"/>
        <v>0.88468848947763912</v>
      </c>
      <c r="AM183" s="5">
        <f t="shared" ca="1" si="145"/>
        <v>0.99138805790762008</v>
      </c>
      <c r="AN183" s="5">
        <f t="shared" ca="1" si="146"/>
        <v>1.0109655005138591</v>
      </c>
      <c r="AO183" s="5">
        <f t="shared" ca="1" si="147"/>
        <v>1.2773893822820219</v>
      </c>
      <c r="AP183" s="5">
        <f t="shared" ca="1" si="148"/>
        <v>1.9264065284404051</v>
      </c>
      <c r="AQ183" s="4">
        <f t="shared" ca="1" si="114"/>
        <v>19264.065284404049</v>
      </c>
      <c r="AR183">
        <f t="shared" ca="1" si="115"/>
        <v>0</v>
      </c>
      <c r="AS183">
        <f t="shared" ca="1" si="116"/>
        <v>0</v>
      </c>
    </row>
    <row r="184" spans="1:45" x14ac:dyDescent="0.25">
      <c r="A184" s="10">
        <f t="shared" si="137"/>
        <v>163</v>
      </c>
      <c r="B184" s="5">
        <f t="shared" ca="1" si="117"/>
        <v>0.9768976390014541</v>
      </c>
      <c r="C184" s="5">
        <f t="shared" ca="1" si="118"/>
        <v>1.9935182972274368</v>
      </c>
      <c r="D184" s="5">
        <f t="shared" ca="1" si="104"/>
        <v>0.47068421456155463</v>
      </c>
      <c r="E184" s="5">
        <f t="shared" ca="1" si="119"/>
        <v>0.79627593338578506</v>
      </c>
      <c r="F184" s="5">
        <f t="shared" ca="1" si="120"/>
        <v>0.82839271086392818</v>
      </c>
      <c r="G184" s="5">
        <f t="shared" ca="1" si="105"/>
        <v>0.23486160939322542</v>
      </c>
      <c r="H184" s="5">
        <f t="shared" ca="1" si="121"/>
        <v>0.31064774957463914</v>
      </c>
      <c r="I184" s="5">
        <f t="shared" ca="1" si="122"/>
        <v>-0.4940151230093619</v>
      </c>
      <c r="J184" s="5">
        <f t="shared" ca="1" si="106"/>
        <v>1.2677417236734767E-2</v>
      </c>
      <c r="K184" s="5">
        <f t="shared" ca="1" si="123"/>
        <v>4.7814341948777539E-3</v>
      </c>
      <c r="L184" s="5">
        <f t="shared" ca="1" si="124"/>
        <v>-2.591247517643684</v>
      </c>
      <c r="M184" s="5">
        <f t="shared" ca="1" si="107"/>
        <v>-0.26065241802832628</v>
      </c>
      <c r="N184" s="5">
        <f t="shared" ca="1" si="125"/>
        <v>0.37521741091049932</v>
      </c>
      <c r="O184" s="5">
        <f t="shared" ca="1" si="126"/>
        <v>-0.31806606809715599</v>
      </c>
      <c r="P184" s="5">
        <f t="shared" ca="1" si="108"/>
        <v>3.9760179352616776E-2</v>
      </c>
      <c r="Q184" s="5">
        <f t="shared" ca="1" si="127"/>
        <v>7.2426113600193243E-2</v>
      </c>
      <c r="R184" s="5">
        <f t="shared" ca="1" si="128"/>
        <v>-1.4579576114354418</v>
      </c>
      <c r="S184" s="5">
        <f t="shared" ca="1" si="109"/>
        <v>-0.12365343287738562</v>
      </c>
      <c r="T184" s="5">
        <f t="shared" ca="1" si="129"/>
        <v>0.71938251189953728</v>
      </c>
      <c r="U184" s="5">
        <f t="shared" ca="1" si="130"/>
        <v>0.58100812702687299</v>
      </c>
      <c r="V184" s="5">
        <f t="shared" ca="1" si="110"/>
        <v>0.189878521398269</v>
      </c>
      <c r="W184" s="5">
        <f t="shared" ca="1" si="131"/>
        <v>0.97840590105209246</v>
      </c>
      <c r="X184" s="5">
        <f t="shared" ca="1" si="132"/>
        <v>2.0218853469413482</v>
      </c>
      <c r="Y184" s="5">
        <f t="shared" ca="1" si="111"/>
        <v>0.47695539304622625</v>
      </c>
      <c r="Z184" s="5">
        <f t="shared" ca="1" si="133"/>
        <v>0.81101343712074048</v>
      </c>
      <c r="AA184" s="5">
        <f t="shared" ca="1" si="134"/>
        <v>0.88163702586352166</v>
      </c>
      <c r="AB184" s="5">
        <f t="shared" ca="1" si="112"/>
        <v>0.24476350229891675</v>
      </c>
      <c r="AC184" s="5">
        <f t="shared" ca="1" si="135"/>
        <v>0.37881744677997609</v>
      </c>
      <c r="AD184" s="5">
        <f t="shared" ca="1" si="136"/>
        <v>-0.30858807453111609</v>
      </c>
      <c r="AE184" s="5">
        <f t="shared" ca="1" si="113"/>
        <v>4.1239456690554732E-2</v>
      </c>
      <c r="AF184" s="5">
        <f t="shared" ca="1" si="138"/>
        <v>1.4706842145615546</v>
      </c>
      <c r="AG184" s="5">
        <f t="shared" ca="1" si="139"/>
        <v>1.2348616093932254</v>
      </c>
      <c r="AH184" s="5">
        <f t="shared" ca="1" si="140"/>
        <v>1.0126774172367348</v>
      </c>
      <c r="AI184" s="5">
        <f t="shared" ca="1" si="141"/>
        <v>0.73934758197167372</v>
      </c>
      <c r="AJ184" s="5">
        <f t="shared" ca="1" si="142"/>
        <v>1.0397601793526168</v>
      </c>
      <c r="AK184" s="5">
        <f t="shared" ca="1" si="143"/>
        <v>0.87634656712261438</v>
      </c>
      <c r="AL184" s="5">
        <f t="shared" ca="1" si="144"/>
        <v>1.189878521398269</v>
      </c>
      <c r="AM184" s="5">
        <f t="shared" ca="1" si="145"/>
        <v>1.4769553930462263</v>
      </c>
      <c r="AN184" s="5">
        <f t="shared" ca="1" si="146"/>
        <v>1.2447635022989167</v>
      </c>
      <c r="AO184" s="5">
        <f t="shared" ca="1" si="147"/>
        <v>1.0412394566905547</v>
      </c>
      <c r="AP184" s="5">
        <f t="shared" ca="1" si="148"/>
        <v>2.822110662808758</v>
      </c>
      <c r="AQ184" s="4">
        <f t="shared" ca="1" si="114"/>
        <v>28221.106628087578</v>
      </c>
      <c r="AR184">
        <f t="shared" ca="1" si="115"/>
        <v>1</v>
      </c>
      <c r="AS184">
        <f t="shared" ca="1" si="116"/>
        <v>0</v>
      </c>
    </row>
    <row r="185" spans="1:45" x14ac:dyDescent="0.25">
      <c r="A185" s="10">
        <f t="shared" si="137"/>
        <v>164</v>
      </c>
      <c r="B185" s="5">
        <f t="shared" ca="1" si="117"/>
        <v>0.97072417398561051</v>
      </c>
      <c r="C185" s="5">
        <f t="shared" ca="1" si="118"/>
        <v>1.8915448339580536</v>
      </c>
      <c r="D185" s="5">
        <f t="shared" ca="1" si="104"/>
        <v>0.44835977296405716</v>
      </c>
      <c r="E185" s="5">
        <f t="shared" ca="1" si="119"/>
        <v>0.13992855501595891</v>
      </c>
      <c r="F185" s="5">
        <f t="shared" ca="1" si="120"/>
        <v>-1.0806403868743741</v>
      </c>
      <c r="G185" s="5">
        <f t="shared" ca="1" si="105"/>
        <v>-7.262388117583285E-2</v>
      </c>
      <c r="H185" s="5">
        <f t="shared" ca="1" si="121"/>
        <v>0.24050830392894318</v>
      </c>
      <c r="I185" s="5">
        <f t="shared" ca="1" si="122"/>
        <v>-0.70466842107242433</v>
      </c>
      <c r="J185" s="5">
        <f t="shared" ca="1" si="106"/>
        <v>-1.8820895965168338E-2</v>
      </c>
      <c r="K185" s="5">
        <f t="shared" ca="1" si="123"/>
        <v>0.94702731312679733</v>
      </c>
      <c r="L185" s="5">
        <f t="shared" ca="1" si="124"/>
        <v>1.6166892583347641</v>
      </c>
      <c r="M185" s="5">
        <f t="shared" ca="1" si="107"/>
        <v>0.38986050883425549</v>
      </c>
      <c r="N185" s="5">
        <f t="shared" ca="1" si="125"/>
        <v>0.81061371071650068</v>
      </c>
      <c r="O185" s="5">
        <f t="shared" ca="1" si="126"/>
        <v>0.88016011191244103</v>
      </c>
      <c r="P185" s="5">
        <f t="shared" ca="1" si="108"/>
        <v>0.24448777155498691</v>
      </c>
      <c r="Q185" s="5">
        <f t="shared" ca="1" si="127"/>
        <v>0.35668882304207128</v>
      </c>
      <c r="R185" s="5">
        <f t="shared" ca="1" si="128"/>
        <v>-0.36732360842912692</v>
      </c>
      <c r="S185" s="5">
        <f t="shared" ca="1" si="109"/>
        <v>3.2106086462209582E-2</v>
      </c>
      <c r="T185" s="5">
        <f t="shared" ca="1" si="129"/>
        <v>0.89764655705491436</v>
      </c>
      <c r="U185" s="5">
        <f t="shared" ca="1" si="130"/>
        <v>1.2682550437281794</v>
      </c>
      <c r="V185" s="5">
        <f t="shared" ca="1" si="110"/>
        <v>0.31908492367870478</v>
      </c>
      <c r="W185" s="5">
        <f t="shared" ca="1" si="131"/>
        <v>0.39692025239397932</v>
      </c>
      <c r="X185" s="5">
        <f t="shared" ca="1" si="132"/>
        <v>-0.26132679510904189</v>
      </c>
      <c r="Y185" s="5">
        <f t="shared" ca="1" si="111"/>
        <v>4.8647229564399375E-2</v>
      </c>
      <c r="Z185" s="5">
        <f t="shared" ca="1" si="133"/>
        <v>0.92740580844196319</v>
      </c>
      <c r="AA185" s="5">
        <f t="shared" ca="1" si="134"/>
        <v>1.4567392056351218</v>
      </c>
      <c r="AB185" s="5">
        <f t="shared" ca="1" si="112"/>
        <v>0.35691111940074327</v>
      </c>
      <c r="AC185" s="5">
        <f t="shared" ca="1" si="135"/>
        <v>0.98012478556864502</v>
      </c>
      <c r="AD185" s="5">
        <f t="shared" ca="1" si="136"/>
        <v>2.056333006903138</v>
      </c>
      <c r="AE185" s="5">
        <f t="shared" ca="1" si="113"/>
        <v>0.48460679255663486</v>
      </c>
      <c r="AF185" s="5">
        <f t="shared" ca="1" si="138"/>
        <v>1.4483597729640572</v>
      </c>
      <c r="AG185" s="5">
        <f t="shared" ca="1" si="139"/>
        <v>0.92737611882416715</v>
      </c>
      <c r="AH185" s="5">
        <f t="shared" ca="1" si="140"/>
        <v>0.98117910403483166</v>
      </c>
      <c r="AI185" s="5">
        <f t="shared" ca="1" si="141"/>
        <v>1.3898605088342555</v>
      </c>
      <c r="AJ185" s="5">
        <f t="shared" ca="1" si="142"/>
        <v>1.2444877715549869</v>
      </c>
      <c r="AK185" s="5">
        <f t="shared" ca="1" si="143"/>
        <v>1.0321060864622096</v>
      </c>
      <c r="AL185" s="5">
        <f t="shared" ca="1" si="144"/>
        <v>1.3190849236787048</v>
      </c>
      <c r="AM185" s="5">
        <f t="shared" ca="1" si="145"/>
        <v>1.0486472295643994</v>
      </c>
      <c r="AN185" s="5">
        <f t="shared" ca="1" si="146"/>
        <v>1.3569111194007433</v>
      </c>
      <c r="AO185" s="5">
        <f t="shared" ca="1" si="147"/>
        <v>1.4846067925566349</v>
      </c>
      <c r="AP185" s="5">
        <f t="shared" ca="1" si="148"/>
        <v>6.5558929837873352</v>
      </c>
      <c r="AQ185" s="4">
        <f t="shared" ca="1" si="114"/>
        <v>65558.929837873351</v>
      </c>
      <c r="AR185">
        <f t="shared" ca="1" si="115"/>
        <v>1</v>
      </c>
      <c r="AS185">
        <f t="shared" ca="1" si="116"/>
        <v>0</v>
      </c>
    </row>
    <row r="186" spans="1:45" x14ac:dyDescent="0.25">
      <c r="A186" s="10">
        <f t="shared" si="137"/>
        <v>165</v>
      </c>
      <c r="B186" s="5">
        <f t="shared" ca="1" si="117"/>
        <v>0.19881396170356791</v>
      </c>
      <c r="C186" s="5">
        <f t="shared" ca="1" si="118"/>
        <v>-0.84586524395211138</v>
      </c>
      <c r="D186" s="5">
        <f t="shared" ca="1" si="104"/>
        <v>-3.9383282380383133E-2</v>
      </c>
      <c r="E186" s="5">
        <f t="shared" ca="1" si="119"/>
        <v>0.53340952233114836</v>
      </c>
      <c r="F186" s="5">
        <f t="shared" ca="1" si="120"/>
        <v>8.3843382304228956E-2</v>
      </c>
      <c r="G186" s="5">
        <f t="shared" ca="1" si="105"/>
        <v>0.10437162421108659</v>
      </c>
      <c r="H186" s="5">
        <f t="shared" ca="1" si="121"/>
        <v>0.76372231299797799</v>
      </c>
      <c r="I186" s="5">
        <f t="shared" ca="1" si="122"/>
        <v>0.71832750617922581</v>
      </c>
      <c r="J186" s="5">
        <f t="shared" ca="1" si="106"/>
        <v>0.21464168754314428</v>
      </c>
      <c r="K186" s="5">
        <f t="shared" ca="1" si="123"/>
        <v>0.34017434508779498</v>
      </c>
      <c r="L186" s="5">
        <f t="shared" ca="1" si="124"/>
        <v>-0.41198735686237492</v>
      </c>
      <c r="M186" s="5">
        <f t="shared" ca="1" si="107"/>
        <v>2.521453842621324E-2</v>
      </c>
      <c r="N186" s="5">
        <f t="shared" ca="1" si="125"/>
        <v>0.6342511339598792</v>
      </c>
      <c r="O186" s="5">
        <f t="shared" ca="1" si="126"/>
        <v>0.34313389599984551</v>
      </c>
      <c r="P186" s="5">
        <f t="shared" ca="1" si="108"/>
        <v>0.14817081961249845</v>
      </c>
      <c r="Q186" s="5">
        <f t="shared" ca="1" si="127"/>
        <v>0.51685802584698337</v>
      </c>
      <c r="R186" s="5">
        <f t="shared" ca="1" si="128"/>
        <v>4.226938799725044E-2</v>
      </c>
      <c r="S186" s="5">
        <f t="shared" ca="1" si="109"/>
        <v>9.7506082616912737E-2</v>
      </c>
      <c r="T186" s="5">
        <f t="shared" ca="1" si="129"/>
        <v>0.13554783428203654</v>
      </c>
      <c r="U186" s="5">
        <f t="shared" ca="1" si="130"/>
        <v>-1.1005428542151443</v>
      </c>
      <c r="V186" s="5">
        <f t="shared" ca="1" si="110"/>
        <v>-7.5388313633304893E-2</v>
      </c>
      <c r="W186" s="5">
        <f t="shared" ca="1" si="131"/>
        <v>0.92194637512934119</v>
      </c>
      <c r="X186" s="5">
        <f t="shared" ca="1" si="132"/>
        <v>1.4182861118544303</v>
      </c>
      <c r="Y186" s="5">
        <f t="shared" ca="1" si="111"/>
        <v>0.34910703330231518</v>
      </c>
      <c r="Z186" s="5">
        <f t="shared" ca="1" si="133"/>
        <v>0.16276120027406116</v>
      </c>
      <c r="AA186" s="5">
        <f t="shared" ca="1" si="134"/>
        <v>-0.98317279748021802</v>
      </c>
      <c r="AB186" s="5">
        <f t="shared" ca="1" si="112"/>
        <v>-5.8965916574740818E-2</v>
      </c>
      <c r="AC186" s="5">
        <f t="shared" ca="1" si="135"/>
        <v>0.52864331168468215</v>
      </c>
      <c r="AD186" s="5">
        <f t="shared" ca="1" si="136"/>
        <v>7.1859932724519709E-2</v>
      </c>
      <c r="AE186" s="5">
        <f t="shared" ca="1" si="113"/>
        <v>0.10238828004157807</v>
      </c>
      <c r="AF186" s="5">
        <f t="shared" ca="1" si="138"/>
        <v>0.96061671761961687</v>
      </c>
      <c r="AG186" s="5">
        <f t="shared" ca="1" si="139"/>
        <v>1.1043716242110866</v>
      </c>
      <c r="AH186" s="5">
        <f t="shared" ca="1" si="140"/>
        <v>1.2146416875431443</v>
      </c>
      <c r="AI186" s="5">
        <f t="shared" ca="1" si="141"/>
        <v>1.0252145384262132</v>
      </c>
      <c r="AJ186" s="5">
        <f t="shared" ca="1" si="142"/>
        <v>1.1481708196124985</v>
      </c>
      <c r="AK186" s="5">
        <f t="shared" ca="1" si="143"/>
        <v>1.0975060826169127</v>
      </c>
      <c r="AL186" s="5">
        <f t="shared" ca="1" si="144"/>
        <v>0.92461168636669511</v>
      </c>
      <c r="AM186" s="5">
        <f t="shared" ca="1" si="145"/>
        <v>1.3491070333023152</v>
      </c>
      <c r="AN186" s="5">
        <f t="shared" ca="1" si="146"/>
        <v>0.94103408342525918</v>
      </c>
      <c r="AO186" s="5">
        <f t="shared" ca="1" si="147"/>
        <v>1.1023882800415781</v>
      </c>
      <c r="AP186" s="5">
        <f t="shared" ca="1" si="148"/>
        <v>2.1542072591231891</v>
      </c>
      <c r="AQ186" s="4">
        <f t="shared" ca="1" si="114"/>
        <v>21542.072591231892</v>
      </c>
      <c r="AR186">
        <f t="shared" ca="1" si="115"/>
        <v>0</v>
      </c>
      <c r="AS186">
        <f t="shared" ca="1" si="116"/>
        <v>0</v>
      </c>
    </row>
    <row r="187" spans="1:45" x14ac:dyDescent="0.25">
      <c r="A187" s="10">
        <f t="shared" si="137"/>
        <v>166</v>
      </c>
      <c r="B187" s="5">
        <f t="shared" ca="1" si="117"/>
        <v>0.57894085897569625</v>
      </c>
      <c r="C187" s="5">
        <f t="shared" ca="1" si="118"/>
        <v>0.19918468109015142</v>
      </c>
      <c r="D187" s="5">
        <f t="shared" ca="1" si="104"/>
        <v>0.12364481670850758</v>
      </c>
      <c r="E187" s="5">
        <f t="shared" ca="1" si="119"/>
        <v>0.70983250924139218</v>
      </c>
      <c r="F187" s="5">
        <f t="shared" ca="1" si="120"/>
        <v>0.55289548173952197</v>
      </c>
      <c r="G187" s="5">
        <f t="shared" ca="1" si="105"/>
        <v>0.18487149096217093</v>
      </c>
      <c r="H187" s="5">
        <f t="shared" ca="1" si="121"/>
        <v>0.39688931713665643</v>
      </c>
      <c r="I187" s="5">
        <f t="shared" ca="1" si="122"/>
        <v>-0.26140703264320531</v>
      </c>
      <c r="J187" s="5">
        <f t="shared" ca="1" si="106"/>
        <v>4.8634608510164545E-2</v>
      </c>
      <c r="K187" s="5">
        <f t="shared" ca="1" si="123"/>
        <v>0.95564602815240984</v>
      </c>
      <c r="L187" s="5">
        <f t="shared" ca="1" si="124"/>
        <v>1.7022530404066252</v>
      </c>
      <c r="M187" s="5">
        <f t="shared" ca="1" si="107"/>
        <v>0.40781373156388612</v>
      </c>
      <c r="N187" s="5">
        <f t="shared" ca="1" si="125"/>
        <v>0.9817984441805323</v>
      </c>
      <c r="O187" s="5">
        <f t="shared" ca="1" si="126"/>
        <v>2.0923959405159041</v>
      </c>
      <c r="P187" s="5">
        <f t="shared" ca="1" si="108"/>
        <v>0.49265944451936483</v>
      </c>
      <c r="Q187" s="5">
        <f t="shared" ca="1" si="127"/>
        <v>0.20809250366325571</v>
      </c>
      <c r="R187" s="5">
        <f t="shared" ca="1" si="128"/>
        <v>-0.81305764746427689</v>
      </c>
      <c r="S187" s="5">
        <f t="shared" ca="1" si="109"/>
        <v>-3.464430250614714E-2</v>
      </c>
      <c r="T187" s="5">
        <f t="shared" ca="1" si="129"/>
        <v>0.48702944328368947</v>
      </c>
      <c r="U187" s="5">
        <f t="shared" ca="1" si="130"/>
        <v>-3.2518094209412443E-2</v>
      </c>
      <c r="V187" s="5">
        <f t="shared" ca="1" si="110"/>
        <v>8.5262926132706252E-2</v>
      </c>
      <c r="W187" s="5">
        <f t="shared" ca="1" si="131"/>
        <v>0.99265358413152172</v>
      </c>
      <c r="X187" s="5">
        <f t="shared" ca="1" si="132"/>
        <v>2.4398630264139518</v>
      </c>
      <c r="Y187" s="5">
        <f t="shared" ca="1" si="111"/>
        <v>0.57252004064895234</v>
      </c>
      <c r="Z187" s="5">
        <f t="shared" ca="1" si="133"/>
        <v>0.87639005329259234</v>
      </c>
      <c r="AA187" s="5">
        <f t="shared" ca="1" si="134"/>
        <v>1.1571284286224521</v>
      </c>
      <c r="AB187" s="5">
        <f t="shared" ca="1" si="112"/>
        <v>0.29727935064915489</v>
      </c>
      <c r="AC187" s="5">
        <f t="shared" ca="1" si="135"/>
        <v>0.23588504895458384</v>
      </c>
      <c r="AD187" s="5">
        <f t="shared" ca="1" si="136"/>
        <v>-0.71960197135842785</v>
      </c>
      <c r="AE187" s="5">
        <f t="shared" ca="1" si="113"/>
        <v>-2.1016309271992162E-2</v>
      </c>
      <c r="AF187" s="5">
        <f t="shared" ca="1" si="138"/>
        <v>1.1236448167085076</v>
      </c>
      <c r="AG187" s="5">
        <f t="shared" ca="1" si="139"/>
        <v>1.1848714909621709</v>
      </c>
      <c r="AH187" s="5">
        <f t="shared" ca="1" si="140"/>
        <v>1.0486346085101645</v>
      </c>
      <c r="AI187" s="5">
        <f t="shared" ca="1" si="141"/>
        <v>1.4078137315638861</v>
      </c>
      <c r="AJ187" s="5">
        <f t="shared" ca="1" si="142"/>
        <v>1.4926594445193648</v>
      </c>
      <c r="AK187" s="5">
        <f t="shared" ca="1" si="143"/>
        <v>0.96535569749385286</v>
      </c>
      <c r="AL187" s="5">
        <f t="shared" ca="1" si="144"/>
        <v>1.0852629261327063</v>
      </c>
      <c r="AM187" s="5">
        <f t="shared" ca="1" si="145"/>
        <v>1.5725200406489523</v>
      </c>
      <c r="AN187" s="5">
        <f t="shared" ca="1" si="146"/>
        <v>1.2972793506491549</v>
      </c>
      <c r="AO187" s="5">
        <f t="shared" ca="1" si="147"/>
        <v>0.97898369072800784</v>
      </c>
      <c r="AP187" s="5">
        <f t="shared" ca="1" si="148"/>
        <v>6.1384384024764245</v>
      </c>
      <c r="AQ187" s="4">
        <f t="shared" ca="1" si="114"/>
        <v>61384.384024764244</v>
      </c>
      <c r="AR187">
        <f t="shared" ca="1" si="115"/>
        <v>1</v>
      </c>
      <c r="AS187">
        <f t="shared" ca="1" si="116"/>
        <v>0</v>
      </c>
    </row>
    <row r="188" spans="1:45" x14ac:dyDescent="0.25">
      <c r="A188" s="10">
        <f t="shared" si="137"/>
        <v>167</v>
      </c>
      <c r="B188" s="5">
        <f t="shared" ca="1" si="117"/>
        <v>0.77529732449127409</v>
      </c>
      <c r="C188" s="5">
        <f t="shared" ca="1" si="118"/>
        <v>0.75640676866398904</v>
      </c>
      <c r="D188" s="5">
        <f t="shared" ca="1" si="104"/>
        <v>0.22159943852505415</v>
      </c>
      <c r="E188" s="5">
        <f t="shared" ca="1" si="119"/>
        <v>0.14412581183116713</v>
      </c>
      <c r="F188" s="5">
        <f t="shared" ca="1" si="120"/>
        <v>-1.0619648919548275</v>
      </c>
      <c r="G188" s="5">
        <f t="shared" ca="1" si="105"/>
        <v>-7.002235782254862E-2</v>
      </c>
      <c r="H188" s="5">
        <f t="shared" ca="1" si="121"/>
        <v>0.35569774470634741</v>
      </c>
      <c r="I188" s="5">
        <f t="shared" ca="1" si="122"/>
        <v>-0.36998255397869295</v>
      </c>
      <c r="J188" s="5">
        <f t="shared" ca="1" si="106"/>
        <v>3.1694521459543434E-2</v>
      </c>
      <c r="K188" s="5">
        <f t="shared" ca="1" si="123"/>
        <v>0.90744483847732627</v>
      </c>
      <c r="L188" s="5">
        <f t="shared" ca="1" si="124"/>
        <v>1.3251834202541637</v>
      </c>
      <c r="M188" s="5">
        <f t="shared" ca="1" si="107"/>
        <v>0.33039715845694428</v>
      </c>
      <c r="N188" s="5">
        <f t="shared" ca="1" si="125"/>
        <v>0.21314890448862356</v>
      </c>
      <c r="O188" s="5">
        <f t="shared" ca="1" si="126"/>
        <v>-0.79554282687705968</v>
      </c>
      <c r="P188" s="5">
        <f t="shared" ca="1" si="108"/>
        <v>-3.2104763222081112E-2</v>
      </c>
      <c r="Q188" s="5">
        <f t="shared" ca="1" si="127"/>
        <v>0.72025772123610043</v>
      </c>
      <c r="R188" s="5">
        <f t="shared" ca="1" si="128"/>
        <v>0.58360728535361595</v>
      </c>
      <c r="S188" s="5">
        <f t="shared" ca="1" si="109"/>
        <v>0.19034251424171211</v>
      </c>
      <c r="T188" s="5">
        <f t="shared" ca="1" si="129"/>
        <v>0.32167656114345378</v>
      </c>
      <c r="U188" s="5">
        <f t="shared" ca="1" si="130"/>
        <v>-0.46301568785396452</v>
      </c>
      <c r="V188" s="5">
        <f t="shared" ca="1" si="110"/>
        <v>1.7397246324531768E-2</v>
      </c>
      <c r="W188" s="5">
        <f t="shared" ca="1" si="131"/>
        <v>8.8586406818863761E-2</v>
      </c>
      <c r="X188" s="5">
        <f t="shared" ca="1" si="132"/>
        <v>-1.3495112364964088</v>
      </c>
      <c r="Y188" s="5">
        <f t="shared" ca="1" si="111"/>
        <v>-0.10928136362671848</v>
      </c>
      <c r="Z188" s="5">
        <f t="shared" ca="1" si="133"/>
        <v>0.23156109857870522</v>
      </c>
      <c r="AA188" s="5">
        <f t="shared" ca="1" si="134"/>
        <v>-0.73371542221925357</v>
      </c>
      <c r="AB188" s="5">
        <f t="shared" ca="1" si="112"/>
        <v>-2.3086642764408527E-2</v>
      </c>
      <c r="AC188" s="5">
        <f t="shared" ca="1" si="135"/>
        <v>0.80765950135936548</v>
      </c>
      <c r="AD188" s="5">
        <f t="shared" ca="1" si="136"/>
        <v>0.86930377748259591</v>
      </c>
      <c r="AE188" s="5">
        <f t="shared" ca="1" si="113"/>
        <v>0.24246283444078287</v>
      </c>
      <c r="AF188" s="5">
        <f t="shared" ca="1" si="138"/>
        <v>1.2215994385250541</v>
      </c>
      <c r="AG188" s="5">
        <f t="shared" ca="1" si="139"/>
        <v>0.92997764217745138</v>
      </c>
      <c r="AH188" s="5">
        <f t="shared" ca="1" si="140"/>
        <v>1.0316945214595434</v>
      </c>
      <c r="AI188" s="5">
        <f t="shared" ca="1" si="141"/>
        <v>1.3303971584569443</v>
      </c>
      <c r="AJ188" s="5">
        <f t="shared" ca="1" si="142"/>
        <v>0.96789523677791889</v>
      </c>
      <c r="AK188" s="5">
        <f t="shared" ca="1" si="143"/>
        <v>1.1903425142417121</v>
      </c>
      <c r="AL188" s="5">
        <f t="shared" ca="1" si="144"/>
        <v>1.0173972463245318</v>
      </c>
      <c r="AM188" s="5">
        <f t="shared" ca="1" si="145"/>
        <v>0.89071863637328152</v>
      </c>
      <c r="AN188" s="5">
        <f t="shared" ca="1" si="146"/>
        <v>0.97691335723559147</v>
      </c>
      <c r="AO188" s="5">
        <f t="shared" ca="1" si="147"/>
        <v>1.2424628344407829</v>
      </c>
      <c r="AP188" s="5">
        <f t="shared" ca="1" si="148"/>
        <v>1.9760804160044387</v>
      </c>
      <c r="AQ188" s="4">
        <f t="shared" ca="1" si="114"/>
        <v>19760.804160044387</v>
      </c>
      <c r="AR188">
        <f t="shared" ca="1" si="115"/>
        <v>0</v>
      </c>
      <c r="AS188">
        <f t="shared" ca="1" si="116"/>
        <v>0</v>
      </c>
    </row>
    <row r="189" spans="1:45" x14ac:dyDescent="0.25">
      <c r="A189" s="10">
        <f t="shared" si="137"/>
        <v>168</v>
      </c>
      <c r="B189" s="5">
        <f t="shared" ca="1" si="117"/>
        <v>0.87201262699356674</v>
      </c>
      <c r="C189" s="5">
        <f t="shared" ca="1" si="118"/>
        <v>1.1359565578215265</v>
      </c>
      <c r="D189" s="5">
        <f t="shared" ca="1" si="104"/>
        <v>0.29316601101771811</v>
      </c>
      <c r="E189" s="5">
        <f t="shared" ca="1" si="119"/>
        <v>0.28133800051024116</v>
      </c>
      <c r="F189" s="5">
        <f t="shared" ca="1" si="120"/>
        <v>-0.57887132343863756</v>
      </c>
      <c r="G189" s="5">
        <f t="shared" ca="1" si="105"/>
        <v>-1.3068997511667124E-4</v>
      </c>
      <c r="H189" s="5">
        <f t="shared" ca="1" si="121"/>
        <v>0.58004043286863249</v>
      </c>
      <c r="I189" s="5">
        <f t="shared" ca="1" si="122"/>
        <v>0.20199691715219109</v>
      </c>
      <c r="J189" s="5">
        <f t="shared" ca="1" si="106"/>
        <v>0.12411890986728902</v>
      </c>
      <c r="K189" s="5">
        <f t="shared" ca="1" si="123"/>
        <v>0.83072444105341758</v>
      </c>
      <c r="L189" s="5">
        <f t="shared" ca="1" si="124"/>
        <v>0.95703197175771093</v>
      </c>
      <c r="M189" s="5">
        <f t="shared" ca="1" si="107"/>
        <v>0.25892073673832705</v>
      </c>
      <c r="N189" s="5">
        <f t="shared" ca="1" si="125"/>
        <v>0.19110990993488541</v>
      </c>
      <c r="O189" s="5">
        <f t="shared" ca="1" si="126"/>
        <v>-0.87381351364251958</v>
      </c>
      <c r="P189" s="5">
        <f t="shared" ca="1" si="108"/>
        <v>-4.3401989066296442E-2</v>
      </c>
      <c r="Q189" s="5">
        <f t="shared" ca="1" si="127"/>
        <v>0.82263733193140454</v>
      </c>
      <c r="R189" s="5">
        <f t="shared" ca="1" si="128"/>
        <v>0.92546258687491134</v>
      </c>
      <c r="S189" s="5">
        <f t="shared" ca="1" si="109"/>
        <v>0.2529733265668952</v>
      </c>
      <c r="T189" s="5">
        <f t="shared" ca="1" si="129"/>
        <v>0.33563196944083717</v>
      </c>
      <c r="U189" s="5">
        <f t="shared" ca="1" si="130"/>
        <v>-0.42441396366396955</v>
      </c>
      <c r="V189" s="5">
        <f t="shared" ca="1" si="110"/>
        <v>2.3305327661418795E-2</v>
      </c>
      <c r="W189" s="5">
        <f t="shared" ca="1" si="131"/>
        <v>0.97392282282856668</v>
      </c>
      <c r="X189" s="5">
        <f t="shared" ca="1" si="132"/>
        <v>1.9418574943356519</v>
      </c>
      <c r="Y189" s="5">
        <f t="shared" ca="1" si="111"/>
        <v>0.45933174808635036</v>
      </c>
      <c r="Z189" s="5">
        <f t="shared" ca="1" si="133"/>
        <v>0.97049383461393612</v>
      </c>
      <c r="AA189" s="5">
        <f t="shared" ca="1" si="134"/>
        <v>1.8881014610117337</v>
      </c>
      <c r="AB189" s="5">
        <f t="shared" ca="1" si="112"/>
        <v>0.44761187969752769</v>
      </c>
      <c r="AC189" s="5">
        <f t="shared" ca="1" si="135"/>
        <v>0.77350901760715074</v>
      </c>
      <c r="AD189" s="5">
        <f t="shared" ca="1" si="136"/>
        <v>0.75045292659605445</v>
      </c>
      <c r="AE189" s="5">
        <f t="shared" ca="1" si="113"/>
        <v>0.22050894402584786</v>
      </c>
      <c r="AF189" s="5">
        <f t="shared" ca="1" si="138"/>
        <v>1.2931660110177181</v>
      </c>
      <c r="AG189" s="5">
        <f t="shared" ca="1" si="139"/>
        <v>0.99986931002488333</v>
      </c>
      <c r="AH189" s="5">
        <f t="shared" ca="1" si="140"/>
        <v>1.124118909867289</v>
      </c>
      <c r="AI189" s="5">
        <f t="shared" ca="1" si="141"/>
        <v>1.2589207367383271</v>
      </c>
      <c r="AJ189" s="5">
        <f t="shared" ca="1" si="142"/>
        <v>0.95659801093370356</v>
      </c>
      <c r="AK189" s="5">
        <f t="shared" ca="1" si="143"/>
        <v>1.2529733265668952</v>
      </c>
      <c r="AL189" s="5">
        <f t="shared" ca="1" si="144"/>
        <v>1.0233053276614188</v>
      </c>
      <c r="AM189" s="5">
        <f t="shared" ca="1" si="145"/>
        <v>1.4593317480863504</v>
      </c>
      <c r="AN189" s="5">
        <f t="shared" ca="1" si="146"/>
        <v>1.4476118796975277</v>
      </c>
      <c r="AO189" s="5">
        <f t="shared" ca="1" si="147"/>
        <v>1.2205089440258479</v>
      </c>
      <c r="AP189" s="5">
        <f t="shared" ca="1" si="148"/>
        <v>5.7867114941598423</v>
      </c>
      <c r="AQ189" s="4">
        <f t="shared" ca="1" si="114"/>
        <v>57867.114941598426</v>
      </c>
      <c r="AR189">
        <f t="shared" ca="1" si="115"/>
        <v>1</v>
      </c>
      <c r="AS189">
        <f t="shared" ca="1" si="116"/>
        <v>0</v>
      </c>
    </row>
    <row r="190" spans="1:45" x14ac:dyDescent="0.25">
      <c r="A190" s="10">
        <f t="shared" si="137"/>
        <v>169</v>
      </c>
      <c r="B190" s="5">
        <f t="shared" ca="1" si="117"/>
        <v>0.47091452864522609</v>
      </c>
      <c r="C190" s="5">
        <f t="shared" ca="1" si="118"/>
        <v>-7.2971172573394874E-2</v>
      </c>
      <c r="D190" s="5">
        <f t="shared" ca="1" si="104"/>
        <v>7.8697531629519091E-2</v>
      </c>
      <c r="E190" s="5">
        <f t="shared" ca="1" si="119"/>
        <v>0.1637592976999741</v>
      </c>
      <c r="F190" s="5">
        <f t="shared" ca="1" si="120"/>
        <v>-0.97912424104893503</v>
      </c>
      <c r="G190" s="5">
        <f t="shared" ca="1" si="105"/>
        <v>-5.8394268577544817E-2</v>
      </c>
      <c r="H190" s="5">
        <f t="shared" ca="1" si="121"/>
        <v>0.79221393887636538</v>
      </c>
      <c r="I190" s="5">
        <f t="shared" ca="1" si="122"/>
        <v>0.8141271352458892</v>
      </c>
      <c r="J190" s="5">
        <f t="shared" ca="1" si="106"/>
        <v>0.23222203278141151</v>
      </c>
      <c r="K190" s="5">
        <f t="shared" ca="1" si="123"/>
        <v>0.82238336972271031</v>
      </c>
      <c r="L190" s="5">
        <f t="shared" ca="1" si="124"/>
        <v>0.92448614736738721</v>
      </c>
      <c r="M190" s="5">
        <f t="shared" ca="1" si="107"/>
        <v>0.25278982210710854</v>
      </c>
      <c r="N190" s="5">
        <f t="shared" ca="1" si="125"/>
        <v>0.52536865559784529</v>
      </c>
      <c r="O190" s="5">
        <f t="shared" ca="1" si="126"/>
        <v>6.3632706098890462E-2</v>
      </c>
      <c r="P190" s="5">
        <f t="shared" ca="1" si="108"/>
        <v>0.10102867941341565</v>
      </c>
      <c r="Q190" s="5">
        <f t="shared" ca="1" si="127"/>
        <v>0.75914859428413017</v>
      </c>
      <c r="R190" s="5">
        <f t="shared" ca="1" si="128"/>
        <v>0.70356644927412537</v>
      </c>
      <c r="S190" s="5">
        <f t="shared" ca="1" si="109"/>
        <v>0.21195525347575495</v>
      </c>
      <c r="T190" s="5">
        <f t="shared" ca="1" si="129"/>
        <v>5.9284304237911534E-2</v>
      </c>
      <c r="U190" s="5">
        <f t="shared" ca="1" si="130"/>
        <v>-1.5608099101825621</v>
      </c>
      <c r="V190" s="5">
        <f t="shared" ca="1" si="110"/>
        <v>-0.13706981269263308</v>
      </c>
      <c r="W190" s="5">
        <f t="shared" ca="1" si="131"/>
        <v>0.90564758475760521</v>
      </c>
      <c r="X190" s="5">
        <f t="shared" ca="1" si="132"/>
        <v>1.3144202175301332</v>
      </c>
      <c r="Y190" s="5">
        <f t="shared" ca="1" si="111"/>
        <v>0.32825099124758261</v>
      </c>
      <c r="Z190" s="5">
        <f t="shared" ca="1" si="133"/>
        <v>0.8608069962046031</v>
      </c>
      <c r="AA190" s="5">
        <f t="shared" ca="1" si="134"/>
        <v>1.0839521674060844</v>
      </c>
      <c r="AB190" s="5">
        <f t="shared" ca="1" si="112"/>
        <v>0.28311770714863482</v>
      </c>
      <c r="AC190" s="5">
        <f t="shared" ca="1" si="135"/>
        <v>0.54958686347695462</v>
      </c>
      <c r="AD190" s="5">
        <f t="shared" ca="1" si="136"/>
        <v>0.12461762675817839</v>
      </c>
      <c r="AE190" s="5">
        <f t="shared" ca="1" si="113"/>
        <v>0.11114680985780168</v>
      </c>
      <c r="AF190" s="5">
        <f t="shared" ca="1" si="138"/>
        <v>1.0786975316295191</v>
      </c>
      <c r="AG190" s="5">
        <f t="shared" ca="1" si="139"/>
        <v>0.94160573142245518</v>
      </c>
      <c r="AH190" s="5">
        <f t="shared" ca="1" si="140"/>
        <v>1.2322220327814115</v>
      </c>
      <c r="AI190" s="5">
        <f t="shared" ca="1" si="141"/>
        <v>1.2527898221071085</v>
      </c>
      <c r="AJ190" s="5">
        <f t="shared" ca="1" si="142"/>
        <v>1.1010286794134156</v>
      </c>
      <c r="AK190" s="5">
        <f t="shared" ca="1" si="143"/>
        <v>1.2119552534757549</v>
      </c>
      <c r="AL190" s="5">
        <f t="shared" ca="1" si="144"/>
        <v>0.86293018730736692</v>
      </c>
      <c r="AM190" s="5">
        <f t="shared" ca="1" si="145"/>
        <v>1.3282509912475826</v>
      </c>
      <c r="AN190" s="5">
        <f t="shared" ca="1" si="146"/>
        <v>1.2831177071486348</v>
      </c>
      <c r="AO190" s="5">
        <f t="shared" ca="1" si="147"/>
        <v>1.1111468098578017</v>
      </c>
      <c r="AP190" s="5">
        <f t="shared" ca="1" si="148"/>
        <v>3.4191246529408565</v>
      </c>
      <c r="AQ190" s="4">
        <f t="shared" ca="1" si="114"/>
        <v>34191.246529408563</v>
      </c>
      <c r="AR190">
        <f t="shared" ca="1" si="115"/>
        <v>1</v>
      </c>
      <c r="AS190">
        <f t="shared" ca="1" si="116"/>
        <v>0</v>
      </c>
    </row>
    <row r="191" spans="1:45" x14ac:dyDescent="0.25">
      <c r="A191" s="10">
        <f t="shared" si="137"/>
        <v>170</v>
      </c>
      <c r="B191" s="5">
        <f t="shared" ca="1" si="117"/>
        <v>2.8655398253276676E-3</v>
      </c>
      <c r="C191" s="5">
        <f t="shared" ca="1" si="118"/>
        <v>-2.7627833316148975</v>
      </c>
      <c r="D191" s="5">
        <f t="shared" ca="1" si="104"/>
        <v>-0.27943344880845222</v>
      </c>
      <c r="E191" s="5">
        <f t="shared" ca="1" si="119"/>
        <v>0.29207480990638568</v>
      </c>
      <c r="F191" s="5">
        <f t="shared" ca="1" si="120"/>
        <v>-0.54733351885703518</v>
      </c>
      <c r="G191" s="5">
        <f t="shared" ca="1" si="105"/>
        <v>4.610568284478811E-3</v>
      </c>
      <c r="H191" s="5">
        <f t="shared" ca="1" si="121"/>
        <v>9.3306134502348259E-2</v>
      </c>
      <c r="I191" s="5">
        <f t="shared" ca="1" si="122"/>
        <v>-1.3206674586324774</v>
      </c>
      <c r="J191" s="5">
        <f t="shared" ca="1" si="106"/>
        <v>-0.10541926125659606</v>
      </c>
      <c r="K191" s="5">
        <f t="shared" ca="1" si="123"/>
        <v>0.5783375322738199</v>
      </c>
      <c r="L191" s="5">
        <f t="shared" ca="1" si="124"/>
        <v>0.19764230190386825</v>
      </c>
      <c r="M191" s="5">
        <f t="shared" ca="1" si="107"/>
        <v>0.12338488382158763</v>
      </c>
      <c r="N191" s="5">
        <f t="shared" ca="1" si="125"/>
        <v>0.2193876145498298</v>
      </c>
      <c r="O191" s="5">
        <f t="shared" ca="1" si="126"/>
        <v>-0.7742630848366191</v>
      </c>
      <c r="P191" s="5">
        <f t="shared" ca="1" si="108"/>
        <v>-2.9010343070587474E-2</v>
      </c>
      <c r="Q191" s="5">
        <f t="shared" ca="1" si="127"/>
        <v>0.95588456315311454</v>
      </c>
      <c r="R191" s="5">
        <f t="shared" ca="1" si="128"/>
        <v>1.7048045980424704</v>
      </c>
      <c r="S191" s="5">
        <f t="shared" ca="1" si="109"/>
        <v>0.40835265237036289</v>
      </c>
      <c r="T191" s="5">
        <f t="shared" ca="1" si="129"/>
        <v>0.74394366820933389</v>
      </c>
      <c r="U191" s="5">
        <f t="shared" ca="1" si="130"/>
        <v>0.6555516187720658</v>
      </c>
      <c r="V191" s="5">
        <f t="shared" ca="1" si="110"/>
        <v>0.20325783753244697</v>
      </c>
      <c r="W191" s="5">
        <f t="shared" ca="1" si="131"/>
        <v>5.7745529472924551E-2</v>
      </c>
      <c r="X191" s="5">
        <f t="shared" ca="1" si="132"/>
        <v>-1.5739843872429444</v>
      </c>
      <c r="Y191" s="5">
        <f t="shared" ca="1" si="111"/>
        <v>-0.13877342691483463</v>
      </c>
      <c r="Z191" s="5">
        <f t="shared" ca="1" si="133"/>
        <v>0.6532208159252364</v>
      </c>
      <c r="AA191" s="5">
        <f t="shared" ca="1" si="134"/>
        <v>0.394030707463777</v>
      </c>
      <c r="AB191" s="5">
        <f t="shared" ca="1" si="112"/>
        <v>0.15697010108591414</v>
      </c>
      <c r="AC191" s="5">
        <f t="shared" ca="1" si="135"/>
        <v>0.42136534036445361</v>
      </c>
      <c r="AD191" s="5">
        <f t="shared" ca="1" si="136"/>
        <v>-0.19840183644553497</v>
      </c>
      <c r="AE191" s="5">
        <f t="shared" ca="1" si="113"/>
        <v>5.8592001345395328E-2</v>
      </c>
      <c r="AF191" s="5">
        <f t="shared" ca="1" si="138"/>
        <v>0.72056655119154778</v>
      </c>
      <c r="AG191" s="5">
        <f t="shared" ca="1" si="139"/>
        <v>1.0046105682844788</v>
      </c>
      <c r="AH191" s="5">
        <f t="shared" ca="1" si="140"/>
        <v>0.89458073874340394</v>
      </c>
      <c r="AI191" s="5">
        <f t="shared" ca="1" si="141"/>
        <v>1.1233848838215876</v>
      </c>
      <c r="AJ191" s="5">
        <f t="shared" ca="1" si="142"/>
        <v>0.97098965692941253</v>
      </c>
      <c r="AK191" s="5">
        <f t="shared" ca="1" si="143"/>
        <v>1.4083526523703629</v>
      </c>
      <c r="AL191" s="5">
        <f t="shared" ca="1" si="144"/>
        <v>1.203257837532447</v>
      </c>
      <c r="AM191" s="5">
        <f t="shared" ca="1" si="145"/>
        <v>0.86122657308516537</v>
      </c>
      <c r="AN191" s="5">
        <f t="shared" ca="1" si="146"/>
        <v>1.1569701010859141</v>
      </c>
      <c r="AO191" s="5">
        <f t="shared" ca="1" si="147"/>
        <v>1.0585920013453953</v>
      </c>
      <c r="AP191" s="5">
        <f t="shared" ca="1" si="148"/>
        <v>1.2626205228857605</v>
      </c>
      <c r="AQ191" s="4">
        <f t="shared" ca="1" si="114"/>
        <v>12626.205228857605</v>
      </c>
      <c r="AR191">
        <f t="shared" ca="1" si="115"/>
        <v>0</v>
      </c>
      <c r="AS191">
        <f t="shared" ca="1" si="116"/>
        <v>0</v>
      </c>
    </row>
    <row r="192" spans="1:45" x14ac:dyDescent="0.25">
      <c r="A192" s="10">
        <f t="shared" si="137"/>
        <v>171</v>
      </c>
      <c r="B192" s="5">
        <f t="shared" ca="1" si="117"/>
        <v>0.77414425741312365</v>
      </c>
      <c r="C192" s="5">
        <f t="shared" ca="1" si="118"/>
        <v>0.7525647857821508</v>
      </c>
      <c r="D192" s="5">
        <f t="shared" ca="1" si="104"/>
        <v>0.2208956367244268</v>
      </c>
      <c r="E192" s="5">
        <f t="shared" ca="1" si="119"/>
        <v>0.70221861497497706</v>
      </c>
      <c r="F192" s="5">
        <f t="shared" ca="1" si="120"/>
        <v>0.53079222272754056</v>
      </c>
      <c r="G192" s="5">
        <f t="shared" ca="1" si="105"/>
        <v>0.18094956788183203</v>
      </c>
      <c r="H192" s="5">
        <f t="shared" ca="1" si="121"/>
        <v>0.90779585259776163</v>
      </c>
      <c r="I192" s="5">
        <f t="shared" ca="1" si="122"/>
        <v>1.3273035354931217</v>
      </c>
      <c r="J192" s="5">
        <f t="shared" ca="1" si="106"/>
        <v>0.33082031503235743</v>
      </c>
      <c r="K192" s="5">
        <f t="shared" ca="1" si="123"/>
        <v>0.29235444970789914</v>
      </c>
      <c r="L192" s="5">
        <f t="shared" ca="1" si="124"/>
        <v>-0.54651948235894987</v>
      </c>
      <c r="M192" s="5">
        <f t="shared" ca="1" si="107"/>
        <v>4.7332442243701589E-3</v>
      </c>
      <c r="N192" s="5">
        <f t="shared" ca="1" si="125"/>
        <v>0.66905927102299501</v>
      </c>
      <c r="O192" s="5">
        <f t="shared" ca="1" si="126"/>
        <v>0.43731701415871593</v>
      </c>
      <c r="P192" s="5">
        <f t="shared" ca="1" si="108"/>
        <v>0.16450668632380916</v>
      </c>
      <c r="Q192" s="5">
        <f t="shared" ca="1" si="127"/>
        <v>0.47628817908107302</v>
      </c>
      <c r="R192" s="5">
        <f t="shared" ca="1" si="128"/>
        <v>-5.9471759681005563E-2</v>
      </c>
      <c r="S192" s="5">
        <f t="shared" ca="1" si="109"/>
        <v>8.0884012102444336E-2</v>
      </c>
      <c r="T192" s="5">
        <f t="shared" ca="1" si="129"/>
        <v>0.27175458459506252</v>
      </c>
      <c r="U192" s="5">
        <f t="shared" ca="1" si="130"/>
        <v>-0.6075150330392618</v>
      </c>
      <c r="V192" s="5">
        <f t="shared" ca="1" si="110"/>
        <v>-4.4174691094724938E-3</v>
      </c>
      <c r="W192" s="5">
        <f t="shared" ca="1" si="131"/>
        <v>0.22134410589334719</v>
      </c>
      <c r="X192" s="5">
        <f t="shared" ca="1" si="132"/>
        <v>-0.76766167325049073</v>
      </c>
      <c r="Y192" s="5">
        <f t="shared" ca="1" si="111"/>
        <v>-2.8048381520690557E-2</v>
      </c>
      <c r="Z192" s="5">
        <f t="shared" ca="1" si="133"/>
        <v>0.23767560257222664</v>
      </c>
      <c r="AA192" s="5">
        <f t="shared" ca="1" si="134"/>
        <v>-0.7137994413987937</v>
      </c>
      <c r="AB192" s="5">
        <f t="shared" ca="1" si="112"/>
        <v>-2.0163851015398415E-2</v>
      </c>
      <c r="AC192" s="5">
        <f t="shared" ca="1" si="135"/>
        <v>0.24065083155126266</v>
      </c>
      <c r="AD192" s="5">
        <f t="shared" ca="1" si="136"/>
        <v>-0.704210548072427</v>
      </c>
      <c r="AE192" s="5">
        <f t="shared" ca="1" si="113"/>
        <v>-1.8753505337983811E-2</v>
      </c>
      <c r="AF192" s="5">
        <f t="shared" ca="1" si="138"/>
        <v>1.2208956367244268</v>
      </c>
      <c r="AG192" s="5">
        <f t="shared" ca="1" si="139"/>
        <v>1.180949567881832</v>
      </c>
      <c r="AH192" s="5">
        <f t="shared" ca="1" si="140"/>
        <v>1.3308203150323574</v>
      </c>
      <c r="AI192" s="5">
        <f t="shared" ca="1" si="141"/>
        <v>1.0047332442243702</v>
      </c>
      <c r="AJ192" s="5">
        <f t="shared" ca="1" si="142"/>
        <v>1.1645066863238092</v>
      </c>
      <c r="AK192" s="5">
        <f t="shared" ca="1" si="143"/>
        <v>1.0808840121024443</v>
      </c>
      <c r="AL192" s="5">
        <f t="shared" ca="1" si="144"/>
        <v>0.99558253089052751</v>
      </c>
      <c r="AM192" s="5">
        <f t="shared" ca="1" si="145"/>
        <v>0.97195161847930944</v>
      </c>
      <c r="AN192" s="5">
        <f t="shared" ca="1" si="146"/>
        <v>0.97983614898460158</v>
      </c>
      <c r="AO192" s="5">
        <f t="shared" ca="1" si="147"/>
        <v>0.98124649466201619</v>
      </c>
      <c r="AP192" s="5">
        <f t="shared" ca="1" si="148"/>
        <v>2.2576398265321891</v>
      </c>
      <c r="AQ192" s="4">
        <f t="shared" ca="1" si="114"/>
        <v>22576.398265321892</v>
      </c>
      <c r="AR192">
        <f t="shared" ca="1" si="115"/>
        <v>0</v>
      </c>
      <c r="AS192">
        <f t="shared" ca="1" si="116"/>
        <v>0</v>
      </c>
    </row>
    <row r="193" spans="1:45" x14ac:dyDescent="0.25">
      <c r="A193" s="10">
        <f t="shared" si="137"/>
        <v>172</v>
      </c>
      <c r="B193" s="5">
        <f t="shared" ca="1" si="117"/>
        <v>0.6538959326393724</v>
      </c>
      <c r="C193" s="5">
        <f t="shared" ca="1" si="118"/>
        <v>0.39586023896002309</v>
      </c>
      <c r="D193" s="5">
        <f t="shared" ca="1" si="104"/>
        <v>0.15728765164259984</v>
      </c>
      <c r="E193" s="5">
        <f t="shared" ca="1" si="119"/>
        <v>0.52055992218385994</v>
      </c>
      <c r="F193" s="5">
        <f t="shared" ca="1" si="120"/>
        <v>5.1558916530338957E-2</v>
      </c>
      <c r="G193" s="5">
        <f t="shared" ca="1" si="105"/>
        <v>9.9036445706119025E-2</v>
      </c>
      <c r="H193" s="5">
        <f t="shared" ca="1" si="121"/>
        <v>0.48894677267611752</v>
      </c>
      <c r="I193" s="5">
        <f t="shared" ca="1" si="122"/>
        <v>-2.7709877840681772E-2</v>
      </c>
      <c r="J193" s="5">
        <f t="shared" ca="1" si="106"/>
        <v>8.6045935309450927E-2</v>
      </c>
      <c r="K193" s="5">
        <f t="shared" ca="1" si="123"/>
        <v>0.67578736413720264</v>
      </c>
      <c r="L193" s="5">
        <f t="shared" ca="1" si="124"/>
        <v>0.45595092021391592</v>
      </c>
      <c r="M193" s="5">
        <f t="shared" ca="1" si="107"/>
        <v>0.16776613565125431</v>
      </c>
      <c r="N193" s="5">
        <f t="shared" ca="1" si="125"/>
        <v>0.29770187872705123</v>
      </c>
      <c r="O193" s="5">
        <f t="shared" ca="1" si="126"/>
        <v>-0.53102167748341533</v>
      </c>
      <c r="P193" s="5">
        <f t="shared" ca="1" si="108"/>
        <v>7.0716351313893089E-3</v>
      </c>
      <c r="Q193" s="5">
        <f t="shared" ca="1" si="127"/>
        <v>0.33432432382986921</v>
      </c>
      <c r="R193" s="5">
        <f t="shared" ca="1" si="128"/>
        <v>-0.4280033963673775</v>
      </c>
      <c r="S193" s="5">
        <f t="shared" ca="1" si="109"/>
        <v>2.2754513116803654E-2</v>
      </c>
      <c r="T193" s="5">
        <f t="shared" ca="1" si="129"/>
        <v>0.15117040004983573</v>
      </c>
      <c r="U193" s="5">
        <f t="shared" ca="1" si="130"/>
        <v>-1.0314266259612077</v>
      </c>
      <c r="V193" s="5">
        <f t="shared" ca="1" si="110"/>
        <v>-6.5752600273514039E-2</v>
      </c>
      <c r="W193" s="5">
        <f t="shared" ca="1" si="131"/>
        <v>0.12386933022140956</v>
      </c>
      <c r="X193" s="5">
        <f t="shared" ca="1" si="132"/>
        <v>-1.1558594275295913</v>
      </c>
      <c r="Y193" s="5">
        <f t="shared" ca="1" si="111"/>
        <v>-8.3028525045581447E-2</v>
      </c>
      <c r="Z193" s="5">
        <f t="shared" ca="1" si="133"/>
        <v>0.63602780449665108</v>
      </c>
      <c r="AA193" s="5">
        <f t="shared" ca="1" si="134"/>
        <v>0.34786124588154643</v>
      </c>
      <c r="AB193" s="5">
        <f t="shared" ca="1" si="112"/>
        <v>0.14898527912424164</v>
      </c>
      <c r="AC193" s="5">
        <f t="shared" ca="1" si="135"/>
        <v>0.9567929469975931</v>
      </c>
      <c r="AD193" s="5">
        <f t="shared" ca="1" si="136"/>
        <v>1.7146244339874797</v>
      </c>
      <c r="AE193" s="5">
        <f t="shared" ca="1" si="113"/>
        <v>0.41042864974138249</v>
      </c>
      <c r="AF193" s="5">
        <f t="shared" ca="1" si="138"/>
        <v>1.1572876516425998</v>
      </c>
      <c r="AG193" s="5">
        <f t="shared" ca="1" si="139"/>
        <v>1.099036445706119</v>
      </c>
      <c r="AH193" s="5">
        <f t="shared" ca="1" si="140"/>
        <v>1.0860459353094509</v>
      </c>
      <c r="AI193" s="5">
        <f t="shared" ca="1" si="141"/>
        <v>1.1677661356512543</v>
      </c>
      <c r="AJ193" s="5">
        <f t="shared" ca="1" si="142"/>
        <v>1.0070716351313893</v>
      </c>
      <c r="AK193" s="5">
        <f t="shared" ca="1" si="143"/>
        <v>1.0227545131168037</v>
      </c>
      <c r="AL193" s="5">
        <f t="shared" ca="1" si="144"/>
        <v>0.93424739972648596</v>
      </c>
      <c r="AM193" s="5">
        <f t="shared" ca="1" si="145"/>
        <v>0.91697147495441855</v>
      </c>
      <c r="AN193" s="5">
        <f t="shared" ca="1" si="146"/>
        <v>1.1489852791242416</v>
      </c>
      <c r="AO193" s="5">
        <f t="shared" ca="1" si="147"/>
        <v>1.4104286497413825</v>
      </c>
      <c r="AP193" s="5">
        <f t="shared" ca="1" si="148"/>
        <v>2.3066014618057982</v>
      </c>
      <c r="AQ193" s="4">
        <f t="shared" ca="1" si="114"/>
        <v>23066.014618057983</v>
      </c>
      <c r="AR193">
        <f t="shared" ca="1" si="115"/>
        <v>0</v>
      </c>
      <c r="AS193">
        <f t="shared" ca="1" si="116"/>
        <v>0</v>
      </c>
    </row>
    <row r="194" spans="1:45" x14ac:dyDescent="0.25">
      <c r="A194" s="10">
        <f t="shared" si="137"/>
        <v>173</v>
      </c>
      <c r="B194" s="5">
        <f t="shared" ca="1" si="117"/>
        <v>0.31364016138781881</v>
      </c>
      <c r="C194" s="5">
        <f t="shared" ca="1" si="118"/>
        <v>-0.48555836391881763</v>
      </c>
      <c r="D194" s="5">
        <f t="shared" ca="1" si="104"/>
        <v>1.3962827687958645E-2</v>
      </c>
      <c r="E194" s="5">
        <f t="shared" ca="1" si="119"/>
        <v>0.19953824895045214</v>
      </c>
      <c r="F194" s="5">
        <f t="shared" ca="1" si="120"/>
        <v>-0.84327171531529466</v>
      </c>
      <c r="G194" s="5">
        <f t="shared" ca="1" si="105"/>
        <v>-3.9009501634344357E-2</v>
      </c>
      <c r="H194" s="5">
        <f t="shared" ca="1" si="121"/>
        <v>0.90823206482490149</v>
      </c>
      <c r="I194" s="5">
        <f t="shared" ca="1" si="122"/>
        <v>1.329946587182995</v>
      </c>
      <c r="J194" s="5">
        <f t="shared" ca="1" si="106"/>
        <v>0.33134803366690213</v>
      </c>
      <c r="K194" s="5">
        <f t="shared" ca="1" si="123"/>
        <v>0.37123046685877825</v>
      </c>
      <c r="L194" s="5">
        <f t="shared" ca="1" si="124"/>
        <v>-0.32859618274995422</v>
      </c>
      <c r="M194" s="5">
        <f t="shared" ca="1" si="107"/>
        <v>3.8119156620609607E-2</v>
      </c>
      <c r="N194" s="5">
        <f t="shared" ca="1" si="125"/>
        <v>0.42204518122790413</v>
      </c>
      <c r="O194" s="5">
        <f t="shared" ca="1" si="126"/>
        <v>-0.19666415492758177</v>
      </c>
      <c r="P194" s="5">
        <f t="shared" ca="1" si="108"/>
        <v>5.8867961672038671E-2</v>
      </c>
      <c r="Q194" s="5">
        <f t="shared" ca="1" si="127"/>
        <v>0.50468765742683819</v>
      </c>
      <c r="R194" s="5">
        <f t="shared" ca="1" si="128"/>
        <v>1.1750485048176995E-2</v>
      </c>
      <c r="S194" s="5">
        <f t="shared" ca="1" si="109"/>
        <v>9.2493362830969206E-2</v>
      </c>
      <c r="T194" s="5">
        <f t="shared" ca="1" si="129"/>
        <v>0.69175962093155274</v>
      </c>
      <c r="U194" s="5">
        <f t="shared" ca="1" si="130"/>
        <v>0.50084422518230431</v>
      </c>
      <c r="V194" s="5">
        <f t="shared" ca="1" si="110"/>
        <v>0.17565640454230902</v>
      </c>
      <c r="W194" s="5">
        <f t="shared" ca="1" si="131"/>
        <v>0.62479999346465032</v>
      </c>
      <c r="X194" s="5">
        <f t="shared" ca="1" si="132"/>
        <v>0.31811195824561139</v>
      </c>
      <c r="Y194" s="5">
        <f t="shared" ca="1" si="111"/>
        <v>0.14386947793781979</v>
      </c>
      <c r="Z194" s="5">
        <f t="shared" ca="1" si="133"/>
        <v>0.22716773217884512</v>
      </c>
      <c r="AA194" s="5">
        <f t="shared" ca="1" si="134"/>
        <v>-0.74820674308350477</v>
      </c>
      <c r="AB194" s="5">
        <f t="shared" ca="1" si="112"/>
        <v>-2.5207851233189693E-2</v>
      </c>
      <c r="AC194" s="5">
        <f t="shared" ca="1" si="135"/>
        <v>0.28140426807462693</v>
      </c>
      <c r="AD194" s="5">
        <f t="shared" ca="1" si="136"/>
        <v>-0.57867492837675449</v>
      </c>
      <c r="AE194" s="5">
        <f t="shared" ca="1" si="113"/>
        <v>-1.0123413199258913E-4</v>
      </c>
      <c r="AF194" s="5">
        <f t="shared" ca="1" si="138"/>
        <v>1.0139628276879586</v>
      </c>
      <c r="AG194" s="5">
        <f t="shared" ca="1" si="139"/>
        <v>0.96099049836565564</v>
      </c>
      <c r="AH194" s="5">
        <f t="shared" ca="1" si="140"/>
        <v>1.3313480336669021</v>
      </c>
      <c r="AI194" s="5">
        <f t="shared" ca="1" si="141"/>
        <v>1.0381191566206096</v>
      </c>
      <c r="AJ194" s="5">
        <f t="shared" ca="1" si="142"/>
        <v>1.0588679616720387</v>
      </c>
      <c r="AK194" s="5">
        <f t="shared" ca="1" si="143"/>
        <v>1.0924933628309692</v>
      </c>
      <c r="AL194" s="5">
        <f t="shared" ca="1" si="144"/>
        <v>1.175656404542309</v>
      </c>
      <c r="AM194" s="5">
        <f t="shared" ca="1" si="145"/>
        <v>1.1438694779378198</v>
      </c>
      <c r="AN194" s="5">
        <f t="shared" ca="1" si="146"/>
        <v>0.97479214876681031</v>
      </c>
      <c r="AO194" s="5">
        <f t="shared" ca="1" si="147"/>
        <v>0.99989876586800741</v>
      </c>
      <c r="AP194" s="5">
        <f t="shared" ca="1" si="148"/>
        <v>2.0420458543407674</v>
      </c>
      <c r="AQ194" s="4">
        <f t="shared" ca="1" si="114"/>
        <v>20420.458543407673</v>
      </c>
      <c r="AR194">
        <f t="shared" ca="1" si="115"/>
        <v>0</v>
      </c>
      <c r="AS194">
        <f t="shared" ca="1" si="116"/>
        <v>0</v>
      </c>
    </row>
    <row r="195" spans="1:45" x14ac:dyDescent="0.25">
      <c r="A195" s="10">
        <f t="shared" si="137"/>
        <v>174</v>
      </c>
      <c r="B195" s="5">
        <f t="shared" ca="1" si="117"/>
        <v>0.18140936152802445</v>
      </c>
      <c r="C195" s="5">
        <f t="shared" ca="1" si="118"/>
        <v>-0.91000718034061423</v>
      </c>
      <c r="D195" s="5">
        <f t="shared" ca="1" si="104"/>
        <v>-4.8581335315592722E-2</v>
      </c>
      <c r="E195" s="5">
        <f t="shared" ca="1" si="119"/>
        <v>0.81850269378788776</v>
      </c>
      <c r="F195" s="5">
        <f t="shared" ca="1" si="120"/>
        <v>0.90967371084987103</v>
      </c>
      <c r="G195" s="5">
        <f t="shared" ca="1" si="105"/>
        <v>0.25000938167679476</v>
      </c>
      <c r="H195" s="5">
        <f t="shared" ca="1" si="121"/>
        <v>4.2998618871082028E-2</v>
      </c>
      <c r="I195" s="5">
        <f t="shared" ca="1" si="122"/>
        <v>-1.7169011336411693</v>
      </c>
      <c r="J195" s="5">
        <f t="shared" ca="1" si="106"/>
        <v>-0.15703949283744001</v>
      </c>
      <c r="K195" s="5">
        <f t="shared" ca="1" si="123"/>
        <v>0.6226959491672609</v>
      </c>
      <c r="L195" s="5">
        <f t="shared" ca="1" si="124"/>
        <v>0.31256904150302067</v>
      </c>
      <c r="M195" s="5">
        <f t="shared" ca="1" si="107"/>
        <v>0.14291881720799049</v>
      </c>
      <c r="N195" s="5">
        <f t="shared" ca="1" si="125"/>
        <v>0.13858668343307257</v>
      </c>
      <c r="O195" s="5">
        <f t="shared" ca="1" si="126"/>
        <v>-1.086691058689901</v>
      </c>
      <c r="P195" s="5">
        <f t="shared" ca="1" si="108"/>
        <v>-7.3465186615032652E-2</v>
      </c>
      <c r="Q195" s="5">
        <f t="shared" ca="1" si="127"/>
        <v>0.61942248949594503</v>
      </c>
      <c r="R195" s="5">
        <f t="shared" ca="1" si="128"/>
        <v>0.30396438992563563</v>
      </c>
      <c r="S195" s="5">
        <f t="shared" ca="1" si="109"/>
        <v>0.14144460606264553</v>
      </c>
      <c r="T195" s="5">
        <f t="shared" ca="1" si="129"/>
        <v>0.70233074700751952</v>
      </c>
      <c r="U195" s="5">
        <f t="shared" ca="1" si="130"/>
        <v>0.5311158432711951</v>
      </c>
      <c r="V195" s="5">
        <f t="shared" ca="1" si="110"/>
        <v>0.18100689620444554</v>
      </c>
      <c r="W195" s="5">
        <f t="shared" ca="1" si="131"/>
        <v>1.8141161932913152E-2</v>
      </c>
      <c r="X195" s="5">
        <f t="shared" ca="1" si="132"/>
        <v>-2.0937492422242165</v>
      </c>
      <c r="Y195" s="5">
        <f t="shared" ca="1" si="111"/>
        <v>-0.20336795858931578</v>
      </c>
      <c r="Z195" s="5">
        <f t="shared" ca="1" si="133"/>
        <v>0.45924802231293149</v>
      </c>
      <c r="AA195" s="5">
        <f t="shared" ca="1" si="134"/>
        <v>-0.10232836101384013</v>
      </c>
      <c r="AB195" s="5">
        <f t="shared" ca="1" si="112"/>
        <v>7.3957846070864974E-2</v>
      </c>
      <c r="AC195" s="5">
        <f t="shared" ca="1" si="135"/>
        <v>2.9335411545970635E-2</v>
      </c>
      <c r="AD195" s="5">
        <f t="shared" ca="1" si="136"/>
        <v>-1.8906519311121914</v>
      </c>
      <c r="AE195" s="5">
        <f t="shared" ca="1" si="113"/>
        <v>-0.17872542822949822</v>
      </c>
      <c r="AF195" s="5">
        <f t="shared" ca="1" si="138"/>
        <v>0.95141866468440728</v>
      </c>
      <c r="AG195" s="5">
        <f t="shared" ca="1" si="139"/>
        <v>1.2500093816767948</v>
      </c>
      <c r="AH195" s="5">
        <f t="shared" ca="1" si="140"/>
        <v>0.84296050716255999</v>
      </c>
      <c r="AI195" s="5">
        <f t="shared" ca="1" si="141"/>
        <v>1.1429188172079905</v>
      </c>
      <c r="AJ195" s="5">
        <f t="shared" ca="1" si="142"/>
        <v>0.92653481338496735</v>
      </c>
      <c r="AK195" s="5">
        <f t="shared" ca="1" si="143"/>
        <v>1.1414446060626455</v>
      </c>
      <c r="AL195" s="5">
        <f t="shared" ca="1" si="144"/>
        <v>1.1810068962044455</v>
      </c>
      <c r="AM195" s="5">
        <f t="shared" ca="1" si="145"/>
        <v>0.79663204141068422</v>
      </c>
      <c r="AN195" s="5">
        <f t="shared" ca="1" si="146"/>
        <v>1.073957846070865</v>
      </c>
      <c r="AO195" s="5">
        <f t="shared" ca="1" si="147"/>
        <v>0.82127457177050178</v>
      </c>
      <c r="AP195" s="5">
        <f t="shared" ca="1" si="148"/>
        <v>1.0055645366181243</v>
      </c>
      <c r="AQ195" s="4">
        <f t="shared" ca="1" si="114"/>
        <v>10055.645366181243</v>
      </c>
      <c r="AR195">
        <f t="shared" ca="1" si="115"/>
        <v>0</v>
      </c>
      <c r="AS195">
        <f t="shared" ca="1" si="116"/>
        <v>0</v>
      </c>
    </row>
    <row r="196" spans="1:45" x14ac:dyDescent="0.25">
      <c r="A196" s="10">
        <f t="shared" si="137"/>
        <v>175</v>
      </c>
      <c r="B196" s="5">
        <f t="shared" ca="1" si="117"/>
        <v>0.21997770728176291</v>
      </c>
      <c r="C196" s="5">
        <f t="shared" ca="1" si="118"/>
        <v>-0.77226850581110307</v>
      </c>
      <c r="D196" s="5">
        <f t="shared" ca="1" si="104"/>
        <v>-2.8719792267708932E-2</v>
      </c>
      <c r="E196" s="5">
        <f t="shared" ca="1" si="119"/>
        <v>0.24772078594254654</v>
      </c>
      <c r="F196" s="5">
        <f t="shared" ca="1" si="120"/>
        <v>-0.68167959639639097</v>
      </c>
      <c r="G196" s="5">
        <f t="shared" ca="1" si="105"/>
        <v>-1.5431632525135464E-2</v>
      </c>
      <c r="H196" s="5">
        <f t="shared" ca="1" si="121"/>
        <v>0.64922975540556904</v>
      </c>
      <c r="I196" s="5">
        <f t="shared" ca="1" si="122"/>
        <v>0.38324179795546837</v>
      </c>
      <c r="J196" s="5">
        <f t="shared" ca="1" si="106"/>
        <v>0.15509924847003287</v>
      </c>
      <c r="K196" s="5">
        <f t="shared" ca="1" si="123"/>
        <v>2.2079732933866225E-4</v>
      </c>
      <c r="L196" s="5">
        <f t="shared" ca="1" si="124"/>
        <v>-3.5138905901417168</v>
      </c>
      <c r="M196" s="5">
        <f t="shared" ca="1" si="107"/>
        <v>-0.35621057651950672</v>
      </c>
      <c r="N196" s="5">
        <f t="shared" ca="1" si="125"/>
        <v>0.50006559178220633</v>
      </c>
      <c r="O196" s="5">
        <f t="shared" ca="1" si="126"/>
        <v>1.6441421660257021E-4</v>
      </c>
      <c r="P196" s="5">
        <f t="shared" ca="1" si="108"/>
        <v>9.0596355899968062E-2</v>
      </c>
      <c r="Q196" s="5">
        <f t="shared" ca="1" si="127"/>
        <v>0.11826285820359095</v>
      </c>
      <c r="R196" s="5">
        <f t="shared" ca="1" si="128"/>
        <v>-1.1837154615367875</v>
      </c>
      <c r="S196" s="5">
        <f t="shared" ca="1" si="109"/>
        <v>-8.6852009737233615E-2</v>
      </c>
      <c r="T196" s="5">
        <f t="shared" ca="1" si="129"/>
        <v>0.68203160605976565</v>
      </c>
      <c r="U196" s="5">
        <f t="shared" ca="1" si="130"/>
        <v>0.47338744159488894</v>
      </c>
      <c r="V196" s="5">
        <f t="shared" ca="1" si="110"/>
        <v>0.17082440019883527</v>
      </c>
      <c r="W196" s="5">
        <f t="shared" ca="1" si="131"/>
        <v>0.91292898352618501</v>
      </c>
      <c r="X196" s="5">
        <f t="shared" ca="1" si="132"/>
        <v>1.3590143770545537</v>
      </c>
      <c r="Y196" s="5">
        <f t="shared" ca="1" si="111"/>
        <v>0.33716560898793357</v>
      </c>
      <c r="Z196" s="5">
        <f t="shared" ca="1" si="133"/>
        <v>6.2877862846292265E-3</v>
      </c>
      <c r="AA196" s="5">
        <f t="shared" ca="1" si="134"/>
        <v>-2.4955677846746558</v>
      </c>
      <c r="AB196" s="5">
        <f t="shared" ca="1" si="112"/>
        <v>-0.24996482061202929</v>
      </c>
      <c r="AC196" s="5">
        <f t="shared" ca="1" si="135"/>
        <v>0.97635298292824935</v>
      </c>
      <c r="AD196" s="5">
        <f t="shared" ca="1" si="136"/>
        <v>1.983657502766935</v>
      </c>
      <c r="AE196" s="5">
        <f t="shared" ca="1" si="113"/>
        <v>0.46851050533193717</v>
      </c>
      <c r="AF196" s="5">
        <f t="shared" ca="1" si="138"/>
        <v>0.97128020773229107</v>
      </c>
      <c r="AG196" s="5">
        <f t="shared" ca="1" si="139"/>
        <v>0.98456836747486454</v>
      </c>
      <c r="AH196" s="5">
        <f t="shared" ca="1" si="140"/>
        <v>1.1550992484700329</v>
      </c>
      <c r="AI196" s="5">
        <f t="shared" ca="1" si="141"/>
        <v>0.64378942348049328</v>
      </c>
      <c r="AJ196" s="5">
        <f t="shared" ca="1" si="142"/>
        <v>1.0905963558999681</v>
      </c>
      <c r="AK196" s="5">
        <f t="shared" ca="1" si="143"/>
        <v>0.91314799026276638</v>
      </c>
      <c r="AL196" s="5">
        <f t="shared" ca="1" si="144"/>
        <v>1.1708244001988353</v>
      </c>
      <c r="AM196" s="5">
        <f t="shared" ca="1" si="145"/>
        <v>1.3371656089879336</v>
      </c>
      <c r="AN196" s="5">
        <f t="shared" ca="1" si="146"/>
        <v>0.75003517938797071</v>
      </c>
      <c r="AO196" s="5">
        <f t="shared" ca="1" si="147"/>
        <v>1.4685105053319372</v>
      </c>
      <c r="AP196" s="5">
        <f t="shared" ca="1" si="148"/>
        <v>1.2212214412552878</v>
      </c>
      <c r="AQ196" s="4">
        <f t="shared" ca="1" si="114"/>
        <v>12212.214412552878</v>
      </c>
      <c r="AR196">
        <f t="shared" ca="1" si="115"/>
        <v>0</v>
      </c>
      <c r="AS196">
        <f t="shared" ca="1" si="116"/>
        <v>0</v>
      </c>
    </row>
    <row r="197" spans="1:45" x14ac:dyDescent="0.25">
      <c r="A197" s="10">
        <f t="shared" si="137"/>
        <v>176</v>
      </c>
      <c r="B197" s="5">
        <f t="shared" ca="1" si="117"/>
        <v>0.35584788897565145</v>
      </c>
      <c r="C197" s="5">
        <f t="shared" ca="1" si="118"/>
        <v>-0.36957956702734751</v>
      </c>
      <c r="D197" s="5">
        <f t="shared" ca="1" si="104"/>
        <v>3.17568872589582E-2</v>
      </c>
      <c r="E197" s="5">
        <f t="shared" ca="1" si="119"/>
        <v>0.23750305752161038</v>
      </c>
      <c r="F197" s="5">
        <f t="shared" ca="1" si="120"/>
        <v>-0.71435754854007871</v>
      </c>
      <c r="G197" s="5">
        <f t="shared" ca="1" si="105"/>
        <v>-2.0245875614767539E-2</v>
      </c>
      <c r="H197" s="5">
        <f t="shared" ca="1" si="121"/>
        <v>0.49049634950061183</v>
      </c>
      <c r="I197" s="5">
        <f t="shared" ca="1" si="122"/>
        <v>-2.3824372650662694E-2</v>
      </c>
      <c r="J197" s="5">
        <f t="shared" ca="1" si="106"/>
        <v>8.6679095370267412E-2</v>
      </c>
      <c r="K197" s="5">
        <f t="shared" ca="1" si="123"/>
        <v>0.93489572704920976</v>
      </c>
      <c r="L197" s="5">
        <f t="shared" ca="1" si="124"/>
        <v>1.5132800189309112</v>
      </c>
      <c r="M197" s="5">
        <f t="shared" ca="1" si="107"/>
        <v>0.36846818731698394</v>
      </c>
      <c r="N197" s="5">
        <f t="shared" ca="1" si="125"/>
        <v>0.13687051997011479</v>
      </c>
      <c r="O197" s="5">
        <f t="shared" ca="1" si="126"/>
        <v>-1.0944879260192735</v>
      </c>
      <c r="P197" s="5">
        <f t="shared" ca="1" si="108"/>
        <v>-7.4548163556927172E-2</v>
      </c>
      <c r="Q197" s="5">
        <f t="shared" ca="1" si="127"/>
        <v>0.76380259033808773</v>
      </c>
      <c r="R197" s="5">
        <f t="shared" ca="1" si="128"/>
        <v>0.71858798373283872</v>
      </c>
      <c r="S197" s="5">
        <f t="shared" ca="1" si="109"/>
        <v>0.21468914650458104</v>
      </c>
      <c r="T197" s="5">
        <f t="shared" ca="1" si="129"/>
        <v>0.13631317555978484</v>
      </c>
      <c r="U197" s="5">
        <f t="shared" ca="1" si="130"/>
        <v>-1.097034408143083</v>
      </c>
      <c r="V197" s="5">
        <f t="shared" ca="1" si="110"/>
        <v>-7.4901593036183489E-2</v>
      </c>
      <c r="W197" s="5">
        <f t="shared" ca="1" si="131"/>
        <v>0.84013923076043462</v>
      </c>
      <c r="X197" s="5">
        <f t="shared" ca="1" si="132"/>
        <v>0.99503027810527733</v>
      </c>
      <c r="Y197" s="5">
        <f t="shared" ca="1" si="111"/>
        <v>0.26611675336345764</v>
      </c>
      <c r="Z197" s="5">
        <f t="shared" ca="1" si="133"/>
        <v>0.74654899338529523</v>
      </c>
      <c r="AA197" s="5">
        <f t="shared" ca="1" si="134"/>
        <v>0.66366926750769839</v>
      </c>
      <c r="AB197" s="5">
        <f t="shared" ca="1" si="112"/>
        <v>0.20472387357825705</v>
      </c>
      <c r="AC197" s="5">
        <f t="shared" ca="1" si="135"/>
        <v>0.94683142899498618</v>
      </c>
      <c r="AD197" s="5">
        <f t="shared" ca="1" si="136"/>
        <v>1.614877886223816</v>
      </c>
      <c r="AE197" s="5">
        <f t="shared" ca="1" si="113"/>
        <v>0.38948292694760411</v>
      </c>
      <c r="AF197" s="5">
        <f t="shared" ca="1" si="138"/>
        <v>1.0317568872589582</v>
      </c>
      <c r="AG197" s="5">
        <f t="shared" ca="1" si="139"/>
        <v>0.97975412438523246</v>
      </c>
      <c r="AH197" s="5">
        <f t="shared" ca="1" si="140"/>
        <v>1.0866790953702674</v>
      </c>
      <c r="AI197" s="5">
        <f t="shared" ca="1" si="141"/>
        <v>1.3684681873169839</v>
      </c>
      <c r="AJ197" s="5">
        <f t="shared" ca="1" si="142"/>
        <v>0.92545183644307283</v>
      </c>
      <c r="AK197" s="5">
        <f t="shared" ca="1" si="143"/>
        <v>1.214689146504581</v>
      </c>
      <c r="AL197" s="5">
        <f t="shared" ca="1" si="144"/>
        <v>0.92509840696381651</v>
      </c>
      <c r="AM197" s="5">
        <f t="shared" ca="1" si="145"/>
        <v>1.2661167533634576</v>
      </c>
      <c r="AN197" s="5">
        <f t="shared" ca="1" si="146"/>
        <v>1.2047238735782571</v>
      </c>
      <c r="AO197" s="5">
        <f t="shared" ca="1" si="147"/>
        <v>1.3894829269476041</v>
      </c>
      <c r="AP197" s="5">
        <f t="shared" ca="1" si="148"/>
        <v>3.3132323107358927</v>
      </c>
      <c r="AQ197" s="4">
        <f t="shared" ca="1" si="114"/>
        <v>33132.323107358927</v>
      </c>
      <c r="AR197">
        <f t="shared" ca="1" si="115"/>
        <v>1</v>
      </c>
      <c r="AS197">
        <f t="shared" ca="1" si="116"/>
        <v>0</v>
      </c>
    </row>
    <row r="198" spans="1:45" x14ac:dyDescent="0.25">
      <c r="A198" s="10">
        <f t="shared" si="137"/>
        <v>177</v>
      </c>
      <c r="B198" s="5">
        <f t="shared" ca="1" si="117"/>
        <v>0.21626298628864138</v>
      </c>
      <c r="C198" s="5">
        <f t="shared" ca="1" si="118"/>
        <v>-0.78487651537100134</v>
      </c>
      <c r="D198" s="5">
        <f t="shared" ca="1" si="104"/>
        <v>-3.055494292262495E-2</v>
      </c>
      <c r="E198" s="5">
        <f t="shared" ca="1" si="119"/>
        <v>0.392632219105713</v>
      </c>
      <c r="F198" s="5">
        <f t="shared" ca="1" si="120"/>
        <v>-0.27246507976209866</v>
      </c>
      <c r="G198" s="5">
        <f t="shared" ca="1" si="105"/>
        <v>4.6896672635179604E-2</v>
      </c>
      <c r="H198" s="5">
        <f t="shared" ca="1" si="121"/>
        <v>1.9834766090711331E-2</v>
      </c>
      <c r="I198" s="5">
        <f t="shared" ca="1" si="122"/>
        <v>-2.0571735776410396</v>
      </c>
      <c r="J198" s="5">
        <f t="shared" ca="1" si="106"/>
        <v>-0.19898534535657997</v>
      </c>
      <c r="K198" s="5">
        <f t="shared" ca="1" si="123"/>
        <v>6.9438631140376628E-2</v>
      </c>
      <c r="L198" s="5">
        <f t="shared" ca="1" si="124"/>
        <v>-1.4799849531223797</v>
      </c>
      <c r="M198" s="5">
        <f t="shared" ca="1" si="107"/>
        <v>-0.12654419235701553</v>
      </c>
      <c r="N198" s="5">
        <f t="shared" ca="1" si="125"/>
        <v>0.43775714506485652</v>
      </c>
      <c r="O198" s="5">
        <f t="shared" ca="1" si="126"/>
        <v>-0.15665812598471077</v>
      </c>
      <c r="P198" s="5">
        <f t="shared" ca="1" si="108"/>
        <v>6.5241230583217957E-2</v>
      </c>
      <c r="Q198" s="5">
        <f t="shared" ca="1" si="127"/>
        <v>0.29345038158993852</v>
      </c>
      <c r="R198" s="5">
        <f t="shared" ca="1" si="128"/>
        <v>-0.54333268616396979</v>
      </c>
      <c r="S198" s="5">
        <f t="shared" ca="1" si="109"/>
        <v>5.2136410466796512E-3</v>
      </c>
      <c r="T198" s="5">
        <f t="shared" ca="1" si="129"/>
        <v>0.82602851594062465</v>
      </c>
      <c r="U198" s="5">
        <f t="shared" ca="1" si="130"/>
        <v>0.93858673082868249</v>
      </c>
      <c r="V198" s="5">
        <f t="shared" ca="1" si="110"/>
        <v>0.2554423864380011</v>
      </c>
      <c r="W198" s="5">
        <f t="shared" ca="1" si="131"/>
        <v>0.31110520657179841</v>
      </c>
      <c r="X198" s="5">
        <f t="shared" ca="1" si="132"/>
        <v>-0.49272004364531369</v>
      </c>
      <c r="Y198" s="5">
        <f t="shared" ca="1" si="111"/>
        <v>1.2874160989849281E-2</v>
      </c>
      <c r="Z198" s="5">
        <f t="shared" ca="1" si="133"/>
        <v>0.8186385776868933</v>
      </c>
      <c r="AA198" s="5">
        <f t="shared" ca="1" si="134"/>
        <v>0.9101889993343949</v>
      </c>
      <c r="AB198" s="5">
        <f t="shared" ca="1" si="112"/>
        <v>0.25010600272681405</v>
      </c>
      <c r="AC198" s="5">
        <f t="shared" ca="1" si="135"/>
        <v>9.0823483278455686E-2</v>
      </c>
      <c r="AD198" s="5">
        <f t="shared" ca="1" si="136"/>
        <v>-1.3357011707813036</v>
      </c>
      <c r="AE198" s="5">
        <f t="shared" ca="1" si="113"/>
        <v>-0.1074343187660991</v>
      </c>
      <c r="AF198" s="5">
        <f t="shared" ca="1" si="138"/>
        <v>0.96944505707737505</v>
      </c>
      <c r="AG198" s="5">
        <f t="shared" ca="1" si="139"/>
        <v>1.0468966726351796</v>
      </c>
      <c r="AH198" s="5">
        <f t="shared" ca="1" si="140"/>
        <v>0.80101465464342003</v>
      </c>
      <c r="AI198" s="5">
        <f t="shared" ca="1" si="141"/>
        <v>0.87345580764298447</v>
      </c>
      <c r="AJ198" s="5">
        <f t="shared" ca="1" si="142"/>
        <v>1.065241230583218</v>
      </c>
      <c r="AK198" s="5">
        <f t="shared" ca="1" si="143"/>
        <v>1.0052136410466797</v>
      </c>
      <c r="AL198" s="5">
        <f t="shared" ca="1" si="144"/>
        <v>1.2554423864380011</v>
      </c>
      <c r="AM198" s="5">
        <f t="shared" ca="1" si="145"/>
        <v>1.0128741609898493</v>
      </c>
      <c r="AN198" s="5">
        <f t="shared" ca="1" si="146"/>
        <v>1.250106002726814</v>
      </c>
      <c r="AO198" s="5">
        <f t="shared" ca="1" si="147"/>
        <v>0.8925656812339009</v>
      </c>
      <c r="AP198" s="5">
        <f t="shared" ca="1" si="148"/>
        <v>1.0788326065433809</v>
      </c>
      <c r="AQ198" s="4">
        <f t="shared" ca="1" si="114"/>
        <v>10788.326065433808</v>
      </c>
      <c r="AR198">
        <f t="shared" ca="1" si="115"/>
        <v>0</v>
      </c>
      <c r="AS198">
        <f t="shared" ca="1" si="116"/>
        <v>0</v>
      </c>
    </row>
    <row r="199" spans="1:45" x14ac:dyDescent="0.25">
      <c r="A199" s="10">
        <f t="shared" si="137"/>
        <v>178</v>
      </c>
      <c r="B199" s="5">
        <f t="shared" ca="1" si="117"/>
        <v>0.35536084595162432</v>
      </c>
      <c r="C199" s="5">
        <f t="shared" ca="1" si="118"/>
        <v>-0.37088700846130174</v>
      </c>
      <c r="D199" s="5">
        <f t="shared" ca="1" si="104"/>
        <v>3.1554562843530309E-2</v>
      </c>
      <c r="E199" s="5">
        <f t="shared" ca="1" si="119"/>
        <v>0.83931731057644177</v>
      </c>
      <c r="F199" s="5">
        <f t="shared" ca="1" si="120"/>
        <v>0.99165596483017493</v>
      </c>
      <c r="G199" s="5">
        <f t="shared" ca="1" si="105"/>
        <v>0.26547607433071208</v>
      </c>
      <c r="H199" s="5">
        <f t="shared" ca="1" si="121"/>
        <v>0.21355723607291477</v>
      </c>
      <c r="I199" s="5">
        <f t="shared" ca="1" si="122"/>
        <v>-0.79413907452328747</v>
      </c>
      <c r="J199" s="5">
        <f t="shared" ca="1" si="106"/>
        <v>-3.190093898140256E-2</v>
      </c>
      <c r="K199" s="5">
        <f t="shared" ca="1" si="123"/>
        <v>0.50655976355998122</v>
      </c>
      <c r="L199" s="5">
        <f t="shared" ca="1" si="124"/>
        <v>1.6443629824583392E-2</v>
      </c>
      <c r="M199" s="5">
        <f t="shared" ca="1" si="107"/>
        <v>9.3262718029200498E-2</v>
      </c>
      <c r="N199" s="5">
        <f t="shared" ca="1" si="125"/>
        <v>6.6585740015679962E-3</v>
      </c>
      <c r="O199" s="5">
        <f t="shared" ca="1" si="126"/>
        <v>-2.4751734570160622</v>
      </c>
      <c r="P199" s="5">
        <f t="shared" ca="1" si="108"/>
        <v>-0.24766683798776679</v>
      </c>
      <c r="Q199" s="5">
        <f t="shared" ca="1" si="127"/>
        <v>0.10174992556524343</v>
      </c>
      <c r="R199" s="5">
        <f t="shared" ca="1" si="128"/>
        <v>-1.2716433945141432</v>
      </c>
      <c r="S199" s="5">
        <f t="shared" ca="1" si="109"/>
        <v>-9.881661685107257E-2</v>
      </c>
      <c r="T199" s="5">
        <f t="shared" ca="1" si="129"/>
        <v>9.5862066333113338E-3</v>
      </c>
      <c r="U199" s="5">
        <f t="shared" ca="1" si="130"/>
        <v>-2.342161566646817</v>
      </c>
      <c r="V199" s="5">
        <f t="shared" ca="1" si="110"/>
        <v>-0.23250570670679638</v>
      </c>
      <c r="W199" s="5">
        <f t="shared" ca="1" si="131"/>
        <v>0.42735741502015612</v>
      </c>
      <c r="X199" s="5">
        <f t="shared" ca="1" si="132"/>
        <v>-0.18310602295201808</v>
      </c>
      <c r="Y199" s="5">
        <f t="shared" ca="1" si="111"/>
        <v>6.1023593640121554E-2</v>
      </c>
      <c r="Z199" s="5">
        <f t="shared" ca="1" si="133"/>
        <v>3.3323095263037228E-2</v>
      </c>
      <c r="AA199" s="5">
        <f t="shared" ca="1" si="134"/>
        <v>-1.8340525731686377</v>
      </c>
      <c r="AB199" s="5">
        <f t="shared" ca="1" si="112"/>
        <v>-0.17172320416597819</v>
      </c>
      <c r="AC199" s="5">
        <f t="shared" ca="1" si="135"/>
        <v>0.28158882621540293</v>
      </c>
      <c r="AD199" s="5">
        <f t="shared" ca="1" si="136"/>
        <v>-0.57812807690636026</v>
      </c>
      <c r="AE199" s="5">
        <f t="shared" ca="1" si="113"/>
        <v>-1.9211351413694899E-5</v>
      </c>
      <c r="AF199" s="5">
        <f t="shared" ca="1" si="138"/>
        <v>1.0315545628435303</v>
      </c>
      <c r="AG199" s="5">
        <f t="shared" ca="1" si="139"/>
        <v>1.2654760743307121</v>
      </c>
      <c r="AH199" s="5">
        <f t="shared" ca="1" si="140"/>
        <v>0.96809906101859744</v>
      </c>
      <c r="AI199" s="5">
        <f t="shared" ca="1" si="141"/>
        <v>1.0932627180292005</v>
      </c>
      <c r="AJ199" s="5">
        <f t="shared" ca="1" si="142"/>
        <v>0.75233316201223321</v>
      </c>
      <c r="AK199" s="5">
        <f t="shared" ca="1" si="143"/>
        <v>0.90118338314892743</v>
      </c>
      <c r="AL199" s="5">
        <f t="shared" ca="1" si="144"/>
        <v>0.76749429329320362</v>
      </c>
      <c r="AM199" s="5">
        <f t="shared" ca="1" si="145"/>
        <v>1.0610235936401216</v>
      </c>
      <c r="AN199" s="5">
        <f t="shared" ca="1" si="146"/>
        <v>0.82827679583402181</v>
      </c>
      <c r="AO199" s="5">
        <f t="shared" ca="1" si="147"/>
        <v>0.99998078864858631</v>
      </c>
      <c r="AP199" s="5">
        <f t="shared" ca="1" si="148"/>
        <v>0.63180230840181362</v>
      </c>
      <c r="AQ199" s="4">
        <f t="shared" ca="1" si="114"/>
        <v>6318.0230840181366</v>
      </c>
      <c r="AR199">
        <f t="shared" ca="1" si="115"/>
        <v>0</v>
      </c>
      <c r="AS199">
        <f t="shared" ca="1" si="116"/>
        <v>0</v>
      </c>
    </row>
    <row r="200" spans="1:45" x14ac:dyDescent="0.25">
      <c r="A200" s="10">
        <f t="shared" si="137"/>
        <v>179</v>
      </c>
      <c r="B200" s="5">
        <f t="shared" ca="1" si="117"/>
        <v>0.57874907975085732</v>
      </c>
      <c r="C200" s="5">
        <f t="shared" ca="1" si="118"/>
        <v>0.19869435441719452</v>
      </c>
      <c r="D200" s="5">
        <f t="shared" ca="1" si="104"/>
        <v>0.12356217679390213</v>
      </c>
      <c r="E200" s="5">
        <f t="shared" ca="1" si="119"/>
        <v>0.18562741353208778</v>
      </c>
      <c r="F200" s="5">
        <f t="shared" ca="1" si="120"/>
        <v>-0.89412535054443498</v>
      </c>
      <c r="G200" s="5">
        <f t="shared" ca="1" si="105"/>
        <v>-4.6312093015186462E-2</v>
      </c>
      <c r="H200" s="5">
        <f t="shared" ca="1" si="121"/>
        <v>0.44277272848011684</v>
      </c>
      <c r="I200" s="5">
        <f t="shared" ca="1" si="122"/>
        <v>-0.14394302936227568</v>
      </c>
      <c r="J200" s="5">
        <f t="shared" ca="1" si="106"/>
        <v>6.7274866083096185E-2</v>
      </c>
      <c r="K200" s="5">
        <f t="shared" ca="1" si="123"/>
        <v>0.16288211360002514</v>
      </c>
      <c r="L200" s="5">
        <f t="shared" ca="1" si="124"/>
        <v>-0.98268148251979714</v>
      </c>
      <c r="M200" s="5">
        <f t="shared" ca="1" si="107"/>
        <v>-5.8896562400648556E-2</v>
      </c>
      <c r="N200" s="5">
        <f t="shared" ca="1" si="125"/>
        <v>0.92060457096939907</v>
      </c>
      <c r="O200" s="5">
        <f t="shared" ca="1" si="126"/>
        <v>1.4091498671836924</v>
      </c>
      <c r="P200" s="5">
        <f t="shared" ca="1" si="108"/>
        <v>0.34725943380906665</v>
      </c>
      <c r="Q200" s="5">
        <f t="shared" ca="1" si="127"/>
        <v>0.28372116475223175</v>
      </c>
      <c r="R200" s="5">
        <f t="shared" ca="1" si="128"/>
        <v>-0.57182235680333038</v>
      </c>
      <c r="S200" s="5">
        <f t="shared" ca="1" si="109"/>
        <v>9.2707594899454904E-4</v>
      </c>
      <c r="T200" s="5">
        <f t="shared" ca="1" si="129"/>
        <v>9.685909710972862E-2</v>
      </c>
      <c r="U200" s="5">
        <f t="shared" ca="1" si="130"/>
        <v>-1.2996580499503192</v>
      </c>
      <c r="V200" s="5">
        <f t="shared" ca="1" si="110"/>
        <v>-0.10259562251905185</v>
      </c>
      <c r="W200" s="5">
        <f t="shared" ca="1" si="131"/>
        <v>0.24553810694390843</v>
      </c>
      <c r="X200" s="5">
        <f t="shared" ca="1" si="132"/>
        <v>-0.68859810505453356</v>
      </c>
      <c r="Y200" s="5">
        <f t="shared" ca="1" si="111"/>
        <v>-1.6452864244680843E-2</v>
      </c>
      <c r="Z200" s="5">
        <f t="shared" ca="1" si="133"/>
        <v>0.30769121994390114</v>
      </c>
      <c r="AA200" s="5">
        <f t="shared" ca="1" si="134"/>
        <v>-0.50240531671883593</v>
      </c>
      <c r="AB200" s="5">
        <f t="shared" ca="1" si="112"/>
        <v>1.1403734933569387E-2</v>
      </c>
      <c r="AC200" s="5">
        <f t="shared" ca="1" si="135"/>
        <v>8.646374169144011E-2</v>
      </c>
      <c r="AD200" s="5">
        <f t="shared" ca="1" si="136"/>
        <v>-1.3628573155094199</v>
      </c>
      <c r="AE200" s="5">
        <f t="shared" ca="1" si="113"/>
        <v>-0.11106272016732155</v>
      </c>
      <c r="AF200" s="5">
        <f t="shared" ca="1" si="138"/>
        <v>1.1235621767939021</v>
      </c>
      <c r="AG200" s="5">
        <f t="shared" ca="1" si="139"/>
        <v>0.95368790698481354</v>
      </c>
      <c r="AH200" s="5">
        <f t="shared" ca="1" si="140"/>
        <v>1.0672748660830962</v>
      </c>
      <c r="AI200" s="5">
        <f t="shared" ca="1" si="141"/>
        <v>0.94110343759935144</v>
      </c>
      <c r="AJ200" s="5">
        <f t="shared" ca="1" si="142"/>
        <v>1.3472594338090667</v>
      </c>
      <c r="AK200" s="5">
        <f t="shared" ca="1" si="143"/>
        <v>1.0009270759489945</v>
      </c>
      <c r="AL200" s="5">
        <f t="shared" ca="1" si="144"/>
        <v>0.89740437748094815</v>
      </c>
      <c r="AM200" s="5">
        <f t="shared" ca="1" si="145"/>
        <v>0.98354713575531916</v>
      </c>
      <c r="AN200" s="5">
        <f t="shared" ca="1" si="146"/>
        <v>1.0114037349335694</v>
      </c>
      <c r="AO200" s="5">
        <f t="shared" ca="1" si="147"/>
        <v>0.88893727983267845</v>
      </c>
      <c r="AP200" s="5">
        <f t="shared" ca="1" si="148"/>
        <v>1.151727492072768</v>
      </c>
      <c r="AQ200" s="4">
        <f t="shared" ca="1" si="114"/>
        <v>11517.274920727681</v>
      </c>
      <c r="AR200">
        <f t="shared" ca="1" si="115"/>
        <v>0</v>
      </c>
      <c r="AS200">
        <f t="shared" ca="1" si="116"/>
        <v>0</v>
      </c>
    </row>
    <row r="201" spans="1:45" x14ac:dyDescent="0.25">
      <c r="A201" s="10">
        <f t="shared" si="137"/>
        <v>180</v>
      </c>
      <c r="B201" s="5">
        <f t="shared" ca="1" si="117"/>
        <v>6.6941264602712436E-2</v>
      </c>
      <c r="C201" s="5">
        <f t="shared" ca="1" si="118"/>
        <v>-1.4989657050983485</v>
      </c>
      <c r="D201" s="5">
        <f t="shared" ca="1" si="104"/>
        <v>-0.12902748278259468</v>
      </c>
      <c r="E201" s="5">
        <f t="shared" ca="1" si="119"/>
        <v>0.77197539533970272</v>
      </c>
      <c r="F201" s="5">
        <f t="shared" ca="1" si="120"/>
        <v>0.74536812243037098</v>
      </c>
      <c r="G201" s="5">
        <f t="shared" ca="1" si="105"/>
        <v>0.21957839160229731</v>
      </c>
      <c r="H201" s="5">
        <f t="shared" ca="1" si="121"/>
        <v>0.74599301187785361</v>
      </c>
      <c r="I201" s="5">
        <f t="shared" ca="1" si="122"/>
        <v>0.66193328919127836</v>
      </c>
      <c r="J201" s="5">
        <f t="shared" ca="1" si="106"/>
        <v>0.20441020824047551</v>
      </c>
      <c r="K201" s="5">
        <f t="shared" ca="1" si="123"/>
        <v>0.33743217125128133</v>
      </c>
      <c r="L201" s="5">
        <f t="shared" ca="1" si="124"/>
        <v>-0.41948140394572253</v>
      </c>
      <c r="M201" s="5">
        <f t="shared" ca="1" si="107"/>
        <v>2.406273501944689E-2</v>
      </c>
      <c r="N201" s="5">
        <f t="shared" ca="1" si="125"/>
        <v>6.1514073026497029E-2</v>
      </c>
      <c r="O201" s="5">
        <f t="shared" ca="1" si="126"/>
        <v>-1.542187050065803</v>
      </c>
      <c r="P201" s="5">
        <f t="shared" ca="1" si="108"/>
        <v>-0.1346559085020046</v>
      </c>
      <c r="Q201" s="5">
        <f t="shared" ca="1" si="127"/>
        <v>1.290691863906912E-2</v>
      </c>
      <c r="R201" s="5">
        <f t="shared" ca="1" si="128"/>
        <v>-2.2290010145907382</v>
      </c>
      <c r="S201" s="5">
        <f t="shared" ca="1" si="109"/>
        <v>-0.21936700174265555</v>
      </c>
      <c r="T201" s="5">
        <f t="shared" ca="1" si="129"/>
        <v>0.47994890311932048</v>
      </c>
      <c r="U201" s="5">
        <f t="shared" ca="1" si="130"/>
        <v>-5.0281825950871287E-2</v>
      </c>
      <c r="V201" s="5">
        <f t="shared" ca="1" si="110"/>
        <v>8.2375027407403323E-2</v>
      </c>
      <c r="W201" s="5">
        <f t="shared" ca="1" si="131"/>
        <v>0.4545841883450602</v>
      </c>
      <c r="X201" s="5">
        <f t="shared" ca="1" si="132"/>
        <v>-0.11408756861017331</v>
      </c>
      <c r="Y201" s="5">
        <f t="shared" ca="1" si="111"/>
        <v>7.2065181789747301E-2</v>
      </c>
      <c r="Z201" s="5">
        <f t="shared" ca="1" si="133"/>
        <v>0.30999000120921039</v>
      </c>
      <c r="AA201" s="5">
        <f t="shared" ca="1" si="134"/>
        <v>-0.49587868931074319</v>
      </c>
      <c r="AB201" s="5">
        <f t="shared" ca="1" si="112"/>
        <v>1.2394378071906687E-2</v>
      </c>
      <c r="AC201" s="5">
        <f t="shared" ca="1" si="135"/>
        <v>0.46943774740920718</v>
      </c>
      <c r="AD201" s="5">
        <f t="shared" ca="1" si="136"/>
        <v>-7.6683294052426423E-2</v>
      </c>
      <c r="AE201" s="5">
        <f t="shared" ca="1" si="113"/>
        <v>7.809706038021913E-2</v>
      </c>
      <c r="AF201" s="5">
        <f t="shared" ca="1" si="138"/>
        <v>0.87097251721740532</v>
      </c>
      <c r="AG201" s="5">
        <f t="shared" ca="1" si="139"/>
        <v>1.2195783916022973</v>
      </c>
      <c r="AH201" s="5">
        <f t="shared" ca="1" si="140"/>
        <v>1.2044102082404755</v>
      </c>
      <c r="AI201" s="5">
        <f t="shared" ca="1" si="141"/>
        <v>1.0240627350194469</v>
      </c>
      <c r="AJ201" s="5">
        <f t="shared" ca="1" si="142"/>
        <v>0.8653440914979954</v>
      </c>
      <c r="AK201" s="5">
        <f t="shared" ca="1" si="143"/>
        <v>0.78063299825734445</v>
      </c>
      <c r="AL201" s="5">
        <f t="shared" ca="1" si="144"/>
        <v>1.0823750274074033</v>
      </c>
      <c r="AM201" s="5">
        <f t="shared" ca="1" si="145"/>
        <v>1.0720651817897473</v>
      </c>
      <c r="AN201" s="5">
        <f t="shared" ca="1" si="146"/>
        <v>1.0123943780719067</v>
      </c>
      <c r="AO201" s="5">
        <f t="shared" ca="1" si="147"/>
        <v>1.0780970603802191</v>
      </c>
      <c r="AP201" s="5">
        <f t="shared" ca="1" si="148"/>
        <v>1.1208756710786545</v>
      </c>
      <c r="AQ201" s="4">
        <f t="shared" ca="1" si="114"/>
        <v>11208.756710786545</v>
      </c>
      <c r="AR201">
        <f t="shared" ca="1" si="115"/>
        <v>0</v>
      </c>
      <c r="AS201">
        <f t="shared" ca="1" si="116"/>
        <v>0</v>
      </c>
    </row>
    <row r="202" spans="1:45" x14ac:dyDescent="0.25">
      <c r="A202" s="10">
        <f t="shared" si="137"/>
        <v>181</v>
      </c>
      <c r="B202" s="5">
        <f t="shared" ca="1" si="117"/>
        <v>0.33348855410863354</v>
      </c>
      <c r="C202" s="5">
        <f t="shared" ca="1" si="118"/>
        <v>-0.43030043843973953</v>
      </c>
      <c r="D202" s="5">
        <f t="shared" ca="1" si="104"/>
        <v>2.2402177298105119E-2</v>
      </c>
      <c r="E202" s="5">
        <f t="shared" ca="1" si="119"/>
        <v>0.59397746426602294</v>
      </c>
      <c r="F202" s="5">
        <f t="shared" ca="1" si="120"/>
        <v>0.23778858648646534</v>
      </c>
      <c r="G202" s="5">
        <f t="shared" ca="1" si="105"/>
        <v>0.13017025325550557</v>
      </c>
      <c r="H202" s="5">
        <f t="shared" ca="1" si="121"/>
        <v>0.2609842911089002</v>
      </c>
      <c r="I202" s="5">
        <f t="shared" ca="1" si="122"/>
        <v>-0.64031384396769553</v>
      </c>
      <c r="J202" s="5">
        <f t="shared" ca="1" si="106"/>
        <v>-9.3035284629127135E-3</v>
      </c>
      <c r="K202" s="5">
        <f t="shared" ca="1" si="123"/>
        <v>0.23802203223769125</v>
      </c>
      <c r="L202" s="5">
        <f t="shared" ca="1" si="124"/>
        <v>-0.7126795649264388</v>
      </c>
      <c r="M202" s="5">
        <f t="shared" ca="1" si="107"/>
        <v>-1.9999242872725032E-2</v>
      </c>
      <c r="N202" s="5">
        <f t="shared" ca="1" si="125"/>
        <v>0.15835526660114674</v>
      </c>
      <c r="O202" s="5">
        <f t="shared" ca="1" si="126"/>
        <v>-1.0012405365110326</v>
      </c>
      <c r="P202" s="5">
        <f t="shared" ca="1" si="108"/>
        <v>-6.1512817496007011E-2</v>
      </c>
      <c r="Q202" s="5">
        <f t="shared" ca="1" si="127"/>
        <v>0.9654302846164845</v>
      </c>
      <c r="R202" s="5">
        <f t="shared" ca="1" si="128"/>
        <v>1.8175075666357874</v>
      </c>
      <c r="S202" s="5">
        <f t="shared" ca="1" si="109"/>
        <v>0.43236386938784688</v>
      </c>
      <c r="T202" s="5">
        <f t="shared" ca="1" si="129"/>
        <v>0.50121191443190682</v>
      </c>
      <c r="U202" s="5">
        <f t="shared" ca="1" si="130"/>
        <v>3.0378236538059484E-3</v>
      </c>
      <c r="V202" s="5">
        <f t="shared" ca="1" si="110"/>
        <v>9.1066516694207511E-2</v>
      </c>
      <c r="W202" s="5">
        <f t="shared" ca="1" si="131"/>
        <v>0.12282824241041612</v>
      </c>
      <c r="X202" s="5">
        <f t="shared" ca="1" si="132"/>
        <v>-1.1609641354129605</v>
      </c>
      <c r="Y202" s="5">
        <f t="shared" ca="1" si="111"/>
        <v>-8.373038702881308E-2</v>
      </c>
      <c r="Z202" s="5">
        <f t="shared" ca="1" si="133"/>
        <v>9.6724625090249816E-3</v>
      </c>
      <c r="AA202" s="5">
        <f t="shared" ca="1" si="134"/>
        <v>-2.3388166426596961</v>
      </c>
      <c r="AB202" s="5">
        <f t="shared" ca="1" si="112"/>
        <v>-0.23212052857476662</v>
      </c>
      <c r="AC202" s="5">
        <f t="shared" ca="1" si="135"/>
        <v>0.34595751756106274</v>
      </c>
      <c r="AD202" s="5">
        <f t="shared" ca="1" si="136"/>
        <v>-0.39625755624317927</v>
      </c>
      <c r="AE202" s="5">
        <f t="shared" ca="1" si="113"/>
        <v>2.7636357449650983E-2</v>
      </c>
      <c r="AF202" s="5">
        <f t="shared" ca="1" si="138"/>
        <v>1.0224021772981051</v>
      </c>
      <c r="AG202" s="5">
        <f t="shared" ca="1" si="139"/>
        <v>1.1301702532555056</v>
      </c>
      <c r="AH202" s="5">
        <f t="shared" ca="1" si="140"/>
        <v>0.99069647153708729</v>
      </c>
      <c r="AI202" s="5">
        <f t="shared" ca="1" si="141"/>
        <v>0.98000075712727497</v>
      </c>
      <c r="AJ202" s="5">
        <f t="shared" ca="1" si="142"/>
        <v>0.93848718250399299</v>
      </c>
      <c r="AK202" s="5">
        <f t="shared" ca="1" si="143"/>
        <v>1.4323638693878469</v>
      </c>
      <c r="AL202" s="5">
        <f t="shared" ca="1" si="144"/>
        <v>1.0910665166942075</v>
      </c>
      <c r="AM202" s="5">
        <f t="shared" ca="1" si="145"/>
        <v>0.91626961297118692</v>
      </c>
      <c r="AN202" s="5">
        <f t="shared" ca="1" si="146"/>
        <v>0.76787947142523338</v>
      </c>
      <c r="AO202" s="5">
        <f t="shared" ca="1" si="147"/>
        <v>1.027636357449651</v>
      </c>
      <c r="AP202" s="5">
        <f t="shared" ca="1" si="148"/>
        <v>1.1896559989168487</v>
      </c>
      <c r="AQ202" s="4">
        <f t="shared" ca="1" si="114"/>
        <v>11896.559989168487</v>
      </c>
      <c r="AR202">
        <f t="shared" ca="1" si="115"/>
        <v>0</v>
      </c>
      <c r="AS202">
        <f t="shared" ca="1" si="116"/>
        <v>0</v>
      </c>
    </row>
    <row r="203" spans="1:45" x14ac:dyDescent="0.25">
      <c r="A203" s="10">
        <f t="shared" si="137"/>
        <v>182</v>
      </c>
      <c r="B203" s="5">
        <f t="shared" ca="1" si="117"/>
        <v>0.69375672861652493</v>
      </c>
      <c r="C203" s="5">
        <f t="shared" ca="1" si="118"/>
        <v>0.50652728156148064</v>
      </c>
      <c r="D203" s="5">
        <f t="shared" ca="1" si="104"/>
        <v>0.17665903007433292</v>
      </c>
      <c r="E203" s="5">
        <f t="shared" ca="1" si="119"/>
        <v>0.8670648806132113</v>
      </c>
      <c r="F203" s="5">
        <f t="shared" ca="1" si="120"/>
        <v>1.1126233242887025</v>
      </c>
      <c r="G203" s="5">
        <f t="shared" ca="1" si="105"/>
        <v>0.28864786067946158</v>
      </c>
      <c r="H203" s="5">
        <f t="shared" ca="1" si="121"/>
        <v>0.19920694769907332</v>
      </c>
      <c r="I203" s="5">
        <f t="shared" ca="1" si="122"/>
        <v>-0.84445733434448578</v>
      </c>
      <c r="J203" s="5">
        <f t="shared" ca="1" si="106"/>
        <v>-3.9180391731362785E-2</v>
      </c>
      <c r="K203" s="5">
        <f t="shared" ca="1" si="123"/>
        <v>0.98139499469995195</v>
      </c>
      <c r="L203" s="5">
        <f t="shared" ca="1" si="124"/>
        <v>2.0834523515888974</v>
      </c>
      <c r="M203" s="5">
        <f t="shared" ca="1" si="107"/>
        <v>0.49065832723529601</v>
      </c>
      <c r="N203" s="5">
        <f t="shared" ca="1" si="125"/>
        <v>0.98905580237881352</v>
      </c>
      <c r="O203" s="5">
        <f t="shared" ca="1" si="126"/>
        <v>2.2922990044541902</v>
      </c>
      <c r="P203" s="5">
        <f t="shared" ca="1" si="108"/>
        <v>0.53809532755538281</v>
      </c>
      <c r="Q203" s="5">
        <f t="shared" ca="1" si="127"/>
        <v>0.44859426321990581</v>
      </c>
      <c r="R203" s="5">
        <f t="shared" ca="1" si="128"/>
        <v>-0.12921373742924991</v>
      </c>
      <c r="S203" s="5">
        <f t="shared" ca="1" si="109"/>
        <v>6.9635503372806218E-2</v>
      </c>
      <c r="T203" s="5">
        <f t="shared" ca="1" si="129"/>
        <v>0.21830396099825433</v>
      </c>
      <c r="U203" s="5">
        <f t="shared" ca="1" si="130"/>
        <v>-0.77793400178671879</v>
      </c>
      <c r="V203" s="5">
        <f t="shared" ca="1" si="110"/>
        <v>-2.9544859253242461E-2</v>
      </c>
      <c r="W203" s="5">
        <f t="shared" ca="1" si="131"/>
        <v>5.22474616966081E-2</v>
      </c>
      <c r="X203" s="5">
        <f t="shared" ca="1" si="132"/>
        <v>-1.6234421364017884</v>
      </c>
      <c r="Y203" s="5">
        <f t="shared" ca="1" si="111"/>
        <v>-0.1451389351152248</v>
      </c>
      <c r="Z203" s="5">
        <f t="shared" ca="1" si="133"/>
        <v>0.80747152577051762</v>
      </c>
      <c r="AA203" s="5">
        <f t="shared" ca="1" si="134"/>
        <v>0.86861645987946801</v>
      </c>
      <c r="AB203" s="5">
        <f t="shared" ca="1" si="112"/>
        <v>0.24233474605709993</v>
      </c>
      <c r="AC203" s="5">
        <f t="shared" ca="1" si="135"/>
        <v>0.19221918624719903</v>
      </c>
      <c r="AD203" s="5">
        <f t="shared" ca="1" si="136"/>
        <v>-0.86974756459194813</v>
      </c>
      <c r="AE203" s="5">
        <f t="shared" ca="1" si="113"/>
        <v>-4.2818389301718218E-2</v>
      </c>
      <c r="AF203" s="5">
        <f t="shared" ca="1" si="138"/>
        <v>1.1766590300743329</v>
      </c>
      <c r="AG203" s="5">
        <f t="shared" ca="1" si="139"/>
        <v>1.2886478606794616</v>
      </c>
      <c r="AH203" s="5">
        <f t="shared" ca="1" si="140"/>
        <v>0.96081960826863722</v>
      </c>
      <c r="AI203" s="5">
        <f t="shared" ca="1" si="141"/>
        <v>1.490658327235296</v>
      </c>
      <c r="AJ203" s="5">
        <f t="shared" ca="1" si="142"/>
        <v>1.5380953275553828</v>
      </c>
      <c r="AK203" s="5">
        <f t="shared" ca="1" si="143"/>
        <v>1.0696355033728062</v>
      </c>
      <c r="AL203" s="5">
        <f t="shared" ca="1" si="144"/>
        <v>0.97045514074675754</v>
      </c>
      <c r="AM203" s="5">
        <f t="shared" ca="1" si="145"/>
        <v>0.8548610648847752</v>
      </c>
      <c r="AN203" s="5">
        <f t="shared" ca="1" si="146"/>
        <v>1.2423347460570999</v>
      </c>
      <c r="AO203" s="5">
        <f t="shared" ca="1" si="147"/>
        <v>0.95718161069828178</v>
      </c>
      <c r="AP203" s="5">
        <f t="shared" ca="1" si="148"/>
        <v>3.5247465997438656</v>
      </c>
      <c r="AQ203" s="4">
        <f t="shared" ca="1" si="114"/>
        <v>35247.46599743866</v>
      </c>
      <c r="AR203">
        <f t="shared" ca="1" si="115"/>
        <v>1</v>
      </c>
      <c r="AS203">
        <f t="shared" ca="1" si="116"/>
        <v>0</v>
      </c>
    </row>
    <row r="204" spans="1:45" x14ac:dyDescent="0.25">
      <c r="A204" s="10">
        <f t="shared" si="137"/>
        <v>183</v>
      </c>
      <c r="B204" s="5">
        <f t="shared" ca="1" si="117"/>
        <v>0.25917779721302481</v>
      </c>
      <c r="C204" s="5">
        <f t="shared" ca="1" si="118"/>
        <v>-0.6458822828548888</v>
      </c>
      <c r="D204" s="5">
        <f t="shared" ca="1" si="104"/>
        <v>-1.0130677883624872E-2</v>
      </c>
      <c r="E204" s="5">
        <f t="shared" ca="1" si="119"/>
        <v>0.29638079768246195</v>
      </c>
      <c r="F204" s="5">
        <f t="shared" ca="1" si="120"/>
        <v>-0.53483841712054525</v>
      </c>
      <c r="G204" s="5">
        <f t="shared" ca="1" si="105"/>
        <v>6.4952406091343118E-3</v>
      </c>
      <c r="H204" s="5">
        <f t="shared" ca="1" si="121"/>
        <v>0.9445409734163539</v>
      </c>
      <c r="I204" s="5">
        <f t="shared" ca="1" si="122"/>
        <v>1.5940802887924121</v>
      </c>
      <c r="J204" s="5">
        <f t="shared" ca="1" si="106"/>
        <v>0.38515499526829933</v>
      </c>
      <c r="K204" s="5">
        <f t="shared" ca="1" si="123"/>
        <v>0.27944917682345738</v>
      </c>
      <c r="L204" s="5">
        <f t="shared" ca="1" si="124"/>
        <v>-0.58447860779391991</v>
      </c>
      <c r="M204" s="5">
        <f t="shared" ca="1" si="107"/>
        <v>-9.7131913296899519E-4</v>
      </c>
      <c r="N204" s="5">
        <f t="shared" ca="1" si="125"/>
        <v>0.73534881753856896</v>
      </c>
      <c r="O204" s="5">
        <f t="shared" ca="1" si="126"/>
        <v>0.62907132107972741</v>
      </c>
      <c r="P204" s="5">
        <f t="shared" ca="1" si="108"/>
        <v>0.198487923099532</v>
      </c>
      <c r="Q204" s="5">
        <f t="shared" ca="1" si="127"/>
        <v>0.91770950214508196</v>
      </c>
      <c r="R204" s="5">
        <f t="shared" ca="1" si="128"/>
        <v>1.3898283874593986</v>
      </c>
      <c r="S204" s="5">
        <f t="shared" ca="1" si="109"/>
        <v>0.34336042975279923</v>
      </c>
      <c r="T204" s="5">
        <f t="shared" ca="1" si="129"/>
        <v>7.0455776516493929E-2</v>
      </c>
      <c r="U204" s="5">
        <f t="shared" ca="1" si="130"/>
        <v>-1.4724049656852012</v>
      </c>
      <c r="V204" s="5">
        <f t="shared" ca="1" si="110"/>
        <v>-0.12555050994922301</v>
      </c>
      <c r="W204" s="5">
        <f t="shared" ca="1" si="131"/>
        <v>0.84630962617359706</v>
      </c>
      <c r="X204" s="5">
        <f t="shared" ca="1" si="132"/>
        <v>1.0207334380718598</v>
      </c>
      <c r="Y204" s="5">
        <f t="shared" ca="1" si="111"/>
        <v>0.27100765589595777</v>
      </c>
      <c r="Z204" s="5">
        <f t="shared" ca="1" si="133"/>
        <v>0.6244064814523449</v>
      </c>
      <c r="AA204" s="5">
        <f t="shared" ca="1" si="134"/>
        <v>0.31707454782694067</v>
      </c>
      <c r="AB204" s="5">
        <f t="shared" ca="1" si="112"/>
        <v>0.14369149246937574</v>
      </c>
      <c r="AC204" s="5">
        <f t="shared" ca="1" si="135"/>
        <v>0.40681704899713134</v>
      </c>
      <c r="AD204" s="5">
        <f t="shared" ca="1" si="136"/>
        <v>-0.23574042651635307</v>
      </c>
      <c r="AE204" s="5">
        <f t="shared" ca="1" si="113"/>
        <v>5.2679623870096615E-2</v>
      </c>
      <c r="AF204" s="5">
        <f t="shared" ca="1" si="138"/>
        <v>0.98986932211637513</v>
      </c>
      <c r="AG204" s="5">
        <f t="shared" ca="1" si="139"/>
        <v>1.0064952406091343</v>
      </c>
      <c r="AH204" s="5">
        <f t="shared" ca="1" si="140"/>
        <v>1.3851549952682993</v>
      </c>
      <c r="AI204" s="5">
        <f t="shared" ca="1" si="141"/>
        <v>0.999028680867031</v>
      </c>
      <c r="AJ204" s="5">
        <f t="shared" ca="1" si="142"/>
        <v>1.198487923099532</v>
      </c>
      <c r="AK204" s="5">
        <f t="shared" ca="1" si="143"/>
        <v>1.3433604297527992</v>
      </c>
      <c r="AL204" s="5">
        <f t="shared" ca="1" si="144"/>
        <v>0.87444949005077699</v>
      </c>
      <c r="AM204" s="5">
        <f t="shared" ca="1" si="145"/>
        <v>1.2710076558959578</v>
      </c>
      <c r="AN204" s="5">
        <f t="shared" ca="1" si="146"/>
        <v>1.1436914924693757</v>
      </c>
      <c r="AO204" s="5">
        <f t="shared" ca="1" si="147"/>
        <v>1.0526796238700966</v>
      </c>
      <c r="AP204" s="5">
        <f t="shared" ca="1" si="148"/>
        <v>2.9701619872500165</v>
      </c>
      <c r="AQ204" s="4">
        <f t="shared" ca="1" si="114"/>
        <v>29701.619872500163</v>
      </c>
      <c r="AR204">
        <f t="shared" ca="1" si="115"/>
        <v>1</v>
      </c>
      <c r="AS204">
        <f t="shared" ca="1" si="116"/>
        <v>0</v>
      </c>
    </row>
    <row r="205" spans="1:45" x14ac:dyDescent="0.25">
      <c r="A205" s="10">
        <f t="shared" si="137"/>
        <v>184</v>
      </c>
      <c r="B205" s="5">
        <f t="shared" ca="1" si="117"/>
        <v>0.60619170212496654</v>
      </c>
      <c r="C205" s="5">
        <f t="shared" ca="1" si="118"/>
        <v>0.26940687558261994</v>
      </c>
      <c r="D205" s="5">
        <f t="shared" ca="1" si="104"/>
        <v>0.135543091650415</v>
      </c>
      <c r="E205" s="5">
        <f t="shared" ca="1" si="119"/>
        <v>0.44058136639614431</v>
      </c>
      <c r="F205" s="5">
        <f t="shared" ca="1" si="120"/>
        <v>-0.1494954076777448</v>
      </c>
      <c r="G205" s="5">
        <f t="shared" ca="1" si="105"/>
        <v>6.6386349064690542E-2</v>
      </c>
      <c r="H205" s="5">
        <f t="shared" ca="1" si="121"/>
        <v>0.40154920281412831</v>
      </c>
      <c r="I205" s="5">
        <f t="shared" ca="1" si="122"/>
        <v>-0.24933920745282753</v>
      </c>
      <c r="J205" s="5">
        <f t="shared" ca="1" si="106"/>
        <v>5.0534538464672707E-2</v>
      </c>
      <c r="K205" s="5">
        <f t="shared" ca="1" si="123"/>
        <v>0.28044197781370261</v>
      </c>
      <c r="L205" s="5">
        <f t="shared" ca="1" si="124"/>
        <v>-0.58152903468035111</v>
      </c>
      <c r="M205" s="5">
        <f t="shared" ca="1" si="107"/>
        <v>-5.292151183068361E-4</v>
      </c>
      <c r="N205" s="5">
        <f t="shared" ca="1" si="125"/>
        <v>0.12721823470241977</v>
      </c>
      <c r="O205" s="5">
        <f t="shared" ca="1" si="126"/>
        <v>-1.139639625964002</v>
      </c>
      <c r="P205" s="5">
        <f t="shared" ca="1" si="108"/>
        <v>-8.0794844603633731E-2</v>
      </c>
      <c r="Q205" s="5">
        <f t="shared" ca="1" si="127"/>
        <v>7.0770874506848047E-3</v>
      </c>
      <c r="R205" s="5">
        <f t="shared" ca="1" si="128"/>
        <v>-2.4533266331388908</v>
      </c>
      <c r="S205" s="5">
        <f t="shared" ca="1" si="109"/>
        <v>-0.24519738044929207</v>
      </c>
      <c r="T205" s="5">
        <f t="shared" ca="1" si="129"/>
        <v>0.55808952427728498</v>
      </c>
      <c r="U205" s="5">
        <f t="shared" ca="1" si="130"/>
        <v>0.14612722906548536</v>
      </c>
      <c r="V205" s="5">
        <f t="shared" ca="1" si="110"/>
        <v>0.11473764845379697</v>
      </c>
      <c r="W205" s="5">
        <f t="shared" ca="1" si="131"/>
        <v>0.8466773469268658</v>
      </c>
      <c r="X205" s="5">
        <f t="shared" ca="1" si="132"/>
        <v>1.0222865310332385</v>
      </c>
      <c r="Y205" s="5">
        <f t="shared" ca="1" si="111"/>
        <v>0.27130378934546129</v>
      </c>
      <c r="Z205" s="5">
        <f t="shared" ca="1" si="133"/>
        <v>0.51379590998600411</v>
      </c>
      <c r="AA205" s="5">
        <f t="shared" ca="1" si="134"/>
        <v>3.4588113317755693E-2</v>
      </c>
      <c r="AB205" s="5">
        <f t="shared" ca="1" si="112"/>
        <v>9.6242273978873527E-2</v>
      </c>
      <c r="AC205" s="5">
        <f t="shared" ca="1" si="135"/>
        <v>0.90881718301209835</v>
      </c>
      <c r="AD205" s="5">
        <f t="shared" ca="1" si="136"/>
        <v>1.3335065301189539</v>
      </c>
      <c r="AE205" s="5">
        <f t="shared" ca="1" si="113"/>
        <v>0.33205915196971092</v>
      </c>
      <c r="AF205" s="5">
        <f t="shared" ca="1" si="138"/>
        <v>1.135543091650415</v>
      </c>
      <c r="AG205" s="5">
        <f t="shared" ca="1" si="139"/>
        <v>1.0663863490646905</v>
      </c>
      <c r="AH205" s="5">
        <f t="shared" ca="1" si="140"/>
        <v>1.0505345384646727</v>
      </c>
      <c r="AI205" s="5">
        <f t="shared" ca="1" si="141"/>
        <v>0.99947078488169316</v>
      </c>
      <c r="AJ205" s="5">
        <f t="shared" ca="1" si="142"/>
        <v>0.91920515539636627</v>
      </c>
      <c r="AK205" s="5">
        <f t="shared" ca="1" si="143"/>
        <v>0.75480261955070793</v>
      </c>
      <c r="AL205" s="5">
        <f t="shared" ca="1" si="144"/>
        <v>1.114737648453797</v>
      </c>
      <c r="AM205" s="5">
        <f t="shared" ca="1" si="145"/>
        <v>1.2713037893454613</v>
      </c>
      <c r="AN205" s="5">
        <f t="shared" ca="1" si="146"/>
        <v>1.0962422739788735</v>
      </c>
      <c r="AO205" s="5">
        <f t="shared" ca="1" si="147"/>
        <v>1.3320591519697109</v>
      </c>
      <c r="AP205" s="5">
        <f t="shared" ca="1" si="148"/>
        <v>1.8255618552258086</v>
      </c>
      <c r="AQ205" s="4">
        <f t="shared" ca="1" si="114"/>
        <v>18255.618552258085</v>
      </c>
      <c r="AR205">
        <f t="shared" ca="1" si="115"/>
        <v>0</v>
      </c>
      <c r="AS205">
        <f t="shared" ca="1" si="116"/>
        <v>0</v>
      </c>
    </row>
    <row r="206" spans="1:45" x14ac:dyDescent="0.25">
      <c r="A206" s="10">
        <f t="shared" si="137"/>
        <v>185</v>
      </c>
      <c r="B206" s="5">
        <f t="shared" ca="1" si="117"/>
        <v>1.2031736216427058E-2</v>
      </c>
      <c r="C206" s="5">
        <f t="shared" ca="1" si="118"/>
        <v>-2.2561143217198421</v>
      </c>
      <c r="D206" s="5">
        <f t="shared" ca="1" si="104"/>
        <v>-0.22253538580820609</v>
      </c>
      <c r="E206" s="5">
        <f t="shared" ca="1" si="119"/>
        <v>0.20908674817250938</v>
      </c>
      <c r="F206" s="5">
        <f t="shared" ca="1" si="120"/>
        <v>-0.80959410663795972</v>
      </c>
      <c r="G206" s="5">
        <f t="shared" ca="1" si="105"/>
        <v>-3.4142639872226765E-2</v>
      </c>
      <c r="H206" s="5">
        <f t="shared" ca="1" si="121"/>
        <v>0.92215689508121557</v>
      </c>
      <c r="I206" s="5">
        <f t="shared" ca="1" si="122"/>
        <v>1.4197303121661744</v>
      </c>
      <c r="J206" s="5">
        <f t="shared" ca="1" si="106"/>
        <v>0.34939932208014857</v>
      </c>
      <c r="K206" s="5">
        <f t="shared" ca="1" si="123"/>
        <v>0.16401693928783767</v>
      </c>
      <c r="L206" s="5">
        <f t="shared" ca="1" si="124"/>
        <v>-0.97808177969143095</v>
      </c>
      <c r="M206" s="5">
        <f t="shared" ca="1" si="107"/>
        <v>-5.8247018926837701E-2</v>
      </c>
      <c r="N206" s="5">
        <f t="shared" ca="1" si="125"/>
        <v>0.20029881778193603</v>
      </c>
      <c r="O206" s="5">
        <f t="shared" ca="1" si="126"/>
        <v>-0.84055436096533442</v>
      </c>
      <c r="P206" s="5">
        <f t="shared" ca="1" si="108"/>
        <v>-3.8617719037207121E-2</v>
      </c>
      <c r="Q206" s="5">
        <f t="shared" ca="1" si="127"/>
        <v>0.3893831048755203</v>
      </c>
      <c r="R206" s="5">
        <f t="shared" ca="1" si="128"/>
        <v>-0.28092723658772761</v>
      </c>
      <c r="S206" s="5">
        <f t="shared" ca="1" si="109"/>
        <v>4.5568665075492287E-2</v>
      </c>
      <c r="T206" s="5">
        <f t="shared" ca="1" si="129"/>
        <v>0.6238501335345864</v>
      </c>
      <c r="U206" s="5">
        <f t="shared" ca="1" si="130"/>
        <v>0.3156084370647082</v>
      </c>
      <c r="V206" s="5">
        <f t="shared" ca="1" si="110"/>
        <v>0.14344000336283824</v>
      </c>
      <c r="W206" s="5">
        <f t="shared" ca="1" si="131"/>
        <v>0.57103516552450129</v>
      </c>
      <c r="X206" s="5">
        <f t="shared" ca="1" si="132"/>
        <v>0.17901023014514514</v>
      </c>
      <c r="Y206" s="5">
        <f t="shared" ca="1" si="111"/>
        <v>0.12024961893319941</v>
      </c>
      <c r="Z206" s="5">
        <f t="shared" ca="1" si="133"/>
        <v>0.89390311403774059</v>
      </c>
      <c r="AA206" s="5">
        <f t="shared" ca="1" si="134"/>
        <v>1.2475558045175259</v>
      </c>
      <c r="AB206" s="5">
        <f t="shared" ca="1" si="112"/>
        <v>0.31499566714512817</v>
      </c>
      <c r="AC206" s="5">
        <f t="shared" ca="1" si="135"/>
        <v>0.85161519510753303</v>
      </c>
      <c r="AD206" s="5">
        <f t="shared" ca="1" si="136"/>
        <v>1.0433858814712651</v>
      </c>
      <c r="AE206" s="5">
        <f t="shared" ca="1" si="113"/>
        <v>0.27533371576853893</v>
      </c>
      <c r="AF206" s="5">
        <f t="shared" ca="1" si="138"/>
        <v>0.77746461419179391</v>
      </c>
      <c r="AG206" s="5">
        <f t="shared" ca="1" si="139"/>
        <v>0.96585736012777323</v>
      </c>
      <c r="AH206" s="5">
        <f t="shared" ca="1" si="140"/>
        <v>1.3493993220801486</v>
      </c>
      <c r="AI206" s="5">
        <f t="shared" ca="1" si="141"/>
        <v>0.9417529810731623</v>
      </c>
      <c r="AJ206" s="5">
        <f t="shared" ca="1" si="142"/>
        <v>0.96138228096279288</v>
      </c>
      <c r="AK206" s="5">
        <f t="shared" ca="1" si="143"/>
        <v>1.0455686650754923</v>
      </c>
      <c r="AL206" s="5">
        <f t="shared" ca="1" si="144"/>
        <v>1.1434400033628382</v>
      </c>
      <c r="AM206" s="5">
        <f t="shared" ca="1" si="145"/>
        <v>1.1202496189331994</v>
      </c>
      <c r="AN206" s="5">
        <f t="shared" ca="1" si="146"/>
        <v>1.3149956671451282</v>
      </c>
      <c r="AO206" s="5">
        <f t="shared" ca="1" si="147"/>
        <v>1.2753337157685389</v>
      </c>
      <c r="AP206" s="5">
        <f t="shared" ca="1" si="148"/>
        <v>2.0606115938657066</v>
      </c>
      <c r="AQ206" s="4">
        <f t="shared" ca="1" si="114"/>
        <v>20606.115938657065</v>
      </c>
      <c r="AR206">
        <f t="shared" ca="1" si="115"/>
        <v>0</v>
      </c>
      <c r="AS206">
        <f t="shared" ca="1" si="116"/>
        <v>0</v>
      </c>
    </row>
    <row r="207" spans="1:45" x14ac:dyDescent="0.25">
      <c r="A207" s="10">
        <f t="shared" si="137"/>
        <v>186</v>
      </c>
      <c r="B207" s="5">
        <f t="shared" ca="1" si="117"/>
        <v>0.61937848956524388</v>
      </c>
      <c r="C207" s="5">
        <f t="shared" ca="1" si="118"/>
        <v>0.30384888580394925</v>
      </c>
      <c r="D207" s="5">
        <f t="shared" ca="1" si="104"/>
        <v>0.1414248300004608</v>
      </c>
      <c r="E207" s="5">
        <f t="shared" ca="1" si="119"/>
        <v>0.40330824965079093</v>
      </c>
      <c r="F207" s="5">
        <f t="shared" ca="1" si="120"/>
        <v>-0.24479327758505992</v>
      </c>
      <c r="G207" s="5">
        <f t="shared" ca="1" si="105"/>
        <v>5.1251131205761524E-2</v>
      </c>
      <c r="H207" s="5">
        <f t="shared" ca="1" si="121"/>
        <v>0.88665274235869784</v>
      </c>
      <c r="I207" s="5">
        <f t="shared" ca="1" si="122"/>
        <v>1.2089175700469705</v>
      </c>
      <c r="J207" s="5">
        <f t="shared" ca="1" si="106"/>
        <v>0.30739634361333046</v>
      </c>
      <c r="K207" s="5">
        <f t="shared" ca="1" si="123"/>
        <v>0.70390218081051714</v>
      </c>
      <c r="L207" s="5">
        <f t="shared" ca="1" si="124"/>
        <v>0.53565698350757729</v>
      </c>
      <c r="M207" s="5">
        <f t="shared" ca="1" si="107"/>
        <v>0.18181163794708222</v>
      </c>
      <c r="N207" s="5">
        <f t="shared" ca="1" si="125"/>
        <v>0.9569072643048202</v>
      </c>
      <c r="O207" s="5">
        <f t="shared" ca="1" si="126"/>
        <v>1.7158720060781503</v>
      </c>
      <c r="P207" s="5">
        <f t="shared" ca="1" si="108"/>
        <v>0.41069261615229169</v>
      </c>
      <c r="Q207" s="5">
        <f t="shared" ca="1" si="127"/>
        <v>0.71912056994298645</v>
      </c>
      <c r="R207" s="5">
        <f t="shared" ca="1" si="128"/>
        <v>0.58023098663069506</v>
      </c>
      <c r="S207" s="5">
        <f t="shared" ca="1" si="109"/>
        <v>0.18973982408264423</v>
      </c>
      <c r="T207" s="5">
        <f t="shared" ca="1" si="129"/>
        <v>0.22669766825168336</v>
      </c>
      <c r="U207" s="5">
        <f t="shared" ca="1" si="130"/>
        <v>-0.74976651949705908</v>
      </c>
      <c r="V207" s="5">
        <f t="shared" ca="1" si="110"/>
        <v>-2.5435893225325024E-2</v>
      </c>
      <c r="W207" s="5">
        <f t="shared" ca="1" si="131"/>
        <v>6.1563197540077441E-2</v>
      </c>
      <c r="X207" s="5">
        <f t="shared" ca="1" si="132"/>
        <v>-1.5417827507805197</v>
      </c>
      <c r="Y207" s="5">
        <f t="shared" ca="1" si="111"/>
        <v>-0.13460342821103233</v>
      </c>
      <c r="Z207" s="5">
        <f t="shared" ca="1" si="133"/>
        <v>0.19272408847638578</v>
      </c>
      <c r="AA207" s="5">
        <f t="shared" ca="1" si="134"/>
        <v>-0.86790164755676924</v>
      </c>
      <c r="AB207" s="5">
        <f t="shared" ca="1" si="112"/>
        <v>-4.2553320930202809E-2</v>
      </c>
      <c r="AC207" s="5">
        <f t="shared" ca="1" si="135"/>
        <v>0.59404955403485105</v>
      </c>
      <c r="AD207" s="5">
        <f t="shared" ca="1" si="136"/>
        <v>0.23797447451169559</v>
      </c>
      <c r="AE207" s="5">
        <f t="shared" ca="1" si="113"/>
        <v>0.13020176646233073</v>
      </c>
      <c r="AF207" s="5">
        <f t="shared" ca="1" si="138"/>
        <v>1.1414248300004608</v>
      </c>
      <c r="AG207" s="5">
        <f t="shared" ca="1" si="139"/>
        <v>1.0512511312057615</v>
      </c>
      <c r="AH207" s="5">
        <f t="shared" ca="1" si="140"/>
        <v>1.3073963436133305</v>
      </c>
      <c r="AI207" s="5">
        <f t="shared" ca="1" si="141"/>
        <v>1.1818116379470822</v>
      </c>
      <c r="AJ207" s="5">
        <f t="shared" ca="1" si="142"/>
        <v>1.4106926161522917</v>
      </c>
      <c r="AK207" s="5">
        <f t="shared" ca="1" si="143"/>
        <v>1.1897398240826442</v>
      </c>
      <c r="AL207" s="5">
        <f t="shared" ca="1" si="144"/>
        <v>0.97456410677467498</v>
      </c>
      <c r="AM207" s="5">
        <f t="shared" ca="1" si="145"/>
        <v>0.86539657178896767</v>
      </c>
      <c r="AN207" s="5">
        <f t="shared" ca="1" si="146"/>
        <v>0.95744667906979719</v>
      </c>
      <c r="AO207" s="5">
        <f t="shared" ca="1" si="147"/>
        <v>1.1302017664623307</v>
      </c>
      <c r="AP207" s="5">
        <f t="shared" ca="1" si="148"/>
        <v>2.8398138568828459</v>
      </c>
      <c r="AQ207" s="4">
        <f t="shared" ca="1" si="114"/>
        <v>28398.138568828461</v>
      </c>
      <c r="AR207">
        <f t="shared" ca="1" si="115"/>
        <v>1</v>
      </c>
      <c r="AS207">
        <f t="shared" ca="1" si="116"/>
        <v>0</v>
      </c>
    </row>
    <row r="208" spans="1:45" x14ac:dyDescent="0.25">
      <c r="A208" s="10">
        <f t="shared" si="137"/>
        <v>187</v>
      </c>
      <c r="B208" s="5">
        <f t="shared" ca="1" si="117"/>
        <v>0.72884774199984259</v>
      </c>
      <c r="C208" s="5">
        <f t="shared" ca="1" si="118"/>
        <v>0.60933182573283273</v>
      </c>
      <c r="D208" s="5">
        <f t="shared" ca="1" si="104"/>
        <v>0.19494453951637158</v>
      </c>
      <c r="E208" s="5">
        <f t="shared" ca="1" si="119"/>
        <v>0.18462160041159292</v>
      </c>
      <c r="F208" s="5">
        <f t="shared" ca="1" si="120"/>
        <v>-0.89789186736051474</v>
      </c>
      <c r="G208" s="5">
        <f t="shared" ca="1" si="105"/>
        <v>-4.6850753066290052E-2</v>
      </c>
      <c r="H208" s="5">
        <f t="shared" ca="1" si="121"/>
        <v>0.89678833288189796</v>
      </c>
      <c r="I208" s="5">
        <f t="shared" ca="1" si="122"/>
        <v>1.2634616116222805</v>
      </c>
      <c r="J208" s="5">
        <f t="shared" ca="1" si="106"/>
        <v>0.31813682296524548</v>
      </c>
      <c r="K208" s="5">
        <f t="shared" ca="1" si="123"/>
        <v>9.2995454751906181E-2</v>
      </c>
      <c r="L208" s="5">
        <f t="shared" ca="1" si="124"/>
        <v>-1.3225324548204564</v>
      </c>
      <c r="M208" s="5">
        <f t="shared" ca="1" si="107"/>
        <v>-0.10566948470517024</v>
      </c>
      <c r="N208" s="5">
        <f t="shared" ca="1" si="125"/>
        <v>0.44309855845861201</v>
      </c>
      <c r="O208" s="5">
        <f t="shared" ca="1" si="126"/>
        <v>-0.1431178384563549</v>
      </c>
      <c r="P208" s="5">
        <f t="shared" ca="1" si="108"/>
        <v>6.7406980086414547E-2</v>
      </c>
      <c r="Q208" s="5">
        <f t="shared" ca="1" si="127"/>
        <v>0.2451778414422352</v>
      </c>
      <c r="R208" s="5">
        <f t="shared" ca="1" si="128"/>
        <v>-0.68974321728181021</v>
      </c>
      <c r="S208" s="5">
        <f t="shared" ca="1" si="109"/>
        <v>-1.662179051398871E-2</v>
      </c>
      <c r="T208" s="5">
        <f t="shared" ca="1" si="129"/>
        <v>0.43317944172126266</v>
      </c>
      <c r="U208" s="5">
        <f t="shared" ca="1" si="130"/>
        <v>-0.16828524203168219</v>
      </c>
      <c r="V208" s="5">
        <f t="shared" ca="1" si="110"/>
        <v>6.3384997240872432E-2</v>
      </c>
      <c r="W208" s="5">
        <f t="shared" ca="1" si="131"/>
        <v>0.11657194905922708</v>
      </c>
      <c r="X208" s="5">
        <f t="shared" ca="1" si="132"/>
        <v>-1.1922993275349791</v>
      </c>
      <c r="Y208" s="5">
        <f t="shared" ca="1" si="111"/>
        <v>-8.8027004123065411E-2</v>
      </c>
      <c r="Z208" s="5">
        <f t="shared" ca="1" si="133"/>
        <v>0.81001896552044006</v>
      </c>
      <c r="AA208" s="5">
        <f t="shared" ca="1" si="134"/>
        <v>0.87796618646332858</v>
      </c>
      <c r="AB208" s="5">
        <f t="shared" ca="1" si="112"/>
        <v>0.24407829192729702</v>
      </c>
      <c r="AC208" s="5">
        <f t="shared" ca="1" si="135"/>
        <v>0.23915328875704833</v>
      </c>
      <c r="AD208" s="5">
        <f t="shared" ca="1" si="136"/>
        <v>-0.70902884409218414</v>
      </c>
      <c r="AE208" s="5">
        <f t="shared" ca="1" si="113"/>
        <v>-1.9462439529958964E-2</v>
      </c>
      <c r="AF208" s="5">
        <f t="shared" ca="1" si="138"/>
        <v>1.1949445395163716</v>
      </c>
      <c r="AG208" s="5">
        <f t="shared" ca="1" si="139"/>
        <v>0.95314924693370995</v>
      </c>
      <c r="AH208" s="5">
        <f t="shared" ca="1" si="140"/>
        <v>1.3181368229652455</v>
      </c>
      <c r="AI208" s="5">
        <f t="shared" ca="1" si="141"/>
        <v>0.89433051529482976</v>
      </c>
      <c r="AJ208" s="5">
        <f t="shared" ca="1" si="142"/>
        <v>1.0674069800864145</v>
      </c>
      <c r="AK208" s="5">
        <f t="shared" ca="1" si="143"/>
        <v>0.98337820948601129</v>
      </c>
      <c r="AL208" s="5">
        <f t="shared" ca="1" si="144"/>
        <v>1.0633849972408724</v>
      </c>
      <c r="AM208" s="5">
        <f t="shared" ca="1" si="145"/>
        <v>0.91197299587693459</v>
      </c>
      <c r="AN208" s="5">
        <f t="shared" ca="1" si="146"/>
        <v>1.244078291927297</v>
      </c>
      <c r="AO208" s="5">
        <f t="shared" ca="1" si="147"/>
        <v>0.98053756047004104</v>
      </c>
      <c r="AP208" s="5">
        <f t="shared" ca="1" si="148"/>
        <v>1.6672559392649076</v>
      </c>
      <c r="AQ208" s="4">
        <f t="shared" ca="1" si="114"/>
        <v>16672.559392649076</v>
      </c>
      <c r="AR208">
        <f t="shared" ca="1" si="115"/>
        <v>0</v>
      </c>
      <c r="AS208">
        <f t="shared" ca="1" si="116"/>
        <v>0</v>
      </c>
    </row>
    <row r="209" spans="1:45" x14ac:dyDescent="0.25">
      <c r="A209" s="10">
        <f t="shared" si="137"/>
        <v>188</v>
      </c>
      <c r="B209" s="5">
        <f t="shared" ca="1" si="117"/>
        <v>0.33165754609116482</v>
      </c>
      <c r="C209" s="5">
        <f t="shared" ca="1" si="118"/>
        <v>-0.43534077509578667</v>
      </c>
      <c r="D209" s="5">
        <f t="shared" ca="1" si="104"/>
        <v>2.1629481757617697E-2</v>
      </c>
      <c r="E209" s="5">
        <f t="shared" ca="1" si="119"/>
        <v>0.37915158710586228</v>
      </c>
      <c r="F209" s="5">
        <f t="shared" ca="1" si="120"/>
        <v>-0.30770978395979504</v>
      </c>
      <c r="G209" s="5">
        <f t="shared" ca="1" si="105"/>
        <v>4.1376642346616421E-2</v>
      </c>
      <c r="H209" s="5">
        <f t="shared" ca="1" si="121"/>
        <v>0.51877088302722552</v>
      </c>
      <c r="I209" s="5">
        <f t="shared" ca="1" si="122"/>
        <v>4.7069000517866423E-2</v>
      </c>
      <c r="J209" s="5">
        <f t="shared" ca="1" si="106"/>
        <v>9.8296507703169445E-2</v>
      </c>
      <c r="K209" s="5">
        <f t="shared" ca="1" si="123"/>
        <v>0.34755259264908256</v>
      </c>
      <c r="L209" s="5">
        <f t="shared" ca="1" si="124"/>
        <v>-0.39193642935277545</v>
      </c>
      <c r="M209" s="5">
        <f t="shared" ca="1" si="107"/>
        <v>2.8302655427841827E-2</v>
      </c>
      <c r="N209" s="5">
        <f t="shared" ca="1" si="125"/>
        <v>0.34218860487453284</v>
      </c>
      <c r="O209" s="5">
        <f t="shared" ca="1" si="126"/>
        <v>-0.40649734176568297</v>
      </c>
      <c r="P209" s="5">
        <f t="shared" ca="1" si="108"/>
        <v>2.6059152643337802E-2</v>
      </c>
      <c r="Q209" s="5">
        <f t="shared" ca="1" si="127"/>
        <v>7.866478478303085E-2</v>
      </c>
      <c r="R209" s="5">
        <f t="shared" ca="1" si="128"/>
        <v>-1.4141101290660036</v>
      </c>
      <c r="S209" s="5">
        <f t="shared" ca="1" si="109"/>
        <v>-0.11787059791953292</v>
      </c>
      <c r="T209" s="5">
        <f t="shared" ca="1" si="129"/>
        <v>0.77842048318846258</v>
      </c>
      <c r="U209" s="5">
        <f t="shared" ca="1" si="130"/>
        <v>0.76686962730018959</v>
      </c>
      <c r="V209" s="5">
        <f t="shared" ca="1" si="110"/>
        <v>0.22351815711262346</v>
      </c>
      <c r="W209" s="5">
        <f t="shared" ca="1" si="131"/>
        <v>0.84886437776181844</v>
      </c>
      <c r="X209" s="5">
        <f t="shared" ca="1" si="132"/>
        <v>1.0315750265202224</v>
      </c>
      <c r="Y209" s="5">
        <f t="shared" ca="1" si="111"/>
        <v>0.27307629878115658</v>
      </c>
      <c r="Z209" s="5">
        <f t="shared" ca="1" si="133"/>
        <v>0.40441650163700249</v>
      </c>
      <c r="AA209" s="5">
        <f t="shared" ca="1" si="134"/>
        <v>-0.24193180751131885</v>
      </c>
      <c r="AB209" s="5">
        <f t="shared" ca="1" si="112"/>
        <v>5.1702446603535179E-2</v>
      </c>
      <c r="AC209" s="5">
        <f t="shared" ca="1" si="135"/>
        <v>0.10603743889360062</v>
      </c>
      <c r="AD209" s="5">
        <f t="shared" ca="1" si="136"/>
        <v>-1.2478803497913202</v>
      </c>
      <c r="AE209" s="5">
        <f t="shared" ca="1" si="113"/>
        <v>-9.5598655961457113E-2</v>
      </c>
      <c r="AF209" s="5">
        <f t="shared" ca="1" si="138"/>
        <v>1.0216294817576177</v>
      </c>
      <c r="AG209" s="5">
        <f t="shared" ca="1" si="139"/>
        <v>1.0413766423466164</v>
      </c>
      <c r="AH209" s="5">
        <f t="shared" ca="1" si="140"/>
        <v>1.0982965077031694</v>
      </c>
      <c r="AI209" s="5">
        <f t="shared" ca="1" si="141"/>
        <v>1.0283026554278418</v>
      </c>
      <c r="AJ209" s="5">
        <f t="shared" ca="1" si="142"/>
        <v>1.0260591526433378</v>
      </c>
      <c r="AK209" s="5">
        <f t="shared" ca="1" si="143"/>
        <v>0.88212940208046708</v>
      </c>
      <c r="AL209" s="5">
        <f t="shared" ca="1" si="144"/>
        <v>1.2235181571126235</v>
      </c>
      <c r="AM209" s="5">
        <f t="shared" ca="1" si="145"/>
        <v>1.2730762987811566</v>
      </c>
      <c r="AN209" s="5">
        <f t="shared" ca="1" si="146"/>
        <v>1.0517024466035352</v>
      </c>
      <c r="AO209" s="5">
        <f t="shared" ca="1" si="147"/>
        <v>0.90440134403854289</v>
      </c>
      <c r="AP209" s="5">
        <f t="shared" ca="1" si="148"/>
        <v>1.611259313693324</v>
      </c>
      <c r="AQ209" s="4">
        <f t="shared" ca="1" si="114"/>
        <v>16112.593136933239</v>
      </c>
      <c r="AR209">
        <f t="shared" ca="1" si="115"/>
        <v>0</v>
      </c>
      <c r="AS209">
        <f t="shared" ca="1" si="116"/>
        <v>0</v>
      </c>
    </row>
    <row r="210" spans="1:45" x14ac:dyDescent="0.25">
      <c r="A210" s="10">
        <f t="shared" si="137"/>
        <v>189</v>
      </c>
      <c r="B210" s="5">
        <f t="shared" ca="1" si="117"/>
        <v>0.44171204939244157</v>
      </c>
      <c r="C210" s="5">
        <f t="shared" ca="1" si="118"/>
        <v>-0.14662996738220546</v>
      </c>
      <c r="D210" s="5">
        <f t="shared" ca="1" si="104"/>
        <v>6.6844797544171941E-2</v>
      </c>
      <c r="E210" s="5">
        <f t="shared" ca="1" si="119"/>
        <v>0.10011549908315842</v>
      </c>
      <c r="F210" s="5">
        <f t="shared" ca="1" si="120"/>
        <v>-1.2808937221866743</v>
      </c>
      <c r="G210" s="5">
        <f t="shared" ca="1" si="105"/>
        <v>-0.10006618596938111</v>
      </c>
      <c r="H210" s="5">
        <f t="shared" ca="1" si="121"/>
        <v>8.4103328063234728E-2</v>
      </c>
      <c r="I210" s="5">
        <f t="shared" ca="1" si="122"/>
        <v>-1.3779890915235209</v>
      </c>
      <c r="J210" s="5">
        <f t="shared" ca="1" si="106"/>
        <v>-0.11307811203904672</v>
      </c>
      <c r="K210" s="5">
        <f t="shared" ca="1" si="123"/>
        <v>0.90449112379354502</v>
      </c>
      <c r="L210" s="5">
        <f t="shared" ca="1" si="124"/>
        <v>1.3075742591695321</v>
      </c>
      <c r="M210" s="5">
        <f t="shared" ca="1" si="107"/>
        <v>0.32688771868864319</v>
      </c>
      <c r="N210" s="5">
        <f t="shared" ca="1" si="125"/>
        <v>0.13172551650090514</v>
      </c>
      <c r="O210" s="5">
        <f t="shared" ca="1" si="126"/>
        <v>-1.1182715519882258</v>
      </c>
      <c r="P210" s="5">
        <f t="shared" ca="1" si="108"/>
        <v>-7.7843871319934643E-2</v>
      </c>
      <c r="Q210" s="5">
        <f t="shared" ca="1" si="127"/>
        <v>0.61017399289603458</v>
      </c>
      <c r="R210" s="5">
        <f t="shared" ca="1" si="128"/>
        <v>0.27977254835528265</v>
      </c>
      <c r="S210" s="5">
        <f t="shared" ca="1" si="109"/>
        <v>0.13731006520075195</v>
      </c>
      <c r="T210" s="5">
        <f t="shared" ca="1" si="129"/>
        <v>0.81876522741505275</v>
      </c>
      <c r="U210" s="5">
        <f t="shared" ca="1" si="130"/>
        <v>0.9106694883985974</v>
      </c>
      <c r="V210" s="5">
        <f t="shared" ca="1" si="110"/>
        <v>0.25019610531328373</v>
      </c>
      <c r="W210" s="5">
        <f t="shared" ca="1" si="131"/>
        <v>0.97630522028260391</v>
      </c>
      <c r="X210" s="5">
        <f t="shared" ca="1" si="132"/>
        <v>1.9828019204150973</v>
      </c>
      <c r="Y210" s="5">
        <f t="shared" ca="1" si="111"/>
        <v>0.46832205267417581</v>
      </c>
      <c r="Z210" s="5">
        <f t="shared" ca="1" si="133"/>
        <v>0.99410473531759258</v>
      </c>
      <c r="AA210" s="5">
        <f t="shared" ca="1" si="134"/>
        <v>2.5183523865969732</v>
      </c>
      <c r="AB210" s="5">
        <f t="shared" ca="1" si="112"/>
        <v>0.59114336929583744</v>
      </c>
      <c r="AC210" s="5">
        <f t="shared" ca="1" si="135"/>
        <v>0.67286801439005739</v>
      </c>
      <c r="AD210" s="5">
        <f t="shared" ca="1" si="136"/>
        <v>0.44784651442340828</v>
      </c>
      <c r="AE210" s="5">
        <f t="shared" ca="1" si="113"/>
        <v>0.16634739058764492</v>
      </c>
      <c r="AF210" s="5">
        <f t="shared" ca="1" si="138"/>
        <v>1.0668447975441719</v>
      </c>
      <c r="AG210" s="5">
        <f t="shared" ca="1" si="139"/>
        <v>0.89993381403061889</v>
      </c>
      <c r="AH210" s="5">
        <f t="shared" ca="1" si="140"/>
        <v>0.88692188796095328</v>
      </c>
      <c r="AI210" s="5">
        <f t="shared" ca="1" si="141"/>
        <v>1.3268877186886432</v>
      </c>
      <c r="AJ210" s="5">
        <f t="shared" ca="1" si="142"/>
        <v>0.92215612868006536</v>
      </c>
      <c r="AK210" s="5">
        <f t="shared" ca="1" si="143"/>
        <v>1.137310065200752</v>
      </c>
      <c r="AL210" s="5">
        <f t="shared" ca="1" si="144"/>
        <v>1.2501961053132837</v>
      </c>
      <c r="AM210" s="5">
        <f t="shared" ca="1" si="145"/>
        <v>1.4683220526741758</v>
      </c>
      <c r="AN210" s="5">
        <f t="shared" ca="1" si="146"/>
        <v>1.5911433692958374</v>
      </c>
      <c r="AO210" s="5">
        <f t="shared" ca="1" si="147"/>
        <v>1.1663473905876449</v>
      </c>
      <c r="AP210" s="5">
        <f t="shared" ca="1" si="148"/>
        <v>4.0369316774654216</v>
      </c>
      <c r="AQ210" s="4">
        <f t="shared" ca="1" si="114"/>
        <v>40369.316774654217</v>
      </c>
      <c r="AR210">
        <f t="shared" ca="1" si="115"/>
        <v>1</v>
      </c>
      <c r="AS210">
        <f t="shared" ca="1" si="116"/>
        <v>0</v>
      </c>
    </row>
    <row r="211" spans="1:45" x14ac:dyDescent="0.25">
      <c r="A211" s="10">
        <f t="shared" si="137"/>
        <v>190</v>
      </c>
      <c r="B211" s="5">
        <f t="shared" ca="1" si="117"/>
        <v>0.82133989304964061</v>
      </c>
      <c r="C211" s="5">
        <f t="shared" ca="1" si="118"/>
        <v>0.92048338067391777</v>
      </c>
      <c r="D211" s="5">
        <f t="shared" ca="1" si="104"/>
        <v>0.25203785407006762</v>
      </c>
      <c r="E211" s="5">
        <f t="shared" ca="1" si="119"/>
        <v>0.34172502823838735</v>
      </c>
      <c r="F211" s="5">
        <f t="shared" ca="1" si="120"/>
        <v>-0.40775976345554477</v>
      </c>
      <c r="G211" s="5">
        <f t="shared" ca="1" si="105"/>
        <v>2.5864873139211264E-2</v>
      </c>
      <c r="H211" s="5">
        <f t="shared" ca="1" si="121"/>
        <v>0.81443170692239475</v>
      </c>
      <c r="I211" s="5">
        <f t="shared" ca="1" si="122"/>
        <v>0.89434639070208422</v>
      </c>
      <c r="J211" s="5">
        <f t="shared" ca="1" si="106"/>
        <v>0.24713878873143247</v>
      </c>
      <c r="K211" s="5">
        <f t="shared" ca="1" si="123"/>
        <v>0.35478394451616502</v>
      </c>
      <c r="L211" s="5">
        <f t="shared" ca="1" si="124"/>
        <v>-0.37243649095171288</v>
      </c>
      <c r="M211" s="5">
        <f t="shared" ca="1" si="107"/>
        <v>3.1314834343788567E-2</v>
      </c>
      <c r="N211" s="5">
        <f t="shared" ca="1" si="125"/>
        <v>0.25168068958952683</v>
      </c>
      <c r="O211" s="5">
        <f t="shared" ca="1" si="126"/>
        <v>-0.66921023351796305</v>
      </c>
      <c r="P211" s="5">
        <f t="shared" ca="1" si="108"/>
        <v>-1.3588368199728973E-2</v>
      </c>
      <c r="Q211" s="5">
        <f t="shared" ca="1" si="127"/>
        <v>6.7215712871721678E-2</v>
      </c>
      <c r="R211" s="5">
        <f t="shared" ca="1" si="128"/>
        <v>-1.4968533314367634</v>
      </c>
      <c r="S211" s="5">
        <f t="shared" ca="1" si="109"/>
        <v>-0.12875146614533317</v>
      </c>
      <c r="T211" s="5">
        <f t="shared" ca="1" si="129"/>
        <v>1.4442977151702063E-2</v>
      </c>
      <c r="U211" s="5">
        <f t="shared" ca="1" si="130"/>
        <v>-2.1850394484435189</v>
      </c>
      <c r="V211" s="5">
        <f t="shared" ca="1" si="110"/>
        <v>-0.21420231449878724</v>
      </c>
      <c r="W211" s="5">
        <f t="shared" ca="1" si="131"/>
        <v>0.86919454634614635</v>
      </c>
      <c r="X211" s="5">
        <f t="shared" ca="1" si="132"/>
        <v>1.1225917817888671</v>
      </c>
      <c r="Y211" s="5">
        <f t="shared" ca="1" si="111"/>
        <v>0.29057617671018887</v>
      </c>
      <c r="Z211" s="5">
        <f t="shared" ca="1" si="133"/>
        <v>0.55988525369499453</v>
      </c>
      <c r="AA211" s="5">
        <f t="shared" ca="1" si="134"/>
        <v>0.15067829905404442</v>
      </c>
      <c r="AB211" s="5">
        <f t="shared" ca="1" si="112"/>
        <v>0.11549889561946758</v>
      </c>
      <c r="AC211" s="5">
        <f t="shared" ca="1" si="135"/>
        <v>0.70242317015768096</v>
      </c>
      <c r="AD211" s="5">
        <f t="shared" ca="1" si="136"/>
        <v>0.53138262448531581</v>
      </c>
      <c r="AE211" s="5">
        <f t="shared" ca="1" si="113"/>
        <v>0.18105415771812372</v>
      </c>
      <c r="AF211" s="5">
        <f t="shared" ca="1" si="138"/>
        <v>1.2520378540700676</v>
      </c>
      <c r="AG211" s="5">
        <f t="shared" ca="1" si="139"/>
        <v>1.0258648731392113</v>
      </c>
      <c r="AH211" s="5">
        <f t="shared" ca="1" si="140"/>
        <v>1.2471387887314325</v>
      </c>
      <c r="AI211" s="5">
        <f t="shared" ca="1" si="141"/>
        <v>1.0313148343437886</v>
      </c>
      <c r="AJ211" s="5">
        <f t="shared" ca="1" si="142"/>
        <v>0.98641163180027103</v>
      </c>
      <c r="AK211" s="5">
        <f t="shared" ca="1" si="143"/>
        <v>0.87124853385466683</v>
      </c>
      <c r="AL211" s="5">
        <f t="shared" ca="1" si="144"/>
        <v>0.78579768550121276</v>
      </c>
      <c r="AM211" s="5">
        <f t="shared" ca="1" si="145"/>
        <v>1.2905761767101889</v>
      </c>
      <c r="AN211" s="5">
        <f t="shared" ca="1" si="146"/>
        <v>1.1154988956194676</v>
      </c>
      <c r="AO211" s="5">
        <f t="shared" ca="1" si="147"/>
        <v>1.1810541577181237</v>
      </c>
      <c r="AP211" s="5">
        <f t="shared" ca="1" si="148"/>
        <v>1.8969123423798533</v>
      </c>
      <c r="AQ211" s="4">
        <f t="shared" ca="1" si="114"/>
        <v>18969.123423798534</v>
      </c>
      <c r="AR211">
        <f t="shared" ca="1" si="115"/>
        <v>0</v>
      </c>
      <c r="AS211">
        <f t="shared" ca="1" si="116"/>
        <v>0</v>
      </c>
    </row>
    <row r="212" spans="1:45" x14ac:dyDescent="0.25">
      <c r="A212" s="10">
        <f t="shared" si="137"/>
        <v>191</v>
      </c>
      <c r="B212" s="5">
        <f t="shared" ca="1" si="117"/>
        <v>0.74424027417057437</v>
      </c>
      <c r="C212" s="5">
        <f t="shared" ca="1" si="118"/>
        <v>0.65647359491846535</v>
      </c>
      <c r="D212" s="5">
        <f t="shared" ca="1" si="104"/>
        <v>0.20342425529329811</v>
      </c>
      <c r="E212" s="5">
        <f t="shared" ca="1" si="119"/>
        <v>0.86597733310749414</v>
      </c>
      <c r="F212" s="5">
        <f t="shared" ca="1" si="120"/>
        <v>1.1075751653025951</v>
      </c>
      <c r="G212" s="5">
        <f t="shared" ca="1" si="105"/>
        <v>0.28767243514213647</v>
      </c>
      <c r="H212" s="5">
        <f t="shared" ca="1" si="121"/>
        <v>0.77980483149310253</v>
      </c>
      <c r="I212" s="5">
        <f t="shared" ca="1" si="122"/>
        <v>0.77153423716440395</v>
      </c>
      <c r="J212" s="5">
        <f t="shared" ca="1" si="106"/>
        <v>0.2243745419099652</v>
      </c>
      <c r="K212" s="5">
        <f t="shared" ca="1" si="123"/>
        <v>0.24660837508687705</v>
      </c>
      <c r="L212" s="5">
        <f t="shared" ca="1" si="124"/>
        <v>-0.68520154323891835</v>
      </c>
      <c r="M212" s="5">
        <f t="shared" ca="1" si="107"/>
        <v>-1.595163477448247E-2</v>
      </c>
      <c r="N212" s="5">
        <f t="shared" ca="1" si="125"/>
        <v>0.95689299918868298</v>
      </c>
      <c r="O212" s="5">
        <f t="shared" ca="1" si="126"/>
        <v>1.7157161815828981</v>
      </c>
      <c r="P212" s="5">
        <f t="shared" ca="1" si="108"/>
        <v>0.41065964346790951</v>
      </c>
      <c r="Q212" s="5">
        <f t="shared" ca="1" si="127"/>
        <v>0.51835698466380897</v>
      </c>
      <c r="R212" s="5">
        <f t="shared" ca="1" si="128"/>
        <v>4.6030386467260868E-2</v>
      </c>
      <c r="S212" s="5">
        <f t="shared" ca="1" si="109"/>
        <v>9.8125415103259117E-2</v>
      </c>
      <c r="T212" s="5">
        <f t="shared" ca="1" si="129"/>
        <v>0.40933847465678841</v>
      </c>
      <c r="U212" s="5">
        <f t="shared" ca="1" si="130"/>
        <v>-0.22924699365450779</v>
      </c>
      <c r="V212" s="5">
        <f t="shared" ca="1" si="110"/>
        <v>5.3705449042907638E-2</v>
      </c>
      <c r="W212" s="5">
        <f t="shared" ca="1" si="131"/>
        <v>0.7015541889016762</v>
      </c>
      <c r="X212" s="5">
        <f t="shared" ca="1" si="132"/>
        <v>0.52887578326083207</v>
      </c>
      <c r="Y212" s="5">
        <f t="shared" ca="1" si="111"/>
        <v>0.18061013391800573</v>
      </c>
      <c r="Z212" s="5">
        <f t="shared" ca="1" si="133"/>
        <v>0.71397232519806753</v>
      </c>
      <c r="AA212" s="5">
        <f t="shared" ca="1" si="134"/>
        <v>0.56502707346321435</v>
      </c>
      <c r="AB212" s="5">
        <f t="shared" ca="1" si="112"/>
        <v>0.1870296105495679</v>
      </c>
      <c r="AC212" s="5">
        <f t="shared" ca="1" si="135"/>
        <v>0.43777715428973707</v>
      </c>
      <c r="AD212" s="5">
        <f t="shared" ca="1" si="136"/>
        <v>-0.15660735125155872</v>
      </c>
      <c r="AE212" s="5">
        <f t="shared" ca="1" si="113"/>
        <v>6.5249343714997465E-2</v>
      </c>
      <c r="AF212" s="5">
        <f t="shared" ca="1" si="138"/>
        <v>1.2034242552932981</v>
      </c>
      <c r="AG212" s="5">
        <f t="shared" ca="1" si="139"/>
        <v>1.2876724351421365</v>
      </c>
      <c r="AH212" s="5">
        <f t="shared" ca="1" si="140"/>
        <v>1.2243745419099652</v>
      </c>
      <c r="AI212" s="5">
        <f t="shared" ca="1" si="141"/>
        <v>0.98404836522551753</v>
      </c>
      <c r="AJ212" s="5">
        <f t="shared" ca="1" si="142"/>
        <v>1.4106596434679095</v>
      </c>
      <c r="AK212" s="5">
        <f t="shared" ca="1" si="143"/>
        <v>1.0981254151032591</v>
      </c>
      <c r="AL212" s="5">
        <f t="shared" ca="1" si="144"/>
        <v>1.0537054490429076</v>
      </c>
      <c r="AM212" s="5">
        <f t="shared" ca="1" si="145"/>
        <v>1.1806101339180057</v>
      </c>
      <c r="AN212" s="5">
        <f t="shared" ca="1" si="146"/>
        <v>1.1870296105495679</v>
      </c>
      <c r="AO212" s="5">
        <f t="shared" ca="1" si="147"/>
        <v>1.0652493437149975</v>
      </c>
      <c r="AP212" s="5">
        <f t="shared" ca="1" si="148"/>
        <v>4.549541597577079</v>
      </c>
      <c r="AQ212" s="4">
        <f t="shared" ca="1" si="114"/>
        <v>45495.415975770789</v>
      </c>
      <c r="AR212">
        <f t="shared" ca="1" si="115"/>
        <v>1</v>
      </c>
      <c r="AS212">
        <f t="shared" ca="1" si="116"/>
        <v>0</v>
      </c>
    </row>
    <row r="213" spans="1:45" x14ac:dyDescent="0.25">
      <c r="A213" s="10">
        <f t="shared" si="137"/>
        <v>192</v>
      </c>
      <c r="B213" s="5">
        <f t="shared" ca="1" si="117"/>
        <v>0.33673353645887416</v>
      </c>
      <c r="C213" s="5">
        <f t="shared" ca="1" si="118"/>
        <v>-0.42139444765483103</v>
      </c>
      <c r="D213" s="5">
        <f t="shared" ca="1" si="104"/>
        <v>2.3768915662214507E-2</v>
      </c>
      <c r="E213" s="5">
        <f t="shared" ca="1" si="119"/>
        <v>0.43079686512253013</v>
      </c>
      <c r="F213" s="5">
        <f t="shared" ca="1" si="120"/>
        <v>-0.17434577064780368</v>
      </c>
      <c r="G213" s="5">
        <f t="shared" ca="1" si="105"/>
        <v>6.2418735230949984E-2</v>
      </c>
      <c r="H213" s="5">
        <f t="shared" ca="1" si="121"/>
        <v>0.89233899782341497</v>
      </c>
      <c r="I213" s="5">
        <f t="shared" ca="1" si="122"/>
        <v>1.2390634418678896</v>
      </c>
      <c r="J213" s="5">
        <f t="shared" ca="1" si="106"/>
        <v>0.31332162060406121</v>
      </c>
      <c r="K213" s="5">
        <f t="shared" ca="1" si="123"/>
        <v>0.31525509004819519</v>
      </c>
      <c r="L213" s="5">
        <f t="shared" ca="1" si="124"/>
        <v>-0.48100889043288897</v>
      </c>
      <c r="M213" s="5">
        <f t="shared" ca="1" si="107"/>
        <v>1.4655013392176786E-2</v>
      </c>
      <c r="N213" s="5">
        <f t="shared" ca="1" si="125"/>
        <v>0.3295648591250796</v>
      </c>
      <c r="O213" s="5">
        <f t="shared" ca="1" si="126"/>
        <v>-0.44111503662421636</v>
      </c>
      <c r="P213" s="5">
        <f t="shared" ca="1" si="108"/>
        <v>2.0744991486850051E-2</v>
      </c>
      <c r="Q213" s="5">
        <f t="shared" ca="1" si="127"/>
        <v>0.35914552580829495</v>
      </c>
      <c r="R213" s="5">
        <f t="shared" ca="1" si="128"/>
        <v>-0.36074370241807757</v>
      </c>
      <c r="S213" s="5">
        <f t="shared" ca="1" si="109"/>
        <v>3.312526349250744E-2</v>
      </c>
      <c r="T213" s="5">
        <f t="shared" ca="1" si="129"/>
        <v>0.19139558475684837</v>
      </c>
      <c r="U213" s="5">
        <f t="shared" ca="1" si="130"/>
        <v>-0.87276501999292655</v>
      </c>
      <c r="V213" s="5">
        <f t="shared" ca="1" si="110"/>
        <v>-4.3251529193938487E-2</v>
      </c>
      <c r="W213" s="5">
        <f t="shared" ca="1" si="131"/>
        <v>0.161025710373494</v>
      </c>
      <c r="X213" s="5">
        <f t="shared" ca="1" si="132"/>
        <v>-0.99025106049494316</v>
      </c>
      <c r="Y213" s="5">
        <f t="shared" ca="1" si="111"/>
        <v>-5.9964519365186986E-2</v>
      </c>
      <c r="Z213" s="5">
        <f t="shared" ca="1" si="133"/>
        <v>0.87163853058445606</v>
      </c>
      <c r="AA213" s="5">
        <f t="shared" ca="1" si="134"/>
        <v>1.1341707310292954</v>
      </c>
      <c r="AB213" s="5">
        <f t="shared" ca="1" si="112"/>
        <v>0.29281965183371073</v>
      </c>
      <c r="AC213" s="5">
        <f t="shared" ca="1" si="135"/>
        <v>0.24642885818695714</v>
      </c>
      <c r="AD213" s="5">
        <f t="shared" ca="1" si="136"/>
        <v>-0.68577069863736351</v>
      </c>
      <c r="AE213" s="5">
        <f t="shared" ca="1" si="113"/>
        <v>-1.6035642654325888E-2</v>
      </c>
      <c r="AF213" s="5">
        <f t="shared" ca="1" si="138"/>
        <v>1.0237689156622145</v>
      </c>
      <c r="AG213" s="5">
        <f t="shared" ca="1" si="139"/>
        <v>1.06241873523095</v>
      </c>
      <c r="AH213" s="5">
        <f t="shared" ca="1" si="140"/>
        <v>1.3133216206040612</v>
      </c>
      <c r="AI213" s="5">
        <f t="shared" ca="1" si="141"/>
        <v>1.0146550133921768</v>
      </c>
      <c r="AJ213" s="5">
        <f t="shared" ca="1" si="142"/>
        <v>1.0207449914868501</v>
      </c>
      <c r="AK213" s="5">
        <f t="shared" ca="1" si="143"/>
        <v>1.0331252634925074</v>
      </c>
      <c r="AL213" s="5">
        <f t="shared" ca="1" si="144"/>
        <v>0.95674847080606151</v>
      </c>
      <c r="AM213" s="5">
        <f t="shared" ca="1" si="145"/>
        <v>0.94003548063481301</v>
      </c>
      <c r="AN213" s="5">
        <f t="shared" ca="1" si="146"/>
        <v>1.2928196518337107</v>
      </c>
      <c r="AO213" s="5">
        <f t="shared" ca="1" si="147"/>
        <v>0.98396435734567411</v>
      </c>
      <c r="AP213" s="5">
        <f t="shared" ca="1" si="148"/>
        <v>1.748705730781956</v>
      </c>
      <c r="AQ213" s="4">
        <f t="shared" ca="1" si="114"/>
        <v>17487.057307819559</v>
      </c>
      <c r="AR213">
        <f t="shared" ca="1" si="115"/>
        <v>0</v>
      </c>
      <c r="AS213">
        <f t="shared" ca="1" si="116"/>
        <v>0</v>
      </c>
    </row>
    <row r="214" spans="1:45" x14ac:dyDescent="0.25">
      <c r="A214" s="10">
        <f t="shared" si="137"/>
        <v>193</v>
      </c>
      <c r="B214" s="5">
        <f t="shared" ca="1" si="117"/>
        <v>0.73897584024018148</v>
      </c>
      <c r="C214" s="5">
        <f t="shared" ca="1" si="118"/>
        <v>0.64019117486658772</v>
      </c>
      <c r="D214" s="5">
        <f t="shared" ref="D214:D271" ca="1" si="149">EXP(mu+sigma*C214)-1</f>
        <v>0.20048864278447853</v>
      </c>
      <c r="E214" s="5">
        <f t="shared" ca="1" si="119"/>
        <v>0.10736852165776012</v>
      </c>
      <c r="F214" s="5">
        <f t="shared" ca="1" si="120"/>
        <v>-1.24064466755699</v>
      </c>
      <c r="G214" s="5">
        <f t="shared" ref="G214:G271" ca="1" si="150">EXP(mu+sigma*F214)-1</f>
        <v>-9.4616528970292157E-2</v>
      </c>
      <c r="H214" s="5">
        <f t="shared" ca="1" si="121"/>
        <v>0.36072050160692593</v>
      </c>
      <c r="I214" s="5">
        <f t="shared" ca="1" si="122"/>
        <v>-0.35653358759247317</v>
      </c>
      <c r="J214" s="5">
        <f t="shared" ref="J214:J271" ca="1" si="151">EXP(mu+sigma*I214)-1</f>
        <v>3.3777905946573039E-2</v>
      </c>
      <c r="K214" s="5">
        <f t="shared" ca="1" si="123"/>
        <v>0.76913651957598328</v>
      </c>
      <c r="L214" s="5">
        <f t="shared" ca="1" si="124"/>
        <v>0.73600614051704749</v>
      </c>
      <c r="M214" s="5">
        <f t="shared" ref="M214:M271" ca="1" si="152">EXP(mu+sigma*L214)-1</f>
        <v>0.21786694294829423</v>
      </c>
      <c r="N214" s="5">
        <f t="shared" ca="1" si="125"/>
        <v>0.25142441295489004</v>
      </c>
      <c r="O214" s="5">
        <f t="shared" ca="1" si="126"/>
        <v>-0.67001406225065707</v>
      </c>
      <c r="P214" s="5">
        <f t="shared" ref="P214:P271" ca="1" si="153">EXP(mu+sigma*O214)-1</f>
        <v>-1.3707296931495749E-2</v>
      </c>
      <c r="Q214" s="5">
        <f t="shared" ca="1" si="127"/>
        <v>0.92325848041901437</v>
      </c>
      <c r="R214" s="5">
        <f t="shared" ca="1" si="128"/>
        <v>1.4273361022745734</v>
      </c>
      <c r="S214" s="5">
        <f t="shared" ref="S214:S271" ca="1" si="154">EXP(mu+sigma*R214)-1</f>
        <v>0.35093968779286899</v>
      </c>
      <c r="T214" s="5">
        <f t="shared" ca="1" si="129"/>
        <v>0.73834948274100565</v>
      </c>
      <c r="U214" s="5">
        <f t="shared" ca="1" si="130"/>
        <v>0.63826524097312132</v>
      </c>
      <c r="V214" s="5">
        <f t="shared" ref="V214:V271" ca="1" si="155">EXP(mu+sigma*U214)-1</f>
        <v>0.20014188360965468</v>
      </c>
      <c r="W214" s="5">
        <f t="shared" ca="1" si="131"/>
        <v>0.87413508382705629</v>
      </c>
      <c r="X214" s="5">
        <f t="shared" ca="1" si="132"/>
        <v>1.14615787975646</v>
      </c>
      <c r="Y214" s="5">
        <f t="shared" ref="Y214:Y271" ca="1" si="156">EXP(mu+sigma*X214)-1</f>
        <v>0.29514632618780756</v>
      </c>
      <c r="Z214" s="5">
        <f t="shared" ca="1" si="133"/>
        <v>0.79006786986096555</v>
      </c>
      <c r="AA214" s="5">
        <f t="shared" ca="1" si="134"/>
        <v>0.806656764037604</v>
      </c>
      <c r="AB214" s="5">
        <f t="shared" ref="AB214:AB271" ca="1" si="157">EXP(mu+sigma*AA214)-1</f>
        <v>0.23084203270988501</v>
      </c>
      <c r="AC214" s="5">
        <f t="shared" ca="1" si="135"/>
        <v>0.95568498131796997</v>
      </c>
      <c r="AD214" s="5">
        <f t="shared" ca="1" si="136"/>
        <v>1.7026689572261429</v>
      </c>
      <c r="AE214" s="5">
        <f t="shared" ref="AE214:AE271" ca="1" si="158">EXP(mu+sigma*AD214)-1</f>
        <v>0.40790156431514757</v>
      </c>
      <c r="AF214" s="5">
        <f t="shared" ca="1" si="138"/>
        <v>1.2004886427844785</v>
      </c>
      <c r="AG214" s="5">
        <f t="shared" ca="1" si="139"/>
        <v>0.90538347102970784</v>
      </c>
      <c r="AH214" s="5">
        <f t="shared" ca="1" si="140"/>
        <v>1.033777905946573</v>
      </c>
      <c r="AI214" s="5">
        <f t="shared" ca="1" si="141"/>
        <v>1.2178669429482942</v>
      </c>
      <c r="AJ214" s="5">
        <f t="shared" ca="1" si="142"/>
        <v>0.98629270306850425</v>
      </c>
      <c r="AK214" s="5">
        <f t="shared" ca="1" si="143"/>
        <v>1.350939687792869</v>
      </c>
      <c r="AL214" s="5">
        <f t="shared" ca="1" si="144"/>
        <v>1.2001418836096547</v>
      </c>
      <c r="AM214" s="5">
        <f t="shared" ca="1" si="145"/>
        <v>1.2951463261878076</v>
      </c>
      <c r="AN214" s="5">
        <f t="shared" ca="1" si="146"/>
        <v>1.230842032709885</v>
      </c>
      <c r="AO214" s="5">
        <f t="shared" ca="1" si="147"/>
        <v>1.4079015643151476</v>
      </c>
      <c r="AP214" s="5">
        <f t="shared" ca="1" si="148"/>
        <v>4.9111763290875174</v>
      </c>
      <c r="AQ214" s="4">
        <f t="shared" ref="AQ214:AQ271" ca="1" si="159">initial_amount*AP214</f>
        <v>49111.763290875177</v>
      </c>
      <c r="AR214">
        <f t="shared" ref="AR214:AR271" ca="1" si="160">IF(AQ214&gt;upper_amount,1,0)</f>
        <v>1</v>
      </c>
      <c r="AS214">
        <f t="shared" ref="AS214:AS271" ca="1" si="161">IF(AQ214&lt;lower_amount,1,0)</f>
        <v>0</v>
      </c>
    </row>
    <row r="215" spans="1:45" x14ac:dyDescent="0.25">
      <c r="A215" s="10">
        <f t="shared" si="137"/>
        <v>194</v>
      </c>
      <c r="B215" s="5">
        <f t="shared" ref="B215:B271" ca="1" si="162">RAND()</f>
        <v>0.76957706483537169</v>
      </c>
      <c r="C215" s="5">
        <f t="shared" ref="C215:C271" ca="1" si="163">_xlfn.NORM.S.INV(B215)</f>
        <v>0.73745471845485455</v>
      </c>
      <c r="D215" s="5">
        <f t="shared" ca="1" si="149"/>
        <v>0.21813159797797166</v>
      </c>
      <c r="E215" s="5">
        <f t="shared" ref="E215:E271" ca="1" si="164">RAND()</f>
        <v>0.69966870952503357</v>
      </c>
      <c r="F215" s="5">
        <f t="shared" ref="F215:F271" ca="1" si="165">_xlfn.NORM.S.INV(E215)</f>
        <v>0.52344792478295377</v>
      </c>
      <c r="G215" s="5">
        <f t="shared" ca="1" si="150"/>
        <v>0.17964929740875912</v>
      </c>
      <c r="H215" s="5">
        <f t="shared" ref="H215:H271" ca="1" si="166">RAND()</f>
        <v>0.41478037870373941</v>
      </c>
      <c r="I215" s="5">
        <f t="shared" ref="I215:I271" ca="1" si="167">_xlfn.NORM.S.INV(H215)</f>
        <v>-0.21526494674691835</v>
      </c>
      <c r="J215" s="5">
        <f t="shared" ca="1" si="151"/>
        <v>5.5917711981593454E-2</v>
      </c>
      <c r="K215" s="5">
        <f t="shared" ref="K215:K271" ca="1" si="168">RAND()</f>
        <v>2.2569371167731833E-2</v>
      </c>
      <c r="L215" s="5">
        <f t="shared" ref="L215:L271" ca="1" si="169">_xlfn.NORM.S.INV(K215)</f>
        <v>-2.0033592475341333</v>
      </c>
      <c r="M215" s="5">
        <f t="shared" ca="1" si="152"/>
        <v>-0.19249326804211031</v>
      </c>
      <c r="N215" s="5">
        <f t="shared" ref="N215:N271" ca="1" si="170">RAND()</f>
        <v>0.5349840782883144</v>
      </c>
      <c r="O215" s="5">
        <f t="shared" ref="O215:O271" ca="1" si="171">_xlfn.NORM.S.INV(N215)</f>
        <v>8.7804773869884875E-2</v>
      </c>
      <c r="P215" s="5">
        <f t="shared" ca="1" si="153"/>
        <v>0.10502804648332109</v>
      </c>
      <c r="Q215" s="5">
        <f t="shared" ref="Q215:Q271" ca="1" si="172">RAND()</f>
        <v>0.37122722393858987</v>
      </c>
      <c r="R215" s="5">
        <f t="shared" ref="R215:R271" ca="1" si="173">_xlfn.NORM.S.INV(Q215)</f>
        <v>-0.32860476247515491</v>
      </c>
      <c r="S215" s="5">
        <f t="shared" ca="1" si="154"/>
        <v>3.8117820604905983E-2</v>
      </c>
      <c r="T215" s="5">
        <f t="shared" ref="T215:T271" ca="1" si="174">RAND()</f>
        <v>0.61627759642638302</v>
      </c>
      <c r="U215" s="5">
        <f t="shared" ref="U215:U271" ca="1" si="175">_xlfn.NORM.S.INV(T215)</f>
        <v>0.29571884126829745</v>
      </c>
      <c r="V215" s="5">
        <f t="shared" ca="1" si="155"/>
        <v>0.14003370321177289</v>
      </c>
      <c r="W215" s="5">
        <f t="shared" ref="W215:W271" ca="1" si="176">RAND()</f>
        <v>0.84198773140736005</v>
      </c>
      <c r="X215" s="5">
        <f t="shared" ref="X215:X271" ca="1" si="177">_xlfn.NORM.S.INV(W215)</f>
        <v>1.002660825662395</v>
      </c>
      <c r="Y215" s="5">
        <f t="shared" ca="1" si="156"/>
        <v>0.26756675764456461</v>
      </c>
      <c r="Z215" s="5">
        <f t="shared" ref="Z215:Z271" ca="1" si="178">RAND()</f>
        <v>0.86779834473858652</v>
      </c>
      <c r="AA215" s="5">
        <f t="shared" ref="AA215:AA271" ca="1" si="179">_xlfn.NORM.S.INV(Z215)</f>
        <v>1.1160439776247197</v>
      </c>
      <c r="AB215" s="5">
        <f t="shared" ca="1" si="157"/>
        <v>0.28930923297989186</v>
      </c>
      <c r="AC215" s="5">
        <f t="shared" ref="AC215:AC271" ca="1" si="180">RAND()</f>
        <v>0.48735899293972773</v>
      </c>
      <c r="AD215" s="5">
        <f t="shared" ref="AD215:AD271" ca="1" si="181">_xlfn.NORM.S.INV(AC215)</f>
        <v>-3.169160987234431E-2</v>
      </c>
      <c r="AE215" s="5">
        <f t="shared" ca="1" si="158"/>
        <v>8.5397477394379528E-2</v>
      </c>
      <c r="AF215" s="5">
        <f t="shared" ca="1" si="138"/>
        <v>1.2181315979779717</v>
      </c>
      <c r="AG215" s="5">
        <f t="shared" ca="1" si="139"/>
        <v>1.1796492974087591</v>
      </c>
      <c r="AH215" s="5">
        <f t="shared" ca="1" si="140"/>
        <v>1.0559177119815935</v>
      </c>
      <c r="AI215" s="5">
        <f t="shared" ca="1" si="141"/>
        <v>0.80750673195788969</v>
      </c>
      <c r="AJ215" s="5">
        <f t="shared" ca="1" si="142"/>
        <v>1.1050280464833211</v>
      </c>
      <c r="AK215" s="5">
        <f t="shared" ca="1" si="143"/>
        <v>1.038117820604906</v>
      </c>
      <c r="AL215" s="5">
        <f t="shared" ca="1" si="144"/>
        <v>1.1400337032117729</v>
      </c>
      <c r="AM215" s="5">
        <f t="shared" ca="1" si="145"/>
        <v>1.2675667576445646</v>
      </c>
      <c r="AN215" s="5">
        <f t="shared" ca="1" si="146"/>
        <v>1.2893092329798919</v>
      </c>
      <c r="AO215" s="5">
        <f t="shared" ca="1" si="147"/>
        <v>1.0853974773943795</v>
      </c>
      <c r="AP215" s="5">
        <f t="shared" ca="1" si="148"/>
        <v>2.8423511353871298</v>
      </c>
      <c r="AQ215" s="4">
        <f t="shared" ca="1" si="159"/>
        <v>28423.511353871298</v>
      </c>
      <c r="AR215">
        <f t="shared" ca="1" si="160"/>
        <v>1</v>
      </c>
      <c r="AS215">
        <f t="shared" ca="1" si="161"/>
        <v>0</v>
      </c>
    </row>
    <row r="216" spans="1:45" x14ac:dyDescent="0.25">
      <c r="A216" s="10">
        <f t="shared" si="137"/>
        <v>195</v>
      </c>
      <c r="B216" s="5">
        <f t="shared" ca="1" si="162"/>
        <v>1.1553792452782763E-2</v>
      </c>
      <c r="C216" s="5">
        <f t="shared" ca="1" si="163"/>
        <v>-2.2716512154283865</v>
      </c>
      <c r="D216" s="5">
        <f t="shared" ca="1" si="149"/>
        <v>-0.22434518385200286</v>
      </c>
      <c r="E216" s="5">
        <f t="shared" ca="1" si="164"/>
        <v>7.8237571671886386E-3</v>
      </c>
      <c r="F216" s="5">
        <f t="shared" ca="1" si="165"/>
        <v>-2.4170349564118139</v>
      </c>
      <c r="G216" s="5">
        <f t="shared" ca="1" si="150"/>
        <v>-0.24107721815509953</v>
      </c>
      <c r="H216" s="5">
        <f t="shared" ca="1" si="166"/>
        <v>0.95451178976618001</v>
      </c>
      <c r="I216" s="5">
        <f t="shared" ca="1" si="167"/>
        <v>1.6902694315083051</v>
      </c>
      <c r="J216" s="5">
        <f t="shared" ca="1" si="151"/>
        <v>0.40528540125967472</v>
      </c>
      <c r="K216" s="5">
        <f t="shared" ca="1" si="168"/>
        <v>0.72329574023036947</v>
      </c>
      <c r="L216" s="5">
        <f t="shared" ca="1" si="169"/>
        <v>0.59266029355477945</v>
      </c>
      <c r="M216" s="5">
        <f t="shared" ca="1" si="152"/>
        <v>0.19196003933478689</v>
      </c>
      <c r="N216" s="5">
        <f t="shared" ca="1" si="170"/>
        <v>0.72056359871644493</v>
      </c>
      <c r="O216" s="5">
        <f t="shared" ca="1" si="171"/>
        <v>0.58451659652838472</v>
      </c>
      <c r="P216" s="5">
        <f t="shared" ca="1" si="153"/>
        <v>0.19050488407731381</v>
      </c>
      <c r="Q216" s="5">
        <f t="shared" ca="1" si="172"/>
        <v>0.53246874026391355</v>
      </c>
      <c r="R216" s="5">
        <f t="shared" ca="1" si="173"/>
        <v>8.147712062262015E-2</v>
      </c>
      <c r="S216" s="5">
        <f t="shared" ca="1" si="154"/>
        <v>0.10397970892976538</v>
      </c>
      <c r="T216" s="5">
        <f t="shared" ca="1" si="174"/>
        <v>0.20171379744013163</v>
      </c>
      <c r="U216" s="5">
        <f t="shared" ca="1" si="175"/>
        <v>-0.8355153731957653</v>
      </c>
      <c r="V216" s="5">
        <f t="shared" ca="1" si="155"/>
        <v>-3.7890785312706732E-2</v>
      </c>
      <c r="W216" s="5">
        <f t="shared" ca="1" si="176"/>
        <v>0.66004771402296036</v>
      </c>
      <c r="X216" s="5">
        <f t="shared" ca="1" si="177"/>
        <v>0.41259335312902684</v>
      </c>
      <c r="Y216" s="5">
        <f t="shared" ca="1" si="156"/>
        <v>0.16019605407314552</v>
      </c>
      <c r="Z216" s="5">
        <f t="shared" ca="1" si="178"/>
        <v>0.96420230846937716</v>
      </c>
      <c r="AA216" s="5">
        <f t="shared" ca="1" si="179"/>
        <v>1.8016824357643968</v>
      </c>
      <c r="AB216" s="5">
        <f t="shared" ca="1" si="157"/>
        <v>0.42896779987258515</v>
      </c>
      <c r="AC216" s="5">
        <f t="shared" ca="1" si="180"/>
        <v>0.8989012240210853</v>
      </c>
      <c r="AD216" s="5">
        <f t="shared" ca="1" si="181"/>
        <v>1.2753156179755294</v>
      </c>
      <c r="AE216" s="5">
        <f t="shared" ca="1" si="158"/>
        <v>0.32048268828093862</v>
      </c>
      <c r="AF216" s="5">
        <f t="shared" ca="1" si="138"/>
        <v>0.77565481614799714</v>
      </c>
      <c r="AG216" s="5">
        <f t="shared" ca="1" si="139"/>
        <v>0.75892278184490047</v>
      </c>
      <c r="AH216" s="5">
        <f t="shared" ca="1" si="140"/>
        <v>1.4052854012596747</v>
      </c>
      <c r="AI216" s="5">
        <f t="shared" ca="1" si="141"/>
        <v>1.1919600393347869</v>
      </c>
      <c r="AJ216" s="5">
        <f t="shared" ca="1" si="142"/>
        <v>1.1905048840773138</v>
      </c>
      <c r="AK216" s="5">
        <f t="shared" ca="1" si="143"/>
        <v>1.1039797089297654</v>
      </c>
      <c r="AL216" s="5">
        <f t="shared" ca="1" si="144"/>
        <v>0.96210921468729327</v>
      </c>
      <c r="AM216" s="5">
        <f t="shared" ca="1" si="145"/>
        <v>1.1601960540731455</v>
      </c>
      <c r="AN216" s="5">
        <f t="shared" ca="1" si="146"/>
        <v>1.4289677998725852</v>
      </c>
      <c r="AO216" s="5">
        <f t="shared" ca="1" si="147"/>
        <v>1.3204826882809386</v>
      </c>
      <c r="AP216" s="5">
        <f t="shared" ca="1" si="148"/>
        <v>2.729577937528965</v>
      </c>
      <c r="AQ216" s="4">
        <f t="shared" ca="1" si="159"/>
        <v>27295.77937528965</v>
      </c>
      <c r="AR216">
        <f t="shared" ca="1" si="160"/>
        <v>1</v>
      </c>
      <c r="AS216">
        <f t="shared" ca="1" si="161"/>
        <v>0</v>
      </c>
    </row>
    <row r="217" spans="1:45" x14ac:dyDescent="0.25">
      <c r="A217" s="10">
        <f t="shared" si="137"/>
        <v>196</v>
      </c>
      <c r="B217" s="5">
        <f t="shared" ca="1" si="162"/>
        <v>0.15511008667596804</v>
      </c>
      <c r="C217" s="5">
        <f t="shared" ca="1" si="163"/>
        <v>-1.0147601509569422</v>
      </c>
      <c r="D217" s="5">
        <f t="shared" ca="1" si="149"/>
        <v>-6.341408674286253E-2</v>
      </c>
      <c r="E217" s="5">
        <f t="shared" ca="1" si="164"/>
        <v>0.98077193621661618</v>
      </c>
      <c r="F217" s="5">
        <f t="shared" ca="1" si="165"/>
        <v>2.0699596033676868</v>
      </c>
      <c r="G217" s="5">
        <f t="shared" ca="1" si="150"/>
        <v>0.48764441658543101</v>
      </c>
      <c r="H217" s="5">
        <f t="shared" ca="1" si="166"/>
        <v>0.7587480329135633</v>
      </c>
      <c r="I217" s="5">
        <f t="shared" ca="1" si="167"/>
        <v>0.70228100915708092</v>
      </c>
      <c r="J217" s="5">
        <f t="shared" ca="1" si="151"/>
        <v>0.21172159161792115</v>
      </c>
      <c r="K217" s="5">
        <f t="shared" ca="1" si="168"/>
        <v>0.850082550455173</v>
      </c>
      <c r="L217" s="5">
        <f t="shared" ca="1" si="169"/>
        <v>1.0367875070110752</v>
      </c>
      <c r="M217" s="5">
        <f t="shared" ca="1" si="152"/>
        <v>0.27407207081921703</v>
      </c>
      <c r="N217" s="5">
        <f t="shared" ca="1" si="170"/>
        <v>0.28524157318642496</v>
      </c>
      <c r="O217" s="5">
        <f t="shared" ca="1" si="171"/>
        <v>-0.56734008736828856</v>
      </c>
      <c r="P217" s="5">
        <f t="shared" ca="1" si="153"/>
        <v>1.6002659559446464E-3</v>
      </c>
      <c r="Q217" s="5">
        <f t="shared" ca="1" si="172"/>
        <v>2.832151419773743E-2</v>
      </c>
      <c r="R217" s="5">
        <f t="shared" ca="1" si="173"/>
        <v>-1.9060553224939798</v>
      </c>
      <c r="S217" s="5">
        <f t="shared" ca="1" si="154"/>
        <v>-0.18062079979917889</v>
      </c>
      <c r="T217" s="5">
        <f t="shared" ca="1" si="174"/>
        <v>6.0353504387624768E-2</v>
      </c>
      <c r="U217" s="5">
        <f t="shared" ca="1" si="175"/>
        <v>-1.5518128566080842</v>
      </c>
      <c r="V217" s="5">
        <f t="shared" ca="1" si="155"/>
        <v>-0.13590445213972091</v>
      </c>
      <c r="W217" s="5">
        <f t="shared" ca="1" si="176"/>
        <v>8.6537929056201945E-2</v>
      </c>
      <c r="X217" s="5">
        <f t="shared" ca="1" si="177"/>
        <v>-1.3623867657144768</v>
      </c>
      <c r="Y217" s="5">
        <f t="shared" ca="1" si="156"/>
        <v>-0.1109999745647664</v>
      </c>
      <c r="Z217" s="5">
        <f t="shared" ca="1" si="178"/>
        <v>0.20158274841505663</v>
      </c>
      <c r="AA217" s="5">
        <f t="shared" ca="1" si="179"/>
        <v>-0.83598116912248244</v>
      </c>
      <c r="AB217" s="5">
        <f t="shared" ca="1" si="157"/>
        <v>-3.7958004947370783E-2</v>
      </c>
      <c r="AC217" s="5">
        <f t="shared" ca="1" si="180"/>
        <v>7.6912619454558295E-2</v>
      </c>
      <c r="AD217" s="5">
        <f t="shared" ca="1" si="181"/>
        <v>-1.4261493409365247</v>
      </c>
      <c r="AE217" s="5">
        <f t="shared" ca="1" si="158"/>
        <v>-0.11946218179615919</v>
      </c>
      <c r="AF217" s="5">
        <f t="shared" ca="1" si="138"/>
        <v>0.93658591325713747</v>
      </c>
      <c r="AG217" s="5">
        <f t="shared" ca="1" si="139"/>
        <v>1.487644416585431</v>
      </c>
      <c r="AH217" s="5">
        <f t="shared" ca="1" si="140"/>
        <v>1.2117215916179211</v>
      </c>
      <c r="AI217" s="5">
        <f t="shared" ca="1" si="141"/>
        <v>1.274072070819217</v>
      </c>
      <c r="AJ217" s="5">
        <f t="shared" ca="1" si="142"/>
        <v>1.0016002659559446</v>
      </c>
      <c r="AK217" s="5">
        <f t="shared" ca="1" si="143"/>
        <v>0.81937920020082111</v>
      </c>
      <c r="AL217" s="5">
        <f t="shared" ca="1" si="144"/>
        <v>0.86409554786027909</v>
      </c>
      <c r="AM217" s="5">
        <f t="shared" ca="1" si="145"/>
        <v>0.8890000254352336</v>
      </c>
      <c r="AN217" s="5">
        <f t="shared" ca="1" si="146"/>
        <v>0.96204199505262922</v>
      </c>
      <c r="AO217" s="5">
        <f t="shared" ca="1" si="147"/>
        <v>0.88053781820384081</v>
      </c>
      <c r="AP217" s="5">
        <f t="shared" ca="1" si="148"/>
        <v>1.1487580059681943</v>
      </c>
      <c r="AQ217" s="4">
        <f t="shared" ca="1" si="159"/>
        <v>11487.580059681943</v>
      </c>
      <c r="AR217">
        <f t="shared" ca="1" si="160"/>
        <v>0</v>
      </c>
      <c r="AS217">
        <f t="shared" ca="1" si="161"/>
        <v>0</v>
      </c>
    </row>
    <row r="218" spans="1:45" x14ac:dyDescent="0.25">
      <c r="A218" s="10">
        <f t="shared" si="137"/>
        <v>197</v>
      </c>
      <c r="B218" s="5">
        <f t="shared" ca="1" si="162"/>
        <v>0.78494937753817584</v>
      </c>
      <c r="C218" s="5">
        <f t="shared" ca="1" si="163"/>
        <v>0.78901841276545381</v>
      </c>
      <c r="D218" s="5">
        <f t="shared" ca="1" si="149"/>
        <v>0.22758983324472659</v>
      </c>
      <c r="E218" s="5">
        <f t="shared" ca="1" si="164"/>
        <v>0.57186786286540803</v>
      </c>
      <c r="F218" s="5">
        <f t="shared" ca="1" si="165"/>
        <v>0.18113160934604533</v>
      </c>
      <c r="G218" s="5">
        <f t="shared" ca="1" si="150"/>
        <v>0.12060614679121295</v>
      </c>
      <c r="H218" s="5">
        <f t="shared" ca="1" si="166"/>
        <v>7.1866475109854111E-3</v>
      </c>
      <c r="I218" s="5">
        <f t="shared" ca="1" si="167"/>
        <v>-2.4477961491292297</v>
      </c>
      <c r="J218" s="5">
        <f t="shared" ca="1" si="151"/>
        <v>-0.24457095708070387</v>
      </c>
      <c r="K218" s="5">
        <f t="shared" ca="1" si="168"/>
        <v>0.10306585818211766</v>
      </c>
      <c r="L218" s="5">
        <f t="shared" ca="1" si="169"/>
        <v>-1.2642739496202862</v>
      </c>
      <c r="M218" s="5">
        <f t="shared" ca="1" si="152"/>
        <v>-9.781988285714438E-2</v>
      </c>
      <c r="N218" s="5">
        <f t="shared" ca="1" si="170"/>
        <v>0.44312234913565962</v>
      </c>
      <c r="O218" s="5">
        <f t="shared" ca="1" si="171"/>
        <v>-0.14305759045714933</v>
      </c>
      <c r="P218" s="5">
        <f t="shared" ca="1" si="153"/>
        <v>6.7416626500236054E-2</v>
      </c>
      <c r="Q218" s="5">
        <f t="shared" ca="1" si="172"/>
        <v>0.21360116972180754</v>
      </c>
      <c r="R218" s="5">
        <f t="shared" ca="1" si="173"/>
        <v>-0.79398813374647748</v>
      </c>
      <c r="S218" s="5">
        <f t="shared" ca="1" si="154"/>
        <v>-3.1879019889622273E-2</v>
      </c>
      <c r="T218" s="5">
        <f t="shared" ca="1" si="174"/>
        <v>0.87580578260309883</v>
      </c>
      <c r="U218" s="5">
        <f t="shared" ca="1" si="175"/>
        <v>1.1542725791072725</v>
      </c>
      <c r="V218" s="5">
        <f t="shared" ca="1" si="155"/>
        <v>0.29672374447153338</v>
      </c>
      <c r="W218" s="5">
        <f t="shared" ca="1" si="176"/>
        <v>0.35744968001669108</v>
      </c>
      <c r="X218" s="5">
        <f t="shared" ca="1" si="177"/>
        <v>-0.36528408115253236</v>
      </c>
      <c r="Y218" s="5">
        <f t="shared" ca="1" si="156"/>
        <v>3.2421886043237702E-2</v>
      </c>
      <c r="Z218" s="5">
        <f t="shared" ca="1" si="178"/>
        <v>0.55080104870710789</v>
      </c>
      <c r="AA218" s="5">
        <f t="shared" ca="1" si="179"/>
        <v>0.12768545311582569</v>
      </c>
      <c r="AB218" s="5">
        <f t="shared" ca="1" si="157"/>
        <v>0.11165824834468641</v>
      </c>
      <c r="AC218" s="5">
        <f t="shared" ca="1" si="180"/>
        <v>0.71981692202146941</v>
      </c>
      <c r="AD218" s="5">
        <f t="shared" ca="1" si="181"/>
        <v>0.58229772746596564</v>
      </c>
      <c r="AE218" s="5">
        <f t="shared" ca="1" si="158"/>
        <v>0.19010871384132133</v>
      </c>
      <c r="AF218" s="5">
        <f t="shared" ca="1" si="138"/>
        <v>1.2275898332447266</v>
      </c>
      <c r="AG218" s="5">
        <f t="shared" ca="1" si="139"/>
        <v>1.120606146791213</v>
      </c>
      <c r="AH218" s="5">
        <f t="shared" ca="1" si="140"/>
        <v>0.75542904291929613</v>
      </c>
      <c r="AI218" s="5">
        <f t="shared" ca="1" si="141"/>
        <v>0.90218011714285562</v>
      </c>
      <c r="AJ218" s="5">
        <f t="shared" ca="1" si="142"/>
        <v>1.0674166265002361</v>
      </c>
      <c r="AK218" s="5">
        <f t="shared" ca="1" si="143"/>
        <v>0.96812098011037773</v>
      </c>
      <c r="AL218" s="5">
        <f t="shared" ca="1" si="144"/>
        <v>1.2967237444715334</v>
      </c>
      <c r="AM218" s="5">
        <f t="shared" ca="1" si="145"/>
        <v>1.0324218860432377</v>
      </c>
      <c r="AN218" s="5">
        <f t="shared" ca="1" si="146"/>
        <v>1.1116582483446864</v>
      </c>
      <c r="AO218" s="5">
        <f t="shared" ca="1" si="147"/>
        <v>1.1901087138413213</v>
      </c>
      <c r="AP218" s="5">
        <f t="shared" ca="1" si="148"/>
        <v>1.71600837511024</v>
      </c>
      <c r="AQ218" s="4">
        <f t="shared" ca="1" si="159"/>
        <v>17160.0837511024</v>
      </c>
      <c r="AR218">
        <f t="shared" ca="1" si="160"/>
        <v>0</v>
      </c>
      <c r="AS218">
        <f t="shared" ca="1" si="161"/>
        <v>0</v>
      </c>
    </row>
    <row r="219" spans="1:45" x14ac:dyDescent="0.25">
      <c r="A219" s="10">
        <f t="shared" si="137"/>
        <v>198</v>
      </c>
      <c r="B219" s="5">
        <f t="shared" ca="1" si="162"/>
        <v>0.63577509003584987</v>
      </c>
      <c r="C219" s="5">
        <f t="shared" ca="1" si="163"/>
        <v>0.34718835341750415</v>
      </c>
      <c r="D219" s="5">
        <f t="shared" ca="1" si="149"/>
        <v>0.14886931344642984</v>
      </c>
      <c r="E219" s="5">
        <f t="shared" ca="1" si="164"/>
        <v>0.90399249351565758</v>
      </c>
      <c r="F219" s="5">
        <f t="shared" ca="1" si="165"/>
        <v>1.3046413152416141</v>
      </c>
      <c r="G219" s="5">
        <f t="shared" ca="1" si="150"/>
        <v>0.32630409398681248</v>
      </c>
      <c r="H219" s="5">
        <f t="shared" ca="1" si="166"/>
        <v>0.88774106231327676</v>
      </c>
      <c r="I219" s="5">
        <f t="shared" ca="1" si="167"/>
        <v>1.2146021318907818</v>
      </c>
      <c r="J219" s="5">
        <f t="shared" ca="1" si="151"/>
        <v>0.30851161533853544</v>
      </c>
      <c r="K219" s="5">
        <f t="shared" ca="1" si="168"/>
        <v>0.17071461507871399</v>
      </c>
      <c r="L219" s="5">
        <f t="shared" ca="1" si="169"/>
        <v>-0.95134507928923162</v>
      </c>
      <c r="M219" s="5">
        <f t="shared" ca="1" si="152"/>
        <v>-5.446253004728463E-2</v>
      </c>
      <c r="N219" s="5">
        <f t="shared" ca="1" si="170"/>
        <v>0.53037421619174352</v>
      </c>
      <c r="O219" s="5">
        <f t="shared" ca="1" si="171"/>
        <v>7.6210577399996107E-2</v>
      </c>
      <c r="P219" s="5">
        <f t="shared" ca="1" si="153"/>
        <v>0.10310792979169459</v>
      </c>
      <c r="Q219" s="5">
        <f t="shared" ca="1" si="172"/>
        <v>0.4777410982527095</v>
      </c>
      <c r="R219" s="5">
        <f t="shared" ca="1" si="173"/>
        <v>-5.5823772811761471E-2</v>
      </c>
      <c r="S219" s="5">
        <f t="shared" ca="1" si="154"/>
        <v>8.1475631556680916E-2</v>
      </c>
      <c r="T219" s="5">
        <f t="shared" ca="1" si="174"/>
        <v>0.11536278254956556</v>
      </c>
      <c r="U219" s="5">
        <f t="shared" ca="1" si="175"/>
        <v>-1.1984919241623235</v>
      </c>
      <c r="V219" s="5">
        <f t="shared" ca="1" si="155"/>
        <v>-8.8873732938207217E-2</v>
      </c>
      <c r="W219" s="5">
        <f t="shared" ca="1" si="176"/>
        <v>0.68529431510647232</v>
      </c>
      <c r="X219" s="5">
        <f t="shared" ca="1" si="177"/>
        <v>0.48255551759079018</v>
      </c>
      <c r="Y219" s="5">
        <f t="shared" ca="1" si="156"/>
        <v>0.1724356389036521</v>
      </c>
      <c r="Z219" s="5">
        <f t="shared" ca="1" si="178"/>
        <v>6.6064186670053426E-2</v>
      </c>
      <c r="AA219" s="5">
        <f t="shared" ca="1" si="179"/>
        <v>-1.5057616424849032</v>
      </c>
      <c r="AB219" s="5">
        <f t="shared" ca="1" si="157"/>
        <v>-0.12991489160150338</v>
      </c>
      <c r="AC219" s="5">
        <f t="shared" ca="1" si="180"/>
        <v>0.27480775186358875</v>
      </c>
      <c r="AD219" s="5">
        <f t="shared" ca="1" si="181"/>
        <v>-0.59833638452515692</v>
      </c>
      <c r="AE219" s="5">
        <f t="shared" ca="1" si="158"/>
        <v>-3.0458097600427614E-3</v>
      </c>
      <c r="AF219" s="5">
        <f t="shared" ca="1" si="138"/>
        <v>1.1488693134464298</v>
      </c>
      <c r="AG219" s="5">
        <f t="shared" ca="1" si="139"/>
        <v>1.3263040939868125</v>
      </c>
      <c r="AH219" s="5">
        <f t="shared" ca="1" si="140"/>
        <v>1.3085116153385354</v>
      </c>
      <c r="AI219" s="5">
        <f t="shared" ca="1" si="141"/>
        <v>0.94553746995271537</v>
      </c>
      <c r="AJ219" s="5">
        <f t="shared" ca="1" si="142"/>
        <v>1.1031079297916946</v>
      </c>
      <c r="AK219" s="5">
        <f t="shared" ca="1" si="143"/>
        <v>1.0814756315566809</v>
      </c>
      <c r="AL219" s="5">
        <f t="shared" ca="1" si="144"/>
        <v>0.91112626706179278</v>
      </c>
      <c r="AM219" s="5">
        <f t="shared" ca="1" si="145"/>
        <v>1.1724356389036521</v>
      </c>
      <c r="AN219" s="5">
        <f t="shared" ca="1" si="146"/>
        <v>0.87008510839849662</v>
      </c>
      <c r="AO219" s="5">
        <f t="shared" ca="1" si="147"/>
        <v>0.99695419023995724</v>
      </c>
      <c r="AP219" s="5">
        <f t="shared" ca="1" si="148"/>
        <v>2.0840557267987285</v>
      </c>
      <c r="AQ219" s="4">
        <f t="shared" ca="1" si="159"/>
        <v>20840.557267987286</v>
      </c>
      <c r="AR219">
        <f t="shared" ca="1" si="160"/>
        <v>0</v>
      </c>
      <c r="AS219">
        <f t="shared" ca="1" si="161"/>
        <v>0</v>
      </c>
    </row>
    <row r="220" spans="1:45" x14ac:dyDescent="0.25">
      <c r="A220" s="10">
        <f t="shared" ref="A220:A271" si="182">A219+1</f>
        <v>199</v>
      </c>
      <c r="B220" s="5">
        <f t="shared" ca="1" si="162"/>
        <v>0.94711127445170251</v>
      </c>
      <c r="C220" s="5">
        <f t="shared" ca="1" si="163"/>
        <v>1.6174672889223096</v>
      </c>
      <c r="D220" s="5">
        <f t="shared" ca="1" si="149"/>
        <v>0.39002272139779071</v>
      </c>
      <c r="E220" s="5">
        <f t="shared" ca="1" si="164"/>
        <v>0.64255075159701869</v>
      </c>
      <c r="F220" s="5">
        <f t="shared" ca="1" si="165"/>
        <v>0.36528523769010846</v>
      </c>
      <c r="G220" s="5">
        <f t="shared" ca="1" si="150"/>
        <v>0.15199219336000014</v>
      </c>
      <c r="H220" s="5">
        <f t="shared" ca="1" si="166"/>
        <v>0.21416519874709683</v>
      </c>
      <c r="I220" s="5">
        <f t="shared" ca="1" si="167"/>
        <v>-0.7920519296384867</v>
      </c>
      <c r="J220" s="5">
        <f t="shared" ca="1" si="151"/>
        <v>-3.1597807082386242E-2</v>
      </c>
      <c r="K220" s="5">
        <f t="shared" ca="1" si="168"/>
        <v>0.32663980339144139</v>
      </c>
      <c r="L220" s="5">
        <f t="shared" ca="1" si="169"/>
        <v>-0.44921078689968413</v>
      </c>
      <c r="M220" s="5">
        <f t="shared" ca="1" si="152"/>
        <v>1.9506189334649315E-2</v>
      </c>
      <c r="N220" s="5">
        <f t="shared" ca="1" si="170"/>
        <v>0.82904876715183484</v>
      </c>
      <c r="O220" s="5">
        <f t="shared" ca="1" si="171"/>
        <v>0.95041295138679205</v>
      </c>
      <c r="P220" s="5">
        <f t="shared" ca="1" si="153"/>
        <v>0.25767143372783208</v>
      </c>
      <c r="Q220" s="5">
        <f t="shared" ca="1" si="172"/>
        <v>0.55199797653879523</v>
      </c>
      <c r="R220" s="5">
        <f t="shared" ca="1" si="173"/>
        <v>0.13071085253853892</v>
      </c>
      <c r="S220" s="5">
        <f t="shared" ca="1" si="154"/>
        <v>0.11216284436478419</v>
      </c>
      <c r="T220" s="5">
        <f t="shared" ca="1" si="174"/>
        <v>0.68882572729848102</v>
      </c>
      <c r="U220" s="5">
        <f t="shared" ca="1" si="175"/>
        <v>0.49252458646001229</v>
      </c>
      <c r="V220" s="5">
        <f t="shared" ca="1" si="155"/>
        <v>0.17419016414477673</v>
      </c>
      <c r="W220" s="5">
        <f t="shared" ca="1" si="176"/>
        <v>0.53734698795512581</v>
      </c>
      <c r="X220" s="5">
        <f t="shared" ca="1" si="177"/>
        <v>9.3752173754241289E-2</v>
      </c>
      <c r="Y220" s="5">
        <f t="shared" ca="1" si="156"/>
        <v>0.10601429288942343</v>
      </c>
      <c r="Z220" s="5">
        <f t="shared" ca="1" si="178"/>
        <v>0.18888596020096848</v>
      </c>
      <c r="AA220" s="5">
        <f t="shared" ca="1" si="179"/>
        <v>-0.88200903683396437</v>
      </c>
      <c r="AB220" s="5">
        <f t="shared" ca="1" si="157"/>
        <v>-4.4577239711269256E-2</v>
      </c>
      <c r="AC220" s="5">
        <f t="shared" ca="1" si="180"/>
        <v>0.33661861436473606</v>
      </c>
      <c r="AD220" s="5">
        <f t="shared" ca="1" si="181"/>
        <v>-0.42170928180111966</v>
      </c>
      <c r="AE220" s="5">
        <f t="shared" ca="1" si="158"/>
        <v>2.3720569191923557E-2</v>
      </c>
      <c r="AF220" s="5">
        <f t="shared" ref="AF220:AF271" ca="1" si="183">1+D220</f>
        <v>1.3900227213977907</v>
      </c>
      <c r="AG220" s="5">
        <f t="shared" ref="AG220:AG271" ca="1" si="184">1+G220</f>
        <v>1.1519921933600001</v>
      </c>
      <c r="AH220" s="5">
        <f t="shared" ref="AH220:AH271" ca="1" si="185">1+J220</f>
        <v>0.96840219291761376</v>
      </c>
      <c r="AI220" s="5">
        <f t="shared" ref="AI220:AI271" ca="1" si="186">1+M220</f>
        <v>1.0195061893346493</v>
      </c>
      <c r="AJ220" s="5">
        <f t="shared" ref="AJ220:AJ271" ca="1" si="187">1+P220</f>
        <v>1.2576714337278321</v>
      </c>
      <c r="AK220" s="5">
        <f t="shared" ref="AK220:AK271" ca="1" si="188">1+S220</f>
        <v>1.1121628443647842</v>
      </c>
      <c r="AL220" s="5">
        <f t="shared" ref="AL220:AL271" ca="1" si="189">1+V220</f>
        <v>1.1741901641447767</v>
      </c>
      <c r="AM220" s="5">
        <f t="shared" ref="AM220:AM271" ca="1" si="190">1+Y220</f>
        <v>1.1060142928894234</v>
      </c>
      <c r="AN220" s="5">
        <f t="shared" ref="AN220:AN271" ca="1" si="191">1+AB220</f>
        <v>0.95542276028873074</v>
      </c>
      <c r="AO220" s="5">
        <f t="shared" ref="AO220:AO271" ca="1" si="192">1+AE220</f>
        <v>1.0237205691919236</v>
      </c>
      <c r="AP220" s="5">
        <f t="shared" ref="AP220:AP271" ca="1" si="193">PRODUCT(AF220:AO220)</f>
        <v>2.8088518578496346</v>
      </c>
      <c r="AQ220" s="4">
        <f t="shared" ca="1" si="159"/>
        <v>28088.518578496347</v>
      </c>
      <c r="AR220">
        <f t="shared" ca="1" si="160"/>
        <v>1</v>
      </c>
      <c r="AS220">
        <f t="shared" ca="1" si="161"/>
        <v>0</v>
      </c>
    </row>
    <row r="221" spans="1:45" x14ac:dyDescent="0.25">
      <c r="A221" s="10">
        <f t="shared" si="182"/>
        <v>200</v>
      </c>
      <c r="B221" s="5">
        <f t="shared" ca="1" si="162"/>
        <v>0.25164444599870661</v>
      </c>
      <c r="C221" s="5">
        <f t="shared" ca="1" si="163"/>
        <v>-0.66932388769389506</v>
      </c>
      <c r="D221" s="5">
        <f t="shared" ca="1" si="149"/>
        <v>-1.3605184526556457E-2</v>
      </c>
      <c r="E221" s="5">
        <f t="shared" ca="1" si="164"/>
        <v>0.81209029373390751</v>
      </c>
      <c r="F221" s="5">
        <f t="shared" ca="1" si="165"/>
        <v>0.8856254133021968</v>
      </c>
      <c r="G221" s="5">
        <f t="shared" ca="1" si="150"/>
        <v>0.24550841496922771</v>
      </c>
      <c r="H221" s="5">
        <f t="shared" ca="1" si="166"/>
        <v>0.32396581813589165</v>
      </c>
      <c r="I221" s="5">
        <f t="shared" ca="1" si="167"/>
        <v>-0.45663747832046508</v>
      </c>
      <c r="J221" s="5">
        <f t="shared" ca="1" si="151"/>
        <v>1.8371088025110005E-2</v>
      </c>
      <c r="K221" s="5">
        <f t="shared" ca="1" si="168"/>
        <v>0.83832991953088798</v>
      </c>
      <c r="L221" s="5">
        <f t="shared" ca="1" si="169"/>
        <v>0.98761719678423621</v>
      </c>
      <c r="M221" s="5">
        <f t="shared" ca="1" si="152"/>
        <v>0.26470966185653211</v>
      </c>
      <c r="N221" s="5">
        <f t="shared" ca="1" si="170"/>
        <v>0.97748050115480523</v>
      </c>
      <c r="O221" s="5">
        <f t="shared" ca="1" si="171"/>
        <v>2.0042900631790861</v>
      </c>
      <c r="P221" s="5">
        <f t="shared" ca="1" si="153"/>
        <v>0.47306241527297299</v>
      </c>
      <c r="Q221" s="5">
        <f t="shared" ca="1" si="172"/>
        <v>0.91539122066088208</v>
      </c>
      <c r="R221" s="5">
        <f t="shared" ca="1" si="173"/>
        <v>1.374722287988053</v>
      </c>
      <c r="S221" s="5">
        <f t="shared" ca="1" si="154"/>
        <v>0.34031993536286254</v>
      </c>
      <c r="T221" s="5">
        <f t="shared" ca="1" si="174"/>
        <v>0.52727300781980224</v>
      </c>
      <c r="U221" s="5">
        <f t="shared" ca="1" si="175"/>
        <v>6.8416629575331622E-2</v>
      </c>
      <c r="V221" s="5">
        <f t="shared" ca="1" si="155"/>
        <v>0.10181904850154466</v>
      </c>
      <c r="W221" s="5">
        <f t="shared" ca="1" si="176"/>
        <v>0.88224988217059586</v>
      </c>
      <c r="X221" s="5">
        <f t="shared" ca="1" si="177"/>
        <v>1.1863091470581069</v>
      </c>
      <c r="Y221" s="5">
        <f t="shared" ca="1" si="156"/>
        <v>0.30297012765498765</v>
      </c>
      <c r="Z221" s="5">
        <f t="shared" ca="1" si="178"/>
        <v>0.17699813468698633</v>
      </c>
      <c r="AA221" s="5">
        <f t="shared" ca="1" si="179"/>
        <v>-0.92686569715914402</v>
      </c>
      <c r="AB221" s="5">
        <f t="shared" ca="1" si="157"/>
        <v>-5.0984221986216993E-2</v>
      </c>
      <c r="AC221" s="5">
        <f t="shared" ca="1" si="180"/>
        <v>0.37032230675745348</v>
      </c>
      <c r="AD221" s="5">
        <f t="shared" ca="1" si="181"/>
        <v>-0.33099983059167681</v>
      </c>
      <c r="AE221" s="5">
        <f t="shared" ca="1" si="158"/>
        <v>3.7744933156730998E-2</v>
      </c>
      <c r="AF221" s="5">
        <f t="shared" ca="1" si="183"/>
        <v>0.98639481547344354</v>
      </c>
      <c r="AG221" s="5">
        <f t="shared" ca="1" si="184"/>
        <v>1.2455084149692277</v>
      </c>
      <c r="AH221" s="5">
        <f t="shared" ca="1" si="185"/>
        <v>1.01837108802511</v>
      </c>
      <c r="AI221" s="5">
        <f t="shared" ca="1" si="186"/>
        <v>1.2647096618565321</v>
      </c>
      <c r="AJ221" s="5">
        <f t="shared" ca="1" si="187"/>
        <v>1.473062415272973</v>
      </c>
      <c r="AK221" s="5">
        <f t="shared" ca="1" si="188"/>
        <v>1.3403199353628625</v>
      </c>
      <c r="AL221" s="5">
        <f t="shared" ca="1" si="189"/>
        <v>1.1018190485015447</v>
      </c>
      <c r="AM221" s="5">
        <f t="shared" ca="1" si="190"/>
        <v>1.3029701276549877</v>
      </c>
      <c r="AN221" s="5">
        <f t="shared" ca="1" si="191"/>
        <v>0.94901577801378301</v>
      </c>
      <c r="AO221" s="5">
        <f t="shared" ca="1" si="192"/>
        <v>1.037744933156731</v>
      </c>
      <c r="AP221" s="5">
        <f t="shared" ca="1" si="193"/>
        <v>4.4170545238016805</v>
      </c>
      <c r="AQ221" s="4">
        <f t="shared" ca="1" si="159"/>
        <v>44170.545238016806</v>
      </c>
      <c r="AR221">
        <f t="shared" ca="1" si="160"/>
        <v>1</v>
      </c>
      <c r="AS221">
        <f t="shared" ca="1" si="161"/>
        <v>0</v>
      </c>
    </row>
    <row r="222" spans="1:45" x14ac:dyDescent="0.25">
      <c r="A222" s="10">
        <f t="shared" si="182"/>
        <v>201</v>
      </c>
      <c r="B222" s="5">
        <f t="shared" ca="1" si="162"/>
        <v>0.80136821986636753</v>
      </c>
      <c r="C222" s="5">
        <f t="shared" ca="1" si="163"/>
        <v>0.84651849578182858</v>
      </c>
      <c r="D222" s="5">
        <f t="shared" ca="1" si="149"/>
        <v>0.23822360312059465</v>
      </c>
      <c r="E222" s="5">
        <f t="shared" ca="1" si="164"/>
        <v>0.12738439223487696</v>
      </c>
      <c r="F222" s="5">
        <f t="shared" ca="1" si="165"/>
        <v>-1.1388426615353955</v>
      </c>
      <c r="G222" s="5">
        <f t="shared" ca="1" si="150"/>
        <v>-8.0684951963508778E-2</v>
      </c>
      <c r="H222" s="5">
        <f t="shared" ca="1" si="166"/>
        <v>3.6181446232101511E-2</v>
      </c>
      <c r="I222" s="5">
        <f t="shared" ca="1" si="167"/>
        <v>-1.7968282348948854</v>
      </c>
      <c r="J222" s="5">
        <f t="shared" ca="1" si="151"/>
        <v>-0.16708546009886527</v>
      </c>
      <c r="K222" s="5">
        <f t="shared" ca="1" si="168"/>
        <v>0.14858879555602966</v>
      </c>
      <c r="L222" s="5">
        <f t="shared" ca="1" si="169"/>
        <v>-1.0425050376180431</v>
      </c>
      <c r="M222" s="5">
        <f t="shared" ca="1" si="152"/>
        <v>-6.7303807640540114E-2</v>
      </c>
      <c r="N222" s="5">
        <f t="shared" ca="1" si="170"/>
        <v>0.37541521992343796</v>
      </c>
      <c r="O222" s="5">
        <f t="shared" ca="1" si="171"/>
        <v>-0.31754455174238466</v>
      </c>
      <c r="P222" s="5">
        <f t="shared" ca="1" si="153"/>
        <v>3.9841520324909618E-2</v>
      </c>
      <c r="Q222" s="5">
        <f t="shared" ca="1" si="172"/>
        <v>0.80435142381525249</v>
      </c>
      <c r="R222" s="5">
        <f t="shared" ca="1" si="173"/>
        <v>0.8572673428590426</v>
      </c>
      <c r="S222" s="5">
        <f t="shared" ca="1" si="154"/>
        <v>0.24022163485167058</v>
      </c>
      <c r="T222" s="5">
        <f t="shared" ca="1" si="174"/>
        <v>0.60936042642021204</v>
      </c>
      <c r="U222" s="5">
        <f t="shared" ca="1" si="175"/>
        <v>0.27765247349827016</v>
      </c>
      <c r="V222" s="5">
        <f t="shared" ca="1" si="155"/>
        <v>0.13694844533230999</v>
      </c>
      <c r="W222" s="5">
        <f t="shared" ca="1" si="176"/>
        <v>0.11209400151912763</v>
      </c>
      <c r="X222" s="5">
        <f t="shared" ca="1" si="177"/>
        <v>-1.2154670644967775</v>
      </c>
      <c r="Y222" s="5">
        <f t="shared" ca="1" si="156"/>
        <v>-9.1190756238530679E-2</v>
      </c>
      <c r="Z222" s="5">
        <f t="shared" ca="1" si="178"/>
        <v>1.7733036485109266E-2</v>
      </c>
      <c r="AA222" s="5">
        <f t="shared" ca="1" si="179"/>
        <v>-2.1029965282773122</v>
      </c>
      <c r="AB222" s="5">
        <f t="shared" ca="1" si="157"/>
        <v>-0.20447219522776039</v>
      </c>
      <c r="AC222" s="5">
        <f t="shared" ca="1" si="180"/>
        <v>0.20069910591788642</v>
      </c>
      <c r="AD222" s="5">
        <f t="shared" ca="1" si="181"/>
        <v>-0.83912670492427444</v>
      </c>
      <c r="AE222" s="5">
        <f t="shared" ca="1" si="158"/>
        <v>-3.8411818508181206E-2</v>
      </c>
      <c r="AF222" s="5">
        <f t="shared" ca="1" si="183"/>
        <v>1.2382236031205947</v>
      </c>
      <c r="AG222" s="5">
        <f t="shared" ca="1" si="184"/>
        <v>0.91931504803649122</v>
      </c>
      <c r="AH222" s="5">
        <f t="shared" ca="1" si="185"/>
        <v>0.83291453990113473</v>
      </c>
      <c r="AI222" s="5">
        <f t="shared" ca="1" si="186"/>
        <v>0.93269619235945989</v>
      </c>
      <c r="AJ222" s="5">
        <f t="shared" ca="1" si="187"/>
        <v>1.0398415203249096</v>
      </c>
      <c r="AK222" s="5">
        <f t="shared" ca="1" si="188"/>
        <v>1.2402216348516706</v>
      </c>
      <c r="AL222" s="5">
        <f t="shared" ca="1" si="189"/>
        <v>1.13694844533231</v>
      </c>
      <c r="AM222" s="5">
        <f t="shared" ca="1" si="190"/>
        <v>0.90880924376146932</v>
      </c>
      <c r="AN222" s="5">
        <f t="shared" ca="1" si="191"/>
        <v>0.79552780477223961</v>
      </c>
      <c r="AO222" s="5">
        <f t="shared" ca="1" si="192"/>
        <v>0.96158818149181879</v>
      </c>
      <c r="AP222" s="5">
        <f t="shared" ca="1" si="193"/>
        <v>0.90142280392646779</v>
      </c>
      <c r="AQ222" s="4">
        <f t="shared" ca="1" si="159"/>
        <v>9014.2280392646771</v>
      </c>
      <c r="AR222">
        <f t="shared" ca="1" si="160"/>
        <v>0</v>
      </c>
      <c r="AS222">
        <f t="shared" ca="1" si="161"/>
        <v>0</v>
      </c>
    </row>
    <row r="223" spans="1:45" x14ac:dyDescent="0.25">
      <c r="A223" s="10">
        <f t="shared" si="182"/>
        <v>202</v>
      </c>
      <c r="B223" s="5">
        <f t="shared" ca="1" si="162"/>
        <v>0.8129900177022481</v>
      </c>
      <c r="C223" s="5">
        <f t="shared" ca="1" si="163"/>
        <v>0.88896858293605141</v>
      </c>
      <c r="D223" s="5">
        <f t="shared" ca="1" si="149"/>
        <v>0.24613316349090186</v>
      </c>
      <c r="E223" s="5">
        <f t="shared" ca="1" si="164"/>
        <v>0.74507602903335246</v>
      </c>
      <c r="F223" s="5">
        <f t="shared" ca="1" si="165"/>
        <v>0.65907448077306585</v>
      </c>
      <c r="G223" s="5">
        <f t="shared" ca="1" si="150"/>
        <v>0.20389384225640006</v>
      </c>
      <c r="H223" s="5">
        <f t="shared" ca="1" si="166"/>
        <v>0.66993308029257692</v>
      </c>
      <c r="I223" s="5">
        <f t="shared" ca="1" si="167"/>
        <v>0.43972838802582814</v>
      </c>
      <c r="J223" s="5">
        <f t="shared" ca="1" si="151"/>
        <v>0.16492797165867135</v>
      </c>
      <c r="K223" s="5">
        <f t="shared" ca="1" si="168"/>
        <v>0.84334425615614572</v>
      </c>
      <c r="L223" s="5">
        <f t="shared" ca="1" si="169"/>
        <v>1.0082978649186032</v>
      </c>
      <c r="M223" s="5">
        <f t="shared" ca="1" si="152"/>
        <v>0.26863900944099561</v>
      </c>
      <c r="N223" s="5">
        <f t="shared" ca="1" si="170"/>
        <v>0.85848386182142289</v>
      </c>
      <c r="O223" s="5">
        <f t="shared" ca="1" si="171"/>
        <v>1.0735324742197467</v>
      </c>
      <c r="P223" s="5">
        <f t="shared" ca="1" si="153"/>
        <v>0.28111381962398574</v>
      </c>
      <c r="Q223" s="5">
        <f t="shared" ca="1" si="172"/>
        <v>0.74133875314287956</v>
      </c>
      <c r="R223" s="5">
        <f t="shared" ca="1" si="173"/>
        <v>0.64747820826794844</v>
      </c>
      <c r="S223" s="5">
        <f t="shared" ca="1" si="154"/>
        <v>0.20180156032499541</v>
      </c>
      <c r="T223" s="5">
        <f t="shared" ca="1" si="174"/>
        <v>2.0081833348357891E-2</v>
      </c>
      <c r="U223" s="5">
        <f t="shared" ca="1" si="175"/>
        <v>-2.0520616980465642</v>
      </c>
      <c r="V223" s="5">
        <f t="shared" ca="1" si="155"/>
        <v>-0.19837090624608666</v>
      </c>
      <c r="W223" s="5">
        <f t="shared" ca="1" si="176"/>
        <v>0.55192169730532814</v>
      </c>
      <c r="X223" s="5">
        <f t="shared" ca="1" si="177"/>
        <v>0.13051801089904067</v>
      </c>
      <c r="Y223" s="5">
        <f t="shared" ca="1" si="156"/>
        <v>0.11213067413412392</v>
      </c>
      <c r="Z223" s="5">
        <f t="shared" ca="1" si="178"/>
        <v>0.70304521132914588</v>
      </c>
      <c r="AA223" s="5">
        <f t="shared" ca="1" si="179"/>
        <v>0.5331791438435457</v>
      </c>
      <c r="AB223" s="5">
        <f t="shared" ca="1" si="157"/>
        <v>0.18137246860369127</v>
      </c>
      <c r="AC223" s="5">
        <f t="shared" ca="1" si="180"/>
        <v>0.2289232354569124</v>
      </c>
      <c r="AD223" s="5">
        <f t="shared" ca="1" si="181"/>
        <v>-0.74239760385137621</v>
      </c>
      <c r="AE223" s="5">
        <f t="shared" ca="1" si="158"/>
        <v>-2.4358075554880121E-2</v>
      </c>
      <c r="AF223" s="5">
        <f t="shared" ca="1" si="183"/>
        <v>1.2461331634909019</v>
      </c>
      <c r="AG223" s="5">
        <f t="shared" ca="1" si="184"/>
        <v>1.2038938422564001</v>
      </c>
      <c r="AH223" s="5">
        <f t="shared" ca="1" si="185"/>
        <v>1.1649279716586713</v>
      </c>
      <c r="AI223" s="5">
        <f t="shared" ca="1" si="186"/>
        <v>1.2686390094409956</v>
      </c>
      <c r="AJ223" s="5">
        <f t="shared" ca="1" si="187"/>
        <v>1.2811138196239857</v>
      </c>
      <c r="AK223" s="5">
        <f t="shared" ca="1" si="188"/>
        <v>1.2018015603249954</v>
      </c>
      <c r="AL223" s="5">
        <f t="shared" ca="1" si="189"/>
        <v>0.80162909375391334</v>
      </c>
      <c r="AM223" s="5">
        <f t="shared" ca="1" si="190"/>
        <v>1.1121306741341239</v>
      </c>
      <c r="AN223" s="5">
        <f t="shared" ca="1" si="191"/>
        <v>1.1813724686036913</v>
      </c>
      <c r="AO223" s="5">
        <f t="shared" ca="1" si="192"/>
        <v>0.97564192444511988</v>
      </c>
      <c r="AP223" s="5">
        <f t="shared" ca="1" si="193"/>
        <v>3.5076548413156345</v>
      </c>
      <c r="AQ223" s="4">
        <f t="shared" ca="1" si="159"/>
        <v>35076.548413156343</v>
      </c>
      <c r="AR223">
        <f t="shared" ca="1" si="160"/>
        <v>1</v>
      </c>
      <c r="AS223">
        <f t="shared" ca="1" si="161"/>
        <v>0</v>
      </c>
    </row>
    <row r="224" spans="1:45" x14ac:dyDescent="0.25">
      <c r="A224" s="10">
        <f t="shared" si="182"/>
        <v>203</v>
      </c>
      <c r="B224" s="5">
        <f t="shared" ca="1" si="162"/>
        <v>7.8616718351498527E-2</v>
      </c>
      <c r="C224" s="5">
        <f t="shared" ca="1" si="163"/>
        <v>-1.414437668318659</v>
      </c>
      <c r="D224" s="5">
        <f t="shared" ca="1" si="149"/>
        <v>-0.11791393665565431</v>
      </c>
      <c r="E224" s="5">
        <f t="shared" ca="1" si="164"/>
        <v>0.58618438839120368</v>
      </c>
      <c r="F224" s="5">
        <f t="shared" ca="1" si="165"/>
        <v>0.21774060654007743</v>
      </c>
      <c r="G224" s="5">
        <f t="shared" ca="1" si="150"/>
        <v>0.12677671374779531</v>
      </c>
      <c r="H224" s="5">
        <f t="shared" ca="1" si="166"/>
        <v>0.37215772399934544</v>
      </c>
      <c r="I224" s="5">
        <f t="shared" ca="1" si="167"/>
        <v>-0.32614394745269193</v>
      </c>
      <c r="J224" s="5">
        <f t="shared" ca="1" si="151"/>
        <v>3.8501083725232199E-2</v>
      </c>
      <c r="K224" s="5">
        <f t="shared" ca="1" si="168"/>
        <v>9.8568624244606551E-2</v>
      </c>
      <c r="L224" s="5">
        <f t="shared" ca="1" si="169"/>
        <v>-1.2897506470501172</v>
      </c>
      <c r="M224" s="5">
        <f t="shared" ca="1" si="152"/>
        <v>-0.10126098904850267</v>
      </c>
      <c r="N224" s="5">
        <f t="shared" ca="1" si="170"/>
        <v>0.46562469585473498</v>
      </c>
      <c r="O224" s="5">
        <f t="shared" ca="1" si="171"/>
        <v>-8.627301208039459E-2</v>
      </c>
      <c r="P224" s="5">
        <f t="shared" ca="1" si="153"/>
        <v>7.6547378201191396E-2</v>
      </c>
      <c r="Q224" s="5">
        <f t="shared" ca="1" si="172"/>
        <v>0.20911326459213742</v>
      </c>
      <c r="R224" s="5">
        <f t="shared" ca="1" si="173"/>
        <v>-0.8095018673040506</v>
      </c>
      <c r="S224" s="5">
        <f t="shared" ca="1" si="154"/>
        <v>-3.4129276273845877E-2</v>
      </c>
      <c r="T224" s="5">
        <f t="shared" ca="1" si="174"/>
        <v>4.6860997966702622E-2</v>
      </c>
      <c r="U224" s="5">
        <f t="shared" ca="1" si="175"/>
        <v>-1.6760826946397973</v>
      </c>
      <c r="V224" s="5">
        <f t="shared" ca="1" si="155"/>
        <v>-0.1518624101719479</v>
      </c>
      <c r="W224" s="5">
        <f t="shared" ca="1" si="176"/>
        <v>0.39844129983393406</v>
      </c>
      <c r="X224" s="5">
        <f t="shared" ca="1" si="177"/>
        <v>-0.25738368054338157</v>
      </c>
      <c r="Y224" s="5">
        <f t="shared" ca="1" si="156"/>
        <v>4.9267653451267268E-2</v>
      </c>
      <c r="Z224" s="5">
        <f t="shared" ca="1" si="178"/>
        <v>0.14871703686644999</v>
      </c>
      <c r="AA224" s="5">
        <f t="shared" ca="1" si="179"/>
        <v>-1.041951697837556</v>
      </c>
      <c r="AB224" s="5">
        <f t="shared" ca="1" si="157"/>
        <v>-6.7226389741753101E-2</v>
      </c>
      <c r="AC224" s="5">
        <f t="shared" ca="1" si="180"/>
        <v>0.73511910001040526</v>
      </c>
      <c r="AD224" s="5">
        <f t="shared" ca="1" si="181"/>
        <v>0.62836967178947767</v>
      </c>
      <c r="AE224" s="5">
        <f t="shared" ca="1" si="158"/>
        <v>0.19836179200704041</v>
      </c>
      <c r="AF224" s="5">
        <f t="shared" ca="1" si="183"/>
        <v>0.88208606334434569</v>
      </c>
      <c r="AG224" s="5">
        <f t="shared" ca="1" si="184"/>
        <v>1.1267767137477953</v>
      </c>
      <c r="AH224" s="5">
        <f t="shared" ca="1" si="185"/>
        <v>1.0385010837252322</v>
      </c>
      <c r="AI224" s="5">
        <f t="shared" ca="1" si="186"/>
        <v>0.89873901095149733</v>
      </c>
      <c r="AJ224" s="5">
        <f t="shared" ca="1" si="187"/>
        <v>1.0765473782011914</v>
      </c>
      <c r="AK224" s="5">
        <f t="shared" ca="1" si="188"/>
        <v>0.96587072372615412</v>
      </c>
      <c r="AL224" s="5">
        <f t="shared" ca="1" si="189"/>
        <v>0.8481375898280521</v>
      </c>
      <c r="AM224" s="5">
        <f t="shared" ca="1" si="190"/>
        <v>1.0492676534512673</v>
      </c>
      <c r="AN224" s="5">
        <f t="shared" ca="1" si="191"/>
        <v>0.9327736102582469</v>
      </c>
      <c r="AO224" s="5">
        <f t="shared" ca="1" si="192"/>
        <v>1.1983617920070404</v>
      </c>
      <c r="AP224" s="5">
        <f t="shared" ca="1" si="193"/>
        <v>0.95952947917116771</v>
      </c>
      <c r="AQ224" s="4">
        <f t="shared" ca="1" si="159"/>
        <v>9595.2947917116762</v>
      </c>
      <c r="AR224">
        <f t="shared" ca="1" si="160"/>
        <v>0</v>
      </c>
      <c r="AS224">
        <f t="shared" ca="1" si="161"/>
        <v>0</v>
      </c>
    </row>
    <row r="225" spans="1:45" x14ac:dyDescent="0.25">
      <c r="A225" s="10">
        <f t="shared" si="182"/>
        <v>204</v>
      </c>
      <c r="B225" s="5">
        <f t="shared" ca="1" si="162"/>
        <v>8.6194679331376034E-2</v>
      </c>
      <c r="C225" s="5">
        <f t="shared" ca="1" si="163"/>
        <v>-1.364566440207551</v>
      </c>
      <c r="D225" s="5">
        <f t="shared" ca="1" si="149"/>
        <v>-0.11129058665616298</v>
      </c>
      <c r="E225" s="5">
        <f t="shared" ca="1" si="164"/>
        <v>0.63624010054998315</v>
      </c>
      <c r="F225" s="5">
        <f t="shared" ca="1" si="165"/>
        <v>0.34842663965119941</v>
      </c>
      <c r="G225" s="5">
        <f t="shared" ca="1" si="150"/>
        <v>0.14908272762417751</v>
      </c>
      <c r="H225" s="5">
        <f t="shared" ca="1" si="166"/>
        <v>0.72503084636347037</v>
      </c>
      <c r="I225" s="5">
        <f t="shared" ca="1" si="167"/>
        <v>0.59785257379201595</v>
      </c>
      <c r="J225" s="5">
        <f t="shared" ca="1" si="151"/>
        <v>0.19288874953048252</v>
      </c>
      <c r="K225" s="5">
        <f t="shared" ca="1" si="168"/>
        <v>0.50237867934543201</v>
      </c>
      <c r="L225" s="5">
        <f t="shared" ca="1" si="169"/>
        <v>5.962500232566335E-3</v>
      </c>
      <c r="M225" s="5">
        <f t="shared" ca="1" si="152"/>
        <v>9.1545274205431904E-2</v>
      </c>
      <c r="N225" s="5">
        <f t="shared" ca="1" si="170"/>
        <v>0.80934457546011407</v>
      </c>
      <c r="O225" s="5">
        <f t="shared" ca="1" si="171"/>
        <v>0.87548356452393428</v>
      </c>
      <c r="P225" s="5">
        <f t="shared" ca="1" si="153"/>
        <v>0.24361509176968599</v>
      </c>
      <c r="Q225" s="5">
        <f t="shared" ca="1" si="172"/>
        <v>0.80589466424056977</v>
      </c>
      <c r="R225" s="5">
        <f t="shared" ca="1" si="173"/>
        <v>0.86286686332054818</v>
      </c>
      <c r="S225" s="5">
        <f t="shared" ca="1" si="154"/>
        <v>0.24126376941261163</v>
      </c>
      <c r="T225" s="5">
        <f t="shared" ca="1" si="174"/>
        <v>0.2796229598540737</v>
      </c>
      <c r="U225" s="5">
        <f t="shared" ca="1" si="175"/>
        <v>-0.5839619386194802</v>
      </c>
      <c r="V225" s="5">
        <f t="shared" ca="1" si="155"/>
        <v>-8.9389103408665793E-4</v>
      </c>
      <c r="W225" s="5">
        <f t="shared" ca="1" si="176"/>
        <v>0.89098493083460362</v>
      </c>
      <c r="X225" s="5">
        <f t="shared" ca="1" si="177"/>
        <v>1.2317830454448677</v>
      </c>
      <c r="Y225" s="5">
        <f t="shared" ca="1" si="156"/>
        <v>0.31188817814438385</v>
      </c>
      <c r="Z225" s="5">
        <f t="shared" ca="1" si="178"/>
        <v>0.57266953944526333</v>
      </c>
      <c r="AA225" s="5">
        <f t="shared" ca="1" si="179"/>
        <v>0.18317473040701318</v>
      </c>
      <c r="AB225" s="5">
        <f t="shared" ca="1" si="157"/>
        <v>0.12094962952471899</v>
      </c>
      <c r="AC225" s="5">
        <f t="shared" ca="1" si="180"/>
        <v>0.2059566606738723</v>
      </c>
      <c r="AD225" s="5">
        <f t="shared" ca="1" si="181"/>
        <v>-0.82053125116248482</v>
      </c>
      <c r="AE225" s="5">
        <f t="shared" ca="1" si="158"/>
        <v>-3.5725899022726049E-2</v>
      </c>
      <c r="AF225" s="5">
        <f t="shared" ca="1" si="183"/>
        <v>0.88870941334383702</v>
      </c>
      <c r="AG225" s="5">
        <f t="shared" ca="1" si="184"/>
        <v>1.1490827276241775</v>
      </c>
      <c r="AH225" s="5">
        <f t="shared" ca="1" si="185"/>
        <v>1.1928887495304825</v>
      </c>
      <c r="AI225" s="5">
        <f t="shared" ca="1" si="186"/>
        <v>1.0915452742054319</v>
      </c>
      <c r="AJ225" s="5">
        <f t="shared" ca="1" si="187"/>
        <v>1.243615091769686</v>
      </c>
      <c r="AK225" s="5">
        <f t="shared" ca="1" si="188"/>
        <v>1.2412637694126116</v>
      </c>
      <c r="AL225" s="5">
        <f t="shared" ca="1" si="189"/>
        <v>0.99910610896591334</v>
      </c>
      <c r="AM225" s="5">
        <f t="shared" ca="1" si="190"/>
        <v>1.3118881781443839</v>
      </c>
      <c r="AN225" s="5">
        <f t="shared" ca="1" si="191"/>
        <v>1.120949629524719</v>
      </c>
      <c r="AO225" s="5">
        <f t="shared" ca="1" si="192"/>
        <v>0.96427410097727395</v>
      </c>
      <c r="AP225" s="5">
        <f t="shared" ca="1" si="193"/>
        <v>2.9080232159249131</v>
      </c>
      <c r="AQ225" s="4">
        <f t="shared" ca="1" si="159"/>
        <v>29080.232159249132</v>
      </c>
      <c r="AR225">
        <f t="shared" ca="1" si="160"/>
        <v>1</v>
      </c>
      <c r="AS225">
        <f t="shared" ca="1" si="161"/>
        <v>0</v>
      </c>
    </row>
    <row r="226" spans="1:45" x14ac:dyDescent="0.25">
      <c r="A226" s="10">
        <f t="shared" si="182"/>
        <v>205</v>
      </c>
      <c r="B226" s="5">
        <f t="shared" ca="1" si="162"/>
        <v>0.33268965599732725</v>
      </c>
      <c r="C226" s="5">
        <f t="shared" ca="1" si="163"/>
        <v>-0.43249826629919175</v>
      </c>
      <c r="D226" s="5">
        <f t="shared" ca="1" si="149"/>
        <v>2.2065173253598802E-2</v>
      </c>
      <c r="E226" s="5">
        <f t="shared" ca="1" si="164"/>
        <v>4.1832206781548198E-2</v>
      </c>
      <c r="F226" s="5">
        <f t="shared" ca="1" si="165"/>
        <v>-1.7298089572786197</v>
      </c>
      <c r="G226" s="5">
        <f t="shared" ca="1" si="150"/>
        <v>-0.15867003165896687</v>
      </c>
      <c r="H226" s="5">
        <f t="shared" ca="1" si="166"/>
        <v>0.56911677460718657</v>
      </c>
      <c r="I226" s="5">
        <f t="shared" ca="1" si="167"/>
        <v>0.17412598662684578</v>
      </c>
      <c r="J226" s="5">
        <f t="shared" ca="1" si="151"/>
        <v>0.11942918371927758</v>
      </c>
      <c r="K226" s="5">
        <f t="shared" ca="1" si="168"/>
        <v>0.82445368712685818</v>
      </c>
      <c r="L226" s="5">
        <f t="shared" ca="1" si="169"/>
        <v>0.93247204785674931</v>
      </c>
      <c r="M226" s="5">
        <f t="shared" ca="1" si="152"/>
        <v>0.25429141952613366</v>
      </c>
      <c r="N226" s="5">
        <f t="shared" ca="1" si="170"/>
        <v>0.5810250121853372</v>
      </c>
      <c r="O226" s="5">
        <f t="shared" ca="1" si="171"/>
        <v>0.2045164023723969</v>
      </c>
      <c r="P226" s="5">
        <f t="shared" ca="1" si="153"/>
        <v>0.12454382030077293</v>
      </c>
      <c r="Q226" s="5">
        <f t="shared" ca="1" si="172"/>
        <v>0.49232083948014993</v>
      </c>
      <c r="R226" s="5">
        <f t="shared" ca="1" si="173"/>
        <v>-1.9249989704519049E-2</v>
      </c>
      <c r="S226" s="5">
        <f t="shared" ca="1" si="154"/>
        <v>8.7424984187853383E-2</v>
      </c>
      <c r="T226" s="5">
        <f t="shared" ca="1" si="174"/>
        <v>0.41101383885880449</v>
      </c>
      <c r="U226" s="5">
        <f t="shared" ca="1" si="175"/>
        <v>-0.22493778052519661</v>
      </c>
      <c r="V226" s="5">
        <f t="shared" ca="1" si="155"/>
        <v>5.438676541781251E-2</v>
      </c>
      <c r="W226" s="5">
        <f t="shared" ca="1" si="176"/>
        <v>0.30587314865636461</v>
      </c>
      <c r="X226" s="5">
        <f t="shared" ca="1" si="177"/>
        <v>-0.50758231263264986</v>
      </c>
      <c r="Y226" s="5">
        <f t="shared" ca="1" si="156"/>
        <v>1.0618634857068932E-2</v>
      </c>
      <c r="Z226" s="5">
        <f t="shared" ca="1" si="178"/>
        <v>0.76919606322976564</v>
      </c>
      <c r="AA226" s="5">
        <f t="shared" ca="1" si="179"/>
        <v>0.73620183854475241</v>
      </c>
      <c r="AB226" s="5">
        <f t="shared" ca="1" si="157"/>
        <v>0.21790269359682779</v>
      </c>
      <c r="AC226" s="5">
        <f t="shared" ca="1" si="180"/>
        <v>0.91350846188323453</v>
      </c>
      <c r="AD226" s="5">
        <f t="shared" ca="1" si="181"/>
        <v>1.3626809751776889</v>
      </c>
      <c r="AE226" s="5">
        <f t="shared" ca="1" si="158"/>
        <v>0.33790123860058752</v>
      </c>
      <c r="AF226" s="5">
        <f t="shared" ca="1" si="183"/>
        <v>1.0220651732535988</v>
      </c>
      <c r="AG226" s="5">
        <f t="shared" ca="1" si="184"/>
        <v>0.84132996834103313</v>
      </c>
      <c r="AH226" s="5">
        <f t="shared" ca="1" si="185"/>
        <v>1.1194291837192776</v>
      </c>
      <c r="AI226" s="5">
        <f t="shared" ca="1" si="186"/>
        <v>1.2542914195261337</v>
      </c>
      <c r="AJ226" s="5">
        <f t="shared" ca="1" si="187"/>
        <v>1.1245438203007729</v>
      </c>
      <c r="AK226" s="5">
        <f t="shared" ca="1" si="188"/>
        <v>1.0874249841878534</v>
      </c>
      <c r="AL226" s="5">
        <f t="shared" ca="1" si="189"/>
        <v>1.0543867654178125</v>
      </c>
      <c r="AM226" s="5">
        <f t="shared" ca="1" si="190"/>
        <v>1.0106186348570689</v>
      </c>
      <c r="AN226" s="5">
        <f t="shared" ca="1" si="191"/>
        <v>1.2179026935968278</v>
      </c>
      <c r="AO226" s="5">
        <f t="shared" ca="1" si="192"/>
        <v>1.3379012386005875</v>
      </c>
      <c r="AP226" s="5">
        <f t="shared" ca="1" si="193"/>
        <v>2.5635371181570981</v>
      </c>
      <c r="AQ226" s="4">
        <f t="shared" ca="1" si="159"/>
        <v>25635.371181570979</v>
      </c>
      <c r="AR226">
        <f t="shared" ca="1" si="160"/>
        <v>1</v>
      </c>
      <c r="AS226">
        <f t="shared" ca="1" si="161"/>
        <v>0</v>
      </c>
    </row>
    <row r="227" spans="1:45" x14ac:dyDescent="0.25">
      <c r="A227" s="10">
        <f t="shared" si="182"/>
        <v>206</v>
      </c>
      <c r="B227" s="5">
        <f t="shared" ca="1" si="162"/>
        <v>0.86817751995665471</v>
      </c>
      <c r="C227" s="5">
        <f t="shared" ca="1" si="163"/>
        <v>1.1178174665591374</v>
      </c>
      <c r="D227" s="5">
        <f t="shared" ca="1" si="149"/>
        <v>0.28965226495378449</v>
      </c>
      <c r="E227" s="5">
        <f t="shared" ca="1" si="164"/>
        <v>0.27757917420911304</v>
      </c>
      <c r="F227" s="5">
        <f t="shared" ca="1" si="165"/>
        <v>-0.59004818060248254</v>
      </c>
      <c r="G227" s="5">
        <f t="shared" ca="1" si="150"/>
        <v>-1.8055950388049524E-3</v>
      </c>
      <c r="H227" s="5">
        <f t="shared" ca="1" si="166"/>
        <v>0.77704581210750445</v>
      </c>
      <c r="I227" s="5">
        <f t="shared" ca="1" si="167"/>
        <v>0.76225407837755343</v>
      </c>
      <c r="J227" s="5">
        <f t="shared" ca="1" si="151"/>
        <v>0.22267136908903051</v>
      </c>
      <c r="K227" s="5">
        <f t="shared" ca="1" si="168"/>
        <v>0.93630910804443046</v>
      </c>
      <c r="L227" s="5">
        <f t="shared" ca="1" si="169"/>
        <v>1.5245083046780266</v>
      </c>
      <c r="M227" s="5">
        <f t="shared" ca="1" si="152"/>
        <v>0.37077496213265015</v>
      </c>
      <c r="N227" s="5">
        <f t="shared" ca="1" si="170"/>
        <v>0.50487168899948354</v>
      </c>
      <c r="O227" s="5">
        <f t="shared" ca="1" si="171"/>
        <v>1.221181690612437E-2</v>
      </c>
      <c r="P227" s="5">
        <f t="shared" ca="1" si="153"/>
        <v>9.2568965745722043E-2</v>
      </c>
      <c r="Q227" s="5">
        <f t="shared" ca="1" si="172"/>
        <v>0.17380511267388232</v>
      </c>
      <c r="R227" s="5">
        <f t="shared" ca="1" si="173"/>
        <v>-0.93923476134041739</v>
      </c>
      <c r="S227" s="5">
        <f t="shared" ca="1" si="154"/>
        <v>-5.2743355129374003E-2</v>
      </c>
      <c r="T227" s="5">
        <f t="shared" ca="1" si="174"/>
        <v>0.89587347533355788</v>
      </c>
      <c r="U227" s="5">
        <f t="shared" ca="1" si="175"/>
        <v>1.2583836297351265</v>
      </c>
      <c r="V227" s="5">
        <f t="shared" ca="1" si="155"/>
        <v>0.31713318401153079</v>
      </c>
      <c r="W227" s="5">
        <f t="shared" ca="1" si="176"/>
        <v>0.73176864626751836</v>
      </c>
      <c r="X227" s="5">
        <f t="shared" ca="1" si="177"/>
        <v>0.61817087366600576</v>
      </c>
      <c r="Y227" s="5">
        <f t="shared" ca="1" si="156"/>
        <v>0.19652991608492898</v>
      </c>
      <c r="Z227" s="5">
        <f t="shared" ca="1" si="178"/>
        <v>0.5842959589448703</v>
      </c>
      <c r="AA227" s="5">
        <f t="shared" ca="1" si="179"/>
        <v>0.21289600037804246</v>
      </c>
      <c r="AB227" s="5">
        <f t="shared" ca="1" si="157"/>
        <v>0.12595819277809661</v>
      </c>
      <c r="AC227" s="5">
        <f t="shared" ca="1" si="180"/>
        <v>0.91331751304539666</v>
      </c>
      <c r="AD227" s="5">
        <f t="shared" ca="1" si="181"/>
        <v>1.3614707407885036</v>
      </c>
      <c r="AE227" s="5">
        <f t="shared" ca="1" si="158"/>
        <v>0.33765838453128705</v>
      </c>
      <c r="AF227" s="5">
        <f t="shared" ca="1" si="183"/>
        <v>1.2896522649537845</v>
      </c>
      <c r="AG227" s="5">
        <f t="shared" ca="1" si="184"/>
        <v>0.99819440496119505</v>
      </c>
      <c r="AH227" s="5">
        <f t="shared" ca="1" si="185"/>
        <v>1.2226713690890305</v>
      </c>
      <c r="AI227" s="5">
        <f t="shared" ca="1" si="186"/>
        <v>1.3707749621326502</v>
      </c>
      <c r="AJ227" s="5">
        <f t="shared" ca="1" si="187"/>
        <v>1.092568965745722</v>
      </c>
      <c r="AK227" s="5">
        <f t="shared" ca="1" si="188"/>
        <v>0.947256644870626</v>
      </c>
      <c r="AL227" s="5">
        <f t="shared" ca="1" si="189"/>
        <v>1.3171331840115308</v>
      </c>
      <c r="AM227" s="5">
        <f t="shared" ca="1" si="190"/>
        <v>1.196529916084929</v>
      </c>
      <c r="AN227" s="5">
        <f t="shared" ca="1" si="191"/>
        <v>1.1259581927780966</v>
      </c>
      <c r="AO227" s="5">
        <f t="shared" ca="1" si="192"/>
        <v>1.337658384531287</v>
      </c>
      <c r="AP227" s="5">
        <f t="shared" ca="1" si="193"/>
        <v>5.300305685328051</v>
      </c>
      <c r="AQ227" s="4">
        <f t="shared" ca="1" si="159"/>
        <v>53003.056853280512</v>
      </c>
      <c r="AR227">
        <f t="shared" ca="1" si="160"/>
        <v>1</v>
      </c>
      <c r="AS227">
        <f t="shared" ca="1" si="161"/>
        <v>0</v>
      </c>
    </row>
    <row r="228" spans="1:45" x14ac:dyDescent="0.25">
      <c r="A228" s="10">
        <f t="shared" si="182"/>
        <v>207</v>
      </c>
      <c r="B228" s="5">
        <f t="shared" ca="1" si="162"/>
        <v>0.69670929607833887</v>
      </c>
      <c r="C228" s="5">
        <f t="shared" ca="1" si="163"/>
        <v>0.51495937619426091</v>
      </c>
      <c r="D228" s="5">
        <f t="shared" ca="1" si="149"/>
        <v>0.17814822669813357</v>
      </c>
      <c r="E228" s="5">
        <f t="shared" ca="1" si="164"/>
        <v>0.32482439137408514</v>
      </c>
      <c r="F228" s="5">
        <f t="shared" ca="1" si="165"/>
        <v>-0.45425016174063143</v>
      </c>
      <c r="G228" s="5">
        <f t="shared" ca="1" si="150"/>
        <v>1.8735829455136965E-2</v>
      </c>
      <c r="H228" s="5">
        <f t="shared" ca="1" si="166"/>
        <v>0.22584454372964102</v>
      </c>
      <c r="I228" s="5">
        <f t="shared" ca="1" si="167"/>
        <v>-0.752602046557455</v>
      </c>
      <c r="J228" s="5">
        <f t="shared" ca="1" si="151"/>
        <v>-2.585031552068251E-2</v>
      </c>
      <c r="K228" s="5">
        <f t="shared" ca="1" si="168"/>
        <v>0.95318124399068371</v>
      </c>
      <c r="L228" s="5">
        <f t="shared" ca="1" si="169"/>
        <v>1.6765142262486938</v>
      </c>
      <c r="M228" s="5">
        <f t="shared" ca="1" si="152"/>
        <v>0.40238889207172401</v>
      </c>
      <c r="N228" s="5">
        <f t="shared" ca="1" si="170"/>
        <v>0.90120709510553776</v>
      </c>
      <c r="O228" s="5">
        <f t="shared" ca="1" si="171"/>
        <v>1.28846021409957</v>
      </c>
      <c r="P228" s="5">
        <f t="shared" ca="1" si="153"/>
        <v>0.32308883843992375</v>
      </c>
      <c r="Q228" s="5">
        <f t="shared" ca="1" si="172"/>
        <v>0.82953446513857387</v>
      </c>
      <c r="R228" s="5">
        <f t="shared" ca="1" si="173"/>
        <v>0.9523271954148258</v>
      </c>
      <c r="S228" s="5">
        <f t="shared" ca="1" si="154"/>
        <v>0.25803260908336934</v>
      </c>
      <c r="T228" s="5">
        <f t="shared" ca="1" si="174"/>
        <v>0.38468081309652258</v>
      </c>
      <c r="U228" s="5">
        <f t="shared" ca="1" si="175"/>
        <v>-0.29321001929993656</v>
      </c>
      <c r="V228" s="5">
        <f t="shared" ca="1" si="155"/>
        <v>4.3644064669985383E-2</v>
      </c>
      <c r="W228" s="5">
        <f t="shared" ca="1" si="176"/>
        <v>0.78112627640914833</v>
      </c>
      <c r="X228" s="5">
        <f t="shared" ca="1" si="177"/>
        <v>0.77600260597835069</v>
      </c>
      <c r="Y228" s="5">
        <f t="shared" ca="1" si="156"/>
        <v>0.22519546054472372</v>
      </c>
      <c r="Z228" s="5">
        <f t="shared" ca="1" si="178"/>
        <v>7.1222463120096169E-2</v>
      </c>
      <c r="AA228" s="5">
        <f t="shared" ca="1" si="179"/>
        <v>-1.4667468749028232</v>
      </c>
      <c r="AB228" s="5">
        <f t="shared" ca="1" si="157"/>
        <v>-0.124808037730753</v>
      </c>
      <c r="AC228" s="5">
        <f t="shared" ca="1" si="180"/>
        <v>0.48801387158879472</v>
      </c>
      <c r="AD228" s="5">
        <f t="shared" ca="1" si="181"/>
        <v>-3.0049289983398925E-2</v>
      </c>
      <c r="AE228" s="5">
        <f t="shared" ca="1" si="158"/>
        <v>8.5664895811701447E-2</v>
      </c>
      <c r="AF228" s="5">
        <f t="shared" ca="1" si="183"/>
        <v>1.1781482266981336</v>
      </c>
      <c r="AG228" s="5">
        <f t="shared" ca="1" si="184"/>
        <v>1.018735829455137</v>
      </c>
      <c r="AH228" s="5">
        <f t="shared" ca="1" si="185"/>
        <v>0.97414968447931749</v>
      </c>
      <c r="AI228" s="5">
        <f t="shared" ca="1" si="186"/>
        <v>1.402388892071724</v>
      </c>
      <c r="AJ228" s="5">
        <f t="shared" ca="1" si="187"/>
        <v>1.3230888384399238</v>
      </c>
      <c r="AK228" s="5">
        <f t="shared" ca="1" si="188"/>
        <v>1.2580326090833693</v>
      </c>
      <c r="AL228" s="5">
        <f t="shared" ca="1" si="189"/>
        <v>1.0436440646699854</v>
      </c>
      <c r="AM228" s="5">
        <f t="shared" ca="1" si="190"/>
        <v>1.2251954605447237</v>
      </c>
      <c r="AN228" s="5">
        <f t="shared" ca="1" si="191"/>
        <v>0.875191962269247</v>
      </c>
      <c r="AO228" s="5">
        <f t="shared" ca="1" si="192"/>
        <v>1.0856648958117014</v>
      </c>
      <c r="AP228" s="5">
        <f t="shared" ca="1" si="193"/>
        <v>3.3158393322346105</v>
      </c>
      <c r="AQ228" s="4">
        <f t="shared" ca="1" si="159"/>
        <v>33158.393322346106</v>
      </c>
      <c r="AR228">
        <f t="shared" ca="1" si="160"/>
        <v>1</v>
      </c>
      <c r="AS228">
        <f t="shared" ca="1" si="161"/>
        <v>0</v>
      </c>
    </row>
    <row r="229" spans="1:45" x14ac:dyDescent="0.25">
      <c r="A229" s="10">
        <f t="shared" si="182"/>
        <v>208</v>
      </c>
      <c r="B229" s="5">
        <f t="shared" ca="1" si="162"/>
        <v>0.78646462253368021</v>
      </c>
      <c r="C229" s="5">
        <f t="shared" ca="1" si="163"/>
        <v>0.79421417985336928</v>
      </c>
      <c r="D229" s="5">
        <f t="shared" ca="1" si="149"/>
        <v>0.22854694679466592</v>
      </c>
      <c r="E229" s="5">
        <f t="shared" ca="1" si="164"/>
        <v>0.69013384973969871</v>
      </c>
      <c r="F229" s="5">
        <f t="shared" ca="1" si="165"/>
        <v>0.49622978270103163</v>
      </c>
      <c r="G229" s="5">
        <f t="shared" ca="1" si="150"/>
        <v>0.17484293627400138</v>
      </c>
      <c r="H229" s="5">
        <f t="shared" ca="1" si="166"/>
        <v>0.58515139910383285</v>
      </c>
      <c r="I229" s="5">
        <f t="shared" ca="1" si="167"/>
        <v>0.21508993394695031</v>
      </c>
      <c r="J229" s="5">
        <f t="shared" ca="1" si="151"/>
        <v>0.12632879537701158</v>
      </c>
      <c r="K229" s="5">
        <f t="shared" ca="1" si="168"/>
        <v>0.5339079747520713</v>
      </c>
      <c r="L229" s="5">
        <f t="shared" ca="1" si="169"/>
        <v>8.5097282785665418E-2</v>
      </c>
      <c r="M229" s="5">
        <f t="shared" ca="1" si="152"/>
        <v>0.10457935956312592</v>
      </c>
      <c r="N229" s="5">
        <f t="shared" ca="1" si="170"/>
        <v>9.2664737708215816E-2</v>
      </c>
      <c r="O229" s="5">
        <f t="shared" ca="1" si="171"/>
        <v>-1.3245228017867614</v>
      </c>
      <c r="P229" s="5">
        <f t="shared" ca="1" si="153"/>
        <v>-0.10593644905600952</v>
      </c>
      <c r="Q229" s="5">
        <f t="shared" ca="1" si="172"/>
        <v>0.99703399131488746</v>
      </c>
      <c r="R229" s="5">
        <f t="shared" ca="1" si="173"/>
        <v>2.7515157141195887</v>
      </c>
      <c r="S229" s="5">
        <f t="shared" ca="1" si="154"/>
        <v>0.64777741247259835</v>
      </c>
      <c r="T229" s="5">
        <f t="shared" ca="1" si="174"/>
        <v>0.78903826872958094</v>
      </c>
      <c r="U229" s="5">
        <f t="shared" ca="1" si="175"/>
        <v>0.80308871036375484</v>
      </c>
      <c r="V229" s="5">
        <f t="shared" ca="1" si="155"/>
        <v>0.23018345239883731</v>
      </c>
      <c r="W229" s="5">
        <f t="shared" ca="1" si="176"/>
        <v>2.4405060642557874E-2</v>
      </c>
      <c r="X229" s="5">
        <f t="shared" ca="1" si="177"/>
        <v>-1.9702465468427302</v>
      </c>
      <c r="Y229" s="5">
        <f t="shared" ca="1" si="156"/>
        <v>-0.18847248156754981</v>
      </c>
      <c r="Z229" s="5">
        <f t="shared" ca="1" si="178"/>
        <v>0.69437666350021465</v>
      </c>
      <c r="AA229" s="5">
        <f t="shared" ca="1" si="179"/>
        <v>0.50829471906364021</v>
      </c>
      <c r="AB229" s="5">
        <f t="shared" ca="1" si="157"/>
        <v>0.17697102212404037</v>
      </c>
      <c r="AC229" s="5">
        <f t="shared" ca="1" si="180"/>
        <v>0.75437867960198102</v>
      </c>
      <c r="AD229" s="5">
        <f t="shared" ca="1" si="181"/>
        <v>0.68833373753884619</v>
      </c>
      <c r="AE229" s="5">
        <f t="shared" ca="1" si="158"/>
        <v>0.2091892100030448</v>
      </c>
      <c r="AF229" s="5">
        <f t="shared" ca="1" si="183"/>
        <v>1.2285469467946659</v>
      </c>
      <c r="AG229" s="5">
        <f t="shared" ca="1" si="184"/>
        <v>1.1748429362740014</v>
      </c>
      <c r="AH229" s="5">
        <f t="shared" ca="1" si="185"/>
        <v>1.1263287953770116</v>
      </c>
      <c r="AI229" s="5">
        <f t="shared" ca="1" si="186"/>
        <v>1.1045793595631259</v>
      </c>
      <c r="AJ229" s="5">
        <f t="shared" ca="1" si="187"/>
        <v>0.89406355094399048</v>
      </c>
      <c r="AK229" s="5">
        <f t="shared" ca="1" si="188"/>
        <v>1.6477774124725983</v>
      </c>
      <c r="AL229" s="5">
        <f t="shared" ca="1" si="189"/>
        <v>1.2301834523988373</v>
      </c>
      <c r="AM229" s="5">
        <f t="shared" ca="1" si="190"/>
        <v>0.81152751843245019</v>
      </c>
      <c r="AN229" s="5">
        <f t="shared" ca="1" si="191"/>
        <v>1.1769710221240404</v>
      </c>
      <c r="AO229" s="5">
        <f t="shared" ca="1" si="192"/>
        <v>1.2091892100030448</v>
      </c>
      <c r="AP229" s="5">
        <f t="shared" ca="1" si="193"/>
        <v>3.7586663741587683</v>
      </c>
      <c r="AQ229" s="4">
        <f t="shared" ca="1" si="159"/>
        <v>37586.663741587683</v>
      </c>
      <c r="AR229">
        <f t="shared" ca="1" si="160"/>
        <v>1</v>
      </c>
      <c r="AS229">
        <f t="shared" ca="1" si="161"/>
        <v>0</v>
      </c>
    </row>
    <row r="230" spans="1:45" x14ac:dyDescent="0.25">
      <c r="A230" s="10">
        <f t="shared" si="182"/>
        <v>209</v>
      </c>
      <c r="B230" s="5">
        <f t="shared" ca="1" si="162"/>
        <v>0.69105429906592797</v>
      </c>
      <c r="C230" s="5">
        <f t="shared" ca="1" si="163"/>
        <v>0.49884099905682833</v>
      </c>
      <c r="D230" s="5">
        <f t="shared" ca="1" si="149"/>
        <v>0.17530319176872156</v>
      </c>
      <c r="E230" s="5">
        <f t="shared" ca="1" si="164"/>
        <v>0.79120409550742921</v>
      </c>
      <c r="F230" s="5">
        <f t="shared" ca="1" si="165"/>
        <v>0.8106062805148424</v>
      </c>
      <c r="G230" s="5">
        <f t="shared" ca="1" si="150"/>
        <v>0.23157143338040931</v>
      </c>
      <c r="H230" s="5">
        <f t="shared" ca="1" si="166"/>
        <v>0.47259066520846871</v>
      </c>
      <c r="I230" s="5">
        <f t="shared" ca="1" si="167"/>
        <v>-6.875915534395137E-2</v>
      </c>
      <c r="J230" s="5">
        <f t="shared" ca="1" si="151"/>
        <v>7.9379270857431461E-2</v>
      </c>
      <c r="K230" s="5">
        <f t="shared" ca="1" si="168"/>
        <v>0.84461525385497471</v>
      </c>
      <c r="L230" s="5">
        <f t="shared" ca="1" si="169"/>
        <v>1.0136087259333095</v>
      </c>
      <c r="M230" s="5">
        <f t="shared" ca="1" si="152"/>
        <v>0.26965004691703709</v>
      </c>
      <c r="N230" s="5">
        <f t="shared" ca="1" si="170"/>
        <v>0.84033049250822289</v>
      </c>
      <c r="O230" s="5">
        <f t="shared" ca="1" si="171"/>
        <v>0.99581711076587431</v>
      </c>
      <c r="P230" s="5">
        <f t="shared" ca="1" si="153"/>
        <v>0.2662661954842811</v>
      </c>
      <c r="Q230" s="5">
        <f t="shared" ca="1" si="172"/>
        <v>0.80465498456236373</v>
      </c>
      <c r="R230" s="5">
        <f t="shared" ca="1" si="173"/>
        <v>0.85836666089207725</v>
      </c>
      <c r="S230" s="5">
        <f t="shared" ca="1" si="154"/>
        <v>0.24042616141541062</v>
      </c>
      <c r="T230" s="5">
        <f t="shared" ca="1" si="174"/>
        <v>0.81113336243591228</v>
      </c>
      <c r="U230" s="5">
        <f t="shared" ca="1" si="175"/>
        <v>0.88208050251329495</v>
      </c>
      <c r="V230" s="5">
        <f t="shared" ca="1" si="155"/>
        <v>0.24484630858524925</v>
      </c>
      <c r="W230" s="5">
        <f t="shared" ca="1" si="176"/>
        <v>0.39364744315205391</v>
      </c>
      <c r="X230" s="5">
        <f t="shared" ca="1" si="177"/>
        <v>-0.26982500313416968</v>
      </c>
      <c r="Y230" s="5">
        <f t="shared" ca="1" si="156"/>
        <v>4.7311337851448476E-2</v>
      </c>
      <c r="Z230" s="5">
        <f t="shared" ca="1" si="178"/>
        <v>0.8739765047060476</v>
      </c>
      <c r="AA230" s="5">
        <f t="shared" ca="1" si="179"/>
        <v>1.145391565732923</v>
      </c>
      <c r="AB230" s="5">
        <f t="shared" ca="1" si="157"/>
        <v>0.29499746142491445</v>
      </c>
      <c r="AC230" s="5">
        <f t="shared" ca="1" si="180"/>
        <v>0.8667447939382027</v>
      </c>
      <c r="AD230" s="5">
        <f t="shared" ca="1" si="181"/>
        <v>1.1111346105715645</v>
      </c>
      <c r="AE230" s="5">
        <f t="shared" ca="1" si="158"/>
        <v>0.28836012864494109</v>
      </c>
      <c r="AF230" s="5">
        <f t="shared" ca="1" si="183"/>
        <v>1.1753031917687216</v>
      </c>
      <c r="AG230" s="5">
        <f t="shared" ca="1" si="184"/>
        <v>1.2315714333804093</v>
      </c>
      <c r="AH230" s="5">
        <f t="shared" ca="1" si="185"/>
        <v>1.0793792708574315</v>
      </c>
      <c r="AI230" s="5">
        <f t="shared" ca="1" si="186"/>
        <v>1.2696500469170371</v>
      </c>
      <c r="AJ230" s="5">
        <f t="shared" ca="1" si="187"/>
        <v>1.2662661954842811</v>
      </c>
      <c r="AK230" s="5">
        <f t="shared" ca="1" si="188"/>
        <v>1.2404261614154106</v>
      </c>
      <c r="AL230" s="5">
        <f t="shared" ca="1" si="189"/>
        <v>1.2448463085852493</v>
      </c>
      <c r="AM230" s="5">
        <f t="shared" ca="1" si="190"/>
        <v>1.0473113378514485</v>
      </c>
      <c r="AN230" s="5">
        <f t="shared" ca="1" si="191"/>
        <v>1.2949974614249145</v>
      </c>
      <c r="AO230" s="5">
        <f t="shared" ca="1" si="192"/>
        <v>1.2883601286449411</v>
      </c>
      <c r="AP230" s="5">
        <f t="shared" ca="1" si="193"/>
        <v>6.7773715149636136</v>
      </c>
      <c r="AQ230" s="4">
        <f t="shared" ca="1" si="159"/>
        <v>67773.715149636133</v>
      </c>
      <c r="AR230">
        <f t="shared" ca="1" si="160"/>
        <v>1</v>
      </c>
      <c r="AS230">
        <f t="shared" ca="1" si="161"/>
        <v>0</v>
      </c>
    </row>
    <row r="231" spans="1:45" x14ac:dyDescent="0.25">
      <c r="A231" s="10">
        <f t="shared" si="182"/>
        <v>210</v>
      </c>
      <c r="B231" s="5">
        <f t="shared" ca="1" si="162"/>
        <v>0.32263836517032674</v>
      </c>
      <c r="C231" s="5">
        <f t="shared" ca="1" si="163"/>
        <v>-0.46033367933169439</v>
      </c>
      <c r="D231" s="5">
        <f t="shared" ca="1" si="149"/>
        <v>1.7806628879349473E-2</v>
      </c>
      <c r="E231" s="5">
        <f t="shared" ca="1" si="164"/>
        <v>0.98770172241951015</v>
      </c>
      <c r="F231" s="5">
        <f t="shared" ca="1" si="165"/>
        <v>2.2476807373390768</v>
      </c>
      <c r="G231" s="5">
        <f t="shared" ca="1" si="150"/>
        <v>0.52783562638260939</v>
      </c>
      <c r="H231" s="5">
        <f t="shared" ca="1" si="166"/>
        <v>0.91992392399640144</v>
      </c>
      <c r="I231" s="5">
        <f t="shared" ca="1" si="167"/>
        <v>1.4045600206526723</v>
      </c>
      <c r="J231" s="5">
        <f t="shared" ca="1" si="151"/>
        <v>0.34633219593086162</v>
      </c>
      <c r="K231" s="5">
        <f t="shared" ca="1" si="168"/>
        <v>0.48407258180224411</v>
      </c>
      <c r="L231" s="5">
        <f t="shared" ca="1" si="169"/>
        <v>-3.9934728792528948E-2</v>
      </c>
      <c r="M231" s="5">
        <f t="shared" ca="1" si="152"/>
        <v>8.4056247686681962E-2</v>
      </c>
      <c r="N231" s="5">
        <f t="shared" ca="1" si="170"/>
        <v>9.1037855947116775E-2</v>
      </c>
      <c r="O231" s="5">
        <f t="shared" ca="1" si="171"/>
        <v>-1.3343911103854809</v>
      </c>
      <c r="P231" s="5">
        <f t="shared" ca="1" si="153"/>
        <v>-0.10725890428894835</v>
      </c>
      <c r="Q231" s="5">
        <f t="shared" ca="1" si="172"/>
        <v>0.93416421439617281</v>
      </c>
      <c r="R231" s="5">
        <f t="shared" ca="1" si="173"/>
        <v>1.507542841464286</v>
      </c>
      <c r="S231" s="5">
        <f t="shared" ca="1" si="154"/>
        <v>0.36729102218281984</v>
      </c>
      <c r="T231" s="5">
        <f t="shared" ca="1" si="174"/>
        <v>0.43714044957895482</v>
      </c>
      <c r="U231" s="5">
        <f t="shared" ca="1" si="175"/>
        <v>-0.1582232303354125</v>
      </c>
      <c r="V231" s="5">
        <f t="shared" ca="1" si="155"/>
        <v>6.4991177883579221E-2</v>
      </c>
      <c r="W231" s="5">
        <f t="shared" ca="1" si="176"/>
        <v>0.45350753675590949</v>
      </c>
      <c r="X231" s="5">
        <f t="shared" ca="1" si="177"/>
        <v>-0.11680437907133136</v>
      </c>
      <c r="Y231" s="5">
        <f t="shared" ca="1" si="156"/>
        <v>7.1628381113501449E-2</v>
      </c>
      <c r="Z231" s="5">
        <f t="shared" ca="1" si="178"/>
        <v>0.82077105811358675</v>
      </c>
      <c r="AA231" s="5">
        <f t="shared" ca="1" si="179"/>
        <v>0.91830753460579739</v>
      </c>
      <c r="AB231" s="5">
        <f t="shared" ca="1" si="157"/>
        <v>0.25162928450124356</v>
      </c>
      <c r="AC231" s="5">
        <f t="shared" ca="1" si="180"/>
        <v>0.45485823168157269</v>
      </c>
      <c r="AD231" s="5">
        <f t="shared" ca="1" si="181"/>
        <v>-0.11339618597167486</v>
      </c>
      <c r="AE231" s="5">
        <f t="shared" ca="1" si="158"/>
        <v>7.2176368643201538E-2</v>
      </c>
      <c r="AF231" s="5">
        <f t="shared" ca="1" si="183"/>
        <v>1.0178066288793495</v>
      </c>
      <c r="AG231" s="5">
        <f t="shared" ca="1" si="184"/>
        <v>1.5278356263826094</v>
      </c>
      <c r="AH231" s="5">
        <f t="shared" ca="1" si="185"/>
        <v>1.3463321959308616</v>
      </c>
      <c r="AI231" s="5">
        <f t="shared" ca="1" si="186"/>
        <v>1.084056247686682</v>
      </c>
      <c r="AJ231" s="5">
        <f t="shared" ca="1" si="187"/>
        <v>0.89274109571105165</v>
      </c>
      <c r="AK231" s="5">
        <f t="shared" ca="1" si="188"/>
        <v>1.3672910221828198</v>
      </c>
      <c r="AL231" s="5">
        <f t="shared" ca="1" si="189"/>
        <v>1.0649911778835792</v>
      </c>
      <c r="AM231" s="5">
        <f t="shared" ca="1" si="190"/>
        <v>1.0716283811135014</v>
      </c>
      <c r="AN231" s="5">
        <f t="shared" ca="1" si="191"/>
        <v>1.2516292845012436</v>
      </c>
      <c r="AO231" s="5">
        <f t="shared" ca="1" si="192"/>
        <v>1.0721763686432015</v>
      </c>
      <c r="AP231" s="5">
        <f t="shared" ca="1" si="193"/>
        <v>4.2429177154751825</v>
      </c>
      <c r="AQ231" s="4">
        <f t="shared" ca="1" si="159"/>
        <v>42429.177154751822</v>
      </c>
      <c r="AR231">
        <f t="shared" ca="1" si="160"/>
        <v>1</v>
      </c>
      <c r="AS231">
        <f t="shared" ca="1" si="161"/>
        <v>0</v>
      </c>
    </row>
    <row r="232" spans="1:45" x14ac:dyDescent="0.25">
      <c r="A232" s="10">
        <f t="shared" si="182"/>
        <v>211</v>
      </c>
      <c r="B232" s="5">
        <f t="shared" ca="1" si="162"/>
        <v>7.2580641256979717E-2</v>
      </c>
      <c r="C232" s="5">
        <f t="shared" ca="1" si="163"/>
        <v>-1.4568373523395202</v>
      </c>
      <c r="D232" s="5">
        <f t="shared" ca="1" si="149"/>
        <v>-0.12350616022201755</v>
      </c>
      <c r="E232" s="5">
        <f t="shared" ca="1" si="164"/>
        <v>0.5700505649440899</v>
      </c>
      <c r="F232" s="5">
        <f t="shared" ca="1" si="165"/>
        <v>0.17650290059389312</v>
      </c>
      <c r="G232" s="5">
        <f t="shared" ca="1" si="150"/>
        <v>0.11982837290721116</v>
      </c>
      <c r="H232" s="5">
        <f t="shared" ca="1" si="166"/>
        <v>0.70195208523132191</v>
      </c>
      <c r="I232" s="5">
        <f t="shared" ca="1" si="167"/>
        <v>0.53002322303245464</v>
      </c>
      <c r="J232" s="5">
        <f t="shared" ca="1" si="151"/>
        <v>0.18081335325951642</v>
      </c>
      <c r="K232" s="5">
        <f t="shared" ca="1" si="168"/>
        <v>0.35971078297819425</v>
      </c>
      <c r="L232" s="5">
        <f t="shared" ca="1" si="169"/>
        <v>-0.35923196476501312</v>
      </c>
      <c r="M232" s="5">
        <f t="shared" ca="1" si="152"/>
        <v>3.3359562210541149E-2</v>
      </c>
      <c r="N232" s="5">
        <f t="shared" ca="1" si="170"/>
        <v>0.56112937726464174</v>
      </c>
      <c r="O232" s="5">
        <f t="shared" ca="1" si="171"/>
        <v>0.15383321283485385</v>
      </c>
      <c r="P232" s="5">
        <f t="shared" ca="1" si="153"/>
        <v>0.11602691597475556</v>
      </c>
      <c r="Q232" s="5">
        <f t="shared" ca="1" si="172"/>
        <v>0.29007268169706801</v>
      </c>
      <c r="R232" s="5">
        <f t="shared" ca="1" si="173"/>
        <v>-0.55317240122455769</v>
      </c>
      <c r="S232" s="5">
        <f t="shared" ca="1" si="154"/>
        <v>3.7310830415069329E-3</v>
      </c>
      <c r="T232" s="5">
        <f t="shared" ca="1" si="174"/>
        <v>0.9651584169777796</v>
      </c>
      <c r="U232" s="5">
        <f t="shared" ca="1" si="175"/>
        <v>1.8139646645161878</v>
      </c>
      <c r="V232" s="5">
        <f t="shared" ca="1" si="155"/>
        <v>0.43160286287029392</v>
      </c>
      <c r="W232" s="5">
        <f t="shared" ca="1" si="176"/>
        <v>0.65528872876550526</v>
      </c>
      <c r="X232" s="5">
        <f t="shared" ca="1" si="177"/>
        <v>0.39963884326832677</v>
      </c>
      <c r="Y232" s="5">
        <f t="shared" ca="1" si="156"/>
        <v>0.15794377738396781</v>
      </c>
      <c r="Z232" s="5">
        <f t="shared" ca="1" si="178"/>
        <v>0.96428281972487828</v>
      </c>
      <c r="AA232" s="5">
        <f t="shared" ca="1" si="179"/>
        <v>1.8027062472082802</v>
      </c>
      <c r="AB232" s="5">
        <f t="shared" ca="1" si="157"/>
        <v>0.42918726576199817</v>
      </c>
      <c r="AC232" s="5">
        <f t="shared" ca="1" si="180"/>
        <v>0.51982966600106961</v>
      </c>
      <c r="AD232" s="5">
        <f t="shared" ca="1" si="181"/>
        <v>4.9726086690153326E-2</v>
      </c>
      <c r="AE232" s="5">
        <f t="shared" ca="1" si="158"/>
        <v>9.8734335217834479E-2</v>
      </c>
      <c r="AF232" s="5">
        <f t="shared" ca="1" si="183"/>
        <v>0.87649383977798245</v>
      </c>
      <c r="AG232" s="5">
        <f t="shared" ca="1" si="184"/>
        <v>1.1198283729072112</v>
      </c>
      <c r="AH232" s="5">
        <f t="shared" ca="1" si="185"/>
        <v>1.1808133532595164</v>
      </c>
      <c r="AI232" s="5">
        <f t="shared" ca="1" si="186"/>
        <v>1.0333595622105411</v>
      </c>
      <c r="AJ232" s="5">
        <f t="shared" ca="1" si="187"/>
        <v>1.1160269159747556</v>
      </c>
      <c r="AK232" s="5">
        <f t="shared" ca="1" si="188"/>
        <v>1.0037310830415069</v>
      </c>
      <c r="AL232" s="5">
        <f t="shared" ca="1" si="189"/>
        <v>1.4316028628702939</v>
      </c>
      <c r="AM232" s="5">
        <f t="shared" ca="1" si="190"/>
        <v>1.1579437773839678</v>
      </c>
      <c r="AN232" s="5">
        <f t="shared" ca="1" si="191"/>
        <v>1.4291872657619982</v>
      </c>
      <c r="AO232" s="5">
        <f t="shared" ca="1" si="192"/>
        <v>1.0987343352178345</v>
      </c>
      <c r="AP232" s="5">
        <f t="shared" ca="1" si="193"/>
        <v>3.4923435633339754</v>
      </c>
      <c r="AQ232" s="4">
        <f t="shared" ca="1" si="159"/>
        <v>34923.435633339752</v>
      </c>
      <c r="AR232">
        <f t="shared" ca="1" si="160"/>
        <v>1</v>
      </c>
      <c r="AS232">
        <f t="shared" ca="1" si="161"/>
        <v>0</v>
      </c>
    </row>
    <row r="233" spans="1:45" x14ac:dyDescent="0.25">
      <c r="A233" s="10">
        <f t="shared" si="182"/>
        <v>212</v>
      </c>
      <c r="B233" s="5">
        <f t="shared" ca="1" si="162"/>
        <v>0.78163798408627494</v>
      </c>
      <c r="C233" s="5">
        <f t="shared" ca="1" si="163"/>
        <v>0.7777370730390144</v>
      </c>
      <c r="D233" s="5">
        <f t="shared" ca="1" si="149"/>
        <v>0.22551426118949514</v>
      </c>
      <c r="E233" s="5">
        <f t="shared" ca="1" si="164"/>
        <v>5.214838314454795E-3</v>
      </c>
      <c r="F233" s="5">
        <f t="shared" ca="1" si="165"/>
        <v>-2.5612483626386404</v>
      </c>
      <c r="G233" s="5">
        <f t="shared" ca="1" si="150"/>
        <v>-0.25731795090809484</v>
      </c>
      <c r="H233" s="5">
        <f t="shared" ca="1" si="166"/>
        <v>0.15928294768584128</v>
      </c>
      <c r="I233" s="5">
        <f t="shared" ca="1" si="167"/>
        <v>-0.99740926628729765</v>
      </c>
      <c r="J233" s="5">
        <f t="shared" ca="1" si="151"/>
        <v>-6.0973322789952378E-2</v>
      </c>
      <c r="K233" s="5">
        <f t="shared" ca="1" si="168"/>
        <v>6.7928562386770142E-2</v>
      </c>
      <c r="L233" s="5">
        <f t="shared" ca="1" si="169"/>
        <v>-1.491397649864334</v>
      </c>
      <c r="M233" s="5">
        <f t="shared" ca="1" si="152"/>
        <v>-0.12803818614232398</v>
      </c>
      <c r="N233" s="5">
        <f t="shared" ca="1" si="170"/>
        <v>0.24461020572612735</v>
      </c>
      <c r="O233" s="5">
        <f t="shared" ca="1" si="171"/>
        <v>-0.69154929831000966</v>
      </c>
      <c r="P233" s="5">
        <f t="shared" ca="1" si="153"/>
        <v>-1.6888163539669043E-2</v>
      </c>
      <c r="Q233" s="5">
        <f t="shared" ca="1" si="172"/>
        <v>0.77439963932011258</v>
      </c>
      <c r="R233" s="5">
        <f t="shared" ca="1" si="173"/>
        <v>0.75341475101075484</v>
      </c>
      <c r="S233" s="5">
        <f t="shared" ca="1" si="154"/>
        <v>0.22105130447347454</v>
      </c>
      <c r="T233" s="5">
        <f t="shared" ca="1" si="174"/>
        <v>0.90026777468665842</v>
      </c>
      <c r="U233" s="5">
        <f t="shared" ca="1" si="175"/>
        <v>1.2830788560393274</v>
      </c>
      <c r="V233" s="5">
        <f t="shared" ca="1" si="155"/>
        <v>0.32202126715386847</v>
      </c>
      <c r="W233" s="5">
        <f t="shared" ca="1" si="176"/>
        <v>0.79227166598351551</v>
      </c>
      <c r="X233" s="5">
        <f t="shared" ca="1" si="177"/>
        <v>0.81432870771111643</v>
      </c>
      <c r="Y233" s="5">
        <f t="shared" ca="1" si="156"/>
        <v>0.23225929064959905</v>
      </c>
      <c r="Z233" s="5">
        <f t="shared" ca="1" si="178"/>
        <v>0.16370763733471683</v>
      </c>
      <c r="AA233" s="5">
        <f t="shared" ca="1" si="179"/>
        <v>-0.97933339569897804</v>
      </c>
      <c r="AB233" s="5">
        <f t="shared" ca="1" si="157"/>
        <v>-5.8423809296734075E-2</v>
      </c>
      <c r="AC233" s="5">
        <f t="shared" ca="1" si="180"/>
        <v>0.7664582228618958</v>
      </c>
      <c r="AD233" s="5">
        <f t="shared" ca="1" si="181"/>
        <v>0.72723247685760906</v>
      </c>
      <c r="AE233" s="5">
        <f t="shared" ca="1" si="158"/>
        <v>0.21626522390937675</v>
      </c>
      <c r="AF233" s="5">
        <f t="shared" ca="1" si="183"/>
        <v>1.2255142611894951</v>
      </c>
      <c r="AG233" s="5">
        <f t="shared" ca="1" si="184"/>
        <v>0.74268204909190516</v>
      </c>
      <c r="AH233" s="5">
        <f t="shared" ca="1" si="185"/>
        <v>0.93902667721004762</v>
      </c>
      <c r="AI233" s="5">
        <f t="shared" ca="1" si="186"/>
        <v>0.87196181385767602</v>
      </c>
      <c r="AJ233" s="5">
        <f t="shared" ca="1" si="187"/>
        <v>0.98311183646033096</v>
      </c>
      <c r="AK233" s="5">
        <f t="shared" ca="1" si="188"/>
        <v>1.2210513044734745</v>
      </c>
      <c r="AL233" s="5">
        <f t="shared" ca="1" si="189"/>
        <v>1.3220212671538685</v>
      </c>
      <c r="AM233" s="5">
        <f t="shared" ca="1" si="190"/>
        <v>1.232259290649599</v>
      </c>
      <c r="AN233" s="5">
        <f t="shared" ca="1" si="191"/>
        <v>0.94157619070326593</v>
      </c>
      <c r="AO233" s="5">
        <f t="shared" ca="1" si="192"/>
        <v>1.2162652239093767</v>
      </c>
      <c r="AP233" s="5">
        <f t="shared" ca="1" si="193"/>
        <v>1.6690057398662452</v>
      </c>
      <c r="AQ233" s="4">
        <f t="shared" ca="1" si="159"/>
        <v>16690.057398662451</v>
      </c>
      <c r="AR233">
        <f t="shared" ca="1" si="160"/>
        <v>0</v>
      </c>
      <c r="AS233">
        <f t="shared" ca="1" si="161"/>
        <v>0</v>
      </c>
    </row>
    <row r="234" spans="1:45" x14ac:dyDescent="0.25">
      <c r="A234" s="10">
        <f t="shared" si="182"/>
        <v>213</v>
      </c>
      <c r="B234" s="5">
        <f t="shared" ca="1" si="162"/>
        <v>0.74985876558945708</v>
      </c>
      <c r="C234" s="5">
        <f t="shared" ca="1" si="163"/>
        <v>0.67404537115006435</v>
      </c>
      <c r="D234" s="5">
        <f t="shared" ca="1" si="149"/>
        <v>0.20660038448072027</v>
      </c>
      <c r="E234" s="5">
        <f t="shared" ca="1" si="164"/>
        <v>0.71427387399473896</v>
      </c>
      <c r="F234" s="5">
        <f t="shared" ca="1" si="165"/>
        <v>0.56591398821173156</v>
      </c>
      <c r="G234" s="5">
        <f t="shared" ca="1" si="150"/>
        <v>0.18718754016487127</v>
      </c>
      <c r="H234" s="5">
        <f t="shared" ca="1" si="166"/>
        <v>0.33263627969004972</v>
      </c>
      <c r="I234" s="5">
        <f t="shared" ca="1" si="167"/>
        <v>-0.43264518283559344</v>
      </c>
      <c r="J234" s="5">
        <f t="shared" ca="1" si="151"/>
        <v>2.2042649760495525E-2</v>
      </c>
      <c r="K234" s="5">
        <f t="shared" ca="1" si="168"/>
        <v>0.942425042631444</v>
      </c>
      <c r="L234" s="5">
        <f t="shared" ca="1" si="169"/>
        <v>1.5754616893892675</v>
      </c>
      <c r="M234" s="5">
        <f t="shared" ca="1" si="152"/>
        <v>0.38129194522754095</v>
      </c>
      <c r="N234" s="5">
        <f t="shared" ca="1" si="170"/>
        <v>0.49982450249355725</v>
      </c>
      <c r="O234" s="5">
        <f t="shared" ca="1" si="171"/>
        <v>-4.399070259649572E-4</v>
      </c>
      <c r="P234" s="5">
        <f t="shared" ca="1" si="153"/>
        <v>9.0497499798858128E-2</v>
      </c>
      <c r="Q234" s="5">
        <f t="shared" ca="1" si="172"/>
        <v>2.7628199971353018E-2</v>
      </c>
      <c r="R234" s="5">
        <f t="shared" ca="1" si="173"/>
        <v>-1.9168546489383473</v>
      </c>
      <c r="S234" s="5">
        <f t="shared" ca="1" si="154"/>
        <v>-0.18194703684386193</v>
      </c>
      <c r="T234" s="5">
        <f t="shared" ca="1" si="174"/>
        <v>0.26333347292623754</v>
      </c>
      <c r="U234" s="5">
        <f t="shared" ca="1" si="175"/>
        <v>-0.63310213854196962</v>
      </c>
      <c r="V234" s="5">
        <f t="shared" ca="1" si="155"/>
        <v>-8.2312569316405071E-3</v>
      </c>
      <c r="W234" s="5">
        <f t="shared" ca="1" si="176"/>
        <v>0.64909089540531173</v>
      </c>
      <c r="X234" s="5">
        <f t="shared" ca="1" si="177"/>
        <v>0.3828672311578209</v>
      </c>
      <c r="Y234" s="5">
        <f t="shared" ca="1" si="156"/>
        <v>0.15503435101921248</v>
      </c>
      <c r="Z234" s="5">
        <f t="shared" ca="1" si="178"/>
        <v>0.94872734715370455</v>
      </c>
      <c r="AA234" s="5">
        <f t="shared" ca="1" si="179"/>
        <v>1.6326372801040114</v>
      </c>
      <c r="AB234" s="5">
        <f t="shared" ca="1" si="157"/>
        <v>0.3931893176881629</v>
      </c>
      <c r="AC234" s="5">
        <f t="shared" ca="1" si="180"/>
        <v>0.70084986723238085</v>
      </c>
      <c r="AD234" s="5">
        <f t="shared" ca="1" si="181"/>
        <v>0.52684638929470406</v>
      </c>
      <c r="AE234" s="5">
        <f t="shared" ca="1" si="158"/>
        <v>0.18025080015069572</v>
      </c>
      <c r="AF234" s="5">
        <f t="shared" ca="1" si="183"/>
        <v>1.2066003844807203</v>
      </c>
      <c r="AG234" s="5">
        <f t="shared" ca="1" si="184"/>
        <v>1.1871875401648713</v>
      </c>
      <c r="AH234" s="5">
        <f t="shared" ca="1" si="185"/>
        <v>1.0220426497604955</v>
      </c>
      <c r="AI234" s="5">
        <f t="shared" ca="1" si="186"/>
        <v>1.381291945227541</v>
      </c>
      <c r="AJ234" s="5">
        <f t="shared" ca="1" si="187"/>
        <v>1.0904974997988581</v>
      </c>
      <c r="AK234" s="5">
        <f t="shared" ca="1" si="188"/>
        <v>0.81805296315613807</v>
      </c>
      <c r="AL234" s="5">
        <f t="shared" ca="1" si="189"/>
        <v>0.99176874306835949</v>
      </c>
      <c r="AM234" s="5">
        <f t="shared" ca="1" si="190"/>
        <v>1.1550343510192125</v>
      </c>
      <c r="AN234" s="5">
        <f t="shared" ca="1" si="191"/>
        <v>1.3931893176881629</v>
      </c>
      <c r="AO234" s="5">
        <f t="shared" ca="1" si="192"/>
        <v>1.1802508001506957</v>
      </c>
      <c r="AP234" s="5">
        <f t="shared" ca="1" si="193"/>
        <v>3.3980764135374852</v>
      </c>
      <c r="AQ234" s="4">
        <f t="shared" ca="1" si="159"/>
        <v>33980.764135374855</v>
      </c>
      <c r="AR234">
        <f t="shared" ca="1" si="160"/>
        <v>1</v>
      </c>
      <c r="AS234">
        <f t="shared" ca="1" si="161"/>
        <v>0</v>
      </c>
    </row>
    <row r="235" spans="1:45" x14ac:dyDescent="0.25">
      <c r="A235" s="10">
        <f t="shared" si="182"/>
        <v>214</v>
      </c>
      <c r="B235" s="5">
        <f t="shared" ca="1" si="162"/>
        <v>0.18461845002585087</v>
      </c>
      <c r="C235" s="5">
        <f t="shared" ca="1" si="163"/>
        <v>-0.89790368476787574</v>
      </c>
      <c r="D235" s="5">
        <f t="shared" ca="1" si="149"/>
        <v>-4.6852442627731583E-2</v>
      </c>
      <c r="E235" s="5">
        <f t="shared" ca="1" si="164"/>
        <v>0.40923072858516685</v>
      </c>
      <c r="F235" s="5">
        <f t="shared" ca="1" si="165"/>
        <v>-0.22952427278514953</v>
      </c>
      <c r="G235" s="5">
        <f t="shared" ca="1" si="150"/>
        <v>5.3661624374659489E-2</v>
      </c>
      <c r="H235" s="5">
        <f t="shared" ca="1" si="166"/>
        <v>0.19146370696071413</v>
      </c>
      <c r="I235" s="5">
        <f t="shared" ca="1" si="167"/>
        <v>-0.87251513717113005</v>
      </c>
      <c r="J235" s="5">
        <f t="shared" ca="1" si="151"/>
        <v>-4.3215667270701585E-2</v>
      </c>
      <c r="K235" s="5">
        <f t="shared" ca="1" si="168"/>
        <v>0.91885974871923681</v>
      </c>
      <c r="L235" s="5">
        <f t="shared" ca="1" si="169"/>
        <v>1.3974426456341151</v>
      </c>
      <c r="M235" s="5">
        <f t="shared" ca="1" si="152"/>
        <v>0.34489561025053916</v>
      </c>
      <c r="N235" s="5">
        <f t="shared" ca="1" si="170"/>
        <v>0.25620478824702853</v>
      </c>
      <c r="O235" s="5">
        <f t="shared" ca="1" si="171"/>
        <v>-0.65509036285165245</v>
      </c>
      <c r="P235" s="5">
        <f t="shared" ca="1" si="153"/>
        <v>-1.1496953493940643E-2</v>
      </c>
      <c r="Q235" s="5">
        <f t="shared" ca="1" si="172"/>
        <v>0.11473448308682699</v>
      </c>
      <c r="R235" s="5">
        <f t="shared" ca="1" si="173"/>
        <v>-1.2017279043269082</v>
      </c>
      <c r="S235" s="5">
        <f t="shared" ca="1" si="154"/>
        <v>-8.931588359936482E-2</v>
      </c>
      <c r="T235" s="5">
        <f t="shared" ca="1" si="174"/>
        <v>0.36484545781925948</v>
      </c>
      <c r="U235" s="5">
        <f t="shared" ca="1" si="175"/>
        <v>-0.34553671201733543</v>
      </c>
      <c r="V235" s="5">
        <f t="shared" ca="1" si="155"/>
        <v>3.5484562201685055E-2</v>
      </c>
      <c r="W235" s="5">
        <f t="shared" ca="1" si="176"/>
        <v>0.65546784567101812</v>
      </c>
      <c r="X235" s="5">
        <f t="shared" ca="1" si="177"/>
        <v>0.40012519400887769</v>
      </c>
      <c r="Y235" s="5">
        <f t="shared" ca="1" si="156"/>
        <v>0.15802825548742638</v>
      </c>
      <c r="Z235" s="5">
        <f t="shared" ca="1" si="178"/>
        <v>0.15684678193358359</v>
      </c>
      <c r="AA235" s="5">
        <f t="shared" ca="1" si="179"/>
        <v>-1.0075020691861374</v>
      </c>
      <c r="AB235" s="5">
        <f t="shared" ca="1" si="157"/>
        <v>-6.2393858904783994E-2</v>
      </c>
      <c r="AC235" s="5">
        <f t="shared" ca="1" si="180"/>
        <v>0.46406703524094428</v>
      </c>
      <c r="AD235" s="5">
        <f t="shared" ca="1" si="181"/>
        <v>-9.0192718573671879E-2</v>
      </c>
      <c r="AE235" s="5">
        <f t="shared" ca="1" si="158"/>
        <v>7.5914601779460522E-2</v>
      </c>
      <c r="AF235" s="5">
        <f t="shared" ca="1" si="183"/>
        <v>0.95314755737226842</v>
      </c>
      <c r="AG235" s="5">
        <f t="shared" ca="1" si="184"/>
        <v>1.0536616243746595</v>
      </c>
      <c r="AH235" s="5">
        <f t="shared" ca="1" si="185"/>
        <v>0.95678433272929841</v>
      </c>
      <c r="AI235" s="5">
        <f t="shared" ca="1" si="186"/>
        <v>1.3448956102505392</v>
      </c>
      <c r="AJ235" s="5">
        <f t="shared" ca="1" si="187"/>
        <v>0.98850304650605936</v>
      </c>
      <c r="AK235" s="5">
        <f t="shared" ca="1" si="188"/>
        <v>0.91068411640063518</v>
      </c>
      <c r="AL235" s="5">
        <f t="shared" ca="1" si="189"/>
        <v>1.0354845622016851</v>
      </c>
      <c r="AM235" s="5">
        <f t="shared" ca="1" si="190"/>
        <v>1.1580282554874264</v>
      </c>
      <c r="AN235" s="5">
        <f t="shared" ca="1" si="191"/>
        <v>0.93760614109521601</v>
      </c>
      <c r="AO235" s="5">
        <f t="shared" ca="1" si="192"/>
        <v>1.0759146017794605</v>
      </c>
      <c r="AP235" s="5">
        <f t="shared" ca="1" si="193"/>
        <v>1.4072483131761304</v>
      </c>
      <c r="AQ235" s="4">
        <f t="shared" ca="1" si="159"/>
        <v>14072.483131761304</v>
      </c>
      <c r="AR235">
        <f t="shared" ca="1" si="160"/>
        <v>0</v>
      </c>
      <c r="AS235">
        <f t="shared" ca="1" si="161"/>
        <v>0</v>
      </c>
    </row>
    <row r="236" spans="1:45" x14ac:dyDescent="0.25">
      <c r="A236" s="10">
        <f t="shared" si="182"/>
        <v>215</v>
      </c>
      <c r="B236" s="5">
        <f t="shared" ca="1" si="162"/>
        <v>0.23975138119743478</v>
      </c>
      <c r="C236" s="5">
        <f t="shared" ca="1" si="163"/>
        <v>-0.70710253234010589</v>
      </c>
      <c r="D236" s="5">
        <f t="shared" ca="1" si="149"/>
        <v>-1.9179075439448967E-2</v>
      </c>
      <c r="E236" s="5">
        <f t="shared" ca="1" si="164"/>
        <v>0.83347943328561591</v>
      </c>
      <c r="F236" s="5">
        <f t="shared" ca="1" si="165"/>
        <v>0.96800648005117085</v>
      </c>
      <c r="G236" s="5">
        <f t="shared" ca="1" si="150"/>
        <v>0.26099484885691138</v>
      </c>
      <c r="H236" s="5">
        <f t="shared" ca="1" si="166"/>
        <v>0.5711325250972632</v>
      </c>
      <c r="I236" s="5">
        <f t="shared" ca="1" si="167"/>
        <v>0.17925822156087176</v>
      </c>
      <c r="J236" s="5">
        <f t="shared" ca="1" si="151"/>
        <v>0.12029129155162344</v>
      </c>
      <c r="K236" s="5">
        <f t="shared" ca="1" si="168"/>
        <v>0.38471436563689299</v>
      </c>
      <c r="L236" s="5">
        <f t="shared" ca="1" si="169"/>
        <v>-0.29312222256607279</v>
      </c>
      <c r="M236" s="5">
        <f t="shared" ca="1" si="152"/>
        <v>4.3657809041517837E-2</v>
      </c>
      <c r="N236" s="5">
        <f t="shared" ca="1" si="170"/>
        <v>0.14618130696955034</v>
      </c>
      <c r="O236" s="5">
        <f t="shared" ca="1" si="171"/>
        <v>-1.0529528244443023</v>
      </c>
      <c r="P236" s="5">
        <f t="shared" ca="1" si="153"/>
        <v>-6.876435452913765E-2</v>
      </c>
      <c r="Q236" s="5">
        <f t="shared" ca="1" si="172"/>
        <v>2.788536596614033E-2</v>
      </c>
      <c r="R236" s="5">
        <f t="shared" ca="1" si="173"/>
        <v>-1.9128228729979293</v>
      </c>
      <c r="S236" s="5">
        <f t="shared" ca="1" si="154"/>
        <v>-0.18145215627715183</v>
      </c>
      <c r="T236" s="5">
        <f t="shared" ca="1" si="174"/>
        <v>0.10761956042818022</v>
      </c>
      <c r="U236" s="5">
        <f t="shared" ca="1" si="175"/>
        <v>-1.2392872983450018</v>
      </c>
      <c r="V236" s="5">
        <f t="shared" ca="1" si="155"/>
        <v>-9.4432169255321163E-2</v>
      </c>
      <c r="W236" s="5">
        <f t="shared" ca="1" si="176"/>
        <v>0.70723475058559826</v>
      </c>
      <c r="X236" s="5">
        <f t="shared" ca="1" si="177"/>
        <v>0.54532429326151077</v>
      </c>
      <c r="Y236" s="5">
        <f t="shared" ca="1" si="156"/>
        <v>0.18352662196892044</v>
      </c>
      <c r="Z236" s="5">
        <f t="shared" ca="1" si="178"/>
        <v>0.26688801593175049</v>
      </c>
      <c r="AA236" s="5">
        <f t="shared" ca="1" si="179"/>
        <v>-0.62225222260222768</v>
      </c>
      <c r="AB236" s="5">
        <f t="shared" ca="1" si="157"/>
        <v>-6.6158516382364141E-3</v>
      </c>
      <c r="AC236" s="5">
        <f t="shared" ca="1" si="180"/>
        <v>0.83316433969536241</v>
      </c>
      <c r="AD236" s="5">
        <f t="shared" ca="1" si="181"/>
        <v>0.96674540941134091</v>
      </c>
      <c r="AE236" s="5">
        <f t="shared" ca="1" si="158"/>
        <v>0.26075634087864774</v>
      </c>
      <c r="AF236" s="5">
        <f t="shared" ca="1" si="183"/>
        <v>0.98082092456055103</v>
      </c>
      <c r="AG236" s="5">
        <f t="shared" ca="1" si="184"/>
        <v>1.2609948488569114</v>
      </c>
      <c r="AH236" s="5">
        <f t="shared" ca="1" si="185"/>
        <v>1.1202912915516234</v>
      </c>
      <c r="AI236" s="5">
        <f t="shared" ca="1" si="186"/>
        <v>1.0436578090415178</v>
      </c>
      <c r="AJ236" s="5">
        <f t="shared" ca="1" si="187"/>
        <v>0.93123564547086235</v>
      </c>
      <c r="AK236" s="5">
        <f t="shared" ca="1" si="188"/>
        <v>0.81854784372284817</v>
      </c>
      <c r="AL236" s="5">
        <f t="shared" ca="1" si="189"/>
        <v>0.90556783074467884</v>
      </c>
      <c r="AM236" s="5">
        <f t="shared" ca="1" si="190"/>
        <v>1.1835266219689204</v>
      </c>
      <c r="AN236" s="5">
        <f t="shared" ca="1" si="191"/>
        <v>0.99338414836176359</v>
      </c>
      <c r="AO236" s="5">
        <f t="shared" ca="1" si="192"/>
        <v>1.2607563408786477</v>
      </c>
      <c r="AP236" s="5">
        <f t="shared" ca="1" si="193"/>
        <v>1.4795961288864903</v>
      </c>
      <c r="AQ236" s="4">
        <f t="shared" ca="1" si="159"/>
        <v>14795.961288864903</v>
      </c>
      <c r="AR236">
        <f t="shared" ca="1" si="160"/>
        <v>0</v>
      </c>
      <c r="AS236">
        <f t="shared" ca="1" si="161"/>
        <v>0</v>
      </c>
    </row>
    <row r="237" spans="1:45" x14ac:dyDescent="0.25">
      <c r="A237" s="10">
        <f t="shared" si="182"/>
        <v>216</v>
      </c>
      <c r="B237" s="5">
        <f t="shared" ca="1" si="162"/>
        <v>0.13088633892712587</v>
      </c>
      <c r="C237" s="5">
        <f t="shared" ca="1" si="163"/>
        <v>-1.1222111384486515</v>
      </c>
      <c r="D237" s="5">
        <f t="shared" ca="1" si="149"/>
        <v>-7.8388647409485257E-2</v>
      </c>
      <c r="E237" s="5">
        <f t="shared" ca="1" si="164"/>
        <v>0.93522038292418952</v>
      </c>
      <c r="F237" s="5">
        <f t="shared" ca="1" si="165"/>
        <v>1.5158422962105518</v>
      </c>
      <c r="G237" s="5">
        <f t="shared" ca="1" si="150"/>
        <v>0.3689942476455812</v>
      </c>
      <c r="H237" s="5">
        <f t="shared" ca="1" si="166"/>
        <v>0.55274384738366478</v>
      </c>
      <c r="I237" s="5">
        <f t="shared" ca="1" si="167"/>
        <v>0.1325967469861154</v>
      </c>
      <c r="J237" s="5">
        <f t="shared" ca="1" si="151"/>
        <v>0.11247750212848384</v>
      </c>
      <c r="K237" s="5">
        <f t="shared" ca="1" si="168"/>
        <v>0.44116107609805155</v>
      </c>
      <c r="L237" s="5">
        <f t="shared" ca="1" si="169"/>
        <v>-0.14802612296981571</v>
      </c>
      <c r="M237" s="5">
        <f t="shared" ca="1" si="152"/>
        <v>6.6621398738669679E-2</v>
      </c>
      <c r="N237" s="5">
        <f t="shared" ca="1" si="170"/>
        <v>0.12609117863936004</v>
      </c>
      <c r="O237" s="5">
        <f t="shared" ca="1" si="171"/>
        <v>-1.1450646990424826</v>
      </c>
      <c r="P237" s="5">
        <f t="shared" ca="1" si="153"/>
        <v>-8.1542553605495116E-2</v>
      </c>
      <c r="Q237" s="5">
        <f t="shared" ca="1" si="172"/>
        <v>6.742594292665105E-3</v>
      </c>
      <c r="R237" s="5">
        <f t="shared" ca="1" si="173"/>
        <v>-2.4706920569410737</v>
      </c>
      <c r="S237" s="5">
        <f t="shared" ca="1" si="154"/>
        <v>-0.24716094208937411</v>
      </c>
      <c r="T237" s="5">
        <f t="shared" ca="1" si="174"/>
        <v>0.32287949474449162</v>
      </c>
      <c r="U237" s="5">
        <f t="shared" ca="1" si="175"/>
        <v>-0.45966180457413197</v>
      </c>
      <c r="V237" s="5">
        <f t="shared" ca="1" si="155"/>
        <v>1.7909209835682782E-2</v>
      </c>
      <c r="W237" s="5">
        <f t="shared" ca="1" si="176"/>
        <v>0.81388660039498684</v>
      </c>
      <c r="X237" s="5">
        <f t="shared" ca="1" si="177"/>
        <v>0.89230999352416152</v>
      </c>
      <c r="Y237" s="5">
        <f t="shared" ca="1" si="156"/>
        <v>0.24675789642151824</v>
      </c>
      <c r="Z237" s="5">
        <f t="shared" ca="1" si="178"/>
        <v>0.25447234456233325</v>
      </c>
      <c r="AA237" s="5">
        <f t="shared" ca="1" si="179"/>
        <v>-0.66048180782808275</v>
      </c>
      <c r="AB237" s="5">
        <f t="shared" ca="1" si="157"/>
        <v>-1.2296049296950051E-2</v>
      </c>
      <c r="AC237" s="5">
        <f t="shared" ca="1" si="180"/>
        <v>0.1187933252900597</v>
      </c>
      <c r="AD237" s="5">
        <f t="shared" ca="1" si="181"/>
        <v>-1.1810404602258984</v>
      </c>
      <c r="AE237" s="5">
        <f t="shared" ca="1" si="158"/>
        <v>-8.6485535407553771E-2</v>
      </c>
      <c r="AF237" s="5">
        <f t="shared" ca="1" si="183"/>
        <v>0.92161135259051474</v>
      </c>
      <c r="AG237" s="5">
        <f t="shared" ca="1" si="184"/>
        <v>1.3689942476455812</v>
      </c>
      <c r="AH237" s="5">
        <f t="shared" ca="1" si="185"/>
        <v>1.1124775021284838</v>
      </c>
      <c r="AI237" s="5">
        <f t="shared" ca="1" si="186"/>
        <v>1.0666213987386697</v>
      </c>
      <c r="AJ237" s="5">
        <f t="shared" ca="1" si="187"/>
        <v>0.91845744639450488</v>
      </c>
      <c r="AK237" s="5">
        <f t="shared" ca="1" si="188"/>
        <v>0.75283905791062589</v>
      </c>
      <c r="AL237" s="5">
        <f t="shared" ca="1" si="189"/>
        <v>1.0179092098356828</v>
      </c>
      <c r="AM237" s="5">
        <f t="shared" ca="1" si="190"/>
        <v>1.2467578964215182</v>
      </c>
      <c r="AN237" s="5">
        <f t="shared" ca="1" si="191"/>
        <v>0.98770395070304995</v>
      </c>
      <c r="AO237" s="5">
        <f t="shared" ca="1" si="192"/>
        <v>0.91351446459244623</v>
      </c>
      <c r="AP237" s="5">
        <f t="shared" ca="1" si="193"/>
        <v>1.1853470987130343</v>
      </c>
      <c r="AQ237" s="4">
        <f t="shared" ca="1" si="159"/>
        <v>11853.470987130344</v>
      </c>
      <c r="AR237">
        <f t="shared" ca="1" si="160"/>
        <v>0</v>
      </c>
      <c r="AS237">
        <f t="shared" ca="1" si="161"/>
        <v>0</v>
      </c>
    </row>
    <row r="238" spans="1:45" x14ac:dyDescent="0.25">
      <c r="A238" s="10">
        <f t="shared" si="182"/>
        <v>217</v>
      </c>
      <c r="B238" s="5">
        <f t="shared" ca="1" si="162"/>
        <v>0.24499641333762157</v>
      </c>
      <c r="C238" s="5">
        <f t="shared" ca="1" si="163"/>
        <v>-0.69032023322009095</v>
      </c>
      <c r="D238" s="5">
        <f t="shared" ca="1" si="149"/>
        <v>-1.6706900565731098E-2</v>
      </c>
      <c r="E238" s="5">
        <f t="shared" ca="1" si="164"/>
        <v>0.35873717450066711</v>
      </c>
      <c r="F238" s="5">
        <f t="shared" ca="1" si="165"/>
        <v>-0.36183632012777844</v>
      </c>
      <c r="G238" s="5">
        <f t="shared" ca="1" si="150"/>
        <v>3.2955955723151797E-2</v>
      </c>
      <c r="H238" s="5">
        <f t="shared" ca="1" si="166"/>
        <v>0.27043255682256306</v>
      </c>
      <c r="I238" s="5">
        <f t="shared" ca="1" si="167"/>
        <v>-0.6115052955444189</v>
      </c>
      <c r="J238" s="5">
        <f t="shared" ca="1" si="151"/>
        <v>-5.013186158202898E-3</v>
      </c>
      <c r="K238" s="5">
        <f t="shared" ca="1" si="168"/>
        <v>0.47814944275395055</v>
      </c>
      <c r="L238" s="5">
        <f t="shared" ca="1" si="169"/>
        <v>-5.479863798062444E-2</v>
      </c>
      <c r="M238" s="5">
        <f t="shared" ca="1" si="152"/>
        <v>8.1641943094074687E-2</v>
      </c>
      <c r="N238" s="5">
        <f t="shared" ca="1" si="170"/>
        <v>0.98187375772317786</v>
      </c>
      <c r="O238" s="5">
        <f t="shared" ca="1" si="171"/>
        <v>2.0940841521539073</v>
      </c>
      <c r="P238" s="5">
        <f t="shared" ca="1" si="153"/>
        <v>0.49303748113965318</v>
      </c>
      <c r="Q238" s="5">
        <f t="shared" ca="1" si="172"/>
        <v>0.28996837524607022</v>
      </c>
      <c r="R238" s="5">
        <f t="shared" ca="1" si="173"/>
        <v>-0.55347710981811393</v>
      </c>
      <c r="S238" s="5">
        <f t="shared" ca="1" si="154"/>
        <v>3.6852072669273372E-3</v>
      </c>
      <c r="T238" s="5">
        <f t="shared" ca="1" si="174"/>
        <v>0.6929233595914629</v>
      </c>
      <c r="U238" s="5">
        <f t="shared" ca="1" si="175"/>
        <v>0.50415383173570794</v>
      </c>
      <c r="V238" s="5">
        <f t="shared" ca="1" si="155"/>
        <v>0.17624019345984498</v>
      </c>
      <c r="W238" s="5">
        <f t="shared" ca="1" si="176"/>
        <v>0.17596719674028016</v>
      </c>
      <c r="X238" s="5">
        <f t="shared" ca="1" si="177"/>
        <v>-0.93084375288772858</v>
      </c>
      <c r="Y238" s="5">
        <f t="shared" ca="1" si="156"/>
        <v>-5.1550338713964083E-2</v>
      </c>
      <c r="Z238" s="5">
        <f t="shared" ca="1" si="178"/>
        <v>0.15467320567151399</v>
      </c>
      <c r="AA238" s="5">
        <f t="shared" ca="1" si="179"/>
        <v>-1.0165944167327241</v>
      </c>
      <c r="AB238" s="5">
        <f t="shared" ca="1" si="157"/>
        <v>-6.3671743418440507E-2</v>
      </c>
      <c r="AC238" s="5">
        <f t="shared" ca="1" si="180"/>
        <v>0.44035278507482134</v>
      </c>
      <c r="AD238" s="5">
        <f t="shared" ca="1" si="181"/>
        <v>-0.15007483971493651</v>
      </c>
      <c r="AE238" s="5">
        <f t="shared" ca="1" si="158"/>
        <v>6.6293668330211997E-2</v>
      </c>
      <c r="AF238" s="5">
        <f t="shared" ca="1" si="183"/>
        <v>0.9832930994342689</v>
      </c>
      <c r="AG238" s="5">
        <f t="shared" ca="1" si="184"/>
        <v>1.0329559557231518</v>
      </c>
      <c r="AH238" s="5">
        <f t="shared" ca="1" si="185"/>
        <v>0.9949868138417971</v>
      </c>
      <c r="AI238" s="5">
        <f t="shared" ca="1" si="186"/>
        <v>1.0816419430940747</v>
      </c>
      <c r="AJ238" s="5">
        <f t="shared" ca="1" si="187"/>
        <v>1.4930374811396532</v>
      </c>
      <c r="AK238" s="5">
        <f t="shared" ca="1" si="188"/>
        <v>1.0036852072669273</v>
      </c>
      <c r="AL238" s="5">
        <f t="shared" ca="1" si="189"/>
        <v>1.176240193459845</v>
      </c>
      <c r="AM238" s="5">
        <f t="shared" ca="1" si="190"/>
        <v>0.94844966128603592</v>
      </c>
      <c r="AN238" s="5">
        <f t="shared" ca="1" si="191"/>
        <v>0.93632825658155949</v>
      </c>
      <c r="AO238" s="5">
        <f t="shared" ca="1" si="192"/>
        <v>1.066293668330212</v>
      </c>
      <c r="AP238" s="5">
        <f t="shared" ca="1" si="193"/>
        <v>1.8245221309271631</v>
      </c>
      <c r="AQ238" s="4">
        <f t="shared" ca="1" si="159"/>
        <v>18245.22130927163</v>
      </c>
      <c r="AR238">
        <f t="shared" ca="1" si="160"/>
        <v>0</v>
      </c>
      <c r="AS238">
        <f t="shared" ca="1" si="161"/>
        <v>0</v>
      </c>
    </row>
    <row r="239" spans="1:45" x14ac:dyDescent="0.25">
      <c r="A239" s="10">
        <f t="shared" si="182"/>
        <v>218</v>
      </c>
      <c r="B239" s="5">
        <f t="shared" ca="1" si="162"/>
        <v>0.21272293693416644</v>
      </c>
      <c r="C239" s="5">
        <f t="shared" ca="1" si="163"/>
        <v>-0.79700888035944606</v>
      </c>
      <c r="D239" s="5">
        <f t="shared" ca="1" si="149"/>
        <v>-3.2317587747682675E-2</v>
      </c>
      <c r="E239" s="5">
        <f t="shared" ca="1" si="164"/>
        <v>0.50295795456012149</v>
      </c>
      <c r="F239" s="5">
        <f t="shared" ca="1" si="165"/>
        <v>7.4145604716979929E-3</v>
      </c>
      <c r="G239" s="5">
        <f t="shared" ca="1" si="150"/>
        <v>9.1783048522972255E-2</v>
      </c>
      <c r="H239" s="5">
        <f t="shared" ca="1" si="166"/>
        <v>0.2213949688698631</v>
      </c>
      <c r="I239" s="5">
        <f t="shared" ca="1" si="167"/>
        <v>-0.76749050271534158</v>
      </c>
      <c r="J239" s="5">
        <f t="shared" ca="1" si="151"/>
        <v>-2.8023425778514244E-2</v>
      </c>
      <c r="K239" s="5">
        <f t="shared" ca="1" si="168"/>
        <v>8.1663979550151811E-2</v>
      </c>
      <c r="L239" s="5">
        <f t="shared" ca="1" si="169"/>
        <v>-1.3939657117630686</v>
      </c>
      <c r="M239" s="5">
        <f t="shared" ca="1" si="152"/>
        <v>-0.11520106932474206</v>
      </c>
      <c r="N239" s="5">
        <f t="shared" ca="1" si="170"/>
        <v>0.54035867851531838</v>
      </c>
      <c r="O239" s="5">
        <f t="shared" ca="1" si="171"/>
        <v>0.10133738125012377</v>
      </c>
      <c r="P239" s="5">
        <f t="shared" ca="1" si="153"/>
        <v>0.1072734112398841</v>
      </c>
      <c r="Q239" s="5">
        <f t="shared" ca="1" si="172"/>
        <v>0.7046249100401526</v>
      </c>
      <c r="R239" s="5">
        <f t="shared" ca="1" si="173"/>
        <v>0.5377492399930367</v>
      </c>
      <c r="S239" s="5">
        <f t="shared" ca="1" si="154"/>
        <v>0.18218259411380888</v>
      </c>
      <c r="T239" s="5">
        <f t="shared" ca="1" si="174"/>
        <v>0.50313603665322038</v>
      </c>
      <c r="U239" s="5">
        <f t="shared" ca="1" si="175"/>
        <v>7.8609591053971205E-3</v>
      </c>
      <c r="V239" s="5">
        <f t="shared" ca="1" si="155"/>
        <v>9.1856156539767309E-2</v>
      </c>
      <c r="W239" s="5">
        <f t="shared" ca="1" si="176"/>
        <v>0.15392745755311188</v>
      </c>
      <c r="X239" s="5">
        <f t="shared" ca="1" si="177"/>
        <v>-1.0197334033463734</v>
      </c>
      <c r="Y239" s="5">
        <f t="shared" ca="1" si="156"/>
        <v>-6.4112507923265172E-2</v>
      </c>
      <c r="Z239" s="5">
        <f t="shared" ca="1" si="178"/>
        <v>0.65599232537410634</v>
      </c>
      <c r="AA239" s="5">
        <f t="shared" ca="1" si="179"/>
        <v>0.4015498429307599</v>
      </c>
      <c r="AB239" s="5">
        <f t="shared" ca="1" si="157"/>
        <v>0.15827574948674239</v>
      </c>
      <c r="AC239" s="5">
        <f t="shared" ca="1" si="180"/>
        <v>0.99272468028615046</v>
      </c>
      <c r="AD239" s="5">
        <f t="shared" ca="1" si="181"/>
        <v>2.4433742505901739</v>
      </c>
      <c r="AE239" s="5">
        <f t="shared" ca="1" si="158"/>
        <v>0.57334847934999944</v>
      </c>
      <c r="AF239" s="5">
        <f t="shared" ca="1" si="183"/>
        <v>0.96768241225231733</v>
      </c>
      <c r="AG239" s="5">
        <f t="shared" ca="1" si="184"/>
        <v>1.0917830485229723</v>
      </c>
      <c r="AH239" s="5">
        <f t="shared" ca="1" si="185"/>
        <v>0.97197657422148576</v>
      </c>
      <c r="AI239" s="5">
        <f t="shared" ca="1" si="186"/>
        <v>0.88479893067525794</v>
      </c>
      <c r="AJ239" s="5">
        <f t="shared" ca="1" si="187"/>
        <v>1.1072734112398841</v>
      </c>
      <c r="AK239" s="5">
        <f t="shared" ca="1" si="188"/>
        <v>1.1821825941138089</v>
      </c>
      <c r="AL239" s="5">
        <f t="shared" ca="1" si="189"/>
        <v>1.0918561565397673</v>
      </c>
      <c r="AM239" s="5">
        <f t="shared" ca="1" si="190"/>
        <v>0.93588749207673483</v>
      </c>
      <c r="AN239" s="5">
        <f t="shared" ca="1" si="191"/>
        <v>1.1582757494867424</v>
      </c>
      <c r="AO239" s="5">
        <f t="shared" ca="1" si="192"/>
        <v>1.5733484793499994</v>
      </c>
      <c r="AP239" s="5">
        <f t="shared" ca="1" si="193"/>
        <v>2.2148023354123048</v>
      </c>
      <c r="AQ239" s="4">
        <f t="shared" ca="1" si="159"/>
        <v>22148.023354123048</v>
      </c>
      <c r="AR239">
        <f t="shared" ca="1" si="160"/>
        <v>0</v>
      </c>
      <c r="AS239">
        <f t="shared" ca="1" si="161"/>
        <v>0</v>
      </c>
    </row>
    <row r="240" spans="1:45" x14ac:dyDescent="0.25">
      <c r="A240" s="10">
        <f t="shared" si="182"/>
        <v>219</v>
      </c>
      <c r="B240" s="5">
        <f t="shared" ca="1" si="162"/>
        <v>0.2562494533849301</v>
      </c>
      <c r="C240" s="5">
        <f t="shared" ca="1" si="163"/>
        <v>-0.6549516150281196</v>
      </c>
      <c r="D240" s="5">
        <f t="shared" ca="1" si="149"/>
        <v>-1.1476380382916984E-2</v>
      </c>
      <c r="E240" s="5">
        <f t="shared" ca="1" si="164"/>
        <v>0.12371168509541863</v>
      </c>
      <c r="F240" s="5">
        <f t="shared" ca="1" si="165"/>
        <v>-1.1566304643902041</v>
      </c>
      <c r="G240" s="5">
        <f t="shared" ca="1" si="150"/>
        <v>-8.3134571734118423E-2</v>
      </c>
      <c r="H240" s="5">
        <f t="shared" ca="1" si="166"/>
        <v>0.10644848996550726</v>
      </c>
      <c r="I240" s="5">
        <f t="shared" ca="1" si="167"/>
        <v>-1.2456389391616736</v>
      </c>
      <c r="J240" s="5">
        <f t="shared" ca="1" si="151"/>
        <v>-9.5294534621862437E-2</v>
      </c>
      <c r="K240" s="5">
        <f t="shared" ca="1" si="168"/>
        <v>0.2835815197195396</v>
      </c>
      <c r="L240" s="5">
        <f t="shared" ca="1" si="169"/>
        <v>-0.57223461529288966</v>
      </c>
      <c r="M240" s="5">
        <f t="shared" ca="1" si="152"/>
        <v>8.6518176007133185E-4</v>
      </c>
      <c r="N240" s="5">
        <f t="shared" ca="1" si="170"/>
        <v>1.6577153844152703E-2</v>
      </c>
      <c r="O240" s="5">
        <f t="shared" ca="1" si="171"/>
        <v>-2.1302096625535225</v>
      </c>
      <c r="P240" s="5">
        <f t="shared" ca="1" si="153"/>
        <v>-0.20771289724923159</v>
      </c>
      <c r="Q240" s="5">
        <f t="shared" ca="1" si="172"/>
        <v>2.8786540682268491E-2</v>
      </c>
      <c r="R240" s="5">
        <f t="shared" ca="1" si="173"/>
        <v>-1.898934554560004</v>
      </c>
      <c r="S240" s="5">
        <f t="shared" ca="1" si="154"/>
        <v>-0.17974514085993931</v>
      </c>
      <c r="T240" s="5">
        <f t="shared" ca="1" si="174"/>
        <v>0.38477374492184491</v>
      </c>
      <c r="U240" s="5">
        <f t="shared" ca="1" si="175"/>
        <v>-0.29296685067946487</v>
      </c>
      <c r="V240" s="5">
        <f t="shared" ca="1" si="155"/>
        <v>4.3682132587370859E-2</v>
      </c>
      <c r="W240" s="5">
        <f t="shared" ca="1" si="176"/>
        <v>0.19163214878874446</v>
      </c>
      <c r="X240" s="5">
        <f t="shared" ca="1" si="177"/>
        <v>-0.87189750016009315</v>
      </c>
      <c r="Y240" s="5">
        <f t="shared" ca="1" si="156"/>
        <v>-4.3127021352118877E-2</v>
      </c>
      <c r="Z240" s="5">
        <f t="shared" ca="1" si="178"/>
        <v>0.82132613143976307</v>
      </c>
      <c r="AA240" s="5">
        <f t="shared" ca="1" si="179"/>
        <v>0.92043068981778109</v>
      </c>
      <c r="AB240" s="5">
        <f t="shared" ca="1" si="157"/>
        <v>0.25202795846720627</v>
      </c>
      <c r="AC240" s="5">
        <f t="shared" ca="1" si="180"/>
        <v>2.7081434626480938E-2</v>
      </c>
      <c r="AD240" s="5">
        <f t="shared" ca="1" si="181"/>
        <v>-1.9255317386076707</v>
      </c>
      <c r="AE240" s="5">
        <f t="shared" ca="1" si="158"/>
        <v>-0.18301109206328958</v>
      </c>
      <c r="AF240" s="5">
        <f t="shared" ca="1" si="183"/>
        <v>0.98852361961708302</v>
      </c>
      <c r="AG240" s="5">
        <f t="shared" ca="1" si="184"/>
        <v>0.91686542826588158</v>
      </c>
      <c r="AH240" s="5">
        <f t="shared" ca="1" si="185"/>
        <v>0.90470546537813756</v>
      </c>
      <c r="AI240" s="5">
        <f t="shared" ca="1" si="186"/>
        <v>1.0008651817600713</v>
      </c>
      <c r="AJ240" s="5">
        <f t="shared" ca="1" si="187"/>
        <v>0.79228710275076841</v>
      </c>
      <c r="AK240" s="5">
        <f t="shared" ca="1" si="188"/>
        <v>0.82025485914006069</v>
      </c>
      <c r="AL240" s="5">
        <f t="shared" ca="1" si="189"/>
        <v>1.0436821325873709</v>
      </c>
      <c r="AM240" s="5">
        <f t="shared" ca="1" si="190"/>
        <v>0.95687297864788112</v>
      </c>
      <c r="AN240" s="5">
        <f t="shared" ca="1" si="191"/>
        <v>1.2520279584672063</v>
      </c>
      <c r="AO240" s="5">
        <f t="shared" ca="1" si="192"/>
        <v>0.81698890793671042</v>
      </c>
      <c r="AP240" s="5">
        <f t="shared" ca="1" si="193"/>
        <v>0.54482818680400513</v>
      </c>
      <c r="AQ240" s="4">
        <f t="shared" ca="1" si="159"/>
        <v>5448.2818680400514</v>
      </c>
      <c r="AR240">
        <f t="shared" ca="1" si="160"/>
        <v>0</v>
      </c>
      <c r="AS240">
        <f t="shared" ca="1" si="161"/>
        <v>0</v>
      </c>
    </row>
    <row r="241" spans="1:45" x14ac:dyDescent="0.25">
      <c r="A241" s="10">
        <f t="shared" si="182"/>
        <v>220</v>
      </c>
      <c r="B241" s="5">
        <f t="shared" ca="1" si="162"/>
        <v>0.97551306623994738</v>
      </c>
      <c r="C241" s="5">
        <f t="shared" ca="1" si="163"/>
        <v>1.9688191056183983</v>
      </c>
      <c r="D241" s="5">
        <f t="shared" ca="1" si="149"/>
        <v>0.46524558882515188</v>
      </c>
      <c r="E241" s="5">
        <f t="shared" ca="1" si="164"/>
        <v>0.98612623046820547</v>
      </c>
      <c r="F241" s="5">
        <f t="shared" ca="1" si="165"/>
        <v>2.2008373691634855</v>
      </c>
      <c r="G241" s="5">
        <f t="shared" ca="1" si="150"/>
        <v>0.51713790916555147</v>
      </c>
      <c r="H241" s="5">
        <f t="shared" ca="1" si="166"/>
        <v>0.73067794127867158</v>
      </c>
      <c r="I241" s="5">
        <f t="shared" ca="1" si="167"/>
        <v>0.61486463842304317</v>
      </c>
      <c r="J241" s="5">
        <f t="shared" ca="1" si="151"/>
        <v>0.19593666179828273</v>
      </c>
      <c r="K241" s="5">
        <f t="shared" ca="1" si="168"/>
        <v>0.110097202134528</v>
      </c>
      <c r="L241" s="5">
        <f t="shared" ca="1" si="169"/>
        <v>-1.2260113489882727</v>
      </c>
      <c r="M241" s="5">
        <f t="shared" ca="1" si="152"/>
        <v>-9.2627031584135322E-2</v>
      </c>
      <c r="N241" s="5">
        <f t="shared" ca="1" si="170"/>
        <v>0.8596928782451646</v>
      </c>
      <c r="O241" s="5">
        <f t="shared" ca="1" si="171"/>
        <v>1.0789405210375294</v>
      </c>
      <c r="P241" s="5">
        <f t="shared" ca="1" si="153"/>
        <v>0.2821534897881568</v>
      </c>
      <c r="Q241" s="5">
        <f t="shared" ca="1" si="172"/>
        <v>0.48354589824057448</v>
      </c>
      <c r="R241" s="5">
        <f t="shared" ca="1" si="173"/>
        <v>-4.1256017078617147E-2</v>
      </c>
      <c r="S241" s="5">
        <f t="shared" ca="1" si="154"/>
        <v>8.3841416353215292E-2</v>
      </c>
      <c r="T241" s="5">
        <f t="shared" ca="1" si="174"/>
        <v>0.89008860277633006</v>
      </c>
      <c r="U241" s="5">
        <f t="shared" ca="1" si="175"/>
        <v>1.2269994584889996</v>
      </c>
      <c r="V241" s="5">
        <f t="shared" ca="1" si="155"/>
        <v>0.31094718610707051</v>
      </c>
      <c r="W241" s="5">
        <f t="shared" ca="1" si="176"/>
        <v>0.97913953011556221</v>
      </c>
      <c r="X241" s="5">
        <f t="shared" ca="1" si="177"/>
        <v>2.0362930254444382</v>
      </c>
      <c r="Y241" s="5">
        <f t="shared" ca="1" si="156"/>
        <v>0.48015076941916179</v>
      </c>
      <c r="Z241" s="5">
        <f t="shared" ca="1" si="178"/>
        <v>0.83300920973358317</v>
      </c>
      <c r="AA241" s="5">
        <f t="shared" ca="1" si="179"/>
        <v>0.96612511121816935</v>
      </c>
      <c r="AB241" s="5">
        <f t="shared" ca="1" si="157"/>
        <v>0.2606390396038234</v>
      </c>
      <c r="AC241" s="5">
        <f t="shared" ca="1" si="180"/>
        <v>0.53562195842938132</v>
      </c>
      <c r="AD241" s="5">
        <f t="shared" ca="1" si="181"/>
        <v>8.9409991582559786E-2</v>
      </c>
      <c r="AE241" s="5">
        <f t="shared" ca="1" si="158"/>
        <v>0.1052941501075868</v>
      </c>
      <c r="AF241" s="5">
        <f t="shared" ca="1" si="183"/>
        <v>1.4652455888251519</v>
      </c>
      <c r="AG241" s="5">
        <f t="shared" ca="1" si="184"/>
        <v>1.5171379091655515</v>
      </c>
      <c r="AH241" s="5">
        <f t="shared" ca="1" si="185"/>
        <v>1.1959366617982827</v>
      </c>
      <c r="AI241" s="5">
        <f t="shared" ca="1" si="186"/>
        <v>0.90737296841586468</v>
      </c>
      <c r="AJ241" s="5">
        <f t="shared" ca="1" si="187"/>
        <v>1.2821534897881568</v>
      </c>
      <c r="AK241" s="5">
        <f t="shared" ca="1" si="188"/>
        <v>1.0838414163532153</v>
      </c>
      <c r="AL241" s="5">
        <f t="shared" ca="1" si="189"/>
        <v>1.3109471861070705</v>
      </c>
      <c r="AM241" s="5">
        <f t="shared" ca="1" si="190"/>
        <v>1.4801507694191618</v>
      </c>
      <c r="AN241" s="5">
        <f t="shared" ca="1" si="191"/>
        <v>1.2606390396038234</v>
      </c>
      <c r="AO241" s="5">
        <f t="shared" ca="1" si="192"/>
        <v>1.1052941501075868</v>
      </c>
      <c r="AP241" s="5">
        <f t="shared" ca="1" si="193"/>
        <v>9.0634811417367693</v>
      </c>
      <c r="AQ241" s="4">
        <f t="shared" ca="1" si="159"/>
        <v>90634.811417367688</v>
      </c>
      <c r="AR241">
        <f t="shared" ca="1" si="160"/>
        <v>1</v>
      </c>
      <c r="AS241">
        <f t="shared" ca="1" si="161"/>
        <v>0</v>
      </c>
    </row>
    <row r="242" spans="1:45" x14ac:dyDescent="0.25">
      <c r="A242" s="10">
        <f t="shared" si="182"/>
        <v>221</v>
      </c>
      <c r="B242" s="5">
        <f t="shared" ca="1" si="162"/>
        <v>0.53820557649284717</v>
      </c>
      <c r="C242" s="5">
        <f t="shared" ca="1" si="163"/>
        <v>9.5914035807062037E-2</v>
      </c>
      <c r="D242" s="5">
        <f t="shared" ca="1" si="149"/>
        <v>0.1063730085977721</v>
      </c>
      <c r="E242" s="5">
        <f t="shared" ca="1" si="164"/>
        <v>0.77398701312936935</v>
      </c>
      <c r="F242" s="5">
        <f t="shared" ca="1" si="165"/>
        <v>0.75204171375617379</v>
      </c>
      <c r="G242" s="5">
        <f t="shared" ca="1" si="150"/>
        <v>0.22079984802917374</v>
      </c>
      <c r="H242" s="5">
        <f t="shared" ca="1" si="166"/>
        <v>0.56809269114161387</v>
      </c>
      <c r="I242" s="5">
        <f t="shared" ca="1" si="167"/>
        <v>0.17152036632792042</v>
      </c>
      <c r="J242" s="5">
        <f t="shared" ca="1" si="151"/>
        <v>0.11899174809853474</v>
      </c>
      <c r="K242" s="5">
        <f t="shared" ca="1" si="168"/>
        <v>0.86124053211704488</v>
      </c>
      <c r="L242" s="5">
        <f t="shared" ca="1" si="169"/>
        <v>1.0859097208262232</v>
      </c>
      <c r="M242" s="5">
        <f t="shared" ca="1" si="152"/>
        <v>0.28349452818788623</v>
      </c>
      <c r="N242" s="5">
        <f t="shared" ca="1" si="170"/>
        <v>0.63510816907270606</v>
      </c>
      <c r="O242" s="5">
        <f t="shared" ca="1" si="171"/>
        <v>0.34541332390767232</v>
      </c>
      <c r="P242" s="5">
        <f t="shared" ca="1" si="153"/>
        <v>0.14856346262515796</v>
      </c>
      <c r="Q242" s="5">
        <f t="shared" ca="1" si="172"/>
        <v>0.22017647921079719</v>
      </c>
      <c r="R242" s="5">
        <f t="shared" ca="1" si="173"/>
        <v>-0.77159732616074661</v>
      </c>
      <c r="S242" s="5">
        <f t="shared" ca="1" si="154"/>
        <v>-2.8622001818635945E-2</v>
      </c>
      <c r="T242" s="5">
        <f t="shared" ca="1" si="174"/>
        <v>0.62698340840528832</v>
      </c>
      <c r="U242" s="5">
        <f t="shared" ca="1" si="175"/>
        <v>0.32387432456839699</v>
      </c>
      <c r="V242" s="5">
        <f t="shared" ca="1" si="155"/>
        <v>0.14485861460242222</v>
      </c>
      <c r="W242" s="5">
        <f t="shared" ca="1" si="176"/>
        <v>0.72438991196674085</v>
      </c>
      <c r="X242" s="5">
        <f t="shared" ca="1" si="177"/>
        <v>0.59593271646491974</v>
      </c>
      <c r="Y242" s="5">
        <f t="shared" ca="1" si="156"/>
        <v>0.19254527255893539</v>
      </c>
      <c r="Z242" s="5">
        <f t="shared" ca="1" si="178"/>
        <v>0.30858623085306491</v>
      </c>
      <c r="AA242" s="5">
        <f t="shared" ca="1" si="179"/>
        <v>-0.4998617005424067</v>
      </c>
      <c r="AB242" s="5">
        <f t="shared" ca="1" si="157"/>
        <v>1.1789701995453372E-2</v>
      </c>
      <c r="AC242" s="5">
        <f t="shared" ca="1" si="180"/>
        <v>0.26594836737561189</v>
      </c>
      <c r="AD242" s="5">
        <f t="shared" ca="1" si="181"/>
        <v>-0.62511324621718034</v>
      </c>
      <c r="AE242" s="5">
        <f t="shared" ca="1" si="158"/>
        <v>-7.0420745002467422E-3</v>
      </c>
      <c r="AF242" s="5">
        <f t="shared" ca="1" si="183"/>
        <v>1.1063730085977721</v>
      </c>
      <c r="AG242" s="5">
        <f t="shared" ca="1" si="184"/>
        <v>1.2207998480291737</v>
      </c>
      <c r="AH242" s="5">
        <f t="shared" ca="1" si="185"/>
        <v>1.1189917480985347</v>
      </c>
      <c r="AI242" s="5">
        <f t="shared" ca="1" si="186"/>
        <v>1.2834945281878862</v>
      </c>
      <c r="AJ242" s="5">
        <f t="shared" ca="1" si="187"/>
        <v>1.148563462625158</v>
      </c>
      <c r="AK242" s="5">
        <f t="shared" ca="1" si="188"/>
        <v>0.97137799818136406</v>
      </c>
      <c r="AL242" s="5">
        <f t="shared" ca="1" si="189"/>
        <v>1.1448586146024222</v>
      </c>
      <c r="AM242" s="5">
        <f t="shared" ca="1" si="190"/>
        <v>1.1925452725589354</v>
      </c>
      <c r="AN242" s="5">
        <f t="shared" ca="1" si="191"/>
        <v>1.0117897019954534</v>
      </c>
      <c r="AO242" s="5">
        <f t="shared" ca="1" si="192"/>
        <v>0.99295792549975326</v>
      </c>
      <c r="AP242" s="5">
        <f t="shared" ca="1" si="193"/>
        <v>2.9686434253017389</v>
      </c>
      <c r="AQ242" s="4">
        <f t="shared" ca="1" si="159"/>
        <v>29686.434253017389</v>
      </c>
      <c r="AR242">
        <f t="shared" ca="1" si="160"/>
        <v>1</v>
      </c>
      <c r="AS242">
        <f t="shared" ca="1" si="161"/>
        <v>0</v>
      </c>
    </row>
    <row r="243" spans="1:45" x14ac:dyDescent="0.25">
      <c r="A243" s="10">
        <f t="shared" si="182"/>
        <v>222</v>
      </c>
      <c r="B243" s="5">
        <f t="shared" ca="1" si="162"/>
        <v>0.89764535182026473</v>
      </c>
      <c r="C243" s="5">
        <f t="shared" ca="1" si="163"/>
        <v>1.2682482916930684</v>
      </c>
      <c r="D243" s="5">
        <f t="shared" ca="1" si="149"/>
        <v>0.31908358770322365</v>
      </c>
      <c r="E243" s="5">
        <f t="shared" ca="1" si="164"/>
        <v>0.49128299002719189</v>
      </c>
      <c r="F243" s="5">
        <f t="shared" ca="1" si="165"/>
        <v>-2.1852042644774139E-2</v>
      </c>
      <c r="G243" s="5">
        <f t="shared" ca="1" si="150"/>
        <v>8.700063639978417E-2</v>
      </c>
      <c r="H243" s="5">
        <f t="shared" ca="1" si="166"/>
        <v>0.23439497302778822</v>
      </c>
      <c r="I243" s="5">
        <f t="shared" ca="1" si="167"/>
        <v>-0.72444929431731575</v>
      </c>
      <c r="J243" s="5">
        <f t="shared" ca="1" si="151"/>
        <v>-2.1727868072061951E-2</v>
      </c>
      <c r="K243" s="5">
        <f t="shared" ca="1" si="168"/>
        <v>0.78551888878442033</v>
      </c>
      <c r="L243" s="5">
        <f t="shared" ca="1" si="169"/>
        <v>0.79096875873444372</v>
      </c>
      <c r="M243" s="5">
        <f t="shared" ca="1" si="152"/>
        <v>0.22794901951490298</v>
      </c>
      <c r="N243" s="5">
        <f t="shared" ca="1" si="170"/>
        <v>0.39163891111874638</v>
      </c>
      <c r="O243" s="5">
        <f t="shared" ca="1" si="171"/>
        <v>-0.27505000317896844</v>
      </c>
      <c r="P243" s="5">
        <f t="shared" ca="1" si="153"/>
        <v>4.6490829162215697E-2</v>
      </c>
      <c r="Q243" s="5">
        <f t="shared" ca="1" si="172"/>
        <v>0.12105904999483474</v>
      </c>
      <c r="R243" s="5">
        <f t="shared" ca="1" si="173"/>
        <v>-1.169708987754587</v>
      </c>
      <c r="S243" s="5">
        <f t="shared" ca="1" si="154"/>
        <v>-8.4931495463480999E-2</v>
      </c>
      <c r="T243" s="5">
        <f t="shared" ca="1" si="174"/>
        <v>5.9571280782461988E-2</v>
      </c>
      <c r="U243" s="5">
        <f t="shared" ca="1" si="175"/>
        <v>-1.5583826729115997</v>
      </c>
      <c r="V243" s="5">
        <f t="shared" ca="1" si="155"/>
        <v>-0.13675557504447378</v>
      </c>
      <c r="W243" s="5">
        <f t="shared" ca="1" si="176"/>
        <v>9.5884750451724399E-2</v>
      </c>
      <c r="X243" s="5">
        <f t="shared" ca="1" si="177"/>
        <v>-1.305362324734946</v>
      </c>
      <c r="Y243" s="5">
        <f t="shared" ca="1" si="156"/>
        <v>-0.10336315028234166</v>
      </c>
      <c r="Z243" s="5">
        <f t="shared" ca="1" si="178"/>
        <v>0.50748260544242518</v>
      </c>
      <c r="AA243" s="5">
        <f t="shared" ca="1" si="179"/>
        <v>1.8757210212566131E-2</v>
      </c>
      <c r="AB243" s="5">
        <f t="shared" ca="1" si="157"/>
        <v>9.3642186547713058E-2</v>
      </c>
      <c r="AC243" s="5">
        <f t="shared" ca="1" si="180"/>
        <v>0.76633181946982953</v>
      </c>
      <c r="AD243" s="5">
        <f t="shared" ca="1" si="181"/>
        <v>0.72681978535304737</v>
      </c>
      <c r="AE243" s="5">
        <f t="shared" ca="1" si="158"/>
        <v>0.21618993489095595</v>
      </c>
      <c r="AF243" s="5">
        <f t="shared" ca="1" si="183"/>
        <v>1.3190835877032236</v>
      </c>
      <c r="AG243" s="5">
        <f t="shared" ca="1" si="184"/>
        <v>1.0870006363997842</v>
      </c>
      <c r="AH243" s="5">
        <f t="shared" ca="1" si="185"/>
        <v>0.97827213192793805</v>
      </c>
      <c r="AI243" s="5">
        <f t="shared" ca="1" si="186"/>
        <v>1.227949019514903</v>
      </c>
      <c r="AJ243" s="5">
        <f t="shared" ca="1" si="187"/>
        <v>1.0464908291622157</v>
      </c>
      <c r="AK243" s="5">
        <f t="shared" ca="1" si="188"/>
        <v>0.915068504536519</v>
      </c>
      <c r="AL243" s="5">
        <f t="shared" ca="1" si="189"/>
        <v>0.86324442495552622</v>
      </c>
      <c r="AM243" s="5">
        <f t="shared" ca="1" si="190"/>
        <v>0.89663684971765834</v>
      </c>
      <c r="AN243" s="5">
        <f t="shared" ca="1" si="191"/>
        <v>1.0936421865477131</v>
      </c>
      <c r="AO243" s="5">
        <f t="shared" ca="1" si="192"/>
        <v>1.2161899348909559</v>
      </c>
      <c r="AP243" s="5">
        <f t="shared" ca="1" si="193"/>
        <v>1.6980801817561506</v>
      </c>
      <c r="AQ243" s="4">
        <f t="shared" ca="1" si="159"/>
        <v>16980.801817561507</v>
      </c>
      <c r="AR243">
        <f t="shared" ca="1" si="160"/>
        <v>0</v>
      </c>
      <c r="AS243">
        <f t="shared" ca="1" si="161"/>
        <v>0</v>
      </c>
    </row>
    <row r="244" spans="1:45" x14ac:dyDescent="0.25">
      <c r="A244" s="10">
        <f t="shared" si="182"/>
        <v>223</v>
      </c>
      <c r="B244" s="5">
        <f t="shared" ca="1" si="162"/>
        <v>0.38691419669935867</v>
      </c>
      <c r="C244" s="5">
        <f t="shared" ca="1" si="163"/>
        <v>-0.2873708307176836</v>
      </c>
      <c r="D244" s="5">
        <f t="shared" ca="1" si="149"/>
        <v>4.455857028528043E-2</v>
      </c>
      <c r="E244" s="5">
        <f t="shared" ca="1" si="164"/>
        <v>0.12516562753248406</v>
      </c>
      <c r="F244" s="5">
        <f t="shared" ca="1" si="165"/>
        <v>-1.1495451631811582</v>
      </c>
      <c r="G244" s="5">
        <f t="shared" ca="1" si="150"/>
        <v>-8.2159613576359369E-2</v>
      </c>
      <c r="H244" s="5">
        <f t="shared" ca="1" si="166"/>
        <v>0.49782549034555545</v>
      </c>
      <c r="I244" s="5">
        <f t="shared" ca="1" si="167"/>
        <v>-5.4507143735500647E-3</v>
      </c>
      <c r="J244" s="5">
        <f t="shared" ca="1" si="151"/>
        <v>8.9678166818732086E-2</v>
      </c>
      <c r="K244" s="5">
        <f t="shared" ca="1" si="168"/>
        <v>0.65006631416026472</v>
      </c>
      <c r="L244" s="5">
        <f t="shared" ca="1" si="169"/>
        <v>0.38549950697543689</v>
      </c>
      <c r="M244" s="5">
        <f t="shared" ca="1" si="152"/>
        <v>0.1554904964144288</v>
      </c>
      <c r="N244" s="5">
        <f t="shared" ca="1" si="170"/>
        <v>0.98988346945745942</v>
      </c>
      <c r="O244" s="5">
        <f t="shared" ca="1" si="171"/>
        <v>2.3219976700999365</v>
      </c>
      <c r="P244" s="5">
        <f t="shared" ca="1" si="153"/>
        <v>0.54496251901000337</v>
      </c>
      <c r="Q244" s="5">
        <f t="shared" ca="1" si="172"/>
        <v>0.57780868117096362</v>
      </c>
      <c r="R244" s="5">
        <f t="shared" ca="1" si="173"/>
        <v>0.19629070315241395</v>
      </c>
      <c r="S244" s="5">
        <f t="shared" ca="1" si="154"/>
        <v>0.12315715206655797</v>
      </c>
      <c r="T244" s="5">
        <f t="shared" ca="1" si="174"/>
        <v>0.83714826669438713</v>
      </c>
      <c r="U244" s="5">
        <f t="shared" ca="1" si="175"/>
        <v>0.98280490642506324</v>
      </c>
      <c r="V244" s="5">
        <f t="shared" ca="1" si="155"/>
        <v>0.2637970687539466</v>
      </c>
      <c r="W244" s="5">
        <f t="shared" ca="1" si="176"/>
        <v>0.15521671160579065</v>
      </c>
      <c r="X244" s="5">
        <f t="shared" ca="1" si="177"/>
        <v>-1.014312999167051</v>
      </c>
      <c r="Y244" s="5">
        <f t="shared" ca="1" si="156"/>
        <v>-6.3351265225954578E-2</v>
      </c>
      <c r="Z244" s="5">
        <f t="shared" ca="1" si="178"/>
        <v>0.69846146241905238</v>
      </c>
      <c r="AA244" s="5">
        <f t="shared" ca="1" si="179"/>
        <v>0.51998063086080248</v>
      </c>
      <c r="AB244" s="5">
        <f t="shared" ca="1" si="157"/>
        <v>0.17903592830153237</v>
      </c>
      <c r="AC244" s="5">
        <f t="shared" ca="1" si="180"/>
        <v>0.70598234840610585</v>
      </c>
      <c r="AD244" s="5">
        <f t="shared" ca="1" si="181"/>
        <v>0.5416853216749512</v>
      </c>
      <c r="AE244" s="5">
        <f t="shared" ca="1" si="158"/>
        <v>0.18288077528889279</v>
      </c>
      <c r="AF244" s="5">
        <f t="shared" ca="1" si="183"/>
        <v>1.0445585702852804</v>
      </c>
      <c r="AG244" s="5">
        <f t="shared" ca="1" si="184"/>
        <v>0.91784038642364063</v>
      </c>
      <c r="AH244" s="5">
        <f t="shared" ca="1" si="185"/>
        <v>1.0896781668187321</v>
      </c>
      <c r="AI244" s="5">
        <f t="shared" ca="1" si="186"/>
        <v>1.1554904964144288</v>
      </c>
      <c r="AJ244" s="5">
        <f t="shared" ca="1" si="187"/>
        <v>1.5449625190100034</v>
      </c>
      <c r="AK244" s="5">
        <f t="shared" ca="1" si="188"/>
        <v>1.123157152066558</v>
      </c>
      <c r="AL244" s="5">
        <f t="shared" ca="1" si="189"/>
        <v>1.2637970687539466</v>
      </c>
      <c r="AM244" s="5">
        <f t="shared" ca="1" si="190"/>
        <v>0.93664873477404542</v>
      </c>
      <c r="AN244" s="5">
        <f t="shared" ca="1" si="191"/>
        <v>1.1790359283015324</v>
      </c>
      <c r="AO244" s="5">
        <f t="shared" ca="1" si="192"/>
        <v>1.1828807752888928</v>
      </c>
      <c r="AP244" s="5">
        <f t="shared" ca="1" si="193"/>
        <v>3.4581606883527733</v>
      </c>
      <c r="AQ244" s="4">
        <f t="shared" ca="1" si="159"/>
        <v>34581.606883527733</v>
      </c>
      <c r="AR244">
        <f t="shared" ca="1" si="160"/>
        <v>1</v>
      </c>
      <c r="AS244">
        <f t="shared" ca="1" si="161"/>
        <v>0</v>
      </c>
    </row>
    <row r="245" spans="1:45" x14ac:dyDescent="0.25">
      <c r="A245" s="10">
        <f t="shared" si="182"/>
        <v>224</v>
      </c>
      <c r="B245" s="5">
        <f t="shared" ca="1" si="162"/>
        <v>0.42245239665723777</v>
      </c>
      <c r="C245" s="5">
        <f t="shared" ca="1" si="163"/>
        <v>-0.19562359197947865</v>
      </c>
      <c r="D245" s="5">
        <f t="shared" ca="1" si="149"/>
        <v>5.9033247386144794E-2</v>
      </c>
      <c r="E245" s="5">
        <f t="shared" ca="1" si="164"/>
        <v>0.6423277473267589</v>
      </c>
      <c r="F245" s="5">
        <f t="shared" ca="1" si="165"/>
        <v>0.36468774799528436</v>
      </c>
      <c r="G245" s="5">
        <f t="shared" ca="1" si="150"/>
        <v>0.15188895246686451</v>
      </c>
      <c r="H245" s="5">
        <f t="shared" ca="1" si="166"/>
        <v>0.8622130100424108</v>
      </c>
      <c r="I245" s="5">
        <f t="shared" ca="1" si="167"/>
        <v>1.0903159764657009</v>
      </c>
      <c r="J245" s="5">
        <f t="shared" ca="1" si="151"/>
        <v>0.28434311934067136</v>
      </c>
      <c r="K245" s="5">
        <f t="shared" ca="1" si="168"/>
        <v>0.24037467640449139</v>
      </c>
      <c r="L245" s="5">
        <f t="shared" ca="1" si="169"/>
        <v>-0.70509783654205005</v>
      </c>
      <c r="M245" s="5">
        <f t="shared" ca="1" si="152"/>
        <v>-1.8884093952643899E-2</v>
      </c>
      <c r="N245" s="5">
        <f t="shared" ca="1" si="170"/>
        <v>0.97231143665327435</v>
      </c>
      <c r="O245" s="5">
        <f t="shared" ca="1" si="171"/>
        <v>1.9159054890452245</v>
      </c>
      <c r="P245" s="5">
        <f t="shared" ca="1" si="153"/>
        <v>0.45366190324758948</v>
      </c>
      <c r="Q245" s="5">
        <f t="shared" ca="1" si="172"/>
        <v>0.46176207162138216</v>
      </c>
      <c r="R245" s="5">
        <f t="shared" ca="1" si="173"/>
        <v>-9.5995504149172628E-2</v>
      </c>
      <c r="S245" s="5">
        <f t="shared" ca="1" si="154"/>
        <v>7.4978513972571381E-2</v>
      </c>
      <c r="T245" s="5">
        <f t="shared" ca="1" si="174"/>
        <v>0.25700762253275666</v>
      </c>
      <c r="U245" s="5">
        <f t="shared" ca="1" si="175"/>
        <v>-0.65259835699886581</v>
      </c>
      <c r="V245" s="5">
        <f t="shared" ca="1" si="155"/>
        <v>-1.1127381118396062E-2</v>
      </c>
      <c r="W245" s="5">
        <f t="shared" ca="1" si="176"/>
        <v>0.48101628616657699</v>
      </c>
      <c r="X245" s="5">
        <f t="shared" ca="1" si="177"/>
        <v>-4.7603086268896214E-2</v>
      </c>
      <c r="Y245" s="5">
        <f t="shared" ca="1" si="156"/>
        <v>8.2810024935440429E-2</v>
      </c>
      <c r="Z245" s="5">
        <f t="shared" ca="1" si="178"/>
        <v>0.94323518949984642</v>
      </c>
      <c r="AA245" s="5">
        <f t="shared" ca="1" si="179"/>
        <v>1.5825256522524767</v>
      </c>
      <c r="AB245" s="5">
        <f t="shared" ca="1" si="157"/>
        <v>0.38275633016824417</v>
      </c>
      <c r="AC245" s="5">
        <f t="shared" ca="1" si="180"/>
        <v>0.76067650726100855</v>
      </c>
      <c r="AD245" s="5">
        <f t="shared" ca="1" si="181"/>
        <v>0.70848039047959643</v>
      </c>
      <c r="AE245" s="5">
        <f t="shared" ca="1" si="158"/>
        <v>0.21284890431525705</v>
      </c>
      <c r="AF245" s="5">
        <f t="shared" ca="1" si="183"/>
        <v>1.0590332473861448</v>
      </c>
      <c r="AG245" s="5">
        <f t="shared" ca="1" si="184"/>
        <v>1.1518889524668645</v>
      </c>
      <c r="AH245" s="5">
        <f t="shared" ca="1" si="185"/>
        <v>1.2843431193406714</v>
      </c>
      <c r="AI245" s="5">
        <f t="shared" ca="1" si="186"/>
        <v>0.9811159060473561</v>
      </c>
      <c r="AJ245" s="5">
        <f t="shared" ca="1" si="187"/>
        <v>1.4536619032475895</v>
      </c>
      <c r="AK245" s="5">
        <f t="shared" ca="1" si="188"/>
        <v>1.0749785139725714</v>
      </c>
      <c r="AL245" s="5">
        <f t="shared" ca="1" si="189"/>
        <v>0.98887261888160394</v>
      </c>
      <c r="AM245" s="5">
        <f t="shared" ca="1" si="190"/>
        <v>1.0828100249354404</v>
      </c>
      <c r="AN245" s="5">
        <f t="shared" ca="1" si="191"/>
        <v>1.3827563301682442</v>
      </c>
      <c r="AO245" s="5">
        <f t="shared" ca="1" si="192"/>
        <v>1.212848904315257</v>
      </c>
      <c r="AP245" s="5">
        <f t="shared" ca="1" si="193"/>
        <v>4.313499536343965</v>
      </c>
      <c r="AQ245" s="4">
        <f t="shared" ca="1" si="159"/>
        <v>43134.995363439652</v>
      </c>
      <c r="AR245">
        <f t="shared" ca="1" si="160"/>
        <v>1</v>
      </c>
      <c r="AS245">
        <f t="shared" ca="1" si="161"/>
        <v>0</v>
      </c>
    </row>
    <row r="246" spans="1:45" x14ac:dyDescent="0.25">
      <c r="A246" s="10">
        <f t="shared" si="182"/>
        <v>225</v>
      </c>
      <c r="B246" s="5">
        <f t="shared" ca="1" si="162"/>
        <v>0.69703477725779595</v>
      </c>
      <c r="C246" s="5">
        <f t="shared" ca="1" si="163"/>
        <v>0.51589113575241152</v>
      </c>
      <c r="D246" s="5">
        <f t="shared" ca="1" si="149"/>
        <v>0.17831290083628981</v>
      </c>
      <c r="E246" s="5">
        <f t="shared" ca="1" si="164"/>
        <v>0.58839141395180661</v>
      </c>
      <c r="F246" s="5">
        <f t="shared" ca="1" si="165"/>
        <v>0.22340903630282524</v>
      </c>
      <c r="G246" s="5">
        <f t="shared" ca="1" si="150"/>
        <v>0.12773517936370538</v>
      </c>
      <c r="H246" s="5">
        <f t="shared" ca="1" si="166"/>
        <v>0.94922887314305093</v>
      </c>
      <c r="I246" s="5">
        <f t="shared" ca="1" si="167"/>
        <v>1.6374223389657687</v>
      </c>
      <c r="J246" s="5">
        <f t="shared" ca="1" si="151"/>
        <v>0.39418965057770539</v>
      </c>
      <c r="K246" s="5">
        <f t="shared" ca="1" si="168"/>
        <v>0.85938072610880323</v>
      </c>
      <c r="L246" s="5">
        <f t="shared" ca="1" si="169"/>
        <v>1.0775412161396483</v>
      </c>
      <c r="M246" s="5">
        <f t="shared" ca="1" si="152"/>
        <v>0.28188439948088417</v>
      </c>
      <c r="N246" s="5">
        <f t="shared" ca="1" si="170"/>
        <v>0.8755197686323053</v>
      </c>
      <c r="O246" s="5">
        <f t="shared" ca="1" si="171"/>
        <v>1.1528780011067123</v>
      </c>
      <c r="P246" s="5">
        <f t="shared" ca="1" si="153"/>
        <v>0.29645251548024465</v>
      </c>
      <c r="Q246" s="5">
        <f t="shared" ca="1" si="172"/>
        <v>0.31839442813827801</v>
      </c>
      <c r="R246" s="5">
        <f t="shared" ca="1" si="173"/>
        <v>-0.47219325142162089</v>
      </c>
      <c r="S246" s="5">
        <f t="shared" ca="1" si="154"/>
        <v>1.5997625743328303E-2</v>
      </c>
      <c r="T246" s="5">
        <f t="shared" ca="1" si="174"/>
        <v>0.38292206938524642</v>
      </c>
      <c r="U246" s="5">
        <f t="shared" ca="1" si="175"/>
        <v>-0.29781529694068892</v>
      </c>
      <c r="V246" s="5">
        <f t="shared" ca="1" si="155"/>
        <v>4.2923373021140465E-2</v>
      </c>
      <c r="W246" s="5">
        <f t="shared" ca="1" si="176"/>
        <v>6.3944795205637117E-3</v>
      </c>
      <c r="X246" s="5">
        <f t="shared" ca="1" si="177"/>
        <v>-2.4895926221535047</v>
      </c>
      <c r="Y246" s="5">
        <f t="shared" ca="1" si="156"/>
        <v>-0.24929228195345299</v>
      </c>
      <c r="Z246" s="5">
        <f t="shared" ca="1" si="178"/>
        <v>0.62522946638341981</v>
      </c>
      <c r="AA246" s="5">
        <f t="shared" ca="1" si="179"/>
        <v>0.31924456281104796</v>
      </c>
      <c r="AB246" s="5">
        <f t="shared" ca="1" si="157"/>
        <v>0.1440638272153647</v>
      </c>
      <c r="AC246" s="5">
        <f t="shared" ca="1" si="180"/>
        <v>9.517870433575748E-2</v>
      </c>
      <c r="AD246" s="5">
        <f t="shared" ca="1" si="181"/>
        <v>-1.3095225372288524</v>
      </c>
      <c r="AE246" s="5">
        <f t="shared" ca="1" si="158"/>
        <v>-0.10392250571008577</v>
      </c>
      <c r="AF246" s="5">
        <f t="shared" ca="1" si="183"/>
        <v>1.1783129008362898</v>
      </c>
      <c r="AG246" s="5">
        <f t="shared" ca="1" si="184"/>
        <v>1.1277351793637054</v>
      </c>
      <c r="AH246" s="5">
        <f t="shared" ca="1" si="185"/>
        <v>1.3941896505777054</v>
      </c>
      <c r="AI246" s="5">
        <f t="shared" ca="1" si="186"/>
        <v>1.2818843994808842</v>
      </c>
      <c r="AJ246" s="5">
        <f t="shared" ca="1" si="187"/>
        <v>1.2964525154802446</v>
      </c>
      <c r="AK246" s="5">
        <f t="shared" ca="1" si="188"/>
        <v>1.0159976257433283</v>
      </c>
      <c r="AL246" s="5">
        <f t="shared" ca="1" si="189"/>
        <v>1.0429233730211405</v>
      </c>
      <c r="AM246" s="5">
        <f t="shared" ca="1" si="190"/>
        <v>0.75070771804654701</v>
      </c>
      <c r="AN246" s="5">
        <f t="shared" ca="1" si="191"/>
        <v>1.1440638272153647</v>
      </c>
      <c r="AO246" s="5">
        <f t="shared" ca="1" si="192"/>
        <v>0.89607749428991423</v>
      </c>
      <c r="AP246" s="5">
        <f t="shared" ca="1" si="193"/>
        <v>2.5107697702474581</v>
      </c>
      <c r="AQ246" s="4">
        <f t="shared" ca="1" si="159"/>
        <v>25107.697702474579</v>
      </c>
      <c r="AR246">
        <f t="shared" ca="1" si="160"/>
        <v>1</v>
      </c>
      <c r="AS246">
        <f t="shared" ca="1" si="161"/>
        <v>0</v>
      </c>
    </row>
    <row r="247" spans="1:45" x14ac:dyDescent="0.25">
      <c r="A247" s="10">
        <f t="shared" si="182"/>
        <v>226</v>
      </c>
      <c r="B247" s="5">
        <f t="shared" ca="1" si="162"/>
        <v>0.87138751995619657</v>
      </c>
      <c r="C247" s="5">
        <f t="shared" ca="1" si="163"/>
        <v>1.1329745046008413</v>
      </c>
      <c r="D247" s="5">
        <f t="shared" ca="1" si="149"/>
        <v>0.29258769688941855</v>
      </c>
      <c r="E247" s="5">
        <f t="shared" ca="1" si="164"/>
        <v>0.86391468317429376</v>
      </c>
      <c r="F247" s="5">
        <f t="shared" ca="1" si="165"/>
        <v>1.0980775358916408</v>
      </c>
      <c r="G247" s="5">
        <f t="shared" ca="1" si="150"/>
        <v>0.28583926592057973</v>
      </c>
      <c r="H247" s="5">
        <f t="shared" ca="1" si="166"/>
        <v>0.79086373693937406</v>
      </c>
      <c r="I247" s="5">
        <f t="shared" ca="1" si="167"/>
        <v>0.80942187100127061</v>
      </c>
      <c r="J247" s="5">
        <f t="shared" ca="1" si="151"/>
        <v>0.23135265007731065</v>
      </c>
      <c r="K247" s="5">
        <f t="shared" ca="1" si="168"/>
        <v>0.43668231793753542</v>
      </c>
      <c r="L247" s="5">
        <f t="shared" ca="1" si="169"/>
        <v>-0.15938616808326606</v>
      </c>
      <c r="M247" s="5">
        <f t="shared" ca="1" si="152"/>
        <v>6.4805416319951403E-2</v>
      </c>
      <c r="N247" s="5">
        <f t="shared" ca="1" si="170"/>
        <v>6.2478037089159222E-2</v>
      </c>
      <c r="O247" s="5">
        <f t="shared" ca="1" si="171"/>
        <v>-1.5342991523811864</v>
      </c>
      <c r="P247" s="5">
        <f t="shared" ca="1" si="153"/>
        <v>-0.13363144070587418</v>
      </c>
      <c r="Q247" s="5">
        <f t="shared" ca="1" si="172"/>
        <v>0.66504340941597129</v>
      </c>
      <c r="R247" s="5">
        <f t="shared" ca="1" si="173"/>
        <v>0.42626716477111209</v>
      </c>
      <c r="S247" s="5">
        <f t="shared" ca="1" si="154"/>
        <v>0.16257814150084937</v>
      </c>
      <c r="T247" s="5">
        <f t="shared" ca="1" si="174"/>
        <v>0.42165162288635671</v>
      </c>
      <c r="U247" s="5">
        <f t="shared" ca="1" si="175"/>
        <v>-0.19767002211766366</v>
      </c>
      <c r="V247" s="5">
        <f t="shared" ca="1" si="155"/>
        <v>5.8708211642698904E-2</v>
      </c>
      <c r="W247" s="5">
        <f t="shared" ca="1" si="176"/>
        <v>0.607863802472425</v>
      </c>
      <c r="X247" s="5">
        <f t="shared" ca="1" si="177"/>
        <v>0.2737556670627202</v>
      </c>
      <c r="Y247" s="5">
        <f t="shared" ca="1" si="156"/>
        <v>0.1362840693192815</v>
      </c>
      <c r="Z247" s="5">
        <f t="shared" ca="1" si="178"/>
        <v>0.69548524466005823</v>
      </c>
      <c r="AA247" s="5">
        <f t="shared" ca="1" si="179"/>
        <v>0.51145925707441264</v>
      </c>
      <c r="AB247" s="5">
        <f t="shared" ca="1" si="157"/>
        <v>0.17752984017418316</v>
      </c>
      <c r="AC247" s="5">
        <f t="shared" ca="1" si="180"/>
        <v>0.24832941646932272</v>
      </c>
      <c r="AD247" s="5">
        <f t="shared" ca="1" si="181"/>
        <v>-0.67975621810474718</v>
      </c>
      <c r="AE247" s="5">
        <f t="shared" ca="1" si="158"/>
        <v>-1.5147536931662708E-2</v>
      </c>
      <c r="AF247" s="5">
        <f t="shared" ca="1" si="183"/>
        <v>1.2925876968894185</v>
      </c>
      <c r="AG247" s="5">
        <f t="shared" ca="1" si="184"/>
        <v>1.2858392659205797</v>
      </c>
      <c r="AH247" s="5">
        <f t="shared" ca="1" si="185"/>
        <v>1.2313526500773107</v>
      </c>
      <c r="AI247" s="5">
        <f t="shared" ca="1" si="186"/>
        <v>1.0648054163199514</v>
      </c>
      <c r="AJ247" s="5">
        <f t="shared" ca="1" si="187"/>
        <v>0.86636855929412582</v>
      </c>
      <c r="AK247" s="5">
        <f t="shared" ca="1" si="188"/>
        <v>1.1625781415008494</v>
      </c>
      <c r="AL247" s="5">
        <f t="shared" ca="1" si="189"/>
        <v>1.0587082116426989</v>
      </c>
      <c r="AM247" s="5">
        <f t="shared" ca="1" si="190"/>
        <v>1.1362840693192815</v>
      </c>
      <c r="AN247" s="5">
        <f t="shared" ca="1" si="191"/>
        <v>1.1775298401741832</v>
      </c>
      <c r="AO247" s="5">
        <f t="shared" ca="1" si="192"/>
        <v>0.98485246306833729</v>
      </c>
      <c r="AP247" s="5">
        <f t="shared" ca="1" si="193"/>
        <v>3.0621787302421617</v>
      </c>
      <c r="AQ247" s="4">
        <f t="shared" ca="1" si="159"/>
        <v>30621.787302421617</v>
      </c>
      <c r="AR247">
        <f t="shared" ca="1" si="160"/>
        <v>1</v>
      </c>
      <c r="AS247">
        <f t="shared" ca="1" si="161"/>
        <v>0</v>
      </c>
    </row>
    <row r="248" spans="1:45" x14ac:dyDescent="0.25">
      <c r="A248" s="10">
        <f t="shared" si="182"/>
        <v>227</v>
      </c>
      <c r="B248" s="5">
        <f t="shared" ca="1" si="162"/>
        <v>0.56920877871790221</v>
      </c>
      <c r="C248" s="5">
        <f t="shared" ca="1" si="163"/>
        <v>0.17436013432740921</v>
      </c>
      <c r="D248" s="5">
        <f t="shared" ca="1" si="149"/>
        <v>0.11946850117512731</v>
      </c>
      <c r="E248" s="5">
        <f t="shared" ca="1" si="164"/>
        <v>0.60072384189410322</v>
      </c>
      <c r="F248" s="5">
        <f t="shared" ca="1" si="165"/>
        <v>0.25522112450471984</v>
      </c>
      <c r="G248" s="5">
        <f t="shared" ca="1" si="150"/>
        <v>0.13312938083824766</v>
      </c>
      <c r="H248" s="5">
        <f t="shared" ca="1" si="166"/>
        <v>6.9884909273615348E-3</v>
      </c>
      <c r="I248" s="5">
        <f t="shared" ca="1" si="167"/>
        <v>-2.457854423291685</v>
      </c>
      <c r="J248" s="5">
        <f t="shared" ca="1" si="151"/>
        <v>-0.24570984458505407</v>
      </c>
      <c r="K248" s="5">
        <f t="shared" ca="1" si="168"/>
        <v>0.99650892840422289</v>
      </c>
      <c r="L248" s="5">
        <f t="shared" ca="1" si="169"/>
        <v>2.6976947464200669</v>
      </c>
      <c r="M248" s="5">
        <f t="shared" ca="1" si="152"/>
        <v>0.63452821952795246</v>
      </c>
      <c r="N248" s="5">
        <f t="shared" ca="1" si="170"/>
        <v>0.69295778210054726</v>
      </c>
      <c r="O248" s="5">
        <f t="shared" ca="1" si="171"/>
        <v>0.50425181135203501</v>
      </c>
      <c r="P248" s="5">
        <f t="shared" ca="1" si="153"/>
        <v>0.17625748072130931</v>
      </c>
      <c r="Q248" s="5">
        <f t="shared" ca="1" si="172"/>
        <v>0.15959952103788555</v>
      </c>
      <c r="R248" s="5">
        <f t="shared" ca="1" si="173"/>
        <v>-0.99610518250506375</v>
      </c>
      <c r="S248" s="5">
        <f t="shared" ca="1" si="154"/>
        <v>-6.0789619404067463E-2</v>
      </c>
      <c r="T248" s="5">
        <f t="shared" ca="1" si="174"/>
        <v>0.32351905459396857</v>
      </c>
      <c r="U248" s="5">
        <f t="shared" ca="1" si="175"/>
        <v>-0.45788076164450781</v>
      </c>
      <c r="V248" s="5">
        <f t="shared" ca="1" si="155"/>
        <v>1.8181187164489243E-2</v>
      </c>
      <c r="W248" s="5">
        <f t="shared" ca="1" si="176"/>
        <v>6.2743619736057576E-2</v>
      </c>
      <c r="X248" s="5">
        <f t="shared" ca="1" si="177"/>
        <v>-1.5321426401026732</v>
      </c>
      <c r="Y248" s="5">
        <f t="shared" ca="1" si="156"/>
        <v>-0.13335114520839186</v>
      </c>
      <c r="Z248" s="5">
        <f t="shared" ca="1" si="178"/>
        <v>0.56540326122152562</v>
      </c>
      <c r="AA248" s="5">
        <f t="shared" ca="1" si="179"/>
        <v>0.16468302636464505</v>
      </c>
      <c r="AB248" s="5">
        <f t="shared" ca="1" si="157"/>
        <v>0.11784469735759218</v>
      </c>
      <c r="AC248" s="5">
        <f t="shared" ca="1" si="180"/>
        <v>0.64796751126525365</v>
      </c>
      <c r="AD248" s="5">
        <f t="shared" ca="1" si="181"/>
        <v>0.37983893653526429</v>
      </c>
      <c r="AE248" s="5">
        <f t="shared" ca="1" si="158"/>
        <v>0.15450980251767854</v>
      </c>
      <c r="AF248" s="5">
        <f t="shared" ca="1" si="183"/>
        <v>1.1194685011751273</v>
      </c>
      <c r="AG248" s="5">
        <f t="shared" ca="1" si="184"/>
        <v>1.1331293808382477</v>
      </c>
      <c r="AH248" s="5">
        <f t="shared" ca="1" si="185"/>
        <v>0.75429015541494593</v>
      </c>
      <c r="AI248" s="5">
        <f t="shared" ca="1" si="186"/>
        <v>1.6345282195279525</v>
      </c>
      <c r="AJ248" s="5">
        <f t="shared" ca="1" si="187"/>
        <v>1.1762574807213093</v>
      </c>
      <c r="AK248" s="5">
        <f t="shared" ca="1" si="188"/>
        <v>0.93921038059593254</v>
      </c>
      <c r="AL248" s="5">
        <f t="shared" ca="1" si="189"/>
        <v>1.0181811871644892</v>
      </c>
      <c r="AM248" s="5">
        <f t="shared" ca="1" si="190"/>
        <v>0.86664885479160814</v>
      </c>
      <c r="AN248" s="5">
        <f t="shared" ca="1" si="191"/>
        <v>1.1178446973575922</v>
      </c>
      <c r="AO248" s="5">
        <f t="shared" ca="1" si="192"/>
        <v>1.1545098025176785</v>
      </c>
      <c r="AP248" s="5">
        <f t="shared" ca="1" si="193"/>
        <v>1.9675911258586782</v>
      </c>
      <c r="AQ248" s="4">
        <f t="shared" ca="1" si="159"/>
        <v>19675.911258586781</v>
      </c>
      <c r="AR248">
        <f t="shared" ca="1" si="160"/>
        <v>0</v>
      </c>
      <c r="AS248">
        <f t="shared" ca="1" si="161"/>
        <v>0</v>
      </c>
    </row>
    <row r="249" spans="1:45" x14ac:dyDescent="0.25">
      <c r="A249" s="10">
        <f t="shared" si="182"/>
        <v>228</v>
      </c>
      <c r="B249" s="5">
        <f t="shared" ca="1" si="162"/>
        <v>0.6947773737060029</v>
      </c>
      <c r="C249" s="5">
        <f t="shared" ca="1" si="163"/>
        <v>0.50943799099353648</v>
      </c>
      <c r="D249" s="5">
        <f t="shared" ca="1" si="149"/>
        <v>0.17717287912163804</v>
      </c>
      <c r="E249" s="5">
        <f t="shared" ca="1" si="164"/>
        <v>4.7555224343508451E-2</v>
      </c>
      <c r="F249" s="5">
        <f t="shared" ca="1" si="165"/>
        <v>-1.6690349746375848</v>
      </c>
      <c r="G249" s="5">
        <f t="shared" ca="1" si="150"/>
        <v>-0.15096532063433588</v>
      </c>
      <c r="H249" s="5">
        <f t="shared" ca="1" si="166"/>
        <v>3.3998364436456097E-2</v>
      </c>
      <c r="I249" s="5">
        <f t="shared" ca="1" si="167"/>
        <v>-1.8250284985559306</v>
      </c>
      <c r="J249" s="5">
        <f t="shared" ca="1" si="151"/>
        <v>-0.17060128027207655</v>
      </c>
      <c r="K249" s="5">
        <f t="shared" ca="1" si="168"/>
        <v>0.65541619053819544</v>
      </c>
      <c r="L249" s="5">
        <f t="shared" ca="1" si="169"/>
        <v>0.39998492667532115</v>
      </c>
      <c r="M249" s="5">
        <f t="shared" ca="1" si="152"/>
        <v>0.15800389071340892</v>
      </c>
      <c r="N249" s="5">
        <f t="shared" ca="1" si="170"/>
        <v>0.31112406808456761</v>
      </c>
      <c r="O249" s="5">
        <f t="shared" ca="1" si="171"/>
        <v>-0.49266666368566159</v>
      </c>
      <c r="P249" s="5">
        <f t="shared" ca="1" si="153"/>
        <v>1.2882271099594833E-2</v>
      </c>
      <c r="Q249" s="5">
        <f t="shared" ca="1" si="172"/>
        <v>0.41189705888115147</v>
      </c>
      <c r="R249" s="5">
        <f t="shared" ca="1" si="173"/>
        <v>-0.22266773101838694</v>
      </c>
      <c r="S249" s="5">
        <f t="shared" ca="1" si="154"/>
        <v>5.4745853073873141E-2</v>
      </c>
      <c r="T249" s="5">
        <f t="shared" ca="1" si="174"/>
        <v>0.51338351535008675</v>
      </c>
      <c r="U249" s="5">
        <f t="shared" ca="1" si="175"/>
        <v>3.3553793056304154E-2</v>
      </c>
      <c r="V249" s="5">
        <f t="shared" ca="1" si="155"/>
        <v>9.6072207332652537E-2</v>
      </c>
      <c r="W249" s="5">
        <f t="shared" ca="1" si="176"/>
        <v>0.47326781961178122</v>
      </c>
      <c r="X249" s="5">
        <f t="shared" ca="1" si="177"/>
        <v>-6.7057862473837604E-2</v>
      </c>
      <c r="Y249" s="5">
        <f t="shared" ca="1" si="156"/>
        <v>7.9654757045786839E-2</v>
      </c>
      <c r="Z249" s="5">
        <f t="shared" ca="1" si="178"/>
        <v>0.42927856682669829</v>
      </c>
      <c r="AA249" s="5">
        <f t="shared" ca="1" si="179"/>
        <v>-0.17821117521803434</v>
      </c>
      <c r="AB249" s="5">
        <f t="shared" ca="1" si="157"/>
        <v>6.1802912043435354E-2</v>
      </c>
      <c r="AC249" s="5">
        <f t="shared" ca="1" si="180"/>
        <v>0.1566962575023626</v>
      </c>
      <c r="AD249" s="5">
        <f t="shared" ca="1" si="181"/>
        <v>-1.0081290462986947</v>
      </c>
      <c r="AE249" s="5">
        <f t="shared" ca="1" si="158"/>
        <v>-6.2482033397123771E-2</v>
      </c>
      <c r="AF249" s="5">
        <f t="shared" ca="1" si="183"/>
        <v>1.177172879121638</v>
      </c>
      <c r="AG249" s="5">
        <f t="shared" ca="1" si="184"/>
        <v>0.84903467936566412</v>
      </c>
      <c r="AH249" s="5">
        <f t="shared" ca="1" si="185"/>
        <v>0.82939871972792345</v>
      </c>
      <c r="AI249" s="5">
        <f t="shared" ca="1" si="186"/>
        <v>1.1580038907134089</v>
      </c>
      <c r="AJ249" s="5">
        <f t="shared" ca="1" si="187"/>
        <v>1.0128822710995948</v>
      </c>
      <c r="AK249" s="5">
        <f t="shared" ca="1" si="188"/>
        <v>1.0547458530738731</v>
      </c>
      <c r="AL249" s="5">
        <f t="shared" ca="1" si="189"/>
        <v>1.0960722073326525</v>
      </c>
      <c r="AM249" s="5">
        <f t="shared" ca="1" si="190"/>
        <v>1.0796547570457868</v>
      </c>
      <c r="AN249" s="5">
        <f t="shared" ca="1" si="191"/>
        <v>1.0618029120434354</v>
      </c>
      <c r="AO249" s="5">
        <f t="shared" ca="1" si="192"/>
        <v>0.93751796660287623</v>
      </c>
      <c r="AP249" s="5">
        <f t="shared" ca="1" si="193"/>
        <v>1.2080737075386054</v>
      </c>
      <c r="AQ249" s="4">
        <f t="shared" ca="1" si="159"/>
        <v>12080.737075386054</v>
      </c>
      <c r="AR249">
        <f t="shared" ca="1" si="160"/>
        <v>0</v>
      </c>
      <c r="AS249">
        <f t="shared" ca="1" si="161"/>
        <v>0</v>
      </c>
    </row>
    <row r="250" spans="1:45" x14ac:dyDescent="0.25">
      <c r="A250" s="10">
        <f t="shared" si="182"/>
        <v>229</v>
      </c>
      <c r="B250" s="5">
        <f t="shared" ca="1" si="162"/>
        <v>9.8667838876989045E-3</v>
      </c>
      <c r="C250" s="5">
        <f t="shared" ca="1" si="163"/>
        <v>-2.3313755090600714</v>
      </c>
      <c r="D250" s="5">
        <f t="shared" ca="1" si="149"/>
        <v>-0.23126296601068508</v>
      </c>
      <c r="E250" s="5">
        <f t="shared" ca="1" si="164"/>
        <v>1.6672522543677015E-3</v>
      </c>
      <c r="F250" s="5">
        <f t="shared" ca="1" si="165"/>
        <v>-2.9350904700303664</v>
      </c>
      <c r="G250" s="5">
        <f t="shared" ca="1" si="150"/>
        <v>-0.29781864685370263</v>
      </c>
      <c r="H250" s="5">
        <f t="shared" ca="1" si="166"/>
        <v>0.62451122633177236</v>
      </c>
      <c r="I250" s="5">
        <f t="shared" ca="1" si="167"/>
        <v>0.31735065197061224</v>
      </c>
      <c r="J250" s="5">
        <f t="shared" ca="1" si="151"/>
        <v>0.14373886014427262</v>
      </c>
      <c r="K250" s="5">
        <f t="shared" ca="1" si="168"/>
        <v>0.26027625942514687</v>
      </c>
      <c r="L250" s="5">
        <f t="shared" ca="1" si="169"/>
        <v>-0.64249394602896748</v>
      </c>
      <c r="M250" s="5">
        <f t="shared" ca="1" si="152"/>
        <v>-9.6274484095892898E-3</v>
      </c>
      <c r="N250" s="5">
        <f t="shared" ca="1" si="170"/>
        <v>0.2258421016292057</v>
      </c>
      <c r="O250" s="5">
        <f t="shared" ca="1" si="171"/>
        <v>-0.75261017203916847</v>
      </c>
      <c r="P250" s="5">
        <f t="shared" ca="1" si="153"/>
        <v>-2.5851502835276041E-2</v>
      </c>
      <c r="Q250" s="5">
        <f t="shared" ca="1" si="172"/>
        <v>0.46278148113469864</v>
      </c>
      <c r="R250" s="5">
        <f t="shared" ca="1" si="173"/>
        <v>-9.3428736073910862E-2</v>
      </c>
      <c r="S250" s="5">
        <f t="shared" ca="1" si="154"/>
        <v>7.5392476738127101E-2</v>
      </c>
      <c r="T250" s="5">
        <f t="shared" ca="1" si="174"/>
        <v>0.36288128014780219</v>
      </c>
      <c r="U250" s="5">
        <f t="shared" ca="1" si="175"/>
        <v>-0.35076779433514194</v>
      </c>
      <c r="V250" s="5">
        <f t="shared" ca="1" si="155"/>
        <v>3.467237514210475E-2</v>
      </c>
      <c r="W250" s="5">
        <f t="shared" ca="1" si="176"/>
        <v>3.3507007583535309E-3</v>
      </c>
      <c r="X250" s="5">
        <f t="shared" ca="1" si="177"/>
        <v>-2.7113294037661273</v>
      </c>
      <c r="Y250" s="5">
        <f t="shared" ca="1" si="156"/>
        <v>-0.27385053490846656</v>
      </c>
      <c r="Z250" s="5">
        <f t="shared" ca="1" si="178"/>
        <v>0.52357294680826483</v>
      </c>
      <c r="AA250" s="5">
        <f t="shared" ca="1" si="179"/>
        <v>5.9123041366977436E-2</v>
      </c>
      <c r="AB250" s="5">
        <f t="shared" ca="1" si="157"/>
        <v>0.10028414073263736</v>
      </c>
      <c r="AC250" s="5">
        <f t="shared" ca="1" si="180"/>
        <v>0.93420447528191797</v>
      </c>
      <c r="AD250" s="5">
        <f t="shared" ca="1" si="181"/>
        <v>1.5078573146181629</v>
      </c>
      <c r="AE250" s="5">
        <f t="shared" ca="1" si="158"/>
        <v>0.36735552015202577</v>
      </c>
      <c r="AF250" s="5">
        <f t="shared" ca="1" si="183"/>
        <v>0.76873703398931492</v>
      </c>
      <c r="AG250" s="5">
        <f t="shared" ca="1" si="184"/>
        <v>0.70218135314629737</v>
      </c>
      <c r="AH250" s="5">
        <f t="shared" ca="1" si="185"/>
        <v>1.1437388601442726</v>
      </c>
      <c r="AI250" s="5">
        <f t="shared" ca="1" si="186"/>
        <v>0.99037255159041071</v>
      </c>
      <c r="AJ250" s="5">
        <f t="shared" ca="1" si="187"/>
        <v>0.97414849716472396</v>
      </c>
      <c r="AK250" s="5">
        <f t="shared" ca="1" si="188"/>
        <v>1.0753924767381271</v>
      </c>
      <c r="AL250" s="5">
        <f t="shared" ca="1" si="189"/>
        <v>1.0346723751421047</v>
      </c>
      <c r="AM250" s="5">
        <f t="shared" ca="1" si="190"/>
        <v>0.72614946509153344</v>
      </c>
      <c r="AN250" s="5">
        <f t="shared" ca="1" si="191"/>
        <v>1.1002841407326374</v>
      </c>
      <c r="AO250" s="5">
        <f t="shared" ca="1" si="192"/>
        <v>1.3673555201520258</v>
      </c>
      <c r="AP250" s="5">
        <f t="shared" ca="1" si="193"/>
        <v>0.72403557323086187</v>
      </c>
      <c r="AQ250" s="4">
        <f t="shared" ca="1" si="159"/>
        <v>7240.3557323086188</v>
      </c>
      <c r="AR250">
        <f t="shared" ca="1" si="160"/>
        <v>0</v>
      </c>
      <c r="AS250">
        <f t="shared" ca="1" si="161"/>
        <v>0</v>
      </c>
    </row>
    <row r="251" spans="1:45" x14ac:dyDescent="0.25">
      <c r="A251" s="10">
        <f t="shared" si="182"/>
        <v>230</v>
      </c>
      <c r="B251" s="5">
        <f t="shared" ca="1" si="162"/>
        <v>0.49749161219758542</v>
      </c>
      <c r="C251" s="5">
        <f t="shared" ca="1" si="163"/>
        <v>-6.2876372186679548E-3</v>
      </c>
      <c r="D251" s="5">
        <f t="shared" ca="1" si="149"/>
        <v>8.9541378922235015E-2</v>
      </c>
      <c r="E251" s="5">
        <f t="shared" ca="1" si="164"/>
        <v>0.64125166130323541</v>
      </c>
      <c r="F251" s="5">
        <f t="shared" ca="1" si="165"/>
        <v>0.36180644256559846</v>
      </c>
      <c r="G251" s="5">
        <f t="shared" ca="1" si="150"/>
        <v>0.15139121844992109</v>
      </c>
      <c r="H251" s="5">
        <f t="shared" ca="1" si="166"/>
        <v>0.73563416016769123</v>
      </c>
      <c r="I251" s="5">
        <f t="shared" ca="1" si="167"/>
        <v>0.62994330322317371</v>
      </c>
      <c r="J251" s="5">
        <f t="shared" ca="1" si="151"/>
        <v>0.1986446923620202</v>
      </c>
      <c r="K251" s="5">
        <f t="shared" ca="1" si="168"/>
        <v>2.5681426651161687E-2</v>
      </c>
      <c r="L251" s="5">
        <f t="shared" ca="1" si="169"/>
        <v>-1.9484356859527103</v>
      </c>
      <c r="M251" s="5">
        <f t="shared" ca="1" si="152"/>
        <v>-0.18581311663977473</v>
      </c>
      <c r="N251" s="5">
        <f t="shared" ca="1" si="170"/>
        <v>0.99374804939394978</v>
      </c>
      <c r="O251" s="5">
        <f t="shared" ca="1" si="171"/>
        <v>2.4975948426968175</v>
      </c>
      <c r="P251" s="5">
        <f t="shared" ca="1" si="153"/>
        <v>0.58619683987627602</v>
      </c>
      <c r="Q251" s="5">
        <f t="shared" ca="1" si="172"/>
        <v>0.5770400451973231</v>
      </c>
      <c r="R251" s="5">
        <f t="shared" ca="1" si="173"/>
        <v>0.19432691830514007</v>
      </c>
      <c r="S251" s="5">
        <f t="shared" ca="1" si="154"/>
        <v>0.12282635494057836</v>
      </c>
      <c r="T251" s="5">
        <f t="shared" ca="1" si="174"/>
        <v>0.6870823057447687</v>
      </c>
      <c r="U251" s="5">
        <f t="shared" ca="1" si="175"/>
        <v>0.48759690462381317</v>
      </c>
      <c r="V251" s="5">
        <f t="shared" ca="1" si="155"/>
        <v>0.17332257949124741</v>
      </c>
      <c r="W251" s="5">
        <f t="shared" ca="1" si="176"/>
        <v>0.88017505112386751</v>
      </c>
      <c r="X251" s="5">
        <f t="shared" ca="1" si="177"/>
        <v>1.1758623208537913</v>
      </c>
      <c r="Y251" s="5">
        <f t="shared" ca="1" si="156"/>
        <v>0.30092994121200722</v>
      </c>
      <c r="Z251" s="5">
        <f t="shared" ca="1" si="178"/>
        <v>0.69247612222970301</v>
      </c>
      <c r="AA251" s="5">
        <f t="shared" ca="1" si="179"/>
        <v>0.50288126268843003</v>
      </c>
      <c r="AB251" s="5">
        <f t="shared" ca="1" si="157"/>
        <v>0.17601568785858857</v>
      </c>
      <c r="AC251" s="5">
        <f t="shared" ca="1" si="180"/>
        <v>0.13829732531846661</v>
      </c>
      <c r="AD251" s="5">
        <f t="shared" ca="1" si="181"/>
        <v>-1.0880010349642242</v>
      </c>
      <c r="AE251" s="5">
        <f t="shared" ca="1" si="158"/>
        <v>-7.364722952248548E-2</v>
      </c>
      <c r="AF251" s="5">
        <f t="shared" ca="1" si="183"/>
        <v>1.089541378922235</v>
      </c>
      <c r="AG251" s="5">
        <f t="shared" ca="1" si="184"/>
        <v>1.1513912184499211</v>
      </c>
      <c r="AH251" s="5">
        <f t="shared" ca="1" si="185"/>
        <v>1.1986446923620202</v>
      </c>
      <c r="AI251" s="5">
        <f t="shared" ca="1" si="186"/>
        <v>0.81418688336022527</v>
      </c>
      <c r="AJ251" s="5">
        <f t="shared" ca="1" si="187"/>
        <v>1.586196839876276</v>
      </c>
      <c r="AK251" s="5">
        <f t="shared" ca="1" si="188"/>
        <v>1.1228263549405784</v>
      </c>
      <c r="AL251" s="5">
        <f t="shared" ca="1" si="189"/>
        <v>1.1733225794912474</v>
      </c>
      <c r="AM251" s="5">
        <f t="shared" ca="1" si="190"/>
        <v>1.3009299412120072</v>
      </c>
      <c r="AN251" s="5">
        <f t="shared" ca="1" si="191"/>
        <v>1.1760156878585886</v>
      </c>
      <c r="AO251" s="5">
        <f t="shared" ca="1" si="192"/>
        <v>0.92635277047751452</v>
      </c>
      <c r="AP251" s="5">
        <f t="shared" ca="1" si="193"/>
        <v>3.6258659608263235</v>
      </c>
      <c r="AQ251" s="4">
        <f t="shared" ca="1" si="159"/>
        <v>36258.659608263239</v>
      </c>
      <c r="AR251">
        <f t="shared" ca="1" si="160"/>
        <v>1</v>
      </c>
      <c r="AS251">
        <f t="shared" ca="1" si="161"/>
        <v>0</v>
      </c>
    </row>
    <row r="252" spans="1:45" x14ac:dyDescent="0.25">
      <c r="A252" s="10">
        <f t="shared" si="182"/>
        <v>231</v>
      </c>
      <c r="B252" s="5">
        <f t="shared" ca="1" si="162"/>
        <v>0.40817507579991719</v>
      </c>
      <c r="C252" s="5">
        <f t="shared" ca="1" si="163"/>
        <v>-0.23224187961576107</v>
      </c>
      <c r="D252" s="5">
        <f t="shared" ca="1" si="149"/>
        <v>5.3232196202742887E-2</v>
      </c>
      <c r="E252" s="5">
        <f t="shared" ca="1" si="164"/>
        <v>0.67933451958017566</v>
      </c>
      <c r="F252" s="5">
        <f t="shared" ca="1" si="165"/>
        <v>0.46583870122390642</v>
      </c>
      <c r="G252" s="5">
        <f t="shared" ca="1" si="150"/>
        <v>0.16949941307661898</v>
      </c>
      <c r="H252" s="5">
        <f t="shared" ca="1" si="166"/>
        <v>0.47758064177074067</v>
      </c>
      <c r="I252" s="5">
        <f t="shared" ca="1" si="167"/>
        <v>-5.6226609289184763E-2</v>
      </c>
      <c r="J252" s="5">
        <f t="shared" ca="1" si="151"/>
        <v>8.1410284855928161E-2</v>
      </c>
      <c r="K252" s="5">
        <f t="shared" ca="1" si="168"/>
        <v>0.32673105259727098</v>
      </c>
      <c r="L252" s="5">
        <f t="shared" ca="1" si="169"/>
        <v>-0.44895779153328513</v>
      </c>
      <c r="M252" s="5">
        <f t="shared" ca="1" si="152"/>
        <v>1.9544879620066791E-2</v>
      </c>
      <c r="N252" s="5">
        <f t="shared" ca="1" si="170"/>
        <v>0.98458258549568411</v>
      </c>
      <c r="O252" s="5">
        <f t="shared" ca="1" si="171"/>
        <v>2.1591977441210299</v>
      </c>
      <c r="P252" s="5">
        <f t="shared" ca="1" si="153"/>
        <v>0.50769148274846465</v>
      </c>
      <c r="Q252" s="5">
        <f t="shared" ca="1" si="172"/>
        <v>0.98256082930088917</v>
      </c>
      <c r="R252" s="5">
        <f t="shared" ca="1" si="173"/>
        <v>2.1097680307590179</v>
      </c>
      <c r="S252" s="5">
        <f t="shared" ca="1" si="154"/>
        <v>0.49655410888597551</v>
      </c>
      <c r="T252" s="5">
        <f t="shared" ca="1" si="174"/>
        <v>0.71478782891070569</v>
      </c>
      <c r="U252" s="5">
        <f t="shared" ca="1" si="175"/>
        <v>0.56742665850642382</v>
      </c>
      <c r="V252" s="5">
        <f t="shared" ca="1" si="155"/>
        <v>0.18745694422661496</v>
      </c>
      <c r="W252" s="5">
        <f t="shared" ca="1" si="176"/>
        <v>0.11806802237930891</v>
      </c>
      <c r="X252" s="5">
        <f t="shared" ca="1" si="177"/>
        <v>-1.1847000953663398</v>
      </c>
      <c r="Y252" s="5">
        <f t="shared" ca="1" si="156"/>
        <v>-8.6986867238484145E-2</v>
      </c>
      <c r="Z252" s="5">
        <f t="shared" ca="1" si="178"/>
        <v>0.51663333158084479</v>
      </c>
      <c r="AA252" s="5">
        <f t="shared" ca="1" si="179"/>
        <v>4.1705666300828184E-2</v>
      </c>
      <c r="AB252" s="5">
        <f t="shared" ca="1" si="157"/>
        <v>9.7413283341831303E-2</v>
      </c>
      <c r="AC252" s="5">
        <f t="shared" ca="1" si="180"/>
        <v>0.64436433719051001</v>
      </c>
      <c r="AD252" s="5">
        <f t="shared" ca="1" si="181"/>
        <v>0.37014919923530498</v>
      </c>
      <c r="AE252" s="5">
        <f t="shared" ca="1" si="158"/>
        <v>0.1528329869010927</v>
      </c>
      <c r="AF252" s="5">
        <f t="shared" ca="1" si="183"/>
        <v>1.0532321962027429</v>
      </c>
      <c r="AG252" s="5">
        <f t="shared" ca="1" si="184"/>
        <v>1.169499413076619</v>
      </c>
      <c r="AH252" s="5">
        <f t="shared" ca="1" si="185"/>
        <v>1.0814102848559282</v>
      </c>
      <c r="AI252" s="5">
        <f t="shared" ca="1" si="186"/>
        <v>1.0195448796200668</v>
      </c>
      <c r="AJ252" s="5">
        <f t="shared" ca="1" si="187"/>
        <v>1.5076914827484647</v>
      </c>
      <c r="AK252" s="5">
        <f t="shared" ca="1" si="188"/>
        <v>1.4965541088859755</v>
      </c>
      <c r="AL252" s="5">
        <f t="shared" ca="1" si="189"/>
        <v>1.187456944226615</v>
      </c>
      <c r="AM252" s="5">
        <f t="shared" ca="1" si="190"/>
        <v>0.91301313276151586</v>
      </c>
      <c r="AN252" s="5">
        <f t="shared" ca="1" si="191"/>
        <v>1.0974132833418313</v>
      </c>
      <c r="AO252" s="5">
        <f t="shared" ca="1" si="192"/>
        <v>1.1528329869010927</v>
      </c>
      <c r="AP252" s="5">
        <f t="shared" ca="1" si="193"/>
        <v>4.2029806142465</v>
      </c>
      <c r="AQ252" s="4">
        <f t="shared" ca="1" si="159"/>
        <v>42029.806142465</v>
      </c>
      <c r="AR252">
        <f t="shared" ca="1" si="160"/>
        <v>1</v>
      </c>
      <c r="AS252">
        <f t="shared" ca="1" si="161"/>
        <v>0</v>
      </c>
    </row>
    <row r="253" spans="1:45" x14ac:dyDescent="0.25">
      <c r="A253" s="10">
        <f t="shared" si="182"/>
        <v>232</v>
      </c>
      <c r="B253" s="5">
        <f t="shared" ca="1" si="162"/>
        <v>0.94166177090482817</v>
      </c>
      <c r="C253" s="5">
        <f t="shared" ca="1" si="163"/>
        <v>1.5688776173651797</v>
      </c>
      <c r="D253" s="5">
        <f t="shared" ca="1" si="149"/>
        <v>0.37992843979666491</v>
      </c>
      <c r="E253" s="5">
        <f t="shared" ca="1" si="164"/>
        <v>2.6993431516263877E-2</v>
      </c>
      <c r="F253" s="5">
        <f t="shared" ca="1" si="165"/>
        <v>-1.9269419637827956</v>
      </c>
      <c r="G253" s="5">
        <f t="shared" ca="1" si="150"/>
        <v>-0.18318389453473116</v>
      </c>
      <c r="H253" s="5">
        <f t="shared" ca="1" si="166"/>
        <v>0.52925152499067396</v>
      </c>
      <c r="I253" s="5">
        <f t="shared" ca="1" si="167"/>
        <v>7.3388523337646949E-2</v>
      </c>
      <c r="J253" s="5">
        <f t="shared" ca="1" si="151"/>
        <v>0.10264107407839895</v>
      </c>
      <c r="K253" s="5">
        <f t="shared" ca="1" si="168"/>
        <v>0.66332175290001161</v>
      </c>
      <c r="L253" s="5">
        <f t="shared" ca="1" si="169"/>
        <v>0.42154591007683845</v>
      </c>
      <c r="M253" s="5">
        <f t="shared" ca="1" si="152"/>
        <v>0.16175510884005528</v>
      </c>
      <c r="N253" s="5">
        <f t="shared" ca="1" si="170"/>
        <v>0.38673509133231398</v>
      </c>
      <c r="O253" s="5">
        <f t="shared" ca="1" si="171"/>
        <v>-0.28783873842645624</v>
      </c>
      <c r="P253" s="5">
        <f t="shared" ca="1" si="153"/>
        <v>4.4485259306923375E-2</v>
      </c>
      <c r="Q253" s="5">
        <f t="shared" ca="1" si="172"/>
        <v>9.3648552320642509E-2</v>
      </c>
      <c r="R253" s="5">
        <f t="shared" ca="1" si="173"/>
        <v>-1.3186172475053402</v>
      </c>
      <c r="S253" s="5">
        <f t="shared" ca="1" si="154"/>
        <v>-0.10514410704174304</v>
      </c>
      <c r="T253" s="5">
        <f t="shared" ca="1" si="174"/>
        <v>0.34598370807534018</v>
      </c>
      <c r="U253" s="5">
        <f t="shared" ca="1" si="175"/>
        <v>-0.39618654545690185</v>
      </c>
      <c r="V253" s="5">
        <f t="shared" ca="1" si="155"/>
        <v>2.764730349780975E-2</v>
      </c>
      <c r="W253" s="5">
        <f t="shared" ca="1" si="176"/>
        <v>0.72962063809111322</v>
      </c>
      <c r="X253" s="5">
        <f t="shared" ca="1" si="177"/>
        <v>0.61166605671284413</v>
      </c>
      <c r="Y253" s="5">
        <f t="shared" ca="1" si="156"/>
        <v>0.19536300425612851</v>
      </c>
      <c r="Z253" s="5">
        <f t="shared" ca="1" si="178"/>
        <v>0.99685259899320278</v>
      </c>
      <c r="AA253" s="5">
        <f t="shared" ca="1" si="179"/>
        <v>2.7320163339130676</v>
      </c>
      <c r="AB253" s="5">
        <f t="shared" ca="1" si="157"/>
        <v>0.64296485830111894</v>
      </c>
      <c r="AC253" s="5">
        <f t="shared" ca="1" si="180"/>
        <v>0.98170031683547199</v>
      </c>
      <c r="AD253" s="5">
        <f t="shared" ca="1" si="181"/>
        <v>2.090205247932726</v>
      </c>
      <c r="AE253" s="5">
        <f t="shared" ca="1" si="158"/>
        <v>0.49216903140345791</v>
      </c>
      <c r="AF253" s="5">
        <f t="shared" ca="1" si="183"/>
        <v>1.3799284397966649</v>
      </c>
      <c r="AG253" s="5">
        <f t="shared" ca="1" si="184"/>
        <v>0.81681610546526884</v>
      </c>
      <c r="AH253" s="5">
        <f t="shared" ca="1" si="185"/>
        <v>1.102641074078399</v>
      </c>
      <c r="AI253" s="5">
        <f t="shared" ca="1" si="186"/>
        <v>1.1617551088400553</v>
      </c>
      <c r="AJ253" s="5">
        <f t="shared" ca="1" si="187"/>
        <v>1.0444852593069234</v>
      </c>
      <c r="AK253" s="5">
        <f t="shared" ca="1" si="188"/>
        <v>0.89485589295825696</v>
      </c>
      <c r="AL253" s="5">
        <f t="shared" ca="1" si="189"/>
        <v>1.0276473034978097</v>
      </c>
      <c r="AM253" s="5">
        <f t="shared" ca="1" si="190"/>
        <v>1.1953630042561285</v>
      </c>
      <c r="AN253" s="5">
        <f t="shared" ca="1" si="191"/>
        <v>1.6429648583011189</v>
      </c>
      <c r="AO253" s="5">
        <f t="shared" ca="1" si="192"/>
        <v>1.4921690314034579</v>
      </c>
      <c r="AP253" s="5">
        <f t="shared" ca="1" si="193"/>
        <v>4.0642014527945376</v>
      </c>
      <c r="AQ253" s="4">
        <f t="shared" ca="1" si="159"/>
        <v>40642.014527945379</v>
      </c>
      <c r="AR253">
        <f t="shared" ca="1" si="160"/>
        <v>1</v>
      </c>
      <c r="AS253">
        <f t="shared" ca="1" si="161"/>
        <v>0</v>
      </c>
    </row>
    <row r="254" spans="1:45" x14ac:dyDescent="0.25">
      <c r="A254" s="10">
        <f t="shared" si="182"/>
        <v>233</v>
      </c>
      <c r="B254" s="5">
        <f t="shared" ca="1" si="162"/>
        <v>0.21928903715289649</v>
      </c>
      <c r="C254" s="5">
        <f t="shared" ca="1" si="163"/>
        <v>-0.77459658765491979</v>
      </c>
      <c r="D254" s="5">
        <f t="shared" ca="1" si="149"/>
        <v>-2.9058916023705139E-2</v>
      </c>
      <c r="E254" s="5">
        <f t="shared" ca="1" si="164"/>
        <v>0.98086884390271045</v>
      </c>
      <c r="F254" s="5">
        <f t="shared" ca="1" si="165"/>
        <v>2.0720335531861722</v>
      </c>
      <c r="G254" s="5">
        <f t="shared" ca="1" si="150"/>
        <v>0.48810728355907584</v>
      </c>
      <c r="H254" s="5">
        <f t="shared" ca="1" si="166"/>
        <v>0.57957880714683063</v>
      </c>
      <c r="I254" s="5">
        <f t="shared" ca="1" si="167"/>
        <v>0.20081608425329242</v>
      </c>
      <c r="J254" s="5">
        <f t="shared" ca="1" si="151"/>
        <v>0.12391981801121865</v>
      </c>
      <c r="K254" s="5">
        <f t="shared" ca="1" si="168"/>
        <v>0.68653107171382899</v>
      </c>
      <c r="L254" s="5">
        <f t="shared" ca="1" si="169"/>
        <v>0.48604133901143171</v>
      </c>
      <c r="M254" s="5">
        <f t="shared" ca="1" si="152"/>
        <v>0.17304883439109098</v>
      </c>
      <c r="N254" s="5">
        <f t="shared" ca="1" si="170"/>
        <v>0.89282806855332031</v>
      </c>
      <c r="O254" s="5">
        <f t="shared" ca="1" si="171"/>
        <v>1.2417092309482058</v>
      </c>
      <c r="P254" s="5">
        <f t="shared" ca="1" si="153"/>
        <v>0.31384293984518585</v>
      </c>
      <c r="Q254" s="5">
        <f t="shared" ca="1" si="172"/>
        <v>0.28655810496167178</v>
      </c>
      <c r="R254" s="5">
        <f t="shared" ca="1" si="173"/>
        <v>-0.56346805056397875</v>
      </c>
      <c r="S254" s="5">
        <f t="shared" ca="1" si="154"/>
        <v>2.1821698900434949E-3</v>
      </c>
      <c r="T254" s="5">
        <f t="shared" ca="1" si="174"/>
        <v>0.45320159471110499</v>
      </c>
      <c r="U254" s="5">
        <f t="shared" ca="1" si="175"/>
        <v>-0.11757654622580453</v>
      </c>
      <c r="V254" s="5">
        <f t="shared" ca="1" si="155"/>
        <v>7.1504266865756616E-2</v>
      </c>
      <c r="W254" s="5">
        <f t="shared" ca="1" si="176"/>
        <v>0.1134814884318871</v>
      </c>
      <c r="X254" s="5">
        <f t="shared" ca="1" si="177"/>
        <v>-1.2082191519601411</v>
      </c>
      <c r="Y254" s="5">
        <f t="shared" ca="1" si="156"/>
        <v>-9.0202173462101243E-2</v>
      </c>
      <c r="Z254" s="5">
        <f t="shared" ca="1" si="178"/>
        <v>0.32225850683234603</v>
      </c>
      <c r="AA254" s="5">
        <f t="shared" ca="1" si="179"/>
        <v>-0.4613925247419336</v>
      </c>
      <c r="AB254" s="5">
        <f t="shared" ca="1" si="157"/>
        <v>1.7644986734617563E-2</v>
      </c>
      <c r="AC254" s="5">
        <f t="shared" ca="1" si="180"/>
        <v>0.24956272376756228</v>
      </c>
      <c r="AD254" s="5">
        <f t="shared" ca="1" si="181"/>
        <v>-0.67586643890997877</v>
      </c>
      <c r="AE254" s="5">
        <f t="shared" ca="1" si="158"/>
        <v>-1.4572740467505896E-2</v>
      </c>
      <c r="AF254" s="5">
        <f t="shared" ca="1" si="183"/>
        <v>0.97094108397629486</v>
      </c>
      <c r="AG254" s="5">
        <f t="shared" ca="1" si="184"/>
        <v>1.4881072835590758</v>
      </c>
      <c r="AH254" s="5">
        <f t="shared" ca="1" si="185"/>
        <v>1.1239198180112187</v>
      </c>
      <c r="AI254" s="5">
        <f t="shared" ca="1" si="186"/>
        <v>1.173048834391091</v>
      </c>
      <c r="AJ254" s="5">
        <f t="shared" ca="1" si="187"/>
        <v>1.3138429398451859</v>
      </c>
      <c r="AK254" s="5">
        <f t="shared" ca="1" si="188"/>
        <v>1.0021821698900435</v>
      </c>
      <c r="AL254" s="5">
        <f t="shared" ca="1" si="189"/>
        <v>1.0715042668657566</v>
      </c>
      <c r="AM254" s="5">
        <f t="shared" ca="1" si="190"/>
        <v>0.90979782653789876</v>
      </c>
      <c r="AN254" s="5">
        <f t="shared" ca="1" si="191"/>
        <v>1.0176449867346176</v>
      </c>
      <c r="AO254" s="5">
        <f t="shared" ca="1" si="192"/>
        <v>0.9854272595324941</v>
      </c>
      <c r="AP254" s="5">
        <f t="shared" ca="1" si="193"/>
        <v>2.452044425805604</v>
      </c>
      <c r="AQ254" s="4">
        <f t="shared" ca="1" si="159"/>
        <v>24520.444258056039</v>
      </c>
      <c r="AR254">
        <f t="shared" ca="1" si="160"/>
        <v>0</v>
      </c>
      <c r="AS254">
        <f t="shared" ca="1" si="161"/>
        <v>0</v>
      </c>
    </row>
    <row r="255" spans="1:45" x14ac:dyDescent="0.25">
      <c r="A255" s="10">
        <f t="shared" si="182"/>
        <v>234</v>
      </c>
      <c r="B255" s="5">
        <f t="shared" ca="1" si="162"/>
        <v>0.31964789234866142</v>
      </c>
      <c r="C255" s="5">
        <f t="shared" ca="1" si="163"/>
        <v>-0.46868363698545157</v>
      </c>
      <c r="D255" s="5">
        <f t="shared" ca="1" si="149"/>
        <v>1.6532630545678995E-2</v>
      </c>
      <c r="E255" s="5">
        <f t="shared" ca="1" si="164"/>
        <v>8.5157805577615098E-2</v>
      </c>
      <c r="F255" s="5">
        <f t="shared" ca="1" si="165"/>
        <v>-1.3711903964050149</v>
      </c>
      <c r="G255" s="5">
        <f t="shared" ca="1" si="150"/>
        <v>-0.11217316395599064</v>
      </c>
      <c r="H255" s="5">
        <f t="shared" ca="1" si="166"/>
        <v>0.29675991410613101</v>
      </c>
      <c r="I255" s="5">
        <f t="shared" ca="1" si="167"/>
        <v>-0.53374231568800645</v>
      </c>
      <c r="J255" s="5">
        <f t="shared" ca="1" si="151"/>
        <v>6.660737345113521E-3</v>
      </c>
      <c r="K255" s="5">
        <f t="shared" ca="1" si="168"/>
        <v>0.20877501160475564</v>
      </c>
      <c r="L255" s="5">
        <f t="shared" ca="1" si="169"/>
        <v>-0.81067902245361134</v>
      </c>
      <c r="M255" s="5">
        <f t="shared" ca="1" si="152"/>
        <v>-3.4299808172151725E-2</v>
      </c>
      <c r="N255" s="5">
        <f t="shared" ca="1" si="170"/>
        <v>0.25059960291174876</v>
      </c>
      <c r="O255" s="5">
        <f t="shared" ca="1" si="171"/>
        <v>-0.6726040792809691</v>
      </c>
      <c r="P255" s="5">
        <f t="shared" ca="1" si="153"/>
        <v>-1.4090399743139637E-2</v>
      </c>
      <c r="Q255" s="5">
        <f t="shared" ca="1" si="172"/>
        <v>0.50871679704555384</v>
      </c>
      <c r="R255" s="5">
        <f t="shared" ca="1" si="173"/>
        <v>2.1851508787854988E-2</v>
      </c>
      <c r="S255" s="5">
        <f t="shared" ca="1" si="154"/>
        <v>9.4149912686774639E-2</v>
      </c>
      <c r="T255" s="5">
        <f t="shared" ca="1" si="174"/>
        <v>0.72094357776557405</v>
      </c>
      <c r="U255" s="5">
        <f t="shared" ca="1" si="175"/>
        <v>0.58564687012452588</v>
      </c>
      <c r="V255" s="5">
        <f t="shared" ca="1" si="155"/>
        <v>0.190706740623797</v>
      </c>
      <c r="W255" s="5">
        <f t="shared" ca="1" si="176"/>
        <v>0.3347389546116083</v>
      </c>
      <c r="X255" s="5">
        <f t="shared" ca="1" si="177"/>
        <v>-0.42686465719218575</v>
      </c>
      <c r="Y255" s="5">
        <f t="shared" ca="1" si="156"/>
        <v>2.2929225632381423E-2</v>
      </c>
      <c r="Z255" s="5">
        <f t="shared" ca="1" si="178"/>
        <v>0.10634890534160257</v>
      </c>
      <c r="AA255" s="5">
        <f t="shared" ca="1" si="179"/>
        <v>-1.2461813872374716</v>
      </c>
      <c r="AB255" s="5">
        <f t="shared" ca="1" si="157"/>
        <v>-9.536814498791546E-2</v>
      </c>
      <c r="AC255" s="5">
        <f t="shared" ca="1" si="180"/>
        <v>0.50508760260155017</v>
      </c>
      <c r="AD255" s="5">
        <f t="shared" ca="1" si="181"/>
        <v>1.2753074217947453E-2</v>
      </c>
      <c r="AE255" s="5">
        <f t="shared" ca="1" si="158"/>
        <v>9.2657673487908987E-2</v>
      </c>
      <c r="AF255" s="5">
        <f t="shared" ca="1" si="183"/>
        <v>1.016532630545679</v>
      </c>
      <c r="AG255" s="5">
        <f t="shared" ca="1" si="184"/>
        <v>0.88782683604400936</v>
      </c>
      <c r="AH255" s="5">
        <f t="shared" ca="1" si="185"/>
        <v>1.0066607373451135</v>
      </c>
      <c r="AI255" s="5">
        <f t="shared" ca="1" si="186"/>
        <v>0.96570019182784828</v>
      </c>
      <c r="AJ255" s="5">
        <f t="shared" ca="1" si="187"/>
        <v>0.98590960025686036</v>
      </c>
      <c r="AK255" s="5">
        <f t="shared" ca="1" si="188"/>
        <v>1.0941499126867746</v>
      </c>
      <c r="AL255" s="5">
        <f t="shared" ca="1" si="189"/>
        <v>1.190706740623797</v>
      </c>
      <c r="AM255" s="5">
        <f t="shared" ca="1" si="190"/>
        <v>1.0229292256323814</v>
      </c>
      <c r="AN255" s="5">
        <f t="shared" ca="1" si="191"/>
        <v>0.90463185501208454</v>
      </c>
      <c r="AO255" s="5">
        <f t="shared" ca="1" si="192"/>
        <v>1.092657673487909</v>
      </c>
      <c r="AP255" s="5">
        <f t="shared" ca="1" si="193"/>
        <v>1.1394502322615232</v>
      </c>
      <c r="AQ255" s="4">
        <f t="shared" ca="1" si="159"/>
        <v>11394.502322615232</v>
      </c>
      <c r="AR255">
        <f t="shared" ca="1" si="160"/>
        <v>0</v>
      </c>
      <c r="AS255">
        <f t="shared" ca="1" si="161"/>
        <v>0</v>
      </c>
    </row>
    <row r="256" spans="1:45" x14ac:dyDescent="0.25">
      <c r="A256" s="10">
        <f t="shared" si="182"/>
        <v>235</v>
      </c>
      <c r="B256" s="5">
        <f t="shared" ca="1" si="162"/>
        <v>0.8859861895116633</v>
      </c>
      <c r="C256" s="5">
        <f t="shared" ca="1" si="163"/>
        <v>1.2054552048458529</v>
      </c>
      <c r="D256" s="5">
        <f t="shared" ca="1" si="149"/>
        <v>0.30671751736378816</v>
      </c>
      <c r="E256" s="5">
        <f t="shared" ca="1" si="164"/>
        <v>0.23863986287000372</v>
      </c>
      <c r="F256" s="5">
        <f t="shared" ca="1" si="165"/>
        <v>-0.71068456626485021</v>
      </c>
      <c r="G256" s="5">
        <f t="shared" ca="1" si="150"/>
        <v>-1.9705933958773292E-2</v>
      </c>
      <c r="H256" s="5">
        <f t="shared" ca="1" si="166"/>
        <v>0.65326379476141172</v>
      </c>
      <c r="I256" s="5">
        <f t="shared" ca="1" si="167"/>
        <v>0.39414713852932709</v>
      </c>
      <c r="J256" s="5">
        <f t="shared" ca="1" si="151"/>
        <v>0.15699030735161323</v>
      </c>
      <c r="K256" s="5">
        <f t="shared" ca="1" si="168"/>
        <v>0.52735524531078892</v>
      </c>
      <c r="L256" s="5">
        <f t="shared" ca="1" si="169"/>
        <v>6.8623252873330848E-2</v>
      </c>
      <c r="M256" s="5">
        <f t="shared" ca="1" si="152"/>
        <v>0.10185319825359218</v>
      </c>
      <c r="N256" s="5">
        <f t="shared" ca="1" si="170"/>
        <v>0.88636955431731579</v>
      </c>
      <c r="O256" s="5">
        <f t="shared" ca="1" si="171"/>
        <v>1.207444799674056</v>
      </c>
      <c r="P256" s="5">
        <f t="shared" ca="1" si="153"/>
        <v>0.30710755132377998</v>
      </c>
      <c r="Q256" s="5">
        <f t="shared" ca="1" si="172"/>
        <v>0.22413948548271878</v>
      </c>
      <c r="R256" s="5">
        <f t="shared" ca="1" si="173"/>
        <v>-0.75828736269559371</v>
      </c>
      <c r="S256" s="5">
        <f t="shared" ca="1" si="154"/>
        <v>-2.6680713727951222E-2</v>
      </c>
      <c r="T256" s="5">
        <f t="shared" ca="1" si="174"/>
        <v>5.0395460175609919E-2</v>
      </c>
      <c r="U256" s="5">
        <f t="shared" ca="1" si="175"/>
        <v>-1.6410312889860492</v>
      </c>
      <c r="V256" s="5">
        <f t="shared" ca="1" si="155"/>
        <v>-0.147391404637634</v>
      </c>
      <c r="W256" s="5">
        <f t="shared" ca="1" si="176"/>
        <v>0.22702734077660269</v>
      </c>
      <c r="X256" s="5">
        <f t="shared" ca="1" si="177"/>
        <v>-0.74867240212058073</v>
      </c>
      <c r="Y256" s="5">
        <f t="shared" ca="1" si="156"/>
        <v>-2.5275936971308144E-2</v>
      </c>
      <c r="Z256" s="5">
        <f t="shared" ca="1" si="178"/>
        <v>0.35969385642342078</v>
      </c>
      <c r="AA256" s="5">
        <f t="shared" ca="1" si="179"/>
        <v>-0.35927722161962294</v>
      </c>
      <c r="AB256" s="5">
        <f t="shared" ca="1" si="157"/>
        <v>3.3352547243831854E-2</v>
      </c>
      <c r="AC256" s="5">
        <f t="shared" ca="1" si="180"/>
        <v>0.34959632226598281</v>
      </c>
      <c r="AD256" s="5">
        <f t="shared" ca="1" si="181"/>
        <v>-0.38641054114618212</v>
      </c>
      <c r="AE256" s="5">
        <f t="shared" ca="1" si="158"/>
        <v>2.9155351599265966E-2</v>
      </c>
      <c r="AF256" s="5">
        <f t="shared" ca="1" si="183"/>
        <v>1.3067175173637882</v>
      </c>
      <c r="AG256" s="5">
        <f t="shared" ca="1" si="184"/>
        <v>0.98029406604122671</v>
      </c>
      <c r="AH256" s="5">
        <f t="shared" ca="1" si="185"/>
        <v>1.1569903073516132</v>
      </c>
      <c r="AI256" s="5">
        <f t="shared" ca="1" si="186"/>
        <v>1.1018531982535922</v>
      </c>
      <c r="AJ256" s="5">
        <f t="shared" ca="1" si="187"/>
        <v>1.30710755132378</v>
      </c>
      <c r="AK256" s="5">
        <f t="shared" ca="1" si="188"/>
        <v>0.97331928627204878</v>
      </c>
      <c r="AL256" s="5">
        <f t="shared" ca="1" si="189"/>
        <v>0.852608595362366</v>
      </c>
      <c r="AM256" s="5">
        <f t="shared" ca="1" si="190"/>
        <v>0.97472406302869186</v>
      </c>
      <c r="AN256" s="5">
        <f t="shared" ca="1" si="191"/>
        <v>1.0333525472438319</v>
      </c>
      <c r="AO256" s="5">
        <f t="shared" ca="1" si="192"/>
        <v>1.029155351599266</v>
      </c>
      <c r="AP256" s="5">
        <f t="shared" ca="1" si="193"/>
        <v>1.8361960213922368</v>
      </c>
      <c r="AQ256" s="4">
        <f t="shared" ca="1" si="159"/>
        <v>18361.960213922368</v>
      </c>
      <c r="AR256">
        <f t="shared" ca="1" si="160"/>
        <v>0</v>
      </c>
      <c r="AS256">
        <f t="shared" ca="1" si="161"/>
        <v>0</v>
      </c>
    </row>
    <row r="257" spans="1:45" x14ac:dyDescent="0.25">
      <c r="A257" s="10">
        <f t="shared" si="182"/>
        <v>236</v>
      </c>
      <c r="B257" s="5">
        <f t="shared" ca="1" si="162"/>
        <v>0.2279786736844025</v>
      </c>
      <c r="C257" s="5">
        <f t="shared" ca="1" si="163"/>
        <v>-0.74552012869753714</v>
      </c>
      <c r="D257" s="5">
        <f t="shared" ca="1" si="149"/>
        <v>-2.4814938476596549E-2</v>
      </c>
      <c r="E257" s="5">
        <f t="shared" ca="1" si="164"/>
        <v>0.98539434553943617</v>
      </c>
      <c r="F257" s="5">
        <f t="shared" ca="1" si="165"/>
        <v>2.1806230485400802</v>
      </c>
      <c r="G257" s="5">
        <f t="shared" ca="1" si="150"/>
        <v>0.51254468952690879</v>
      </c>
      <c r="H257" s="5">
        <f t="shared" ca="1" si="166"/>
        <v>0.87324561215179375</v>
      </c>
      <c r="I257" s="5">
        <f t="shared" ca="1" si="167"/>
        <v>1.1418682790911334</v>
      </c>
      <c r="J257" s="5">
        <f t="shared" ca="1" si="151"/>
        <v>0.29431324515404511</v>
      </c>
      <c r="K257" s="5">
        <f t="shared" ca="1" si="168"/>
        <v>0.68055299201432473</v>
      </c>
      <c r="L257" s="5">
        <f t="shared" ca="1" si="169"/>
        <v>0.46924571008396448</v>
      </c>
      <c r="M257" s="5">
        <f t="shared" ca="1" si="152"/>
        <v>0.1700972400530707</v>
      </c>
      <c r="N257" s="5">
        <f t="shared" ca="1" si="170"/>
        <v>0.5062716836099137</v>
      </c>
      <c r="O257" s="5">
        <f t="shared" ca="1" si="171"/>
        <v>1.5721427068691271E-2</v>
      </c>
      <c r="P257" s="5">
        <f t="shared" ca="1" si="153"/>
        <v>9.3144290841768118E-2</v>
      </c>
      <c r="Q257" s="5">
        <f t="shared" ca="1" si="172"/>
        <v>0.46100571442106963</v>
      </c>
      <c r="R257" s="5">
        <f t="shared" ca="1" si="173"/>
        <v>-9.7900341463505972E-2</v>
      </c>
      <c r="S257" s="5">
        <f t="shared" ca="1" si="154"/>
        <v>7.4671408970712339E-2</v>
      </c>
      <c r="T257" s="5">
        <f t="shared" ca="1" si="174"/>
        <v>0.64147394536877411</v>
      </c>
      <c r="U257" s="5">
        <f t="shared" ca="1" si="175"/>
        <v>0.3624013788444872</v>
      </c>
      <c r="V257" s="5">
        <f t="shared" ca="1" si="155"/>
        <v>0.15149397369587203</v>
      </c>
      <c r="W257" s="5">
        <f t="shared" ca="1" si="176"/>
        <v>0.26861545960258471</v>
      </c>
      <c r="X257" s="5">
        <f t="shared" ca="1" si="177"/>
        <v>-0.61700577103881715</v>
      </c>
      <c r="Y257" s="5">
        <f t="shared" ca="1" si="156"/>
        <v>-5.8337826743425358E-3</v>
      </c>
      <c r="Z257" s="5">
        <f t="shared" ca="1" si="178"/>
        <v>0.84357681516045335</v>
      </c>
      <c r="AA257" s="5">
        <f t="shared" ca="1" si="179"/>
        <v>1.0092674844410798</v>
      </c>
      <c r="AB257" s="5">
        <f t="shared" ca="1" si="157"/>
        <v>0.26882353743239551</v>
      </c>
      <c r="AC257" s="5">
        <f t="shared" ca="1" si="180"/>
        <v>0.86238109369482352</v>
      </c>
      <c r="AD257" s="5">
        <f t="shared" ca="1" si="181"/>
        <v>1.0910797040835754</v>
      </c>
      <c r="AE257" s="5">
        <f t="shared" ca="1" si="158"/>
        <v>0.28449026101538255</v>
      </c>
      <c r="AF257" s="5">
        <f t="shared" ca="1" si="183"/>
        <v>0.97518506152340345</v>
      </c>
      <c r="AG257" s="5">
        <f t="shared" ca="1" si="184"/>
        <v>1.5125446895269088</v>
      </c>
      <c r="AH257" s="5">
        <f t="shared" ca="1" si="185"/>
        <v>1.2943132451540451</v>
      </c>
      <c r="AI257" s="5">
        <f t="shared" ca="1" si="186"/>
        <v>1.1700972400530707</v>
      </c>
      <c r="AJ257" s="5">
        <f t="shared" ca="1" si="187"/>
        <v>1.0931442908417681</v>
      </c>
      <c r="AK257" s="5">
        <f t="shared" ca="1" si="188"/>
        <v>1.0746714089707123</v>
      </c>
      <c r="AL257" s="5">
        <f t="shared" ca="1" si="189"/>
        <v>1.151493973695872</v>
      </c>
      <c r="AM257" s="5">
        <f t="shared" ca="1" si="190"/>
        <v>0.99416621732565746</v>
      </c>
      <c r="AN257" s="5">
        <f t="shared" ca="1" si="191"/>
        <v>1.2688235374323955</v>
      </c>
      <c r="AO257" s="5">
        <f t="shared" ca="1" si="192"/>
        <v>1.2844902610153826</v>
      </c>
      <c r="AP257" s="5">
        <f t="shared" ca="1" si="193"/>
        <v>4.8962378213035631</v>
      </c>
      <c r="AQ257" s="4">
        <f t="shared" ca="1" si="159"/>
        <v>48962.378213035634</v>
      </c>
      <c r="AR257">
        <f t="shared" ca="1" si="160"/>
        <v>1</v>
      </c>
      <c r="AS257">
        <f t="shared" ca="1" si="161"/>
        <v>0</v>
      </c>
    </row>
    <row r="258" spans="1:45" x14ac:dyDescent="0.25">
      <c r="A258" s="10">
        <f t="shared" si="182"/>
        <v>237</v>
      </c>
      <c r="B258" s="5">
        <f t="shared" ca="1" si="162"/>
        <v>0.7110245801412366</v>
      </c>
      <c r="C258" s="5">
        <f t="shared" ca="1" si="163"/>
        <v>0.55638039289656682</v>
      </c>
      <c r="D258" s="5">
        <f t="shared" ca="1" si="149"/>
        <v>0.1854910286573781</v>
      </c>
      <c r="E258" s="5">
        <f t="shared" ca="1" si="164"/>
        <v>0.51857054744897357</v>
      </c>
      <c r="F258" s="5">
        <f t="shared" ca="1" si="165"/>
        <v>4.6566283038419663E-2</v>
      </c>
      <c r="G258" s="5">
        <f t="shared" ca="1" si="150"/>
        <v>9.8213690897912098E-2</v>
      </c>
      <c r="H258" s="5">
        <f t="shared" ca="1" si="166"/>
        <v>0.39566116498633463</v>
      </c>
      <c r="I258" s="5">
        <f t="shared" ca="1" si="167"/>
        <v>-0.26459388679519952</v>
      </c>
      <c r="J258" s="5">
        <f t="shared" ca="1" si="151"/>
        <v>4.8133451469879018E-2</v>
      </c>
      <c r="K258" s="5">
        <f t="shared" ca="1" si="168"/>
        <v>0.94643704735912526</v>
      </c>
      <c r="L258" s="5">
        <f t="shared" ca="1" si="169"/>
        <v>1.611246964162347</v>
      </c>
      <c r="M258" s="5">
        <f t="shared" ca="1" si="152"/>
        <v>0.3887263673599497</v>
      </c>
      <c r="N258" s="5">
        <f t="shared" ca="1" si="170"/>
        <v>0.64890672138943695</v>
      </c>
      <c r="O258" s="5">
        <f t="shared" ca="1" si="171"/>
        <v>0.38237051527803428</v>
      </c>
      <c r="P258" s="5">
        <f t="shared" ca="1" si="153"/>
        <v>0.15494829563955514</v>
      </c>
      <c r="Q258" s="5">
        <f t="shared" ca="1" si="172"/>
        <v>0.26548120971596201</v>
      </c>
      <c r="R258" s="5">
        <f t="shared" ca="1" si="173"/>
        <v>-0.62653754387404459</v>
      </c>
      <c r="S258" s="5">
        <f t="shared" ca="1" si="154"/>
        <v>-7.2541919875550587E-3</v>
      </c>
      <c r="T258" s="5">
        <f t="shared" ca="1" si="174"/>
        <v>0.61548036035013931</v>
      </c>
      <c r="U258" s="5">
        <f t="shared" ca="1" si="175"/>
        <v>0.29363179242348408</v>
      </c>
      <c r="V258" s="5">
        <f t="shared" ca="1" si="155"/>
        <v>0.1396768631668821</v>
      </c>
      <c r="W258" s="5">
        <f t="shared" ca="1" si="176"/>
        <v>0.98747327022628728</v>
      </c>
      <c r="X258" s="5">
        <f t="shared" ca="1" si="177"/>
        <v>2.2405774376717678</v>
      </c>
      <c r="Y258" s="5">
        <f t="shared" ca="1" si="156"/>
        <v>0.52620859219040717</v>
      </c>
      <c r="Z258" s="5">
        <f t="shared" ca="1" si="178"/>
        <v>0.51624623549699922</v>
      </c>
      <c r="AA258" s="5">
        <f t="shared" ca="1" si="179"/>
        <v>4.0734535601853132E-2</v>
      </c>
      <c r="AB258" s="5">
        <f t="shared" ca="1" si="157"/>
        <v>9.7253435225282514E-2</v>
      </c>
      <c r="AC258" s="5">
        <f t="shared" ca="1" si="180"/>
        <v>0.90238973039250547</v>
      </c>
      <c r="AD258" s="5">
        <f t="shared" ca="1" si="181"/>
        <v>1.2952890382603068</v>
      </c>
      <c r="AE258" s="5">
        <f t="shared" ca="1" si="158"/>
        <v>0.32444480394912611</v>
      </c>
      <c r="AF258" s="5">
        <f t="shared" ca="1" si="183"/>
        <v>1.1854910286573781</v>
      </c>
      <c r="AG258" s="5">
        <f t="shared" ca="1" si="184"/>
        <v>1.0982136908979121</v>
      </c>
      <c r="AH258" s="5">
        <f t="shared" ca="1" si="185"/>
        <v>1.048133451469879</v>
      </c>
      <c r="AI258" s="5">
        <f t="shared" ca="1" si="186"/>
        <v>1.3887263673599497</v>
      </c>
      <c r="AJ258" s="5">
        <f t="shared" ca="1" si="187"/>
        <v>1.1549482956395551</v>
      </c>
      <c r="AK258" s="5">
        <f t="shared" ca="1" si="188"/>
        <v>0.99274580801244494</v>
      </c>
      <c r="AL258" s="5">
        <f t="shared" ca="1" si="189"/>
        <v>1.1396768631668821</v>
      </c>
      <c r="AM258" s="5">
        <f t="shared" ca="1" si="190"/>
        <v>1.5262085921904072</v>
      </c>
      <c r="AN258" s="5">
        <f t="shared" ca="1" si="191"/>
        <v>1.0972534352252825</v>
      </c>
      <c r="AO258" s="5">
        <f t="shared" ca="1" si="192"/>
        <v>1.3244448039491261</v>
      </c>
      <c r="AP258" s="5">
        <f t="shared" ca="1" si="193"/>
        <v>5.4923149279638972</v>
      </c>
      <c r="AQ258" s="4">
        <f t="shared" ca="1" si="159"/>
        <v>54923.149279638972</v>
      </c>
      <c r="AR258">
        <f t="shared" ca="1" si="160"/>
        <v>1</v>
      </c>
      <c r="AS258">
        <f t="shared" ca="1" si="161"/>
        <v>0</v>
      </c>
    </row>
    <row r="259" spans="1:45" x14ac:dyDescent="0.25">
      <c r="A259" s="10">
        <f t="shared" si="182"/>
        <v>238</v>
      </c>
      <c r="B259" s="5">
        <f t="shared" ca="1" si="162"/>
        <v>0.99217792307403774</v>
      </c>
      <c r="C259" s="5">
        <f t="shared" ca="1" si="163"/>
        <v>2.4171131352792599</v>
      </c>
      <c r="D259" s="5">
        <f t="shared" ca="1" si="149"/>
        <v>0.56716298731627135</v>
      </c>
      <c r="E259" s="5">
        <f t="shared" ca="1" si="164"/>
        <v>0.71292250495792464</v>
      </c>
      <c r="F259" s="5">
        <f t="shared" ca="1" si="165"/>
        <v>0.561942802258939</v>
      </c>
      <c r="G259" s="5">
        <f t="shared" ca="1" si="150"/>
        <v>0.1864805693767857</v>
      </c>
      <c r="H259" s="5">
        <f t="shared" ca="1" si="166"/>
        <v>1.8210001137816123E-2</v>
      </c>
      <c r="I259" s="5">
        <f t="shared" ca="1" si="167"/>
        <v>-2.0922070035398668</v>
      </c>
      <c r="J259" s="5">
        <f t="shared" ca="1" si="151"/>
        <v>-0.20318364775857234</v>
      </c>
      <c r="K259" s="5">
        <f t="shared" ca="1" si="168"/>
        <v>0.50927170222078533</v>
      </c>
      <c r="L259" s="5">
        <f t="shared" ca="1" si="169"/>
        <v>2.324280350621951E-2</v>
      </c>
      <c r="M259" s="5">
        <f t="shared" ca="1" si="152"/>
        <v>9.4378279264530018E-2</v>
      </c>
      <c r="N259" s="5">
        <f t="shared" ca="1" si="170"/>
        <v>4.713191181154075E-2</v>
      </c>
      <c r="O259" s="5">
        <f t="shared" ca="1" si="171"/>
        <v>-1.6733225090000767</v>
      </c>
      <c r="P259" s="5">
        <f t="shared" ca="1" si="153"/>
        <v>-0.15151118488904891</v>
      </c>
      <c r="Q259" s="5">
        <f t="shared" ca="1" si="172"/>
        <v>0.57222221431956866</v>
      </c>
      <c r="R259" s="5">
        <f t="shared" ca="1" si="173"/>
        <v>0.18203460162879681</v>
      </c>
      <c r="S259" s="5">
        <f t="shared" ca="1" si="154"/>
        <v>0.1207579418765985</v>
      </c>
      <c r="T259" s="5">
        <f t="shared" ca="1" si="174"/>
        <v>5.8070567464846845E-2</v>
      </c>
      <c r="U259" s="5">
        <f t="shared" ca="1" si="175"/>
        <v>-1.5711787484727688</v>
      </c>
      <c r="V259" s="5">
        <f t="shared" ca="1" si="155"/>
        <v>-0.1384109070381957</v>
      </c>
      <c r="W259" s="5">
        <f t="shared" ca="1" si="176"/>
        <v>0.51050957012737197</v>
      </c>
      <c r="X259" s="5">
        <f t="shared" ca="1" si="177"/>
        <v>2.634663338251365E-2</v>
      </c>
      <c r="Y259" s="5">
        <f t="shared" ca="1" si="156"/>
        <v>9.4887912491309123E-2</v>
      </c>
      <c r="Z259" s="5">
        <f t="shared" ca="1" si="178"/>
        <v>0.18447986642093472</v>
      </c>
      <c r="AA259" s="5">
        <f t="shared" ca="1" si="179"/>
        <v>-0.89842364966878507</v>
      </c>
      <c r="AB259" s="5">
        <f t="shared" ca="1" si="157"/>
        <v>-4.6926780220006736E-2</v>
      </c>
      <c r="AC259" s="5">
        <f t="shared" ca="1" si="180"/>
        <v>0.6684641820085514</v>
      </c>
      <c r="AD259" s="5">
        <f t="shared" ca="1" si="181"/>
        <v>0.43567625506052648</v>
      </c>
      <c r="AE259" s="5">
        <f t="shared" ca="1" si="158"/>
        <v>0.1642201203481124</v>
      </c>
      <c r="AF259" s="5">
        <f t="shared" ca="1" si="183"/>
        <v>1.5671629873162713</v>
      </c>
      <c r="AG259" s="5">
        <f t="shared" ca="1" si="184"/>
        <v>1.1864805693767857</v>
      </c>
      <c r="AH259" s="5">
        <f t="shared" ca="1" si="185"/>
        <v>0.79681635224142766</v>
      </c>
      <c r="AI259" s="5">
        <f t="shared" ca="1" si="186"/>
        <v>1.09437827926453</v>
      </c>
      <c r="AJ259" s="5">
        <f t="shared" ca="1" si="187"/>
        <v>0.84848881511095109</v>
      </c>
      <c r="AK259" s="5">
        <f t="shared" ca="1" si="188"/>
        <v>1.1207579418765985</v>
      </c>
      <c r="AL259" s="5">
        <f t="shared" ca="1" si="189"/>
        <v>0.8615890929618043</v>
      </c>
      <c r="AM259" s="5">
        <f t="shared" ca="1" si="190"/>
        <v>1.0948879124913091</v>
      </c>
      <c r="AN259" s="5">
        <f t="shared" ca="1" si="191"/>
        <v>0.95307321977999326</v>
      </c>
      <c r="AO259" s="5">
        <f t="shared" ca="1" si="192"/>
        <v>1.1642201203481124</v>
      </c>
      <c r="AP259" s="5">
        <f t="shared" ca="1" si="193"/>
        <v>1.6139484790652991</v>
      </c>
      <c r="AQ259" s="4">
        <f t="shared" ca="1" si="159"/>
        <v>16139.484790652992</v>
      </c>
      <c r="AR259">
        <f t="shared" ca="1" si="160"/>
        <v>0</v>
      </c>
      <c r="AS259">
        <f t="shared" ca="1" si="161"/>
        <v>0</v>
      </c>
    </row>
    <row r="260" spans="1:45" x14ac:dyDescent="0.25">
      <c r="A260" s="10">
        <f t="shared" si="182"/>
        <v>239</v>
      </c>
      <c r="B260" s="5">
        <f t="shared" ca="1" si="162"/>
        <v>0.76836411482021227</v>
      </c>
      <c r="C260" s="5">
        <f t="shared" ca="1" si="163"/>
        <v>0.73347007941455844</v>
      </c>
      <c r="D260" s="5">
        <f t="shared" ca="1" si="149"/>
        <v>0.21740374330927148</v>
      </c>
      <c r="E260" s="5">
        <f t="shared" ca="1" si="164"/>
        <v>0.18426055909403682</v>
      </c>
      <c r="F260" s="5">
        <f t="shared" ca="1" si="165"/>
        <v>-0.89924698623562604</v>
      </c>
      <c r="G260" s="5">
        <f t="shared" ca="1" si="150"/>
        <v>-4.7044477956901587E-2</v>
      </c>
      <c r="H260" s="5">
        <f t="shared" ca="1" si="166"/>
        <v>0.40665126621754788</v>
      </c>
      <c r="I260" s="5">
        <f t="shared" ca="1" si="167"/>
        <v>-0.23616771272929091</v>
      </c>
      <c r="J260" s="5">
        <f t="shared" ca="1" si="151"/>
        <v>5.2612156708715663E-2</v>
      </c>
      <c r="K260" s="5">
        <f t="shared" ca="1" si="168"/>
        <v>0.86417027398773871</v>
      </c>
      <c r="L260" s="5">
        <f t="shared" ca="1" si="169"/>
        <v>1.0992490435722977</v>
      </c>
      <c r="M260" s="5">
        <f t="shared" ca="1" si="152"/>
        <v>0.28606524136131295</v>
      </c>
      <c r="N260" s="5">
        <f t="shared" ca="1" si="170"/>
        <v>0.66251883205911433</v>
      </c>
      <c r="O260" s="5">
        <f t="shared" ca="1" si="171"/>
        <v>0.41934729594256492</v>
      </c>
      <c r="P260" s="5">
        <f t="shared" ca="1" si="153"/>
        <v>0.16137203433057556</v>
      </c>
      <c r="Q260" s="5">
        <f t="shared" ca="1" si="172"/>
        <v>0.8898933792005792</v>
      </c>
      <c r="R260" s="5">
        <f t="shared" ca="1" si="173"/>
        <v>1.2259612924511114</v>
      </c>
      <c r="S260" s="5">
        <f t="shared" ca="1" si="154"/>
        <v>0.3107430548747292</v>
      </c>
      <c r="T260" s="5">
        <f t="shared" ca="1" si="174"/>
        <v>0.70216720177362235</v>
      </c>
      <c r="U260" s="5">
        <f t="shared" ca="1" si="175"/>
        <v>0.53064385937813174</v>
      </c>
      <c r="V260" s="5">
        <f t="shared" ca="1" si="155"/>
        <v>0.18092328672926405</v>
      </c>
      <c r="W260" s="5">
        <f t="shared" ca="1" si="176"/>
        <v>0.6792238173825994</v>
      </c>
      <c r="X260" s="5">
        <f t="shared" ca="1" si="177"/>
        <v>0.46552943172783401</v>
      </c>
      <c r="Y260" s="5">
        <f t="shared" ca="1" si="156"/>
        <v>0.16944516076090177</v>
      </c>
      <c r="Z260" s="5">
        <f t="shared" ca="1" si="178"/>
        <v>0.21441148473079907</v>
      </c>
      <c r="AA260" s="5">
        <f t="shared" ca="1" si="179"/>
        <v>-0.79120740770628517</v>
      </c>
      <c r="AB260" s="5">
        <f t="shared" ca="1" si="157"/>
        <v>-3.1475123778228031E-2</v>
      </c>
      <c r="AC260" s="5">
        <f t="shared" ca="1" si="180"/>
        <v>0.59320674132119078</v>
      </c>
      <c r="AD260" s="5">
        <f t="shared" ca="1" si="181"/>
        <v>0.23580174070263474</v>
      </c>
      <c r="AE260" s="5">
        <f t="shared" ca="1" si="158"/>
        <v>0.1298334823409848</v>
      </c>
      <c r="AF260" s="5">
        <f t="shared" ca="1" si="183"/>
        <v>1.2174037433092715</v>
      </c>
      <c r="AG260" s="5">
        <f t="shared" ca="1" si="184"/>
        <v>0.95295552204309841</v>
      </c>
      <c r="AH260" s="5">
        <f t="shared" ca="1" si="185"/>
        <v>1.0526121567087157</v>
      </c>
      <c r="AI260" s="5">
        <f t="shared" ca="1" si="186"/>
        <v>1.2860652413613129</v>
      </c>
      <c r="AJ260" s="5">
        <f t="shared" ca="1" si="187"/>
        <v>1.1613720343305756</v>
      </c>
      <c r="AK260" s="5">
        <f t="shared" ca="1" si="188"/>
        <v>1.3107430548747292</v>
      </c>
      <c r="AL260" s="5">
        <f t="shared" ca="1" si="189"/>
        <v>1.1809232867292641</v>
      </c>
      <c r="AM260" s="5">
        <f t="shared" ca="1" si="190"/>
        <v>1.1694451607609018</v>
      </c>
      <c r="AN260" s="5">
        <f t="shared" ca="1" si="191"/>
        <v>0.96852487622177197</v>
      </c>
      <c r="AO260" s="5">
        <f t="shared" ca="1" si="192"/>
        <v>1.1298334823409848</v>
      </c>
      <c r="AP260" s="5">
        <f t="shared" ca="1" si="193"/>
        <v>3.6128867100631372</v>
      </c>
      <c r="AQ260" s="4">
        <f t="shared" ca="1" si="159"/>
        <v>36128.867100631374</v>
      </c>
      <c r="AR260">
        <f t="shared" ca="1" si="160"/>
        <v>1</v>
      </c>
      <c r="AS260">
        <f t="shared" ca="1" si="161"/>
        <v>0</v>
      </c>
    </row>
    <row r="261" spans="1:45" x14ac:dyDescent="0.25">
      <c r="A261" s="10">
        <f t="shared" si="182"/>
        <v>240</v>
      </c>
      <c r="B261" s="5">
        <f t="shared" ca="1" si="162"/>
        <v>0.57402141905897508</v>
      </c>
      <c r="C261" s="5">
        <f t="shared" ca="1" si="163"/>
        <v>0.18662181430783209</v>
      </c>
      <c r="D261" s="5">
        <f t="shared" ca="1" si="149"/>
        <v>0.12152938050880824</v>
      </c>
      <c r="E261" s="5">
        <f t="shared" ca="1" si="164"/>
        <v>0.12255526150897922</v>
      </c>
      <c r="F261" s="5">
        <f t="shared" ca="1" si="165"/>
        <v>-1.162307643317108</v>
      </c>
      <c r="G261" s="5">
        <f t="shared" ca="1" si="150"/>
        <v>-8.3915020744027569E-2</v>
      </c>
      <c r="H261" s="5">
        <f t="shared" ca="1" si="166"/>
        <v>0.46587507767909464</v>
      </c>
      <c r="I261" s="5">
        <f t="shared" ca="1" si="167"/>
        <v>-8.564307496825127E-2</v>
      </c>
      <c r="J261" s="5">
        <f t="shared" ca="1" si="151"/>
        <v>7.6649106579278259E-2</v>
      </c>
      <c r="K261" s="5">
        <f t="shared" ca="1" si="168"/>
        <v>0.79092585308636387</v>
      </c>
      <c r="L261" s="5">
        <f t="shared" ca="1" si="169"/>
        <v>0.80963794346687046</v>
      </c>
      <c r="M261" s="5">
        <f t="shared" ca="1" si="152"/>
        <v>0.23139255993453256</v>
      </c>
      <c r="N261" s="5">
        <f t="shared" ca="1" si="170"/>
        <v>0.53914098129263377</v>
      </c>
      <c r="O261" s="5">
        <f t="shared" ca="1" si="171"/>
        <v>9.8269826169070817E-2</v>
      </c>
      <c r="P261" s="5">
        <f t="shared" ca="1" si="153"/>
        <v>0.10676403511250654</v>
      </c>
      <c r="Q261" s="5">
        <f t="shared" ca="1" si="172"/>
        <v>0.60556400456010839</v>
      </c>
      <c r="R261" s="5">
        <f t="shared" ca="1" si="173"/>
        <v>0.26777568125905071</v>
      </c>
      <c r="S261" s="5">
        <f t="shared" ca="1" si="154"/>
        <v>0.13526528192213472</v>
      </c>
      <c r="T261" s="5">
        <f t="shared" ca="1" si="174"/>
        <v>0.67090682041590255</v>
      </c>
      <c r="U261" s="5">
        <f t="shared" ca="1" si="175"/>
        <v>0.44241854851574403</v>
      </c>
      <c r="V261" s="5">
        <f t="shared" ca="1" si="155"/>
        <v>0.16539814299546118</v>
      </c>
      <c r="W261" s="5">
        <f t="shared" ca="1" si="176"/>
        <v>0.64176717310459197</v>
      </c>
      <c r="X261" s="5">
        <f t="shared" ca="1" si="177"/>
        <v>0.36318638991420554</v>
      </c>
      <c r="Y261" s="5">
        <f t="shared" ca="1" si="156"/>
        <v>0.15162957200658833</v>
      </c>
      <c r="Z261" s="5">
        <f t="shared" ca="1" si="178"/>
        <v>0.38211044176935138</v>
      </c>
      <c r="AA261" s="5">
        <f t="shared" ca="1" si="179"/>
        <v>-0.29994267312844991</v>
      </c>
      <c r="AB261" s="5">
        <f t="shared" ca="1" si="157"/>
        <v>4.2590622562955538E-2</v>
      </c>
      <c r="AC261" s="5">
        <f t="shared" ca="1" si="180"/>
        <v>8.1969374840409337E-3</v>
      </c>
      <c r="AD261" s="5">
        <f t="shared" ca="1" si="181"/>
        <v>-2.4000267234783883</v>
      </c>
      <c r="AE261" s="5">
        <f t="shared" ca="1" si="158"/>
        <v>-0.23913855589737021</v>
      </c>
      <c r="AF261" s="5">
        <f t="shared" ca="1" si="183"/>
        <v>1.1215293805088082</v>
      </c>
      <c r="AG261" s="5">
        <f t="shared" ca="1" si="184"/>
        <v>0.91608497925597243</v>
      </c>
      <c r="AH261" s="5">
        <f t="shared" ca="1" si="185"/>
        <v>1.0766491065792783</v>
      </c>
      <c r="AI261" s="5">
        <f t="shared" ca="1" si="186"/>
        <v>1.2313925599345326</v>
      </c>
      <c r="AJ261" s="5">
        <f t="shared" ca="1" si="187"/>
        <v>1.1067640351125065</v>
      </c>
      <c r="AK261" s="5">
        <f t="shared" ca="1" si="188"/>
        <v>1.1352652819221347</v>
      </c>
      <c r="AL261" s="5">
        <f t="shared" ca="1" si="189"/>
        <v>1.1653981429954612</v>
      </c>
      <c r="AM261" s="5">
        <f t="shared" ca="1" si="190"/>
        <v>1.1516295720065883</v>
      </c>
      <c r="AN261" s="5">
        <f t="shared" ca="1" si="191"/>
        <v>1.0425906225629555</v>
      </c>
      <c r="AO261" s="5">
        <f t="shared" ca="1" si="192"/>
        <v>0.76086144410262979</v>
      </c>
      <c r="AP261" s="5">
        <f t="shared" ca="1" si="193"/>
        <v>1.8221160914687029</v>
      </c>
      <c r="AQ261" s="4">
        <f t="shared" ca="1" si="159"/>
        <v>18221.160914687029</v>
      </c>
      <c r="AR261">
        <f t="shared" ca="1" si="160"/>
        <v>0</v>
      </c>
      <c r="AS261">
        <f t="shared" ca="1" si="161"/>
        <v>0</v>
      </c>
    </row>
    <row r="262" spans="1:45" x14ac:dyDescent="0.25">
      <c r="A262" s="10">
        <f t="shared" si="182"/>
        <v>241</v>
      </c>
      <c r="B262" s="5">
        <f t="shared" ca="1" si="162"/>
        <v>0.73762720413546523</v>
      </c>
      <c r="C262" s="5">
        <f t="shared" ca="1" si="163"/>
        <v>0.63604730199188597</v>
      </c>
      <c r="D262" s="5">
        <f t="shared" ca="1" si="149"/>
        <v>0.19974267380006094</v>
      </c>
      <c r="E262" s="5">
        <f t="shared" ca="1" si="164"/>
        <v>4.0237248898405964E-3</v>
      </c>
      <c r="F262" s="5">
        <f t="shared" ca="1" si="165"/>
        <v>-2.6500725082464451</v>
      </c>
      <c r="G262" s="5">
        <f t="shared" ca="1" si="150"/>
        <v>-0.26714753742062947</v>
      </c>
      <c r="H262" s="5">
        <f t="shared" ca="1" si="166"/>
        <v>0.52254415613632765</v>
      </c>
      <c r="I262" s="5">
        <f t="shared" ca="1" si="167"/>
        <v>5.653992889026864E-2</v>
      </c>
      <c r="J262" s="5">
        <f t="shared" ca="1" si="151"/>
        <v>9.9857899661339511E-2</v>
      </c>
      <c r="K262" s="5">
        <f t="shared" ca="1" si="168"/>
        <v>0.37170939505113487</v>
      </c>
      <c r="L262" s="5">
        <f t="shared" ca="1" si="169"/>
        <v>-0.3273293577403516</v>
      </c>
      <c r="M262" s="5">
        <f t="shared" ca="1" si="152"/>
        <v>3.8316442661116001E-2</v>
      </c>
      <c r="N262" s="5">
        <f t="shared" ca="1" si="170"/>
        <v>0.78263925398962086</v>
      </c>
      <c r="O262" s="5">
        <f t="shared" ca="1" si="171"/>
        <v>0.7811377317526057</v>
      </c>
      <c r="P262" s="5">
        <f t="shared" ca="1" si="153"/>
        <v>0.22613955401914154</v>
      </c>
      <c r="Q262" s="5">
        <f t="shared" ca="1" si="172"/>
        <v>0.73204530201179507</v>
      </c>
      <c r="R262" s="5">
        <f t="shared" ca="1" si="173"/>
        <v>0.61901056950059341</v>
      </c>
      <c r="S262" s="5">
        <f t="shared" ca="1" si="154"/>
        <v>0.19668063375447908</v>
      </c>
      <c r="T262" s="5">
        <f t="shared" ca="1" si="174"/>
        <v>0.8187257180812243</v>
      </c>
      <c r="U262" s="5">
        <f t="shared" ca="1" si="175"/>
        <v>0.91051957366695002</v>
      </c>
      <c r="V262" s="5">
        <f t="shared" ca="1" si="155"/>
        <v>0.25016799220733232</v>
      </c>
      <c r="W262" s="5">
        <f t="shared" ca="1" si="176"/>
        <v>0.12114334170774443</v>
      </c>
      <c r="X262" s="5">
        <f t="shared" ca="1" si="177"/>
        <v>-1.1692903161704187</v>
      </c>
      <c r="Y262" s="5">
        <f t="shared" ca="1" si="156"/>
        <v>-8.4874026681896364E-2</v>
      </c>
      <c r="Z262" s="5">
        <f t="shared" ca="1" si="178"/>
        <v>0.28018417370741744</v>
      </c>
      <c r="AA262" s="5">
        <f t="shared" ca="1" si="179"/>
        <v>-0.5822944734409401</v>
      </c>
      <c r="AB262" s="5">
        <f t="shared" ca="1" si="157"/>
        <v>-6.4396358253526742E-4</v>
      </c>
      <c r="AC262" s="5">
        <f t="shared" ca="1" si="180"/>
        <v>0.36010827449282601</v>
      </c>
      <c r="AD262" s="5">
        <f t="shared" ca="1" si="181"/>
        <v>-0.35816939532905118</v>
      </c>
      <c r="AE262" s="5">
        <f t="shared" ca="1" si="158"/>
        <v>3.352427777989675E-2</v>
      </c>
      <c r="AF262" s="5">
        <f t="shared" ca="1" si="183"/>
        <v>1.1997426738000609</v>
      </c>
      <c r="AG262" s="5">
        <f t="shared" ca="1" si="184"/>
        <v>0.73285246257937053</v>
      </c>
      <c r="AH262" s="5">
        <f t="shared" ca="1" si="185"/>
        <v>1.0998578996613395</v>
      </c>
      <c r="AI262" s="5">
        <f t="shared" ca="1" si="186"/>
        <v>1.038316442661116</v>
      </c>
      <c r="AJ262" s="5">
        <f t="shared" ca="1" si="187"/>
        <v>1.2261395540191415</v>
      </c>
      <c r="AK262" s="5">
        <f t="shared" ca="1" si="188"/>
        <v>1.1966806337544791</v>
      </c>
      <c r="AL262" s="5">
        <f t="shared" ca="1" si="189"/>
        <v>1.2501679922073323</v>
      </c>
      <c r="AM262" s="5">
        <f t="shared" ca="1" si="190"/>
        <v>0.91512597331810364</v>
      </c>
      <c r="AN262" s="5">
        <f t="shared" ca="1" si="191"/>
        <v>0.99935603641746473</v>
      </c>
      <c r="AO262" s="5">
        <f t="shared" ca="1" si="192"/>
        <v>1.0335242777798967</v>
      </c>
      <c r="AP262" s="5">
        <f t="shared" ca="1" si="193"/>
        <v>1.7409220004994168</v>
      </c>
      <c r="AQ262" s="4">
        <f t="shared" ca="1" si="159"/>
        <v>17409.220004994168</v>
      </c>
      <c r="AR262">
        <f t="shared" ca="1" si="160"/>
        <v>0</v>
      </c>
      <c r="AS262">
        <f t="shared" ca="1" si="161"/>
        <v>0</v>
      </c>
    </row>
    <row r="263" spans="1:45" x14ac:dyDescent="0.25">
      <c r="A263" s="10">
        <f t="shared" si="182"/>
        <v>242</v>
      </c>
      <c r="B263" s="5">
        <f t="shared" ca="1" si="162"/>
        <v>6.1251482448115624E-2</v>
      </c>
      <c r="C263" s="5">
        <f t="shared" ca="1" si="163"/>
        <v>-1.5443524820073566</v>
      </c>
      <c r="D263" s="5">
        <f t="shared" ca="1" si="149"/>
        <v>-0.13493693941845919</v>
      </c>
      <c r="E263" s="5">
        <f t="shared" ca="1" si="164"/>
        <v>0.36278840316537075</v>
      </c>
      <c r="F263" s="5">
        <f t="shared" ca="1" si="165"/>
        <v>-0.35101538499991902</v>
      </c>
      <c r="G263" s="5">
        <f t="shared" ca="1" si="150"/>
        <v>3.4633949572467015E-2</v>
      </c>
      <c r="H263" s="5">
        <f t="shared" ca="1" si="166"/>
        <v>0.29943729146496412</v>
      </c>
      <c r="I263" s="5">
        <f t="shared" ca="1" si="167"/>
        <v>-0.52601960864775887</v>
      </c>
      <c r="J263" s="5">
        <f t="shared" ca="1" si="151"/>
        <v>7.8275349218408508E-3</v>
      </c>
      <c r="K263" s="5">
        <f t="shared" ca="1" si="168"/>
        <v>0.31573590161642806</v>
      </c>
      <c r="L263" s="5">
        <f t="shared" ca="1" si="169"/>
        <v>-0.47965630424008737</v>
      </c>
      <c r="M263" s="5">
        <f t="shared" ca="1" si="152"/>
        <v>1.4860895531206619E-2</v>
      </c>
      <c r="N263" s="5">
        <f t="shared" ca="1" si="170"/>
        <v>0.8821805726714318</v>
      </c>
      <c r="O263" s="5">
        <f t="shared" ca="1" si="171"/>
        <v>1.1859580800977141</v>
      </c>
      <c r="P263" s="5">
        <f t="shared" ca="1" si="153"/>
        <v>0.30290151499724649</v>
      </c>
      <c r="Q263" s="5">
        <f t="shared" ca="1" si="172"/>
        <v>0.68531264882319509</v>
      </c>
      <c r="R263" s="5">
        <f t="shared" ca="1" si="173"/>
        <v>0.48260714861381909</v>
      </c>
      <c r="S263" s="5">
        <f t="shared" ca="1" si="154"/>
        <v>0.17244471904653413</v>
      </c>
      <c r="T263" s="5">
        <f t="shared" ca="1" si="174"/>
        <v>0.79300898297434286</v>
      </c>
      <c r="U263" s="5">
        <f t="shared" ca="1" si="175"/>
        <v>0.81690620058466301</v>
      </c>
      <c r="V263" s="5">
        <f t="shared" ca="1" si="155"/>
        <v>0.23273580369033731</v>
      </c>
      <c r="W263" s="5">
        <f t="shared" ca="1" si="176"/>
        <v>0.84758370670790639</v>
      </c>
      <c r="X263" s="5">
        <f t="shared" ca="1" si="177"/>
        <v>1.0261251719413911</v>
      </c>
      <c r="Y263" s="5">
        <f t="shared" ca="1" si="156"/>
        <v>0.27203601194057225</v>
      </c>
      <c r="Z263" s="5">
        <f t="shared" ca="1" si="178"/>
        <v>0.26440440620417549</v>
      </c>
      <c r="AA263" s="5">
        <f t="shared" ca="1" si="179"/>
        <v>-0.62982541977728879</v>
      </c>
      <c r="AB263" s="5">
        <f t="shared" ca="1" si="157"/>
        <v>-7.7436750287031009E-3</v>
      </c>
      <c r="AC263" s="5">
        <f t="shared" ca="1" si="180"/>
        <v>0.75571522527482016</v>
      </c>
      <c r="AD263" s="5">
        <f t="shared" ca="1" si="181"/>
        <v>0.69258575977111636</v>
      </c>
      <c r="AE263" s="5">
        <f t="shared" ca="1" si="158"/>
        <v>0.20996068091084452</v>
      </c>
      <c r="AF263" s="5">
        <f t="shared" ca="1" si="183"/>
        <v>0.86506306058154081</v>
      </c>
      <c r="AG263" s="5">
        <f t="shared" ca="1" si="184"/>
        <v>1.034633949572467</v>
      </c>
      <c r="AH263" s="5">
        <f t="shared" ca="1" si="185"/>
        <v>1.0078275349218409</v>
      </c>
      <c r="AI263" s="5">
        <f t="shared" ca="1" si="186"/>
        <v>1.0148608955312066</v>
      </c>
      <c r="AJ263" s="5">
        <f t="shared" ca="1" si="187"/>
        <v>1.3029015149972465</v>
      </c>
      <c r="AK263" s="5">
        <f t="shared" ca="1" si="188"/>
        <v>1.1724447190465341</v>
      </c>
      <c r="AL263" s="5">
        <f t="shared" ca="1" si="189"/>
        <v>1.2327358036903373</v>
      </c>
      <c r="AM263" s="5">
        <f t="shared" ca="1" si="190"/>
        <v>1.2720360119405723</v>
      </c>
      <c r="AN263" s="5">
        <f t="shared" ca="1" si="191"/>
        <v>0.9922563249712969</v>
      </c>
      <c r="AO263" s="5">
        <f t="shared" ca="1" si="192"/>
        <v>1.2099606809108445</v>
      </c>
      <c r="AP263" s="5">
        <f t="shared" ca="1" si="193"/>
        <v>2.632665876877569</v>
      </c>
      <c r="AQ263" s="4">
        <f t="shared" ca="1" si="159"/>
        <v>26326.658768775691</v>
      </c>
      <c r="AR263">
        <f t="shared" ca="1" si="160"/>
        <v>1</v>
      </c>
      <c r="AS263">
        <f t="shared" ca="1" si="161"/>
        <v>0</v>
      </c>
    </row>
    <row r="264" spans="1:45" x14ac:dyDescent="0.25">
      <c r="A264" s="10">
        <f t="shared" si="182"/>
        <v>243</v>
      </c>
      <c r="B264" s="5">
        <f t="shared" ca="1" si="162"/>
        <v>0.32466574126516479</v>
      </c>
      <c r="C264" s="5">
        <f t="shared" ca="1" si="163"/>
        <v>-0.4546911029356982</v>
      </c>
      <c r="D264" s="5">
        <f t="shared" ca="1" si="149"/>
        <v>1.8668451294282518E-2</v>
      </c>
      <c r="E264" s="5">
        <f t="shared" ca="1" si="164"/>
        <v>0.36810922678889213</v>
      </c>
      <c r="F264" s="5">
        <f t="shared" ca="1" si="165"/>
        <v>-0.33686528806811089</v>
      </c>
      <c r="G264" s="5">
        <f t="shared" ca="1" si="150"/>
        <v>3.6832307371659212E-2</v>
      </c>
      <c r="H264" s="5">
        <f t="shared" ca="1" si="166"/>
        <v>0.84944066512345873</v>
      </c>
      <c r="I264" s="5">
        <f t="shared" ca="1" si="167"/>
        <v>1.0340374204354619</v>
      </c>
      <c r="J264" s="5">
        <f t="shared" ca="1" si="151"/>
        <v>0.2735466079320521</v>
      </c>
      <c r="K264" s="5">
        <f t="shared" ca="1" si="168"/>
        <v>0.98614922823194939</v>
      </c>
      <c r="L264" s="5">
        <f t="shared" ca="1" si="169"/>
        <v>2.2014873177612113</v>
      </c>
      <c r="M264" s="5">
        <f t="shared" ca="1" si="152"/>
        <v>0.51728582562428427</v>
      </c>
      <c r="N264" s="5">
        <f t="shared" ca="1" si="170"/>
        <v>0.68135983001324274</v>
      </c>
      <c r="O264" s="5">
        <f t="shared" ca="1" si="171"/>
        <v>0.4715047338269055</v>
      </c>
      <c r="P264" s="5">
        <f t="shared" ca="1" si="153"/>
        <v>0.17049379885398186</v>
      </c>
      <c r="Q264" s="5">
        <f t="shared" ca="1" si="172"/>
        <v>0.52924824853899821</v>
      </c>
      <c r="R264" s="5">
        <f t="shared" ca="1" si="173"/>
        <v>7.338028834723466E-2</v>
      </c>
      <c r="S264" s="5">
        <f t="shared" ca="1" si="154"/>
        <v>0.10263971204343925</v>
      </c>
      <c r="T264" s="5">
        <f t="shared" ca="1" si="174"/>
        <v>0.75100726647865834</v>
      </c>
      <c r="U264" s="5">
        <f t="shared" ca="1" si="175"/>
        <v>0.67766288043595224</v>
      </c>
      <c r="V264" s="5">
        <f t="shared" ca="1" si="155"/>
        <v>0.20725529536489851</v>
      </c>
      <c r="W264" s="5">
        <f t="shared" ca="1" si="176"/>
        <v>0.12523887288688618</v>
      </c>
      <c r="X264" s="5">
        <f t="shared" ca="1" si="177"/>
        <v>-1.1491897517311653</v>
      </c>
      <c r="Y264" s="5">
        <f t="shared" ca="1" si="156"/>
        <v>-8.2110680624631005E-2</v>
      </c>
      <c r="Z264" s="5">
        <f t="shared" ca="1" si="178"/>
        <v>0.53577709850957334</v>
      </c>
      <c r="AA264" s="5">
        <f t="shared" ca="1" si="179"/>
        <v>8.9800434405552784E-2</v>
      </c>
      <c r="AB264" s="5">
        <f t="shared" ca="1" si="157"/>
        <v>0.1053588851284486</v>
      </c>
      <c r="AC264" s="5">
        <f t="shared" ca="1" si="180"/>
        <v>8.6151208719110972E-2</v>
      </c>
      <c r="AD264" s="5">
        <f t="shared" ca="1" si="181"/>
        <v>-1.3648429463705594</v>
      </c>
      <c r="AE264" s="5">
        <f t="shared" ca="1" si="158"/>
        <v>-0.11132744593625832</v>
      </c>
      <c r="AF264" s="5">
        <f t="shared" ca="1" si="183"/>
        <v>1.0186684512942825</v>
      </c>
      <c r="AG264" s="5">
        <f t="shared" ca="1" si="184"/>
        <v>1.0368323073716592</v>
      </c>
      <c r="AH264" s="5">
        <f t="shared" ca="1" si="185"/>
        <v>1.2735466079320521</v>
      </c>
      <c r="AI264" s="5">
        <f t="shared" ca="1" si="186"/>
        <v>1.5172858256242843</v>
      </c>
      <c r="AJ264" s="5">
        <f t="shared" ca="1" si="187"/>
        <v>1.1704937988539819</v>
      </c>
      <c r="AK264" s="5">
        <f t="shared" ca="1" si="188"/>
        <v>1.1026397120434392</v>
      </c>
      <c r="AL264" s="5">
        <f t="shared" ca="1" si="189"/>
        <v>1.2072552953648985</v>
      </c>
      <c r="AM264" s="5">
        <f t="shared" ca="1" si="190"/>
        <v>0.91788931937536899</v>
      </c>
      <c r="AN264" s="5">
        <f t="shared" ca="1" si="191"/>
        <v>1.1053588851284486</v>
      </c>
      <c r="AO264" s="5">
        <f t="shared" ca="1" si="192"/>
        <v>0.88867255406374168</v>
      </c>
      <c r="AP264" s="5">
        <f t="shared" ca="1" si="193"/>
        <v>2.8672190787492977</v>
      </c>
      <c r="AQ264" s="4">
        <f t="shared" ca="1" si="159"/>
        <v>28672.190787492978</v>
      </c>
      <c r="AR264">
        <f t="shared" ca="1" si="160"/>
        <v>1</v>
      </c>
      <c r="AS264">
        <f t="shared" ca="1" si="161"/>
        <v>0</v>
      </c>
    </row>
    <row r="265" spans="1:45" x14ac:dyDescent="0.25">
      <c r="A265" s="10">
        <f t="shared" si="182"/>
        <v>244</v>
      </c>
      <c r="B265" s="5">
        <f t="shared" ca="1" si="162"/>
        <v>0.19187686373855084</v>
      </c>
      <c r="C265" s="5">
        <f t="shared" ca="1" si="163"/>
        <v>-0.87100077949274091</v>
      </c>
      <c r="D265" s="5">
        <f t="shared" ca="1" si="149"/>
        <v>-4.2998305529254877E-2</v>
      </c>
      <c r="E265" s="5">
        <f t="shared" ca="1" si="164"/>
        <v>0.59280111780861855</v>
      </c>
      <c r="F265" s="5">
        <f t="shared" ca="1" si="165"/>
        <v>0.23475645855674748</v>
      </c>
      <c r="G265" s="5">
        <f t="shared" ca="1" si="150"/>
        <v>0.12965634701303985</v>
      </c>
      <c r="H265" s="5">
        <f t="shared" ca="1" si="166"/>
        <v>0.78359495411765767</v>
      </c>
      <c r="I265" s="5">
        <f t="shared" ca="1" si="167"/>
        <v>0.78439206709605847</v>
      </c>
      <c r="J265" s="5">
        <f t="shared" ca="1" si="151"/>
        <v>0.22673824052474978</v>
      </c>
      <c r="K265" s="5">
        <f t="shared" ca="1" si="168"/>
        <v>0.14996263009953648</v>
      </c>
      <c r="L265" s="5">
        <f t="shared" ca="1" si="169"/>
        <v>-1.0365936794283912</v>
      </c>
      <c r="M265" s="5">
        <f t="shared" ca="1" si="152"/>
        <v>-6.647641567770779E-2</v>
      </c>
      <c r="N265" s="5">
        <f t="shared" ca="1" si="170"/>
        <v>0.47168114875713452</v>
      </c>
      <c r="O265" s="5">
        <f t="shared" ca="1" si="171"/>
        <v>-7.1044552207832512E-2</v>
      </c>
      <c r="P265" s="5">
        <f t="shared" ca="1" si="153"/>
        <v>7.9009312773549611E-2</v>
      </c>
      <c r="Q265" s="5">
        <f t="shared" ca="1" si="172"/>
        <v>3.1720163336580454E-2</v>
      </c>
      <c r="R265" s="5">
        <f t="shared" ca="1" si="173"/>
        <v>-1.8560928362353943</v>
      </c>
      <c r="S265" s="5">
        <f t="shared" ca="1" si="154"/>
        <v>-0.17445699843095419</v>
      </c>
      <c r="T265" s="5">
        <f t="shared" ca="1" si="174"/>
        <v>0.58510356551663889</v>
      </c>
      <c r="U265" s="5">
        <f t="shared" ca="1" si="175"/>
        <v>0.21496722868531601</v>
      </c>
      <c r="V265" s="5">
        <f t="shared" ca="1" si="155"/>
        <v>0.12630806459736688</v>
      </c>
      <c r="W265" s="5">
        <f t="shared" ca="1" si="176"/>
        <v>0.61058835709316872</v>
      </c>
      <c r="X265" s="5">
        <f t="shared" ca="1" si="177"/>
        <v>0.28085282395161471</v>
      </c>
      <c r="Y265" s="5">
        <f t="shared" ca="1" si="156"/>
        <v>0.13749437137929355</v>
      </c>
      <c r="Z265" s="5">
        <f t="shared" ca="1" si="178"/>
        <v>0.34637537616727943</v>
      </c>
      <c r="AA265" s="5">
        <f t="shared" ca="1" si="179"/>
        <v>-0.39512484716760782</v>
      </c>
      <c r="AB265" s="5">
        <f t="shared" ca="1" si="157"/>
        <v>2.7810974237753028E-2</v>
      </c>
      <c r="AC265" s="5">
        <f t="shared" ca="1" si="180"/>
        <v>0.45832613396125499</v>
      </c>
      <c r="AD265" s="5">
        <f t="shared" ca="1" si="181"/>
        <v>-0.10465160083785516</v>
      </c>
      <c r="AE265" s="5">
        <f t="shared" ca="1" si="158"/>
        <v>7.3583652029743485E-2</v>
      </c>
      <c r="AF265" s="5">
        <f t="shared" ca="1" si="183"/>
        <v>0.95700169447074512</v>
      </c>
      <c r="AG265" s="5">
        <f t="shared" ca="1" si="184"/>
        <v>1.1296563470130399</v>
      </c>
      <c r="AH265" s="5">
        <f t="shared" ca="1" si="185"/>
        <v>1.2267382405247498</v>
      </c>
      <c r="AI265" s="5">
        <f t="shared" ca="1" si="186"/>
        <v>0.93352358432229221</v>
      </c>
      <c r="AJ265" s="5">
        <f t="shared" ca="1" si="187"/>
        <v>1.0790093127735496</v>
      </c>
      <c r="AK265" s="5">
        <f t="shared" ca="1" si="188"/>
        <v>0.82554300156904581</v>
      </c>
      <c r="AL265" s="5">
        <f t="shared" ca="1" si="189"/>
        <v>1.1263080645973669</v>
      </c>
      <c r="AM265" s="5">
        <f t="shared" ca="1" si="190"/>
        <v>1.1374943713792935</v>
      </c>
      <c r="AN265" s="5">
        <f t="shared" ca="1" si="191"/>
        <v>1.027810974237753</v>
      </c>
      <c r="AO265" s="5">
        <f t="shared" ca="1" si="192"/>
        <v>1.0735836520297435</v>
      </c>
      <c r="AP265" s="5">
        <f t="shared" ca="1" si="193"/>
        <v>1.559038121698981</v>
      </c>
      <c r="AQ265" s="4">
        <f t="shared" ca="1" si="159"/>
        <v>15590.38121698981</v>
      </c>
      <c r="AR265">
        <f t="shared" ca="1" si="160"/>
        <v>0</v>
      </c>
      <c r="AS265">
        <f t="shared" ca="1" si="161"/>
        <v>0</v>
      </c>
    </row>
    <row r="266" spans="1:45" x14ac:dyDescent="0.25">
      <c r="A266" s="10">
        <f t="shared" si="182"/>
        <v>245</v>
      </c>
      <c r="B266" s="5">
        <f t="shared" ca="1" si="162"/>
        <v>0.64403953556086013</v>
      </c>
      <c r="C266" s="5">
        <f t="shared" ca="1" si="163"/>
        <v>0.36927745405379908</v>
      </c>
      <c r="D266" s="5">
        <f t="shared" ca="1" si="149"/>
        <v>0.15268225026639093</v>
      </c>
      <c r="E266" s="5">
        <f t="shared" ca="1" si="164"/>
        <v>0.56452983989362915</v>
      </c>
      <c r="F266" s="5">
        <f t="shared" ca="1" si="165"/>
        <v>0.16246419714719529</v>
      </c>
      <c r="G266" s="5">
        <f t="shared" ca="1" si="150"/>
        <v>0.11747271329244913</v>
      </c>
      <c r="H266" s="5">
        <f t="shared" ca="1" si="166"/>
        <v>0.11610399224159307</v>
      </c>
      <c r="I266" s="5">
        <f t="shared" ca="1" si="167"/>
        <v>-1.1946904770421294</v>
      </c>
      <c r="J266" s="5">
        <f t="shared" ca="1" si="151"/>
        <v>-8.8354045036224238E-2</v>
      </c>
      <c r="K266" s="5">
        <f t="shared" ca="1" si="168"/>
        <v>0.27104405437294288</v>
      </c>
      <c r="L266" s="5">
        <f t="shared" ca="1" si="169"/>
        <v>-0.60965841247139674</v>
      </c>
      <c r="M266" s="5">
        <f t="shared" ca="1" si="152"/>
        <v>-4.7375043279034301E-3</v>
      </c>
      <c r="N266" s="5">
        <f t="shared" ca="1" si="170"/>
        <v>0.60165384124076471</v>
      </c>
      <c r="O266" s="5">
        <f t="shared" ca="1" si="171"/>
        <v>0.25763020328197606</v>
      </c>
      <c r="P266" s="5">
        <f t="shared" ca="1" si="153"/>
        <v>0.13353892452200533</v>
      </c>
      <c r="Q266" s="5">
        <f t="shared" ca="1" si="172"/>
        <v>0.29738074945180804</v>
      </c>
      <c r="R266" s="5">
        <f t="shared" ca="1" si="173"/>
        <v>-0.53194873961809852</v>
      </c>
      <c r="S266" s="5">
        <f t="shared" ca="1" si="154"/>
        <v>6.9316021710825737E-3</v>
      </c>
      <c r="T266" s="5">
        <f t="shared" ca="1" si="174"/>
        <v>0.36192399915305129</v>
      </c>
      <c r="U266" s="5">
        <f t="shared" ca="1" si="175"/>
        <v>-0.35332074048212203</v>
      </c>
      <c r="V266" s="5">
        <f t="shared" ca="1" si="155"/>
        <v>3.4276231568910687E-2</v>
      </c>
      <c r="W266" s="5">
        <f t="shared" ca="1" si="176"/>
        <v>0.79026129448086802</v>
      </c>
      <c r="X266" s="5">
        <f t="shared" ca="1" si="177"/>
        <v>0.80732821759776896</v>
      </c>
      <c r="Y266" s="5">
        <f t="shared" ca="1" si="156"/>
        <v>0.2309660069427304</v>
      </c>
      <c r="Z266" s="5">
        <f t="shared" ca="1" si="178"/>
        <v>0.86356780041293113</v>
      </c>
      <c r="AA266" s="5">
        <f t="shared" ca="1" si="179"/>
        <v>1.0964899954550131</v>
      </c>
      <c r="AB266" s="5">
        <f t="shared" ca="1" si="157"/>
        <v>0.2855331041008986</v>
      </c>
      <c r="AC266" s="5">
        <f t="shared" ca="1" si="180"/>
        <v>0.26823120267298461</v>
      </c>
      <c r="AD266" s="5">
        <f t="shared" ca="1" si="181"/>
        <v>-0.61817133203754138</v>
      </c>
      <c r="AE266" s="5">
        <f t="shared" ca="1" si="158"/>
        <v>-6.0075816862731335E-3</v>
      </c>
      <c r="AF266" s="5">
        <f t="shared" ca="1" si="183"/>
        <v>1.1526822502663909</v>
      </c>
      <c r="AG266" s="5">
        <f t="shared" ca="1" si="184"/>
        <v>1.1174727132924491</v>
      </c>
      <c r="AH266" s="5">
        <f t="shared" ca="1" si="185"/>
        <v>0.91164595496377576</v>
      </c>
      <c r="AI266" s="5">
        <f t="shared" ca="1" si="186"/>
        <v>0.99526249567209657</v>
      </c>
      <c r="AJ266" s="5">
        <f t="shared" ca="1" si="187"/>
        <v>1.1335389245220053</v>
      </c>
      <c r="AK266" s="5">
        <f t="shared" ca="1" si="188"/>
        <v>1.0069316021710826</v>
      </c>
      <c r="AL266" s="5">
        <f t="shared" ca="1" si="189"/>
        <v>1.0342762315689107</v>
      </c>
      <c r="AM266" s="5">
        <f t="shared" ca="1" si="190"/>
        <v>1.2309660069427304</v>
      </c>
      <c r="AN266" s="5">
        <f t="shared" ca="1" si="191"/>
        <v>1.2855331041008986</v>
      </c>
      <c r="AO266" s="5">
        <f t="shared" ca="1" si="192"/>
        <v>0.99399241831372687</v>
      </c>
      <c r="AP266" s="5">
        <f t="shared" ca="1" si="193"/>
        <v>2.1701798729612465</v>
      </c>
      <c r="AQ266" s="4">
        <f t="shared" ca="1" si="159"/>
        <v>21701.798729612467</v>
      </c>
      <c r="AR266">
        <f t="shared" ca="1" si="160"/>
        <v>0</v>
      </c>
      <c r="AS266">
        <f t="shared" ca="1" si="161"/>
        <v>0</v>
      </c>
    </row>
    <row r="267" spans="1:45" x14ac:dyDescent="0.25">
      <c r="A267" s="10">
        <f t="shared" si="182"/>
        <v>246</v>
      </c>
      <c r="B267" s="5">
        <f t="shared" ca="1" si="162"/>
        <v>0.76493057768951778</v>
      </c>
      <c r="C267" s="5">
        <f t="shared" ca="1" si="163"/>
        <v>0.7222531607833742</v>
      </c>
      <c r="D267" s="5">
        <f t="shared" ca="1" si="149"/>
        <v>0.21535713772820886</v>
      </c>
      <c r="E267" s="5">
        <f t="shared" ca="1" si="164"/>
        <v>0.23941084358825093</v>
      </c>
      <c r="F267" s="5">
        <f t="shared" ca="1" si="165"/>
        <v>-0.70819899984694767</v>
      </c>
      <c r="G267" s="5">
        <f t="shared" ca="1" si="150"/>
        <v>-1.9340377915437745E-2</v>
      </c>
      <c r="H267" s="5">
        <f t="shared" ca="1" si="166"/>
        <v>7.3321998656690202E-3</v>
      </c>
      <c r="I267" s="5">
        <f t="shared" ca="1" si="167"/>
        <v>-2.4405627085495536</v>
      </c>
      <c r="J267" s="5">
        <f t="shared" ca="1" si="151"/>
        <v>-0.24375085958755527</v>
      </c>
      <c r="K267" s="5">
        <f t="shared" ca="1" si="168"/>
        <v>0.54392993098595444</v>
      </c>
      <c r="L267" s="5">
        <f t="shared" ca="1" si="169"/>
        <v>0.11033949243290224</v>
      </c>
      <c r="M267" s="5">
        <f t="shared" ca="1" si="152"/>
        <v>0.10876959092439287</v>
      </c>
      <c r="N267" s="5">
        <f t="shared" ca="1" si="170"/>
        <v>0.45939064085068904</v>
      </c>
      <c r="O267" s="5">
        <f t="shared" ca="1" si="171"/>
        <v>-0.10196899938189526</v>
      </c>
      <c r="P267" s="5">
        <f t="shared" ca="1" si="153"/>
        <v>7.401573851780574E-2</v>
      </c>
      <c r="Q267" s="5">
        <f t="shared" ca="1" si="172"/>
        <v>0.7705739004181662</v>
      </c>
      <c r="R267" s="5">
        <f t="shared" ca="1" si="173"/>
        <v>0.74073818942862968</v>
      </c>
      <c r="S267" s="5">
        <f t="shared" ca="1" si="154"/>
        <v>0.21873170070896308</v>
      </c>
      <c r="T267" s="5">
        <f t="shared" ca="1" si="174"/>
        <v>1.9018619997194564E-2</v>
      </c>
      <c r="U267" s="5">
        <f t="shared" ca="1" si="175"/>
        <v>-2.0744532096398292</v>
      </c>
      <c r="V267" s="5">
        <f t="shared" ca="1" si="155"/>
        <v>-0.20105884276899999</v>
      </c>
      <c r="W267" s="5">
        <f t="shared" ca="1" si="176"/>
        <v>3.5248254611301544E-2</v>
      </c>
      <c r="X267" s="5">
        <f t="shared" ca="1" si="177"/>
        <v>-1.8087071653035758</v>
      </c>
      <c r="Y267" s="5">
        <f t="shared" ca="1" si="156"/>
        <v>-0.16856825873029668</v>
      </c>
      <c r="Z267" s="5">
        <f t="shared" ca="1" si="178"/>
        <v>0.16057282202189616</v>
      </c>
      <c r="AA267" s="5">
        <f t="shared" ca="1" si="179"/>
        <v>-0.99210636067581781</v>
      </c>
      <c r="AB267" s="5">
        <f t="shared" ca="1" si="157"/>
        <v>-6.0226090166159763E-2</v>
      </c>
      <c r="AC267" s="5">
        <f t="shared" ca="1" si="180"/>
        <v>0.59744729258539742</v>
      </c>
      <c r="AD267" s="5">
        <f t="shared" ca="1" si="181"/>
        <v>0.24674521094727225</v>
      </c>
      <c r="AE267" s="5">
        <f t="shared" ca="1" si="158"/>
        <v>0.13168965025737012</v>
      </c>
      <c r="AF267" s="5">
        <f t="shared" ca="1" si="183"/>
        <v>1.2153571377282089</v>
      </c>
      <c r="AG267" s="5">
        <f t="shared" ca="1" si="184"/>
        <v>0.98065962208456225</v>
      </c>
      <c r="AH267" s="5">
        <f t="shared" ca="1" si="185"/>
        <v>0.75624914041244473</v>
      </c>
      <c r="AI267" s="5">
        <f t="shared" ca="1" si="186"/>
        <v>1.1087695909243929</v>
      </c>
      <c r="AJ267" s="5">
        <f t="shared" ca="1" si="187"/>
        <v>1.0740157385178057</v>
      </c>
      <c r="AK267" s="5">
        <f t="shared" ca="1" si="188"/>
        <v>1.2187317007089631</v>
      </c>
      <c r="AL267" s="5">
        <f t="shared" ca="1" si="189"/>
        <v>0.79894115723100001</v>
      </c>
      <c r="AM267" s="5">
        <f t="shared" ca="1" si="190"/>
        <v>0.83143174126970332</v>
      </c>
      <c r="AN267" s="5">
        <f t="shared" ca="1" si="191"/>
        <v>0.93977390983384024</v>
      </c>
      <c r="AO267" s="5">
        <f t="shared" ca="1" si="192"/>
        <v>1.1316896502573701</v>
      </c>
      <c r="AP267" s="5">
        <f t="shared" ca="1" si="193"/>
        <v>0.92414323005550603</v>
      </c>
      <c r="AQ267" s="4">
        <f t="shared" ca="1" si="159"/>
        <v>9241.4323005550596</v>
      </c>
      <c r="AR267">
        <f t="shared" ca="1" si="160"/>
        <v>0</v>
      </c>
      <c r="AS267">
        <f t="shared" ca="1" si="161"/>
        <v>0</v>
      </c>
    </row>
    <row r="268" spans="1:45" x14ac:dyDescent="0.25">
      <c r="A268" s="10">
        <f t="shared" si="182"/>
        <v>247</v>
      </c>
      <c r="B268" s="5">
        <f t="shared" ca="1" si="162"/>
        <v>0.65961440044700526</v>
      </c>
      <c r="C268" s="5">
        <f t="shared" ca="1" si="163"/>
        <v>0.41141098672623561</v>
      </c>
      <c r="D268" s="5">
        <f t="shared" ca="1" si="149"/>
        <v>0.15999030579367579</v>
      </c>
      <c r="E268" s="5">
        <f t="shared" ca="1" si="164"/>
        <v>0.99747870916277714</v>
      </c>
      <c r="F268" s="5">
        <f t="shared" ca="1" si="165"/>
        <v>2.8043009250988584</v>
      </c>
      <c r="G268" s="5">
        <f t="shared" ca="1" si="150"/>
        <v>0.66087594144316752</v>
      </c>
      <c r="H268" s="5">
        <f t="shared" ca="1" si="166"/>
        <v>0.4169045677615032</v>
      </c>
      <c r="I268" s="5">
        <f t="shared" ca="1" si="167"/>
        <v>-0.20981875369525901</v>
      </c>
      <c r="J268" s="5">
        <f t="shared" ca="1" si="151"/>
        <v>5.6780674178922297E-2</v>
      </c>
      <c r="K268" s="5">
        <f t="shared" ca="1" si="168"/>
        <v>0.27130650983744919</v>
      </c>
      <c r="L268" s="5">
        <f t="shared" ca="1" si="169"/>
        <v>-0.60886636582450504</v>
      </c>
      <c r="M268" s="5">
        <f t="shared" ca="1" si="152"/>
        <v>-4.6192531551380034E-3</v>
      </c>
      <c r="N268" s="5">
        <f t="shared" ca="1" si="170"/>
        <v>0.72480185486182136</v>
      </c>
      <c r="O268" s="5">
        <f t="shared" ca="1" si="171"/>
        <v>0.59716639911180946</v>
      </c>
      <c r="P268" s="5">
        <f t="shared" ca="1" si="153"/>
        <v>0.19276597634044546</v>
      </c>
      <c r="Q268" s="5">
        <f t="shared" ca="1" si="172"/>
        <v>0.41995112700074999</v>
      </c>
      <c r="R268" s="5">
        <f t="shared" ca="1" si="173"/>
        <v>-0.20201850951926098</v>
      </c>
      <c r="S268" s="5">
        <f t="shared" ca="1" si="154"/>
        <v>5.8017869914803732E-2</v>
      </c>
      <c r="T268" s="5">
        <f t="shared" ca="1" si="174"/>
        <v>0.56656895086520098</v>
      </c>
      <c r="U268" s="5">
        <f t="shared" ca="1" si="175"/>
        <v>0.16764559613888042</v>
      </c>
      <c r="V268" s="5">
        <f t="shared" ca="1" si="155"/>
        <v>0.11834156168596088</v>
      </c>
      <c r="W268" s="5">
        <f t="shared" ca="1" si="176"/>
        <v>0.8819616694419643</v>
      </c>
      <c r="X268" s="5">
        <f t="shared" ca="1" si="177"/>
        <v>1.1848502485904466</v>
      </c>
      <c r="Y268" s="5">
        <f t="shared" ca="1" si="156"/>
        <v>0.30268502368306005</v>
      </c>
      <c r="Z268" s="5">
        <f t="shared" ca="1" si="178"/>
        <v>0.83611345167273954</v>
      </c>
      <c r="AA268" s="5">
        <f t="shared" ca="1" si="179"/>
        <v>0.97860923061429128</v>
      </c>
      <c r="AB268" s="5">
        <f t="shared" ca="1" si="157"/>
        <v>0.26300194656714626</v>
      </c>
      <c r="AC268" s="5">
        <f t="shared" ca="1" si="180"/>
        <v>0.7833121117265176</v>
      </c>
      <c r="AD268" s="5">
        <f t="shared" ca="1" si="181"/>
        <v>0.78342807232771505</v>
      </c>
      <c r="AE268" s="5">
        <f t="shared" ca="1" si="158"/>
        <v>0.22656086796212649</v>
      </c>
      <c r="AF268" s="5">
        <f t="shared" ca="1" si="183"/>
        <v>1.1599903057936758</v>
      </c>
      <c r="AG268" s="5">
        <f t="shared" ca="1" si="184"/>
        <v>1.6608759414431675</v>
      </c>
      <c r="AH268" s="5">
        <f t="shared" ca="1" si="185"/>
        <v>1.0567806741789223</v>
      </c>
      <c r="AI268" s="5">
        <f t="shared" ca="1" si="186"/>
        <v>0.995380746844862</v>
      </c>
      <c r="AJ268" s="5">
        <f t="shared" ca="1" si="187"/>
        <v>1.1927659763404455</v>
      </c>
      <c r="AK268" s="5">
        <f t="shared" ca="1" si="188"/>
        <v>1.0580178699148037</v>
      </c>
      <c r="AL268" s="5">
        <f t="shared" ca="1" si="189"/>
        <v>1.1183415616859609</v>
      </c>
      <c r="AM268" s="5">
        <f t="shared" ca="1" si="190"/>
        <v>1.3026850236830601</v>
      </c>
      <c r="AN268" s="5">
        <f t="shared" ca="1" si="191"/>
        <v>1.2630019465671463</v>
      </c>
      <c r="AO268" s="5">
        <f t="shared" ca="1" si="192"/>
        <v>1.2265608679621265</v>
      </c>
      <c r="AP268" s="5">
        <f t="shared" ca="1" si="193"/>
        <v>5.7719280439476472</v>
      </c>
      <c r="AQ268" s="4">
        <f t="shared" ca="1" si="159"/>
        <v>57719.280439476475</v>
      </c>
      <c r="AR268">
        <f t="shared" ca="1" si="160"/>
        <v>1</v>
      </c>
      <c r="AS268">
        <f t="shared" ca="1" si="161"/>
        <v>0</v>
      </c>
    </row>
    <row r="269" spans="1:45" x14ac:dyDescent="0.25">
      <c r="A269" s="10">
        <f t="shared" si="182"/>
        <v>248</v>
      </c>
      <c r="B269" s="5">
        <f t="shared" ca="1" si="162"/>
        <v>0.23138662405440147</v>
      </c>
      <c r="C269" s="5">
        <f t="shared" ca="1" si="163"/>
        <v>-0.73428797018963421</v>
      </c>
      <c r="D269" s="5">
        <f t="shared" ca="1" si="149"/>
        <v>-2.3170538625765014E-2</v>
      </c>
      <c r="E269" s="5">
        <f t="shared" ca="1" si="164"/>
        <v>0.97588001071894093</v>
      </c>
      <c r="F269" s="5">
        <f t="shared" ca="1" si="165"/>
        <v>1.9752482874132102</v>
      </c>
      <c r="G269" s="5">
        <f t="shared" ca="1" si="150"/>
        <v>0.46665931994035148</v>
      </c>
      <c r="H269" s="5">
        <f t="shared" ca="1" si="166"/>
        <v>0.83444907059427909</v>
      </c>
      <c r="I269" s="5">
        <f t="shared" ca="1" si="167"/>
        <v>0.97189686654642526</v>
      </c>
      <c r="J269" s="5">
        <f t="shared" ca="1" si="151"/>
        <v>0.26173092720780522</v>
      </c>
      <c r="K269" s="5">
        <f t="shared" ca="1" si="168"/>
        <v>0.15821592011238883</v>
      </c>
      <c r="L269" s="5">
        <f t="shared" ca="1" si="169"/>
        <v>-1.0018172999376136</v>
      </c>
      <c r="M269" s="5">
        <f t="shared" ca="1" si="152"/>
        <v>-6.159400674640958E-2</v>
      </c>
      <c r="N269" s="5">
        <f t="shared" ca="1" si="170"/>
        <v>0.68671169864379666</v>
      </c>
      <c r="O269" s="5">
        <f t="shared" ca="1" si="171"/>
        <v>0.48655093297112784</v>
      </c>
      <c r="P269" s="5">
        <f t="shared" ca="1" si="153"/>
        <v>0.17313850460826763</v>
      </c>
      <c r="Q269" s="5">
        <f t="shared" ca="1" si="172"/>
        <v>0.4015608095508697</v>
      </c>
      <c r="R269" s="5">
        <f t="shared" ca="1" si="173"/>
        <v>-0.24930919520692774</v>
      </c>
      <c r="S269" s="5">
        <f t="shared" ca="1" si="154"/>
        <v>5.0539267810452371E-2</v>
      </c>
      <c r="T269" s="5">
        <f t="shared" ca="1" si="174"/>
        <v>0.11536537355528254</v>
      </c>
      <c r="U269" s="5">
        <f t="shared" ca="1" si="175"/>
        <v>-1.1984786054750625</v>
      </c>
      <c r="V269" s="5">
        <f t="shared" ca="1" si="155"/>
        <v>-8.8871912685517973E-2</v>
      </c>
      <c r="W269" s="5">
        <f t="shared" ca="1" si="176"/>
        <v>0.72342636292636697</v>
      </c>
      <c r="X269" s="5">
        <f t="shared" ca="1" si="177"/>
        <v>0.59305062268962105</v>
      </c>
      <c r="Y269" s="5">
        <f t="shared" ca="1" si="156"/>
        <v>0.19202982988750117</v>
      </c>
      <c r="Z269" s="5">
        <f t="shared" ca="1" si="178"/>
        <v>0.84900460218032847</v>
      </c>
      <c r="AA269" s="5">
        <f t="shared" ca="1" si="179"/>
        <v>1.0321736093821898</v>
      </c>
      <c r="AB269" s="5">
        <f t="shared" ca="1" si="157"/>
        <v>0.27319061016110635</v>
      </c>
      <c r="AC269" s="5">
        <f t="shared" ca="1" si="180"/>
        <v>0.92685804070272304</v>
      </c>
      <c r="AD269" s="5">
        <f t="shared" ca="1" si="181"/>
        <v>1.4527833414909013</v>
      </c>
      <c r="AE269" s="5">
        <f t="shared" ca="1" si="158"/>
        <v>0.35610619483065986</v>
      </c>
      <c r="AF269" s="5">
        <f t="shared" ca="1" si="183"/>
        <v>0.97682946137423499</v>
      </c>
      <c r="AG269" s="5">
        <f t="shared" ca="1" si="184"/>
        <v>1.4666593199403515</v>
      </c>
      <c r="AH269" s="5">
        <f t="shared" ca="1" si="185"/>
        <v>1.2617309272078052</v>
      </c>
      <c r="AI269" s="5">
        <f t="shared" ca="1" si="186"/>
        <v>0.93840599325359042</v>
      </c>
      <c r="AJ269" s="5">
        <f t="shared" ca="1" si="187"/>
        <v>1.1731385046082676</v>
      </c>
      <c r="AK269" s="5">
        <f t="shared" ca="1" si="188"/>
        <v>1.0505392678104524</v>
      </c>
      <c r="AL269" s="5">
        <f t="shared" ca="1" si="189"/>
        <v>0.91112808731448203</v>
      </c>
      <c r="AM269" s="5">
        <f t="shared" ca="1" si="190"/>
        <v>1.1920298298875012</v>
      </c>
      <c r="AN269" s="5">
        <f t="shared" ca="1" si="191"/>
        <v>1.2731906101611064</v>
      </c>
      <c r="AO269" s="5">
        <f t="shared" ca="1" si="192"/>
        <v>1.3561061948306599</v>
      </c>
      <c r="AP269" s="5">
        <f t="shared" ca="1" si="193"/>
        <v>3.9203133563528856</v>
      </c>
      <c r="AQ269" s="4">
        <f t="shared" ca="1" si="159"/>
        <v>39203.133563528856</v>
      </c>
      <c r="AR269">
        <f t="shared" ca="1" si="160"/>
        <v>1</v>
      </c>
      <c r="AS269">
        <f t="shared" ca="1" si="161"/>
        <v>0</v>
      </c>
    </row>
    <row r="270" spans="1:45" x14ac:dyDescent="0.25">
      <c r="A270" s="10">
        <f t="shared" si="182"/>
        <v>249</v>
      </c>
      <c r="B270" s="5">
        <f t="shared" ca="1" si="162"/>
        <v>0.57493530420158734</v>
      </c>
      <c r="C270" s="5">
        <f t="shared" ca="1" si="163"/>
        <v>0.18895333440784939</v>
      </c>
      <c r="D270" s="5">
        <f t="shared" ca="1" si="149"/>
        <v>0.12192167934776932</v>
      </c>
      <c r="E270" s="5">
        <f t="shared" ca="1" si="164"/>
        <v>0.33403434711110802</v>
      </c>
      <c r="F270" s="5">
        <f t="shared" ca="1" si="165"/>
        <v>-0.42880011630938963</v>
      </c>
      <c r="G270" s="5">
        <f t="shared" ca="1" si="150"/>
        <v>2.2632293082627042E-2</v>
      </c>
      <c r="H270" s="5">
        <f t="shared" ca="1" si="166"/>
        <v>0.43636579352709282</v>
      </c>
      <c r="I270" s="5">
        <f t="shared" ca="1" si="167"/>
        <v>-0.16018977080657873</v>
      </c>
      <c r="J270" s="5">
        <f t="shared" ca="1" si="151"/>
        <v>6.4677071975593803E-2</v>
      </c>
      <c r="K270" s="5">
        <f t="shared" ca="1" si="168"/>
        <v>0.92976038509416703</v>
      </c>
      <c r="L270" s="5">
        <f t="shared" ca="1" si="169"/>
        <v>1.4740087703021982</v>
      </c>
      <c r="M270" s="5">
        <f t="shared" ca="1" si="152"/>
        <v>0.36043066565859982</v>
      </c>
      <c r="N270" s="5">
        <f t="shared" ca="1" si="170"/>
        <v>0.56026331165495502</v>
      </c>
      <c r="O270" s="5">
        <f t="shared" ca="1" si="171"/>
        <v>0.1516368381908752</v>
      </c>
      <c r="P270" s="5">
        <f t="shared" ca="1" si="153"/>
        <v>0.11565929455262181</v>
      </c>
      <c r="Q270" s="5">
        <f t="shared" ca="1" si="172"/>
        <v>0.94926303929456468</v>
      </c>
      <c r="R270" s="5">
        <f t="shared" ca="1" si="173"/>
        <v>1.6377496850363849</v>
      </c>
      <c r="S270" s="5">
        <f t="shared" ca="1" si="154"/>
        <v>0.39425810963399854</v>
      </c>
      <c r="T270" s="5">
        <f t="shared" ca="1" si="174"/>
        <v>0.77994630278983978</v>
      </c>
      <c r="U270" s="5">
        <f t="shared" ca="1" si="175"/>
        <v>0.77201187472745214</v>
      </c>
      <c r="V270" s="5">
        <f t="shared" ca="1" si="155"/>
        <v>0.22446226614332532</v>
      </c>
      <c r="W270" s="5">
        <f t="shared" ca="1" si="176"/>
        <v>0.89009242216471318</v>
      </c>
      <c r="X270" s="5">
        <f t="shared" ca="1" si="177"/>
        <v>1.2270197825435607</v>
      </c>
      <c r="Y270" s="5">
        <f t="shared" ca="1" si="156"/>
        <v>0.31095118267748312</v>
      </c>
      <c r="Z270" s="5">
        <f t="shared" ca="1" si="178"/>
        <v>2.2923924421847874E-2</v>
      </c>
      <c r="AA270" s="5">
        <f t="shared" ca="1" si="179"/>
        <v>-1.9967913940530659</v>
      </c>
      <c r="AB270" s="5">
        <f t="shared" ca="1" si="157"/>
        <v>-0.19169733815509893</v>
      </c>
      <c r="AC270" s="5">
        <f t="shared" ca="1" si="180"/>
        <v>0.34784840808410811</v>
      </c>
      <c r="AD270" s="5">
        <f t="shared" ca="1" si="181"/>
        <v>-0.39113585888247265</v>
      </c>
      <c r="AE270" s="5">
        <f t="shared" ca="1" si="158"/>
        <v>2.8426147153550962E-2</v>
      </c>
      <c r="AF270" s="5">
        <f t="shared" ca="1" si="183"/>
        <v>1.1219216793477693</v>
      </c>
      <c r="AG270" s="5">
        <f t="shared" ca="1" si="184"/>
        <v>1.022632293082627</v>
      </c>
      <c r="AH270" s="5">
        <f t="shared" ca="1" si="185"/>
        <v>1.0646770719755938</v>
      </c>
      <c r="AI270" s="5">
        <f t="shared" ca="1" si="186"/>
        <v>1.3604306656585998</v>
      </c>
      <c r="AJ270" s="5">
        <f t="shared" ca="1" si="187"/>
        <v>1.1156592945526218</v>
      </c>
      <c r="AK270" s="5">
        <f t="shared" ca="1" si="188"/>
        <v>1.3942581096339985</v>
      </c>
      <c r="AL270" s="5">
        <f t="shared" ca="1" si="189"/>
        <v>1.2244622661433253</v>
      </c>
      <c r="AM270" s="5">
        <f t="shared" ca="1" si="190"/>
        <v>1.3109511826774831</v>
      </c>
      <c r="AN270" s="5">
        <f t="shared" ca="1" si="191"/>
        <v>0.80830266184490107</v>
      </c>
      <c r="AO270" s="5">
        <f t="shared" ca="1" si="192"/>
        <v>1.028426147153551</v>
      </c>
      <c r="AP270" s="5">
        <f t="shared" ca="1" si="193"/>
        <v>3.4492936528374085</v>
      </c>
      <c r="AQ270" s="4">
        <f t="shared" ca="1" si="159"/>
        <v>34492.936528374084</v>
      </c>
      <c r="AR270">
        <f t="shared" ca="1" si="160"/>
        <v>1</v>
      </c>
      <c r="AS270">
        <f t="shared" ca="1" si="161"/>
        <v>0</v>
      </c>
    </row>
    <row r="271" spans="1:45" x14ac:dyDescent="0.25">
      <c r="A271" s="10">
        <f t="shared" si="182"/>
        <v>250</v>
      </c>
      <c r="B271" s="5">
        <f t="shared" ca="1" si="162"/>
        <v>0.8962885750148708</v>
      </c>
      <c r="C271" s="5">
        <f t="shared" ca="1" si="163"/>
        <v>1.2606836416470173</v>
      </c>
      <c r="D271" s="5">
        <f t="shared" ca="1" si="149"/>
        <v>0.31758767570916269</v>
      </c>
      <c r="E271" s="5">
        <f t="shared" ca="1" si="164"/>
        <v>0.4628424308170257</v>
      </c>
      <c r="F271" s="5">
        <f t="shared" ca="1" si="165"/>
        <v>-9.3275290723958085E-2</v>
      </c>
      <c r="G271" s="5">
        <f t="shared" ca="1" si="150"/>
        <v>7.5417229119225659E-2</v>
      </c>
      <c r="H271" s="5">
        <f t="shared" ca="1" si="166"/>
        <v>4.8077490217096619E-3</v>
      </c>
      <c r="I271" s="5">
        <f t="shared" ca="1" si="167"/>
        <v>-2.5893583250183063</v>
      </c>
      <c r="J271" s="5">
        <f t="shared" ca="1" si="151"/>
        <v>-0.26044287283946888</v>
      </c>
      <c r="K271" s="5">
        <f t="shared" ca="1" si="168"/>
        <v>0.32992369305733826</v>
      </c>
      <c r="L271" s="5">
        <f t="shared" ca="1" si="169"/>
        <v>-0.44012388153748255</v>
      </c>
      <c r="M271" s="5">
        <f t="shared" ca="1" si="152"/>
        <v>2.0896760257135272E-2</v>
      </c>
      <c r="N271" s="5">
        <f t="shared" ca="1" si="170"/>
        <v>0.4437021652438129</v>
      </c>
      <c r="O271" s="5">
        <f t="shared" ca="1" si="171"/>
        <v>-0.14158941223127416</v>
      </c>
      <c r="P271" s="5">
        <f t="shared" ca="1" si="153"/>
        <v>6.7651726064235085E-2</v>
      </c>
      <c r="Q271" s="5">
        <f t="shared" ca="1" si="172"/>
        <v>1.8960777798609718E-2</v>
      </c>
      <c r="R271" s="5">
        <f t="shared" ca="1" si="173"/>
        <v>-2.0757016246710789</v>
      </c>
      <c r="S271" s="5">
        <f t="shared" ca="1" si="154"/>
        <v>-0.2012084402840445</v>
      </c>
      <c r="T271" s="5">
        <f t="shared" ca="1" si="174"/>
        <v>0.10358924148884086</v>
      </c>
      <c r="U271" s="5">
        <f t="shared" ca="1" si="175"/>
        <v>-1.2613619159134375</v>
      </c>
      <c r="V271" s="5">
        <f t="shared" ca="1" si="155"/>
        <v>-9.7425719940618771E-2</v>
      </c>
      <c r="W271" s="5">
        <f t="shared" ca="1" si="176"/>
        <v>0.38361331964177003</v>
      </c>
      <c r="X271" s="5">
        <f t="shared" ca="1" si="177"/>
        <v>-0.29600450724204808</v>
      </c>
      <c r="Y271" s="5">
        <f t="shared" ca="1" si="156"/>
        <v>4.3206688731337151E-2</v>
      </c>
      <c r="Z271" s="5">
        <f t="shared" ca="1" si="178"/>
        <v>0.70789093297490069</v>
      </c>
      <c r="AA271" s="5">
        <f t="shared" ca="1" si="179"/>
        <v>0.5472337762819558</v>
      </c>
      <c r="AB271" s="5">
        <f t="shared" ca="1" si="157"/>
        <v>0.18386565911886299</v>
      </c>
      <c r="AC271" s="5">
        <f t="shared" ca="1" si="180"/>
        <v>3.1595673194431795E-2</v>
      </c>
      <c r="AD271" s="5">
        <f t="shared" ca="1" si="181"/>
        <v>-1.857842763422801</v>
      </c>
      <c r="AE271" s="5">
        <f t="shared" ca="1" si="158"/>
        <v>-0.17467366601469581</v>
      </c>
      <c r="AF271" s="5">
        <f t="shared" ca="1" si="183"/>
        <v>1.3175876757091627</v>
      </c>
      <c r="AG271" s="5">
        <f t="shared" ca="1" si="184"/>
        <v>1.0754172291192257</v>
      </c>
      <c r="AH271" s="5">
        <f t="shared" ca="1" si="185"/>
        <v>0.73955712716053112</v>
      </c>
      <c r="AI271" s="5">
        <f t="shared" ca="1" si="186"/>
        <v>1.0208967602571353</v>
      </c>
      <c r="AJ271" s="5">
        <f t="shared" ca="1" si="187"/>
        <v>1.0676517260642351</v>
      </c>
      <c r="AK271" s="5">
        <f t="shared" ca="1" si="188"/>
        <v>0.7987915597159555</v>
      </c>
      <c r="AL271" s="5">
        <f t="shared" ca="1" si="189"/>
        <v>0.90257428005938123</v>
      </c>
      <c r="AM271" s="5">
        <f t="shared" ca="1" si="190"/>
        <v>1.0432066887313372</v>
      </c>
      <c r="AN271" s="5">
        <f t="shared" ca="1" si="191"/>
        <v>1.183865659118863</v>
      </c>
      <c r="AO271" s="5">
        <f t="shared" ca="1" si="192"/>
        <v>0.82532633398530419</v>
      </c>
      <c r="AP271" s="5">
        <f t="shared" ca="1" si="193"/>
        <v>0.83937220176337501</v>
      </c>
      <c r="AQ271" s="4">
        <f t="shared" ca="1" si="159"/>
        <v>8393.7220176337505</v>
      </c>
      <c r="AR271">
        <f t="shared" ca="1" si="160"/>
        <v>0</v>
      </c>
      <c r="AS271">
        <f t="shared" ca="1" si="161"/>
        <v>0</v>
      </c>
    </row>
    <row r="272" spans="1:45" x14ac:dyDescent="0.25">
      <c r="A272" s="10"/>
    </row>
    <row r="273" spans="1:45" s="1" customFormat="1" x14ac:dyDescent="0.25">
      <c r="A273" s="2">
        <f>COUNTA(A22:A271)</f>
        <v>250</v>
      </c>
      <c r="B273" s="6">
        <f t="shared" ref="B273:AQ273" ca="1" si="194">SUM(B22:B271)</f>
        <v>119.99664736312195</v>
      </c>
      <c r="C273" s="6">
        <f t="shared" ca="1" si="194"/>
        <v>-15.860301122110545</v>
      </c>
      <c r="D273" s="6">
        <f t="shared" ca="1" si="194"/>
        <v>22.79492084515504</v>
      </c>
      <c r="E273" s="6">
        <f t="shared" ca="1" si="194"/>
        <v>126.23484475656052</v>
      </c>
      <c r="F273" s="6">
        <f t="shared" ca="1" si="194"/>
        <v>0.67758358935610308</v>
      </c>
      <c r="G273" s="6">
        <f t="shared" ca="1" si="194"/>
        <v>25.885364022814048</v>
      </c>
      <c r="H273" s="6">
        <f t="shared" ca="1" si="194"/>
        <v>123.81530712945207</v>
      </c>
      <c r="I273" s="6">
        <f t="shared" ca="1" si="194"/>
        <v>-12.590188664853111</v>
      </c>
      <c r="J273" s="6">
        <f t="shared" ca="1" si="194"/>
        <v>23.881375106118558</v>
      </c>
      <c r="K273" s="6">
        <f t="shared" ca="1" si="194"/>
        <v>131.61453504947005</v>
      </c>
      <c r="L273" s="6">
        <f t="shared" ca="1" si="194"/>
        <v>21.786673846346002</v>
      </c>
      <c r="M273" s="6">
        <f t="shared" ca="1" si="194"/>
        <v>29.874443449228249</v>
      </c>
      <c r="N273" s="6">
        <f t="shared" ca="1" si="194"/>
        <v>125.81466167813664</v>
      </c>
      <c r="O273" s="6">
        <f t="shared" ca="1" si="194"/>
        <v>7.527614240418405</v>
      </c>
      <c r="P273" s="6">
        <f t="shared" ca="1" si="194"/>
        <v>27.636234440621141</v>
      </c>
      <c r="Q273" s="6">
        <f t="shared" ca="1" si="194"/>
        <v>122.72931049168142</v>
      </c>
      <c r="R273" s="6">
        <f t="shared" ca="1" si="194"/>
        <v>-9.3345106054853844</v>
      </c>
      <c r="S273" s="6">
        <f t="shared" ca="1" si="194"/>
        <v>24.074064752364112</v>
      </c>
      <c r="T273" s="6">
        <f t="shared" ca="1" si="194"/>
        <v>117.67607628869561</v>
      </c>
      <c r="U273" s="6">
        <f t="shared" ca="1" si="194"/>
        <v>-27.68282264034746</v>
      </c>
      <c r="V273" s="6">
        <f t="shared" ca="1" si="194"/>
        <v>20.833416384493137</v>
      </c>
      <c r="W273" s="6">
        <f t="shared" ca="1" si="194"/>
        <v>127.89318414020867</v>
      </c>
      <c r="X273" s="6">
        <f t="shared" ca="1" si="194"/>
        <v>6.7812307766340494</v>
      </c>
      <c r="Y273" s="6">
        <f t="shared" ca="1" si="194"/>
        <v>26.970935988992444</v>
      </c>
      <c r="Z273" s="6">
        <f t="shared" ca="1" si="194"/>
        <v>129.56720453060797</v>
      </c>
      <c r="AA273" s="6">
        <f t="shared" ca="1" si="194"/>
        <v>14.259709077725649</v>
      </c>
      <c r="AB273" s="6">
        <f t="shared" ca="1" si="194"/>
        <v>28.131125371163634</v>
      </c>
      <c r="AC273" s="6">
        <f t="shared" ca="1" si="194"/>
        <v>132.0665915323226</v>
      </c>
      <c r="AD273" s="6">
        <f t="shared" ca="1" si="194"/>
        <v>25.56760942431734</v>
      </c>
      <c r="AE273" s="6">
        <f t="shared" ca="1" si="194"/>
        <v>30.004437186812762</v>
      </c>
      <c r="AF273" s="6">
        <f t="shared" ca="1" si="194"/>
        <v>272.7949208451551</v>
      </c>
      <c r="AG273" s="6">
        <f t="shared" ca="1" si="194"/>
        <v>275.88536402281397</v>
      </c>
      <c r="AH273" s="6">
        <f t="shared" ca="1" si="194"/>
        <v>273.8813751061187</v>
      </c>
      <c r="AI273" s="6">
        <f t="shared" ca="1" si="194"/>
        <v>279.87444344922807</v>
      </c>
      <c r="AJ273" s="6">
        <f t="shared" ca="1" si="194"/>
        <v>277.63623444062108</v>
      </c>
      <c r="AK273" s="6">
        <f t="shared" ca="1" si="194"/>
        <v>274.07406475236394</v>
      </c>
      <c r="AL273" s="6">
        <f t="shared" ca="1" si="194"/>
        <v>270.83341638449315</v>
      </c>
      <c r="AM273" s="6">
        <f t="shared" ca="1" si="194"/>
        <v>276.97093598899249</v>
      </c>
      <c r="AN273" s="6">
        <f t="shared" ca="1" si="194"/>
        <v>278.13112537116365</v>
      </c>
      <c r="AO273" s="6">
        <f t="shared" ca="1" si="194"/>
        <v>280.00443718681294</v>
      </c>
      <c r="AP273" s="6">
        <f t="shared" ca="1" si="194"/>
        <v>680.23135027474848</v>
      </c>
      <c r="AQ273" s="7">
        <f t="shared" ca="1" si="194"/>
        <v>6802313.5027474901</v>
      </c>
      <c r="AR273" s="1">
        <f ca="1">SUM(AR22:AR271)</f>
        <v>118</v>
      </c>
      <c r="AS273" s="1">
        <f ca="1">SUM(AS22:AS271)</f>
        <v>0</v>
      </c>
    </row>
    <row r="275" spans="1:45" x14ac:dyDescent="0.25">
      <c r="AQ275" s="8"/>
      <c r="AR275" s="6"/>
      <c r="AS275" s="6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/>
  </sheetViews>
  <sheetFormatPr defaultRowHeight="15" x14ac:dyDescent="0.25"/>
  <cols>
    <col min="1" max="1" width="13.42578125" bestFit="1" customWidth="1"/>
    <col min="2" max="2" width="9.5703125" bestFit="1" customWidth="1"/>
    <col min="3" max="3" width="10.5703125" bestFit="1" customWidth="1"/>
    <col min="4" max="4" width="12.140625" bestFit="1" customWidth="1"/>
    <col min="5" max="5" width="9.5703125" bestFit="1" customWidth="1"/>
  </cols>
  <sheetData>
    <row r="1" spans="1:5" x14ac:dyDescent="0.25">
      <c r="A1" s="14" t="s">
        <v>77</v>
      </c>
    </row>
    <row r="3" spans="1:5" x14ac:dyDescent="0.25">
      <c r="A3" s="9" t="s">
        <v>78</v>
      </c>
      <c r="B3" s="9"/>
    </row>
    <row r="5" spans="1:5" x14ac:dyDescent="0.25">
      <c r="A5" s="1" t="s">
        <v>0</v>
      </c>
      <c r="B5" s="1" t="s">
        <v>1</v>
      </c>
      <c r="C5" s="1" t="s">
        <v>2</v>
      </c>
    </row>
    <row r="6" spans="1:5" x14ac:dyDescent="0.25">
      <c r="A6" s="10" t="s">
        <v>79</v>
      </c>
      <c r="B6" s="2">
        <v>0.08</v>
      </c>
      <c r="C6" t="s">
        <v>94</v>
      </c>
    </row>
    <row r="7" spans="1:5" x14ac:dyDescent="0.25">
      <c r="A7" s="10" t="s">
        <v>80</v>
      </c>
      <c r="B7" s="2">
        <v>4.2000000000000003E-2</v>
      </c>
      <c r="C7" t="s">
        <v>92</v>
      </c>
    </row>
    <row r="8" spans="1:5" x14ac:dyDescent="0.25">
      <c r="A8" s="10" t="s">
        <v>82</v>
      </c>
      <c r="B8" s="2">
        <v>1.2999999999999999E-2</v>
      </c>
      <c r="C8" t="s">
        <v>93</v>
      </c>
    </row>
    <row r="10" spans="1:5" x14ac:dyDescent="0.25">
      <c r="A10" s="2"/>
      <c r="B10" s="2"/>
      <c r="C10" s="2"/>
      <c r="D10" s="2"/>
      <c r="E10" s="2"/>
    </row>
    <row r="11" spans="1:5" x14ac:dyDescent="0.25">
      <c r="A11" s="9" t="s">
        <v>84</v>
      </c>
      <c r="B11" s="9"/>
      <c r="C11" s="2"/>
      <c r="D11" s="2"/>
      <c r="E11" s="2"/>
    </row>
    <row r="12" spans="1:5" x14ac:dyDescent="0.25">
      <c r="A12" s="9"/>
      <c r="B12" s="9"/>
      <c r="C12" s="2"/>
      <c r="D12" s="2"/>
      <c r="E12" s="2"/>
    </row>
    <row r="13" spans="1:5" x14ac:dyDescent="0.25">
      <c r="A13" s="9"/>
      <c r="B13" s="9"/>
      <c r="C13" s="2"/>
      <c r="D13" s="2"/>
      <c r="E13" s="2"/>
    </row>
    <row r="14" spans="1:5" x14ac:dyDescent="0.25">
      <c r="A14" s="1" t="s">
        <v>0</v>
      </c>
      <c r="B14" s="1" t="s">
        <v>1</v>
      </c>
      <c r="C14" s="1" t="s">
        <v>2</v>
      </c>
      <c r="D14" s="2"/>
      <c r="E14" s="2"/>
    </row>
    <row r="15" spans="1:5" x14ac:dyDescent="0.25">
      <c r="A15" s="12" t="s">
        <v>95</v>
      </c>
      <c r="B15" s="2">
        <f>1+2*mean_i+mean_i2</f>
        <v>1.202</v>
      </c>
      <c r="C15" t="s">
        <v>81</v>
      </c>
      <c r="D15" s="2"/>
      <c r="E15" s="2"/>
    </row>
    <row r="16" spans="1:5" x14ac:dyDescent="0.25">
      <c r="A16" s="12" t="s">
        <v>96</v>
      </c>
      <c r="B16" s="2">
        <f>1+3*mean_i+3*mean_i2+mean_i3</f>
        <v>1.379</v>
      </c>
      <c r="C16" t="s">
        <v>83</v>
      </c>
      <c r="D16" s="2"/>
      <c r="E16" s="2"/>
    </row>
    <row r="17" spans="1:5" x14ac:dyDescent="0.25">
      <c r="A17" s="12"/>
      <c r="B17" s="2"/>
      <c r="D17" s="2"/>
      <c r="E17" s="2"/>
    </row>
    <row r="18" spans="1:5" x14ac:dyDescent="0.25">
      <c r="A18" s="2"/>
      <c r="B18" s="2"/>
      <c r="C18" s="2"/>
      <c r="D18" s="2"/>
      <c r="E18" s="2"/>
    </row>
    <row r="19" spans="1:5" x14ac:dyDescent="0.25">
      <c r="A19" s="2"/>
      <c r="E19" s="2"/>
    </row>
    <row r="20" spans="1:5" x14ac:dyDescent="0.25">
      <c r="A20" s="2" t="s">
        <v>88</v>
      </c>
      <c r="B20" s="3"/>
      <c r="C20" s="3"/>
      <c r="D20" s="3"/>
      <c r="E20" s="2"/>
    </row>
    <row r="21" spans="1:5" x14ac:dyDescent="0.25">
      <c r="A21" s="2" t="s">
        <v>89</v>
      </c>
      <c r="B21" s="2" t="s">
        <v>85</v>
      </c>
      <c r="C21" s="2" t="s">
        <v>86</v>
      </c>
      <c r="D21" s="2" t="s">
        <v>87</v>
      </c>
      <c r="E21" s="2" t="s">
        <v>90</v>
      </c>
    </row>
    <row r="22" spans="1:5" x14ac:dyDescent="0.25">
      <c r="A22" s="3" t="s">
        <v>11</v>
      </c>
      <c r="B22" s="3" t="s">
        <v>12</v>
      </c>
      <c r="C22" s="3" t="s">
        <v>13</v>
      </c>
      <c r="D22" s="3" t="s">
        <v>19</v>
      </c>
      <c r="E22" s="3" t="s">
        <v>20</v>
      </c>
    </row>
    <row r="23" spans="1:5" x14ac:dyDescent="0.25">
      <c r="A23" s="10">
        <v>1</v>
      </c>
      <c r="B23" s="11">
        <f t="shared" ref="B23:B32" si="0">((1+mean_i)^$A23-1)/(mean_i/(1+mean_i))</f>
        <v>1.080000000000001</v>
      </c>
      <c r="C23" s="11">
        <f>mean_1plusi2</f>
        <v>1.202</v>
      </c>
      <c r="D23" s="11">
        <f>mean_1plusi3</f>
        <v>1.379</v>
      </c>
      <c r="E23" s="11">
        <f>C23-B23^2</f>
        <v>3.5599999999997856E-2</v>
      </c>
    </row>
    <row r="24" spans="1:5" x14ac:dyDescent="0.25">
      <c r="A24" s="10">
        <f>A23+1</f>
        <v>2</v>
      </c>
      <c r="B24" s="11">
        <f t="shared" si="0"/>
        <v>2.2464000000000017</v>
      </c>
      <c r="C24" s="11">
        <f t="shared" ref="C24:C32" si="1">mean_1plusi2*(1+2*B23+C23)</f>
        <v>5.2431240000000017</v>
      </c>
      <c r="D24" s="11">
        <f t="shared" ref="D24:D32" si="2">mean_1plusi3*(1+3*B23+3*C23+D23)</f>
        <v>12.721275000000004</v>
      </c>
      <c r="E24" s="11">
        <f t="shared" ref="E24:E32" si="3">C24-B24^2</f>
        <v>0.19681103999999383</v>
      </c>
    </row>
    <row r="25" spans="1:5" x14ac:dyDescent="0.25">
      <c r="A25" s="10">
        <f t="shared" ref="A25:A32" si="4">A24+1</f>
        <v>3</v>
      </c>
      <c r="B25" s="11">
        <f t="shared" si="0"/>
        <v>3.5061120000000026</v>
      </c>
      <c r="C25" s="11">
        <f t="shared" si="1"/>
        <v>12.904580648000005</v>
      </c>
      <c r="D25" s="11">
        <f t="shared" si="2"/>
        <v>49.905799013000021</v>
      </c>
      <c r="E25" s="11">
        <f t="shared" si="3"/>
        <v>0.61175929145598751</v>
      </c>
    </row>
    <row r="26" spans="1:5" x14ac:dyDescent="0.25">
      <c r="A26" s="10">
        <f t="shared" si="4"/>
        <v>4</v>
      </c>
      <c r="B26" s="11">
        <f t="shared" si="0"/>
        <v>4.866600960000004</v>
      </c>
      <c r="C26" s="11">
        <f t="shared" si="1"/>
        <v>25.141999186896012</v>
      </c>
      <c r="D26" s="11">
        <f t="shared" si="2"/>
        <v>138.09013232370307</v>
      </c>
      <c r="E26" s="11">
        <f t="shared" si="3"/>
        <v>1.458194283023051</v>
      </c>
    </row>
    <row r="27" spans="1:5" x14ac:dyDescent="0.25">
      <c r="A27" s="10">
        <f t="shared" si="4"/>
        <v>5</v>
      </c>
      <c r="B27" s="11">
        <f t="shared" si="0"/>
        <v>6.335929036800005</v>
      </c>
      <c r="C27" s="11">
        <f t="shared" si="1"/>
        <v>43.121991730489015</v>
      </c>
      <c r="D27" s="11">
        <f t="shared" si="2"/>
        <v>315.95087128209536</v>
      </c>
      <c r="E27" s="11">
        <f t="shared" si="3"/>
        <v>2.9779949711235787</v>
      </c>
    </row>
    <row r="28" spans="1:5" x14ac:dyDescent="0.25">
      <c r="A28" s="10">
        <f t="shared" si="4"/>
        <v>6</v>
      </c>
      <c r="B28" s="11">
        <f t="shared" si="0"/>
        <v>7.922803359744008</v>
      </c>
      <c r="C28" s="11">
        <f t="shared" si="1"/>
        <v>68.266207464515006</v>
      </c>
      <c r="D28" s="11">
        <f t="shared" si="2"/>
        <v>641.68266971228411</v>
      </c>
      <c r="E28" s="11">
        <f t="shared" si="3"/>
        <v>5.4953943873440636</v>
      </c>
    </row>
    <row r="29" spans="1:5" x14ac:dyDescent="0.25">
      <c r="A29" s="10">
        <f t="shared" si="4"/>
        <v>7</v>
      </c>
      <c r="B29" s="11">
        <f t="shared" si="0"/>
        <v>9.6366276285235291</v>
      </c>
      <c r="C29" s="11">
        <f t="shared" si="1"/>
        <v>102.30440064917163</v>
      </c>
      <c r="D29" s="11">
        <f t="shared" si="2"/>
        <v>1201.4533393131992</v>
      </c>
      <c r="E29" s="11">
        <f t="shared" si="3"/>
        <v>9.4398085983486055</v>
      </c>
    </row>
    <row r="30" spans="1:5" x14ac:dyDescent="0.25">
      <c r="A30" s="10">
        <f t="shared" si="4"/>
        <v>8</v>
      </c>
      <c r="B30" s="11">
        <f t="shared" si="0"/>
        <v>11.487557838805412</v>
      </c>
      <c r="C30" s="11">
        <f t="shared" si="1"/>
        <v>147.33834239927484</v>
      </c>
      <c r="D30" s="11">
        <f t="shared" si="2"/>
        <v>2121.2831888977266</v>
      </c>
      <c r="E30" s="11">
        <f t="shared" si="3"/>
        <v>15.374357299375191</v>
      </c>
    </row>
    <row r="31" spans="1:5" x14ac:dyDescent="0.25">
      <c r="A31" s="10">
        <f t="shared" si="4"/>
        <v>9</v>
      </c>
      <c r="B31" s="11">
        <f t="shared" si="0"/>
        <v>13.486562465909847</v>
      </c>
      <c r="C31" s="11">
        <f t="shared" si="1"/>
        <v>205.91877660841655</v>
      </c>
      <c r="D31" s="11">
        <f t="shared" si="2"/>
        <v>3583.6912667749029</v>
      </c>
      <c r="E31" s="11">
        <f t="shared" si="3"/>
        <v>24.031409461528256</v>
      </c>
    </row>
    <row r="32" spans="1:5" x14ac:dyDescent="0.25">
      <c r="A32" s="10">
        <f t="shared" si="4"/>
        <v>10</v>
      </c>
      <c r="B32" s="11">
        <f t="shared" si="0"/>
        <v>15.645487463182635</v>
      </c>
      <c r="C32" s="11">
        <f t="shared" si="1"/>
        <v>281.13806565136395</v>
      </c>
      <c r="D32" s="11">
        <f t="shared" si="2"/>
        <v>5850.9691446330789</v>
      </c>
      <c r="E32" s="11">
        <f t="shared" si="3"/>
        <v>36.356787690758949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10</vt:i4>
      </vt:variant>
    </vt:vector>
  </HeadingPairs>
  <TitlesOfParts>
    <vt:vector size="12" baseType="lpstr">
      <vt:lpstr>Question 1</vt:lpstr>
      <vt:lpstr>Question 2</vt:lpstr>
      <vt:lpstr>initial_amount</vt:lpstr>
      <vt:lpstr>lower_amount</vt:lpstr>
      <vt:lpstr>mean_1plusi2</vt:lpstr>
      <vt:lpstr>mean_1plusi3</vt:lpstr>
      <vt:lpstr>mean_i</vt:lpstr>
      <vt:lpstr>mean_i2</vt:lpstr>
      <vt:lpstr>mean_i3</vt:lpstr>
      <vt:lpstr>mu</vt:lpstr>
      <vt:lpstr>sigma</vt:lpstr>
      <vt:lpstr>upper_amount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Donnelly</dc:creator>
  <cp:lastModifiedBy>Catherine Donnelly</cp:lastModifiedBy>
  <dcterms:created xsi:type="dcterms:W3CDTF">2014-02-10T08:54:22Z</dcterms:created>
  <dcterms:modified xsi:type="dcterms:W3CDTF">2015-02-20T10:04:17Z</dcterms:modified>
</cp:coreProperties>
</file>