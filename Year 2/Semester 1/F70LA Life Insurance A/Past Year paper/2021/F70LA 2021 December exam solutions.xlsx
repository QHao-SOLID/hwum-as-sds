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A/06_Past_Years/2021/"/>
    </mc:Choice>
  </mc:AlternateContent>
  <xr:revisionPtr revIDLastSave="4" documentId="8_{6C2BD565-971F-45B8-96F1-5BEACBF2763A}" xr6:coauthVersionLast="47" xr6:coauthVersionMax="47" xr10:uidLastSave="{54DFADAB-03CA-404B-95A8-702BA72EFC4F}"/>
  <bookViews>
    <workbookView xWindow="-98" yWindow="-98" windowWidth="21795" windowHeight="12975" activeTab="1" xr2:uid="{00000000-000D-0000-FFFF-FFFF00000000}"/>
  </bookViews>
  <sheets>
    <sheet name="Q3" sheetId="1" r:id="rId1"/>
    <sheet name="Q4" sheetId="2" r:id="rId2"/>
    <sheet name="Q5" sheetId="4" r:id="rId3"/>
    <sheet name="Q6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E10" i="5"/>
  <c r="E9" i="5"/>
  <c r="E8" i="5"/>
  <c r="E7" i="5"/>
  <c r="M11" i="2"/>
  <c r="O11" i="2" s="1"/>
  <c r="M10" i="2"/>
  <c r="O10" i="2" s="1"/>
  <c r="M9" i="2"/>
  <c r="O9" i="2" s="1"/>
  <c r="N11" i="2"/>
  <c r="N10" i="2"/>
  <c r="N9" i="2"/>
  <c r="O7" i="2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L21" i="1"/>
  <c r="L20" i="1"/>
  <c r="I20" i="1" s="1"/>
  <c r="L19" i="1"/>
  <c r="L18" i="1"/>
  <c r="L17" i="1"/>
  <c r="L16" i="1"/>
  <c r="L15" i="1"/>
  <c r="L14" i="1"/>
  <c r="L13" i="1"/>
  <c r="I13" i="1" s="1"/>
  <c r="L12" i="1"/>
  <c r="I12" i="1" s="1"/>
  <c r="L11" i="1"/>
  <c r="L10" i="1"/>
  <c r="L9" i="1"/>
  <c r="L8" i="1"/>
  <c r="I8" i="1" s="1"/>
  <c r="L7" i="1"/>
  <c r="I7" i="1" s="1"/>
  <c r="M21" i="1"/>
  <c r="M20" i="1"/>
  <c r="M19" i="1"/>
  <c r="M18" i="1"/>
  <c r="I18" i="1" s="1"/>
  <c r="M17" i="1"/>
  <c r="M16" i="1"/>
  <c r="M15" i="1"/>
  <c r="M14" i="1"/>
  <c r="M13" i="1"/>
  <c r="M12" i="1"/>
  <c r="M11" i="1"/>
  <c r="M10" i="1"/>
  <c r="M9" i="1"/>
  <c r="M8" i="1"/>
  <c r="I21" i="1"/>
  <c r="I19" i="1"/>
  <c r="I16" i="1"/>
  <c r="I15" i="1"/>
  <c r="I11" i="1"/>
  <c r="I10" i="1"/>
  <c r="M7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O6" i="2" l="1"/>
  <c r="I14" i="1"/>
  <c r="I9" i="1"/>
  <c r="I17" i="1"/>
  <c r="C2" i="4" l="1"/>
  <c r="P7" i="2"/>
  <c r="O3" i="1"/>
  <c r="O4" i="1"/>
  <c r="P6" i="2" l="1"/>
  <c r="O5" i="1"/>
  <c r="C4" i="4"/>
  <c r="K4" i="2"/>
  <c r="I3" i="5"/>
  <c r="F8" i="5" s="1"/>
  <c r="F9" i="5" s="1"/>
  <c r="F10" i="5" s="1"/>
  <c r="C3" i="4"/>
  <c r="G2" i="4" s="1"/>
  <c r="G4" i="4" s="1"/>
  <c r="K3" i="2"/>
  <c r="I14" i="2" l="1"/>
  <c r="I9" i="2"/>
  <c r="I11" i="2"/>
  <c r="I21" i="2"/>
  <c r="I7" i="2"/>
  <c r="I16" i="2"/>
  <c r="I20" i="2"/>
  <c r="I13" i="2"/>
  <c r="I18" i="2"/>
  <c r="I8" i="2"/>
  <c r="I17" i="2"/>
  <c r="I15" i="2"/>
  <c r="I10" i="2"/>
  <c r="I12" i="2"/>
  <c r="I19" i="2"/>
  <c r="G5" i="4"/>
  <c r="G7" i="4" s="1"/>
  <c r="G3" i="4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7" i="2"/>
  <c r="C5" i="4"/>
  <c r="K5" i="2"/>
  <c r="G9" i="4" l="1"/>
  <c r="G7" i="5"/>
  <c r="G8" i="5" l="1"/>
  <c r="G9" i="5" l="1"/>
  <c r="G10" i="5" l="1"/>
  <c r="G11" i="5" s="1"/>
</calcChain>
</file>

<file path=xl/sharedStrings.xml><?xml version="1.0" encoding="utf-8"?>
<sst xmlns="http://schemas.openxmlformats.org/spreadsheetml/2006/main" count="59" uniqueCount="45">
  <si>
    <t>X</t>
  </si>
  <si>
    <t>This is the only cell where part of the ID number should be input.</t>
  </si>
  <si>
    <t>Y</t>
  </si>
  <si>
    <t>Z</t>
  </si>
  <si>
    <t>K</t>
  </si>
  <si>
    <t>x</t>
  </si>
  <si>
    <r>
      <t>q</t>
    </r>
    <r>
      <rPr>
        <b/>
        <i/>
        <vertAlign val="subscript"/>
        <sz val="11"/>
        <color indexed="8"/>
        <rFont val="Calibri"/>
        <family val="2"/>
      </rPr>
      <t>x</t>
    </r>
  </si>
  <si>
    <r>
      <t>l</t>
    </r>
    <r>
      <rPr>
        <b/>
        <i/>
        <vertAlign val="subscript"/>
        <sz val="11"/>
        <color indexed="8"/>
        <rFont val="Calibri"/>
        <family val="2"/>
      </rPr>
      <t>x</t>
    </r>
  </si>
  <si>
    <r>
      <t>d</t>
    </r>
    <r>
      <rPr>
        <b/>
        <i/>
        <vertAlign val="subscript"/>
        <sz val="11"/>
        <color indexed="8"/>
        <rFont val="Calibri"/>
        <family val="2"/>
      </rPr>
      <t>x</t>
    </r>
  </si>
  <si>
    <r>
      <t>m</t>
    </r>
    <r>
      <rPr>
        <b/>
        <i/>
        <vertAlign val="subscript"/>
        <sz val="12"/>
        <rFont val="Times New Roman"/>
        <family val="1"/>
      </rPr>
      <t>x</t>
    </r>
  </si>
  <si>
    <r>
      <t>e</t>
    </r>
    <r>
      <rPr>
        <b/>
        <i/>
        <vertAlign val="subscript"/>
        <sz val="11"/>
        <color indexed="8"/>
        <rFont val="Calibri"/>
        <family val="2"/>
      </rPr>
      <t>x</t>
    </r>
  </si>
  <si>
    <t>Answer (a)</t>
  </si>
  <si>
    <t>Answer (b) (i)</t>
  </si>
  <si>
    <t xml:space="preserve"> (b) (ii)</t>
  </si>
  <si>
    <t xml:space="preserve"> (d) (i)</t>
  </si>
  <si>
    <r>
      <t>l</t>
    </r>
    <r>
      <rPr>
        <b/>
        <i/>
        <vertAlign val="subscript"/>
        <sz val="11"/>
        <color indexed="8"/>
        <rFont val="Calibri"/>
        <family val="2"/>
      </rPr>
      <t>x+.5</t>
    </r>
  </si>
  <si>
    <r>
      <t>l</t>
    </r>
    <r>
      <rPr>
        <b/>
        <i/>
        <vertAlign val="subscript"/>
        <sz val="11"/>
        <color indexed="8"/>
        <rFont val="Calibri"/>
        <family val="2"/>
      </rPr>
      <t>x+1.25</t>
    </r>
  </si>
  <si>
    <t>µ-CF 3years</t>
  </si>
  <si>
    <t>A sub 85</t>
  </si>
  <si>
    <t>1+i</t>
  </si>
  <si>
    <t>from 82</t>
  </si>
  <si>
    <t>prem</t>
  </si>
  <si>
    <r>
      <t>v</t>
    </r>
    <r>
      <rPr>
        <vertAlign val="superscript"/>
        <sz val="11"/>
        <color theme="1"/>
        <rFont val="Calibri"/>
        <family val="2"/>
        <scheme val="minor"/>
      </rPr>
      <t>t</t>
    </r>
  </si>
  <si>
    <t>Premium</t>
  </si>
  <si>
    <t>3-year term age 82</t>
  </si>
  <si>
    <t>85+ben at 82</t>
  </si>
  <si>
    <t>k</t>
  </si>
  <si>
    <r>
      <t>(a) v</t>
    </r>
    <r>
      <rPr>
        <vertAlign val="superscript"/>
        <sz val="11"/>
        <color theme="1"/>
        <rFont val="Calibri"/>
        <family val="2"/>
        <scheme val="minor"/>
      </rPr>
      <t>k+1</t>
    </r>
  </si>
  <si>
    <t>(b) k|q82</t>
  </si>
  <si>
    <t>(a) * (b)</t>
  </si>
  <si>
    <t>q sub 28 =</t>
  </si>
  <si>
    <t>v</t>
  </si>
  <si>
    <t>i</t>
  </si>
  <si>
    <t>d</t>
  </si>
  <si>
    <t>Hence, A sub 28 =</t>
  </si>
  <si>
    <t>Hence, (IA) sub 29 =</t>
  </si>
  <si>
    <t>(a)</t>
  </si>
  <si>
    <t>(b)</t>
  </si>
  <si>
    <t>(c)</t>
  </si>
  <si>
    <r>
      <t>l</t>
    </r>
    <r>
      <rPr>
        <b/>
        <i/>
        <vertAlign val="subscript"/>
        <sz val="11"/>
        <color indexed="8"/>
        <rFont val="Calibri"/>
        <family val="2"/>
      </rPr>
      <t>[51]+time</t>
    </r>
  </si>
  <si>
    <t>time</t>
  </si>
  <si>
    <t>benefit</t>
  </si>
  <si>
    <r>
      <rPr>
        <b/>
        <i/>
        <vertAlign val="subscript"/>
        <sz val="11"/>
        <color indexed="8"/>
        <rFont val="Calibri"/>
        <family val="2"/>
      </rPr>
      <t>time</t>
    </r>
    <r>
      <rPr>
        <b/>
        <i/>
        <sz val="11"/>
        <color indexed="8"/>
        <rFont val="Calibri"/>
        <family val="2"/>
      </rPr>
      <t>p</t>
    </r>
    <r>
      <rPr>
        <b/>
        <i/>
        <vertAlign val="subscript"/>
        <sz val="11"/>
        <color indexed="8"/>
        <rFont val="Calibri"/>
        <family val="2"/>
      </rPr>
      <t>[51]</t>
    </r>
  </si>
  <si>
    <t>v^time</t>
  </si>
  <si>
    <t>(a)*(b)*(c)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</si>
</sst>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.00000"/>
    <numFmt numFmtId="165" formatCode="0.000000"/>
    <numFmt numFmtId="166" formatCode="0.0%"/>
    <numFmt numFmtId="167" formatCode="0.0000"/>
    <numFmt numFmtId="168" formatCode="&quot;£&quot;#,##0"/>
    <numFmt numFmtId="169" formatCode="0.00000"/>
    <numFmt numFmtId="170" formatCode="_-* #,##0.000_-;\-* #,##0.0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vertAlign val="subscript"/>
      <sz val="12"/>
      <name val="Times New Roman"/>
      <family val="1"/>
    </font>
    <font>
      <b/>
      <i/>
      <sz val="12"/>
      <name val="Symbol"/>
      <family val="1"/>
      <charset val="2"/>
    </font>
    <font>
      <b/>
      <i/>
      <vertAlign val="subscript"/>
      <sz val="11"/>
      <color indexed="8"/>
      <name val="Calibri"/>
      <family val="2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7" fillId="2" borderId="1" xfId="0" applyFont="1" applyFill="1" applyBorder="1" applyAlignment="1">
      <alignment horizontal="right"/>
    </xf>
    <xf numFmtId="0" fontId="0" fillId="2" borderId="0" xfId="0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4" fontId="4" fillId="2" borderId="1" xfId="0" quotePrefix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2" xfId="0" applyFill="1" applyBorder="1"/>
    <xf numFmtId="0" fontId="0" fillId="0" borderId="2" xfId="0" applyBorder="1" applyAlignment="1">
      <alignment horizontal="right"/>
    </xf>
    <xf numFmtId="0" fontId="0" fillId="0" borderId="2" xfId="0" applyBorder="1"/>
    <xf numFmtId="166" fontId="0" fillId="0" borderId="2" xfId="0" applyNumberFormat="1" applyBorder="1"/>
    <xf numFmtId="10" fontId="0" fillId="0" borderId="2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67" fontId="0" fillId="0" borderId="0" xfId="0" applyNumberFormat="1"/>
    <xf numFmtId="168" fontId="0" fillId="0" borderId="0" xfId="0" applyNumberFormat="1"/>
    <xf numFmtId="11" fontId="0" fillId="0" borderId="0" xfId="0" applyNumberFormat="1"/>
    <xf numFmtId="165" fontId="0" fillId="4" borderId="0" xfId="0" applyNumberFormat="1" applyFill="1"/>
    <xf numFmtId="168" fontId="0" fillId="4" borderId="0" xfId="0" applyNumberFormat="1" applyFill="1"/>
    <xf numFmtId="0" fontId="7" fillId="0" borderId="0" xfId="0" applyFont="1"/>
    <xf numFmtId="0" fontId="0" fillId="4" borderId="0" xfId="0" applyFill="1"/>
    <xf numFmtId="1" fontId="0" fillId="0" borderId="0" xfId="0" applyNumberFormat="1"/>
    <xf numFmtId="2" fontId="0" fillId="0" borderId="0" xfId="0" applyNumberFormat="1"/>
    <xf numFmtId="1" fontId="0" fillId="4" borderId="0" xfId="0" applyNumberFormat="1" applyFill="1"/>
    <xf numFmtId="0" fontId="7" fillId="2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43" fontId="0" fillId="0" borderId="0" xfId="5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9" fontId="0" fillId="2" borderId="0" xfId="0" applyNumberFormat="1" applyFill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7" fontId="0" fillId="4" borderId="0" xfId="0" applyNumberFormat="1" applyFill="1"/>
    <xf numFmtId="170" fontId="0" fillId="0" borderId="2" xfId="5" applyNumberFormat="1" applyFont="1" applyFill="1" applyBorder="1" applyAlignment="1">
      <alignment horizontal="right"/>
    </xf>
    <xf numFmtId="43" fontId="0" fillId="4" borderId="0" xfId="0" applyNumberFormat="1" applyFill="1"/>
    <xf numFmtId="170" fontId="0" fillId="0" borderId="0" xfId="0" applyNumberFormat="1"/>
  </cellXfs>
  <cellStyles count="6">
    <cellStyle name="Comma" xfId="5" builtinId="3"/>
    <cellStyle name="Hyperlink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Percent 2" xfId="4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638175</xdr:colOff>
      <xdr:row>4</xdr:row>
      <xdr:rowOff>174625</xdr:rowOff>
    </xdr:from>
    <xdr:ext cx="9169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38DEB11-3D22-4AA6-A80F-90E036C59E3D}"/>
                </a:ext>
              </a:extLst>
            </xdr:cNvPr>
            <xdr:cNvSpPr txBox="1"/>
          </xdr:nvSpPr>
          <xdr:spPr>
            <a:xfrm>
              <a:off x="8404225" y="911225"/>
              <a:ext cx="9169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b="0" i="1">
                        <a:latin typeface="Cambria Math" panose="02040503050406030204" pitchFamily="18" charset="0"/>
                      </a:rPr>
                      <m:t>1=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𝑑</m:t>
                    </m:r>
                    <m:acc>
                      <m:accPr>
                        <m:chr m:val="̈"/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MY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MY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MY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  <m:r>
                      <a:rPr lang="en-MY" sz="11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38DEB11-3D22-4AA6-A80F-90E036C59E3D}"/>
                </a:ext>
              </a:extLst>
            </xdr:cNvPr>
            <xdr:cNvSpPr txBox="1"/>
          </xdr:nvSpPr>
          <xdr:spPr>
            <a:xfrm>
              <a:off x="8404225" y="911225"/>
              <a:ext cx="9169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MY" sz="1100" b="0" i="0">
                  <a:latin typeface="Cambria Math" panose="02040503050406030204" pitchFamily="18" charset="0"/>
                </a:rPr>
                <a:t>1=𝑑(𝑎_𝑥 ) ̈+ 𝐴_𝑥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4</xdr:col>
      <xdr:colOff>3175</xdr:colOff>
      <xdr:row>7</xdr:row>
      <xdr:rowOff>22225</xdr:rowOff>
    </xdr:from>
    <xdr:ext cx="1608454" cy="260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F074AF7-B6CB-4A0A-B160-644F33CED883}"/>
                </a:ext>
              </a:extLst>
            </xdr:cNvPr>
            <xdr:cNvSpPr txBox="1"/>
          </xdr:nvSpPr>
          <xdr:spPr>
            <a:xfrm>
              <a:off x="7769225" y="1336675"/>
              <a:ext cx="1608454" cy="26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𝐼𝐴</m:t>
                        </m:r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b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28</m:t>
                        </m:r>
                      </m:sub>
                    </m:sSub>
                    <m:r>
                      <a:rPr lang="en-MY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28</m:t>
                        </m:r>
                      </m:sub>
                    </m:sSub>
                    <m:r>
                      <a:rPr lang="en-MY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100" b="0" i="1">
                        <a:latin typeface="Cambria Math" panose="02040503050406030204" pitchFamily="18" charset="0"/>
                      </a:rPr>
                      <m:t>𝑣</m:t>
                    </m:r>
                    <m:sSub>
                      <m:sSubPr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28</m:t>
                        </m:r>
                      </m:sub>
                    </m:sSub>
                    <m:sSub>
                      <m:sSubPr>
                        <m:ctrlPr>
                          <a:rPr lang="en-MY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𝐼𝐴</m:t>
                        </m:r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b>
                        <m:eqArr>
                          <m:eqArrPr>
                            <m:ctrlPr>
                              <a:rPr lang="en-MY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MY" sz="1100" b="0" i="1">
                                <a:latin typeface="Cambria Math" panose="02040503050406030204" pitchFamily="18" charset="0"/>
                              </a:rPr>
                              <m:t>29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F074AF7-B6CB-4A0A-B160-644F33CED883}"/>
                </a:ext>
              </a:extLst>
            </xdr:cNvPr>
            <xdr:cNvSpPr txBox="1"/>
          </xdr:nvSpPr>
          <xdr:spPr>
            <a:xfrm>
              <a:off x="7769225" y="1336675"/>
              <a:ext cx="1608454" cy="26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MY" sz="1100" b="0" i="0">
                  <a:latin typeface="Cambria Math" panose="02040503050406030204" pitchFamily="18" charset="0"/>
                </a:rPr>
                <a:t>(𝐼𝐴)〗_28=𝐴_28+𝑣𝑝_28 〖(𝐼𝐴)〗_█(29@)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5</xdr:col>
      <xdr:colOff>244475</xdr:colOff>
      <xdr:row>1</xdr:row>
      <xdr:rowOff>15875</xdr:rowOff>
    </xdr:from>
    <xdr:ext cx="149207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E955F-614D-47D2-A44C-9CC6EEED4A04}"/>
                </a:ext>
              </a:extLst>
            </xdr:cNvPr>
            <xdr:cNvSpPr txBox="1"/>
          </xdr:nvSpPr>
          <xdr:spPr>
            <a:xfrm>
              <a:off x="3521075" y="200025"/>
              <a:ext cx="149207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MY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E955F-614D-47D2-A44C-9CC6EEED4A04}"/>
                </a:ext>
              </a:extLst>
            </xdr:cNvPr>
            <xdr:cNvSpPr txBox="1"/>
          </xdr:nvSpPr>
          <xdr:spPr>
            <a:xfrm>
              <a:off x="3521075" y="200025"/>
              <a:ext cx="149207" cy="174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MY" sz="1100" b="0" i="0">
                  <a:latin typeface="Cambria Math" panose="02040503050406030204" pitchFamily="18" charset="0"/>
                </a:rPr>
                <a:t>𝑖^4</a:t>
              </a:r>
              <a:endParaRPr lang="en-MY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2"/>
  <sheetViews>
    <sheetView workbookViewId="0">
      <selection activeCell="N15" sqref="N15"/>
    </sheetView>
  </sheetViews>
  <sheetFormatPr defaultRowHeight="14.25" x14ac:dyDescent="0.45"/>
  <cols>
    <col min="8" max="8" width="12" customWidth="1"/>
    <col min="9" max="10" width="12.796875" customWidth="1"/>
    <col min="13" max="13" width="9.46484375" bestFit="1" customWidth="1"/>
  </cols>
  <sheetData>
    <row r="2" spans="2:17" x14ac:dyDescent="0.45">
      <c r="N2" s="9" t="s">
        <v>0</v>
      </c>
      <c r="O2" s="8">
        <v>60983</v>
      </c>
      <c r="P2" s="19" t="s">
        <v>1</v>
      </c>
    </row>
    <row r="3" spans="2:17" x14ac:dyDescent="0.45">
      <c r="N3" s="9" t="s">
        <v>2</v>
      </c>
      <c r="O3" s="11">
        <f>(RIGHT(O2,1)+1)/1000</f>
        <v>4.0000000000000001E-3</v>
      </c>
    </row>
    <row r="4" spans="2:17" x14ac:dyDescent="0.45">
      <c r="N4" s="9" t="s">
        <v>3</v>
      </c>
      <c r="O4" s="9" t="str">
        <f>RIGHT(O2,2)</f>
        <v>83</v>
      </c>
    </row>
    <row r="5" spans="2:17" x14ac:dyDescent="0.45">
      <c r="N5" s="9" t="s">
        <v>4</v>
      </c>
      <c r="O5" s="10">
        <f>ROUND(Q5+O4/7,0)</f>
        <v>72</v>
      </c>
      <c r="Q5">
        <v>60</v>
      </c>
    </row>
    <row r="6" spans="2:17" s="7" customFormat="1" ht="18" x14ac:dyDescent="0.6">
      <c r="B6" s="1" t="s">
        <v>5</v>
      </c>
      <c r="C6" s="1" t="s">
        <v>6</v>
      </c>
      <c r="D6" s="1" t="s">
        <v>7</v>
      </c>
      <c r="E6" s="1" t="s">
        <v>8</v>
      </c>
      <c r="F6" s="6" t="s">
        <v>9</v>
      </c>
      <c r="G6" s="1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24" t="s">
        <v>15</v>
      </c>
      <c r="M6" s="24" t="s">
        <v>16</v>
      </c>
      <c r="N6" s="25" t="s">
        <v>17</v>
      </c>
    </row>
    <row r="7" spans="2:17" x14ac:dyDescent="0.45">
      <c r="B7" s="2">
        <v>60</v>
      </c>
      <c r="C7" s="3">
        <v>8.0160000000000006E-3</v>
      </c>
      <c r="D7" s="4">
        <v>90975</v>
      </c>
      <c r="E7" s="4">
        <v>729</v>
      </c>
      <c r="F7" s="3">
        <v>7.6750000000000004E-3</v>
      </c>
      <c r="G7" s="5">
        <v>22.35</v>
      </c>
      <c r="H7" s="17">
        <f>D17/D7</f>
        <v>0.88266007144820002</v>
      </c>
      <c r="I7" s="17">
        <f>(L7-M7)/L7</f>
        <v>6.2078898140943929E-3</v>
      </c>
      <c r="J7" s="17">
        <f>1-((1-C7)^0.5*(1-C8)^0.25)</f>
        <v>6.2077296947316007E-3</v>
      </c>
      <c r="K7" s="17">
        <f>EXP(-0.5*N7)</f>
        <v>0.99561025421198901</v>
      </c>
      <c r="L7" s="23">
        <f>(D7+D8)/2</f>
        <v>90610.5</v>
      </c>
      <c r="M7" s="23">
        <f>0.75*D8+0.25*D9</f>
        <v>90048</v>
      </c>
      <c r="N7" s="20">
        <f>-LN(D10/D7)/3</f>
        <v>8.7988180236384245E-3</v>
      </c>
    </row>
    <row r="8" spans="2:17" x14ac:dyDescent="0.45">
      <c r="B8" s="2">
        <v>61</v>
      </c>
      <c r="C8" s="3">
        <v>8.7729999999999995E-3</v>
      </c>
      <c r="D8" s="4">
        <v>90246</v>
      </c>
      <c r="E8" s="4">
        <v>792</v>
      </c>
      <c r="F8" s="3">
        <v>8.43E-3</v>
      </c>
      <c r="G8" s="5">
        <v>21.52</v>
      </c>
      <c r="H8" s="17">
        <f t="shared" ref="H8:H21" si="0">D18/D8</f>
        <v>0.87138488132438008</v>
      </c>
      <c r="I8" s="17">
        <f t="shared" ref="I8:I21" si="1">(L8-M8)/L8</f>
        <v>6.7696160267111853E-3</v>
      </c>
      <c r="J8" s="17">
        <f t="shared" ref="J8:J21" si="2">1-((1-C8)^0.5*(1-C9)^0.25)</f>
        <v>6.7671874602520665E-3</v>
      </c>
      <c r="K8" s="17">
        <f t="shared" ref="K8:K21" si="3">EXP(-0.5*N8)</f>
        <v>0.99523422806861028</v>
      </c>
      <c r="L8" s="23">
        <f t="shared" ref="L8:L21" si="4">(D8+D9)/2</f>
        <v>89850</v>
      </c>
      <c r="M8" s="23">
        <f t="shared" ref="M8:M21" si="5">0.75*D9+0.25*D10</f>
        <v>89241.75</v>
      </c>
      <c r="N8" s="20">
        <f t="shared" ref="N8:N21" si="6">-LN(D11/D8)/3</f>
        <v>9.5543288657902372E-3</v>
      </c>
    </row>
    <row r="9" spans="2:17" x14ac:dyDescent="0.45">
      <c r="B9" s="2">
        <v>62</v>
      </c>
      <c r="C9" s="3">
        <v>9.4920000000000004E-3</v>
      </c>
      <c r="D9" s="4">
        <v>89454</v>
      </c>
      <c r="E9" s="4">
        <v>849</v>
      </c>
      <c r="F9" s="3">
        <v>9.1739999999999999E-3</v>
      </c>
      <c r="G9" s="5">
        <v>20.71</v>
      </c>
      <c r="H9" s="17">
        <f t="shared" si="0"/>
        <v>0.85900015650501937</v>
      </c>
      <c r="I9" s="17">
        <f t="shared" si="1"/>
        <v>7.3206072144626219E-3</v>
      </c>
      <c r="J9" s="17">
        <f t="shared" si="2"/>
        <v>7.3197438599447162E-3</v>
      </c>
      <c r="K9" s="17">
        <f t="shared" si="3"/>
        <v>0.99482473072973843</v>
      </c>
      <c r="L9" s="23">
        <f t="shared" si="4"/>
        <v>89029.5</v>
      </c>
      <c r="M9" s="23">
        <f t="shared" si="5"/>
        <v>88377.75</v>
      </c>
      <c r="N9" s="20">
        <f t="shared" si="6"/>
        <v>1.0377414720289413E-2</v>
      </c>
    </row>
    <row r="10" spans="2:17" x14ac:dyDescent="0.45">
      <c r="B10" s="2">
        <v>63</v>
      </c>
      <c r="C10" s="3">
        <v>1.0259000000000001E-2</v>
      </c>
      <c r="D10" s="4">
        <v>88605</v>
      </c>
      <c r="E10" s="4">
        <v>909</v>
      </c>
      <c r="F10" s="3">
        <v>9.9039999999999996E-3</v>
      </c>
      <c r="G10" s="5">
        <v>19.899999999999999</v>
      </c>
      <c r="H10" s="17">
        <f t="shared" si="0"/>
        <v>0.84548276056655947</v>
      </c>
      <c r="I10" s="17">
        <f t="shared" si="1"/>
        <v>7.9466367178858879E-3</v>
      </c>
      <c r="J10" s="17">
        <f t="shared" si="2"/>
        <v>7.9468730523123421E-3</v>
      </c>
      <c r="K10" s="17">
        <f t="shared" si="3"/>
        <v>0.99433568076986423</v>
      </c>
      <c r="L10" s="23">
        <f t="shared" si="4"/>
        <v>88150.5</v>
      </c>
      <c r="M10" s="23">
        <f t="shared" si="5"/>
        <v>87450</v>
      </c>
      <c r="N10" s="20">
        <f t="shared" si="6"/>
        <v>1.1360844647610746E-2</v>
      </c>
    </row>
    <row r="11" spans="2:17" x14ac:dyDescent="0.45">
      <c r="B11" s="2">
        <v>64</v>
      </c>
      <c r="C11" s="3">
        <v>1.1227000000000001E-2</v>
      </c>
      <c r="D11" s="4">
        <v>87696</v>
      </c>
      <c r="E11" s="4">
        <v>984</v>
      </c>
      <c r="F11" s="3">
        <v>1.0766E-2</v>
      </c>
      <c r="G11" s="5">
        <v>19.100000000000001</v>
      </c>
      <c r="H11" s="17">
        <f t="shared" si="0"/>
        <v>0.83076765188834156</v>
      </c>
      <c r="I11" s="17">
        <f t="shared" si="1"/>
        <v>8.7266639144993347E-3</v>
      </c>
      <c r="J11" s="17">
        <f t="shared" si="2"/>
        <v>8.7273359404969053E-3</v>
      </c>
      <c r="K11" s="17">
        <f t="shared" si="3"/>
        <v>0.99376302436373309</v>
      </c>
      <c r="L11" s="23">
        <f t="shared" si="4"/>
        <v>87204</v>
      </c>
      <c r="M11" s="23">
        <f t="shared" si="5"/>
        <v>86443</v>
      </c>
      <c r="N11" s="20">
        <f t="shared" si="6"/>
        <v>1.2513013643023039E-2</v>
      </c>
    </row>
    <row r="12" spans="2:17" x14ac:dyDescent="0.45">
      <c r="B12" s="2">
        <v>65</v>
      </c>
      <c r="C12" s="3">
        <v>1.2404E-2</v>
      </c>
      <c r="D12" s="4">
        <v>86712</v>
      </c>
      <c r="E12" s="4">
        <v>1076</v>
      </c>
      <c r="F12" s="3">
        <v>1.1861E-2</v>
      </c>
      <c r="G12" s="5">
        <v>18.32</v>
      </c>
      <c r="H12" s="17">
        <f t="shared" si="0"/>
        <v>0.81483531691115418</v>
      </c>
      <c r="I12" s="17">
        <f t="shared" si="1"/>
        <v>9.640378768538075E-3</v>
      </c>
      <c r="J12" s="17">
        <f t="shared" si="2"/>
        <v>9.6348902350170684E-3</v>
      </c>
      <c r="K12" s="17">
        <f t="shared" si="3"/>
        <v>0.99312888589223636</v>
      </c>
      <c r="L12" s="23">
        <f t="shared" si="4"/>
        <v>86174</v>
      </c>
      <c r="M12" s="23">
        <f t="shared" si="5"/>
        <v>85343.25</v>
      </c>
      <c r="N12" s="20">
        <f t="shared" si="6"/>
        <v>1.3789657812250939E-2</v>
      </c>
    </row>
    <row r="13" spans="2:17" x14ac:dyDescent="0.45">
      <c r="B13" s="2">
        <v>66</v>
      </c>
      <c r="C13" s="3">
        <v>1.3669000000000001E-2</v>
      </c>
      <c r="D13" s="4">
        <v>85636</v>
      </c>
      <c r="E13" s="4">
        <v>1171</v>
      </c>
      <c r="F13" s="3">
        <v>1.3109000000000001E-2</v>
      </c>
      <c r="G13" s="5">
        <v>17.54</v>
      </c>
      <c r="H13" s="17">
        <f t="shared" si="0"/>
        <v>0.79755009575412206</v>
      </c>
      <c r="I13" s="17">
        <f t="shared" si="1"/>
        <v>1.060840324277929E-2</v>
      </c>
      <c r="J13" s="17">
        <f t="shared" si="2"/>
        <v>1.0605441870583543E-2</v>
      </c>
      <c r="K13" s="17">
        <f t="shared" si="3"/>
        <v>0.99242538153010551</v>
      </c>
      <c r="L13" s="23">
        <f t="shared" si="4"/>
        <v>85050.5</v>
      </c>
      <c r="M13" s="23">
        <f t="shared" si="5"/>
        <v>84148.25</v>
      </c>
      <c r="N13" s="20">
        <f t="shared" si="6"/>
        <v>1.5206903169100739E-2</v>
      </c>
    </row>
    <row r="14" spans="2:17" x14ac:dyDescent="0.45">
      <c r="B14" s="2">
        <v>67</v>
      </c>
      <c r="C14" s="3">
        <v>1.5008000000000001E-2</v>
      </c>
      <c r="D14" s="4">
        <v>84465</v>
      </c>
      <c r="E14" s="4">
        <v>1267</v>
      </c>
      <c r="F14" s="3">
        <v>1.4416E-2</v>
      </c>
      <c r="G14" s="5">
        <v>16.78</v>
      </c>
      <c r="H14" s="17">
        <f t="shared" si="0"/>
        <v>0.778642041082105</v>
      </c>
      <c r="I14" s="17">
        <f t="shared" si="1"/>
        <v>1.1675205620798865E-2</v>
      </c>
      <c r="J14" s="17">
        <f t="shared" si="2"/>
        <v>1.1675743004755157E-2</v>
      </c>
      <c r="K14" s="17">
        <f t="shared" si="3"/>
        <v>0.99160747776719438</v>
      </c>
      <c r="L14" s="23">
        <f t="shared" si="4"/>
        <v>83831.5</v>
      </c>
      <c r="M14" s="23">
        <f t="shared" si="5"/>
        <v>82852.75</v>
      </c>
      <c r="N14" s="20">
        <f t="shared" si="6"/>
        <v>1.6855875473991856E-2</v>
      </c>
    </row>
    <row r="15" spans="2:17" x14ac:dyDescent="0.45">
      <c r="B15" s="2">
        <v>68</v>
      </c>
      <c r="C15" s="3">
        <v>1.6594999999999999E-2</v>
      </c>
      <c r="D15" s="4">
        <v>83198</v>
      </c>
      <c r="E15" s="4">
        <v>1381</v>
      </c>
      <c r="F15" s="3">
        <v>1.5876999999999999E-2</v>
      </c>
      <c r="G15" s="5">
        <v>16.02</v>
      </c>
      <c r="H15" s="17">
        <f t="shared" si="0"/>
        <v>0.75793889276184523</v>
      </c>
      <c r="I15" s="17">
        <f t="shared" si="1"/>
        <v>1.2965487985940672E-2</v>
      </c>
      <c r="J15" s="17">
        <f t="shared" si="2"/>
        <v>1.2960396645608441E-2</v>
      </c>
      <c r="K15" s="17">
        <f t="shared" si="3"/>
        <v>0.99065138102610606</v>
      </c>
      <c r="L15" s="23">
        <f t="shared" si="4"/>
        <v>82507.5</v>
      </c>
      <c r="M15" s="23">
        <f t="shared" si="5"/>
        <v>81437.75</v>
      </c>
      <c r="N15" s="20">
        <f t="shared" si="6"/>
        <v>1.8785183164536905E-2</v>
      </c>
    </row>
    <row r="16" spans="2:17" x14ac:dyDescent="0.45">
      <c r="B16" s="2">
        <v>69</v>
      </c>
      <c r="C16" s="3">
        <v>1.8537999999999999E-2</v>
      </c>
      <c r="D16" s="4">
        <v>81817</v>
      </c>
      <c r="E16" s="4">
        <v>1517</v>
      </c>
      <c r="F16" s="3">
        <v>1.7673999999999999E-2</v>
      </c>
      <c r="G16" s="5">
        <v>15.29</v>
      </c>
      <c r="H16" s="17">
        <f t="shared" si="0"/>
        <v>0.73543395626825725</v>
      </c>
      <c r="I16" s="17">
        <f t="shared" si="1"/>
        <v>1.4480282758748311E-2</v>
      </c>
      <c r="J16" s="17">
        <f t="shared" si="2"/>
        <v>1.4477188622186055E-2</v>
      </c>
      <c r="K16" s="17">
        <f t="shared" si="3"/>
        <v>0.98959671013252481</v>
      </c>
      <c r="L16" s="23">
        <f t="shared" si="4"/>
        <v>81058.5</v>
      </c>
      <c r="M16" s="23">
        <f t="shared" si="5"/>
        <v>79884.75</v>
      </c>
      <c r="N16" s="20">
        <f t="shared" si="6"/>
        <v>2.091556470210679E-2</v>
      </c>
    </row>
    <row r="17" spans="2:14" x14ac:dyDescent="0.45">
      <c r="B17" s="2">
        <v>70</v>
      </c>
      <c r="C17" s="3">
        <v>2.0691000000000001E-2</v>
      </c>
      <c r="D17" s="4">
        <v>80300</v>
      </c>
      <c r="E17" s="4">
        <v>1661</v>
      </c>
      <c r="F17" s="3">
        <v>1.9789000000000001E-2</v>
      </c>
      <c r="G17" s="5">
        <v>14.56</v>
      </c>
      <c r="H17" s="17">
        <f t="shared" si="0"/>
        <v>0.7110336239103362</v>
      </c>
      <c r="I17" s="17">
        <f t="shared" si="1"/>
        <v>1.6106808272356062E-2</v>
      </c>
      <c r="J17" s="17">
        <f t="shared" si="2"/>
        <v>1.6104281205104432E-2</v>
      </c>
      <c r="K17" s="17">
        <f t="shared" si="3"/>
        <v>0.98849521999138501</v>
      </c>
      <c r="L17" s="23">
        <f t="shared" si="4"/>
        <v>79469.5</v>
      </c>
      <c r="M17" s="23">
        <f t="shared" si="5"/>
        <v>78189.5</v>
      </c>
      <c r="N17" s="20">
        <f t="shared" si="6"/>
        <v>2.3142944002763271E-2</v>
      </c>
    </row>
    <row r="18" spans="2:14" x14ac:dyDescent="0.45">
      <c r="B18" s="2">
        <v>71</v>
      </c>
      <c r="C18" s="3">
        <v>2.2859999999999998E-2</v>
      </c>
      <c r="D18" s="4">
        <v>78639</v>
      </c>
      <c r="E18" s="4">
        <v>1798</v>
      </c>
      <c r="F18" s="3">
        <v>2.2009999999999998E-2</v>
      </c>
      <c r="G18" s="5">
        <v>13.86</v>
      </c>
      <c r="H18" s="17">
        <f t="shared" si="0"/>
        <v>0.68438052365874436</v>
      </c>
      <c r="I18" s="17">
        <f t="shared" si="1"/>
        <v>1.7761126833033186E-2</v>
      </c>
      <c r="J18" s="17">
        <f t="shared" si="2"/>
        <v>1.7753410608608244E-2</v>
      </c>
      <c r="K18" s="17">
        <f t="shared" si="3"/>
        <v>0.98734795285624466</v>
      </c>
      <c r="L18" s="23">
        <f t="shared" si="4"/>
        <v>77740</v>
      </c>
      <c r="M18" s="23">
        <f t="shared" si="5"/>
        <v>76359.25</v>
      </c>
      <c r="N18" s="20">
        <f t="shared" si="6"/>
        <v>2.5465531705755828E-2</v>
      </c>
    </row>
    <row r="19" spans="2:14" x14ac:dyDescent="0.45">
      <c r="B19" s="2">
        <v>72</v>
      </c>
      <c r="C19" s="3">
        <v>2.5080999999999999E-2</v>
      </c>
      <c r="D19" s="4">
        <v>76841</v>
      </c>
      <c r="E19" s="4">
        <v>1927</v>
      </c>
      <c r="F19" s="3">
        <v>2.4243000000000001E-2</v>
      </c>
      <c r="G19" s="5">
        <v>13.17</v>
      </c>
      <c r="H19" s="17">
        <f t="shared" si="0"/>
        <v>0.65518408141486961</v>
      </c>
      <c r="I19" s="17">
        <f t="shared" si="1"/>
        <v>1.9482059899179598E-2</v>
      </c>
      <c r="J19" s="17">
        <f t="shared" si="2"/>
        <v>1.947422555833378E-2</v>
      </c>
      <c r="K19" s="17">
        <f t="shared" si="3"/>
        <v>0.9861114613765517</v>
      </c>
      <c r="L19" s="23">
        <f t="shared" si="4"/>
        <v>75877.5</v>
      </c>
      <c r="M19" s="23">
        <f t="shared" si="5"/>
        <v>74399.25</v>
      </c>
      <c r="N19" s="20">
        <f t="shared" si="6"/>
        <v>2.7971773552092651E-2</v>
      </c>
    </row>
    <row r="20" spans="2:14" x14ac:dyDescent="0.45">
      <c r="B20" s="2">
        <v>73</v>
      </c>
      <c r="C20" s="3">
        <v>2.7479E-2</v>
      </c>
      <c r="D20" s="4">
        <v>74914</v>
      </c>
      <c r="E20" s="4">
        <v>2059</v>
      </c>
      <c r="F20" s="3">
        <v>2.6589999999999999E-2</v>
      </c>
      <c r="G20" s="5">
        <v>12.5</v>
      </c>
      <c r="H20" s="17">
        <f t="shared" si="0"/>
        <v>0.62340817470699739</v>
      </c>
      <c r="I20" s="17">
        <f t="shared" si="1"/>
        <v>2.1374577888461043E-2</v>
      </c>
      <c r="J20" s="17">
        <f t="shared" si="2"/>
        <v>2.136482252165639E-2</v>
      </c>
      <c r="K20" s="17">
        <f t="shared" si="3"/>
        <v>0.98471047933277711</v>
      </c>
      <c r="L20" s="23">
        <f t="shared" si="4"/>
        <v>73884.5</v>
      </c>
      <c r="M20" s="23">
        <f t="shared" si="5"/>
        <v>72305.25</v>
      </c>
      <c r="N20" s="20">
        <f t="shared" si="6"/>
        <v>3.0815221254433312E-2</v>
      </c>
    </row>
    <row r="21" spans="2:14" x14ac:dyDescent="0.45">
      <c r="B21" s="2">
        <v>74</v>
      </c>
      <c r="C21" s="3">
        <v>3.0193000000000001E-2</v>
      </c>
      <c r="D21" s="4">
        <v>72855</v>
      </c>
      <c r="E21" s="4">
        <v>2199</v>
      </c>
      <c r="F21" s="3">
        <v>2.9194000000000001E-2</v>
      </c>
      <c r="G21" s="5">
        <v>11.84</v>
      </c>
      <c r="H21" s="17">
        <f t="shared" si="0"/>
        <v>0.58917026971381514</v>
      </c>
      <c r="I21" s="17">
        <f t="shared" si="1"/>
        <v>2.3534781305962611E-2</v>
      </c>
      <c r="J21" s="17">
        <f t="shared" si="2"/>
        <v>2.3530633626625885E-2</v>
      </c>
      <c r="K21" s="17">
        <f t="shared" si="3"/>
        <v>0.98308834067347173</v>
      </c>
      <c r="L21" s="23">
        <f t="shared" si="4"/>
        <v>71755.5</v>
      </c>
      <c r="M21" s="23">
        <f t="shared" si="5"/>
        <v>70066.75</v>
      </c>
      <c r="N21" s="20">
        <f t="shared" si="6"/>
        <v>3.4112588871995177E-2</v>
      </c>
    </row>
    <row r="22" spans="2:14" x14ac:dyDescent="0.45">
      <c r="B22" s="2">
        <v>75</v>
      </c>
      <c r="C22" s="3">
        <v>3.3362000000000003E-2</v>
      </c>
      <c r="D22" s="4">
        <v>70656</v>
      </c>
      <c r="E22" s="4">
        <v>2357</v>
      </c>
      <c r="F22" s="3">
        <v>3.2210000000000003E-2</v>
      </c>
      <c r="G22" s="5">
        <v>11.19</v>
      </c>
    </row>
    <row r="23" spans="2:14" x14ac:dyDescent="0.45">
      <c r="B23" s="2">
        <v>76</v>
      </c>
      <c r="C23" s="3">
        <v>3.7052000000000002E-2</v>
      </c>
      <c r="D23" s="4">
        <v>68299</v>
      </c>
      <c r="E23" s="4">
        <v>2531</v>
      </c>
      <c r="F23" s="3">
        <v>3.5756999999999997E-2</v>
      </c>
      <c r="G23" s="5">
        <v>10.56</v>
      </c>
    </row>
    <row r="24" spans="2:14" x14ac:dyDescent="0.45">
      <c r="B24" s="2">
        <v>77</v>
      </c>
      <c r="C24" s="3">
        <v>4.1194000000000001E-2</v>
      </c>
      <c r="D24" s="4">
        <v>65768</v>
      </c>
      <c r="E24" s="4">
        <v>2709</v>
      </c>
      <c r="F24" s="3">
        <v>3.9829999999999997E-2</v>
      </c>
      <c r="G24" s="5">
        <v>9.9499999999999993</v>
      </c>
    </row>
    <row r="25" spans="2:14" x14ac:dyDescent="0.45">
      <c r="B25" s="2">
        <v>78</v>
      </c>
      <c r="C25" s="3">
        <v>4.5786E-2</v>
      </c>
      <c r="D25" s="4">
        <v>63059</v>
      </c>
      <c r="E25" s="4">
        <v>2888</v>
      </c>
      <c r="F25" s="3">
        <v>4.4363E-2</v>
      </c>
      <c r="G25" s="5">
        <v>9.35</v>
      </c>
    </row>
    <row r="26" spans="2:14" x14ac:dyDescent="0.45">
      <c r="B26" s="2">
        <v>79</v>
      </c>
      <c r="C26" s="3">
        <v>5.1111999999999998E-2</v>
      </c>
      <c r="D26" s="4">
        <v>60171</v>
      </c>
      <c r="E26" s="4">
        <v>3075</v>
      </c>
      <c r="F26" s="3">
        <v>4.9514000000000002E-2</v>
      </c>
      <c r="G26" s="5">
        <v>8.7799999999999994</v>
      </c>
    </row>
    <row r="27" spans="2:14" x14ac:dyDescent="0.45">
      <c r="B27" s="2">
        <v>80</v>
      </c>
      <c r="C27" s="3">
        <v>5.7401000000000001E-2</v>
      </c>
      <c r="D27" s="4">
        <v>57096</v>
      </c>
      <c r="E27" s="4">
        <v>3277</v>
      </c>
      <c r="F27" s="3">
        <v>5.5620999999999997E-2</v>
      </c>
      <c r="G27" s="5">
        <v>8.2200000000000006</v>
      </c>
    </row>
    <row r="28" spans="2:14" x14ac:dyDescent="0.45">
      <c r="B28" s="2">
        <v>81</v>
      </c>
      <c r="C28" s="3">
        <v>6.4549999999999996E-2</v>
      </c>
      <c r="D28" s="4">
        <v>53819</v>
      </c>
      <c r="E28" s="4">
        <v>3474</v>
      </c>
      <c r="F28" s="3">
        <v>6.2773999999999996E-2</v>
      </c>
      <c r="G28" s="5">
        <v>7.69</v>
      </c>
    </row>
    <row r="29" spans="2:14" x14ac:dyDescent="0.45">
      <c r="B29" s="2">
        <v>82</v>
      </c>
      <c r="C29" s="3">
        <v>7.2362999999999997E-2</v>
      </c>
      <c r="D29" s="4">
        <v>50345</v>
      </c>
      <c r="E29" s="4">
        <v>3643</v>
      </c>
      <c r="F29" s="3">
        <v>7.0787000000000003E-2</v>
      </c>
      <c r="G29" s="5">
        <v>7.19</v>
      </c>
    </row>
    <row r="30" spans="2:14" x14ac:dyDescent="0.45">
      <c r="B30" s="2">
        <v>83</v>
      </c>
      <c r="C30" s="3">
        <v>8.0889000000000003E-2</v>
      </c>
      <c r="D30" s="4">
        <v>46702</v>
      </c>
      <c r="E30" s="4">
        <v>3778</v>
      </c>
      <c r="F30" s="3">
        <v>7.9575999999999994E-2</v>
      </c>
      <c r="G30" s="5">
        <v>6.71</v>
      </c>
    </row>
    <row r="31" spans="2:14" x14ac:dyDescent="0.45">
      <c r="B31" s="2">
        <v>84</v>
      </c>
      <c r="C31" s="3">
        <v>9.0288999999999994E-2</v>
      </c>
      <c r="D31" s="4">
        <v>42924</v>
      </c>
      <c r="E31" s="4">
        <v>3876</v>
      </c>
      <c r="F31" s="3">
        <v>8.9302000000000006E-2</v>
      </c>
      <c r="G31" s="5">
        <v>6.26</v>
      </c>
    </row>
    <row r="32" spans="2:14" x14ac:dyDescent="0.45">
      <c r="B32" s="2">
        <v>85</v>
      </c>
      <c r="C32" s="3">
        <v>0.100675</v>
      </c>
      <c r="D32" s="4">
        <v>39048</v>
      </c>
      <c r="E32" s="4">
        <v>3931</v>
      </c>
      <c r="F32" s="3">
        <v>0.100159</v>
      </c>
      <c r="G32" s="5">
        <v>5.83</v>
      </c>
    </row>
  </sheetData>
  <conditionalFormatting sqref="B7:B21">
    <cfRule type="cellIs" dxfId="1" priority="1" operator="equal">
      <formula>$O$5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2"/>
  <sheetViews>
    <sheetView tabSelected="1" workbookViewId="0">
      <selection activeCell="I15" sqref="I15"/>
    </sheetView>
  </sheetViews>
  <sheetFormatPr defaultColWidth="9.19921875" defaultRowHeight="14.25" x14ac:dyDescent="0.45"/>
  <cols>
    <col min="9" max="9" width="10.19921875" bestFit="1" customWidth="1"/>
    <col min="10" max="10" width="9.19921875" bestFit="1" customWidth="1"/>
    <col min="16" max="16" width="11.19921875" bestFit="1" customWidth="1"/>
  </cols>
  <sheetData>
    <row r="2" spans="2:16" x14ac:dyDescent="0.45">
      <c r="J2" s="9" t="s">
        <v>0</v>
      </c>
      <c r="K2" s="10">
        <f>'Q3'!O2</f>
        <v>60983</v>
      </c>
      <c r="N2" t="s">
        <v>18</v>
      </c>
      <c r="O2">
        <v>0.8</v>
      </c>
    </row>
    <row r="3" spans="2:16" x14ac:dyDescent="0.45">
      <c r="J3" s="9" t="s">
        <v>2</v>
      </c>
      <c r="K3" s="12">
        <f>'Q3'!O3</f>
        <v>4.0000000000000001E-3</v>
      </c>
    </row>
    <row r="4" spans="2:16" x14ac:dyDescent="0.45">
      <c r="J4" s="9" t="s">
        <v>3</v>
      </c>
      <c r="K4" s="9" t="str">
        <f>'Q3'!O4</f>
        <v>83</v>
      </c>
      <c r="N4" t="s">
        <v>19</v>
      </c>
      <c r="O4" s="22">
        <v>1.04</v>
      </c>
    </row>
    <row r="5" spans="2:16" x14ac:dyDescent="0.45">
      <c r="H5" t="s">
        <v>20</v>
      </c>
      <c r="J5" s="9" t="s">
        <v>4</v>
      </c>
      <c r="K5" s="9">
        <f>'Q3'!O5</f>
        <v>72</v>
      </c>
      <c r="O5" s="2">
        <v>82</v>
      </c>
      <c r="P5" t="s">
        <v>21</v>
      </c>
    </row>
    <row r="6" spans="2:16" s="7" customFormat="1" ht="18" x14ac:dyDescent="0.6">
      <c r="B6" s="1" t="s">
        <v>5</v>
      </c>
      <c r="C6" s="1" t="s">
        <v>6</v>
      </c>
      <c r="D6" s="1" t="s">
        <v>7</v>
      </c>
      <c r="E6" s="1" t="s">
        <v>8</v>
      </c>
      <c r="F6" s="6" t="s">
        <v>9</v>
      </c>
      <c r="G6" s="1" t="s">
        <v>10</v>
      </c>
      <c r="H6" s="27" t="s">
        <v>22</v>
      </c>
      <c r="I6" s="7" t="s">
        <v>23</v>
      </c>
      <c r="K6" s="26"/>
      <c r="M6" s="26" t="s">
        <v>24</v>
      </c>
      <c r="O6" s="32">
        <f>SUM(O9:O11)</f>
        <v>0.20740108996671258</v>
      </c>
      <c r="P6" s="28">
        <f>K$2*O6</f>
        <v>12647.940669440033</v>
      </c>
    </row>
    <row r="7" spans="2:16" x14ac:dyDescent="0.45">
      <c r="B7" s="2">
        <v>60</v>
      </c>
      <c r="C7" s="3">
        <v>8.0160000000000006E-3</v>
      </c>
      <c r="D7" s="4">
        <v>90975</v>
      </c>
      <c r="E7" s="4">
        <v>729</v>
      </c>
      <c r="F7" s="3">
        <v>7.6750000000000004E-3</v>
      </c>
      <c r="G7" s="5">
        <v>22.35</v>
      </c>
      <c r="H7">
        <f>1/$O$4^($O$5-B7)</f>
        <v>0.42195538665060278</v>
      </c>
      <c r="I7" s="18">
        <f>$D$29/D7*H7*(P$6+P$7)</f>
        <v>10808.313477378428</v>
      </c>
      <c r="M7" t="s">
        <v>25</v>
      </c>
      <c r="O7">
        <f>O2*D32/D29*(O4^-3)</f>
        <v>0.55161036549221387</v>
      </c>
      <c r="P7" s="28">
        <f>K$2*O7</f>
        <v>33638.854918811681</v>
      </c>
    </row>
    <row r="8" spans="2:16" ht="15.75" x14ac:dyDescent="0.45">
      <c r="B8" s="2">
        <v>61</v>
      </c>
      <c r="C8" s="3">
        <v>8.7729999999999995E-3</v>
      </c>
      <c r="D8" s="4">
        <v>90246</v>
      </c>
      <c r="E8" s="4">
        <v>792</v>
      </c>
      <c r="F8" s="3">
        <v>8.43E-3</v>
      </c>
      <c r="G8" s="5">
        <v>21.52</v>
      </c>
      <c r="H8">
        <f t="shared" ref="H8:H21" si="0">1/$O$4^($O$5-B8)</f>
        <v>0.43883360211662686</v>
      </c>
      <c r="I8" s="18">
        <f t="shared" ref="I8:I21" si="1">$D$29/D8*H8*(P$6+P$7)</f>
        <v>11331.447059688877</v>
      </c>
      <c r="L8" s="29" t="s">
        <v>26</v>
      </c>
      <c r="M8" s="30" t="s">
        <v>27</v>
      </c>
      <c r="N8" s="29" t="s">
        <v>28</v>
      </c>
      <c r="O8" s="31" t="s">
        <v>29</v>
      </c>
    </row>
    <row r="9" spans="2:16" x14ac:dyDescent="0.45">
      <c r="B9" s="2">
        <v>62</v>
      </c>
      <c r="C9" s="3">
        <v>9.4920000000000004E-3</v>
      </c>
      <c r="D9" s="4">
        <v>89454</v>
      </c>
      <c r="E9" s="4">
        <v>849</v>
      </c>
      <c r="F9" s="3">
        <v>9.1739999999999999E-3</v>
      </c>
      <c r="G9" s="5">
        <v>20.71</v>
      </c>
      <c r="H9">
        <f t="shared" si="0"/>
        <v>0.45638694620129205</v>
      </c>
      <c r="I9" s="18">
        <f t="shared" si="1"/>
        <v>11889.043331797684</v>
      </c>
      <c r="L9">
        <v>0</v>
      </c>
      <c r="M9">
        <f>1/$O$4^(L9+1)</f>
        <v>0.96153846153846145</v>
      </c>
      <c r="N9">
        <f>(D29-D30)/D$29</f>
        <v>7.2360711093455155E-2</v>
      </c>
      <c r="O9">
        <f>M9*N9</f>
        <v>6.9577606820629953E-2</v>
      </c>
    </row>
    <row r="10" spans="2:16" x14ac:dyDescent="0.45">
      <c r="B10" s="2">
        <v>63</v>
      </c>
      <c r="C10" s="3">
        <v>1.0259000000000001E-2</v>
      </c>
      <c r="D10" s="4">
        <v>88605</v>
      </c>
      <c r="E10" s="4">
        <v>909</v>
      </c>
      <c r="F10" s="3">
        <v>9.9039999999999996E-3</v>
      </c>
      <c r="G10" s="5">
        <v>19.899999999999999</v>
      </c>
      <c r="H10">
        <f t="shared" si="0"/>
        <v>0.47464242404934376</v>
      </c>
      <c r="I10" s="18">
        <f t="shared" si="1"/>
        <v>12483.080881335538</v>
      </c>
      <c r="L10">
        <v>1</v>
      </c>
      <c r="M10">
        <f t="shared" ref="M10:M11" si="2">1/$O$4^(L10+1)</f>
        <v>0.92455621301775137</v>
      </c>
      <c r="N10">
        <f t="shared" ref="N10:N11" si="3">(D30-D31)/D$29</f>
        <v>7.504220875955904E-2</v>
      </c>
      <c r="O10">
        <f t="shared" ref="O10:O11" si="4">M10*N10</f>
        <v>6.9380740347225439E-2</v>
      </c>
    </row>
    <row r="11" spans="2:16" x14ac:dyDescent="0.45">
      <c r="B11" s="2">
        <v>64</v>
      </c>
      <c r="C11" s="3">
        <v>1.1227000000000001E-2</v>
      </c>
      <c r="D11" s="4">
        <v>87696</v>
      </c>
      <c r="E11" s="4">
        <v>984</v>
      </c>
      <c r="F11" s="3">
        <v>1.0766E-2</v>
      </c>
      <c r="G11" s="5">
        <v>19.100000000000001</v>
      </c>
      <c r="H11">
        <f t="shared" si="0"/>
        <v>0.49362812101131748</v>
      </c>
      <c r="I11" s="18">
        <f t="shared" si="1"/>
        <v>13116.971318536362</v>
      </c>
      <c r="L11">
        <v>2</v>
      </c>
      <c r="M11">
        <f t="shared" si="2"/>
        <v>0.88899635867091487</v>
      </c>
      <c r="N11">
        <f t="shared" si="3"/>
        <v>7.6988777435693712E-2</v>
      </c>
      <c r="O11">
        <f t="shared" si="4"/>
        <v>6.8442742798857203E-2</v>
      </c>
    </row>
    <row r="12" spans="2:16" x14ac:dyDescent="0.45">
      <c r="B12" s="2">
        <v>65</v>
      </c>
      <c r="C12" s="3">
        <v>1.2404E-2</v>
      </c>
      <c r="D12" s="4">
        <v>86712</v>
      </c>
      <c r="E12" s="4">
        <v>1076</v>
      </c>
      <c r="F12" s="3">
        <v>1.1861E-2</v>
      </c>
      <c r="G12" s="5">
        <v>18.32</v>
      </c>
      <c r="H12">
        <f t="shared" si="0"/>
        <v>0.51337324585177024</v>
      </c>
      <c r="I12" s="18">
        <f t="shared" si="1"/>
        <v>13796.454394090544</v>
      </c>
    </row>
    <row r="13" spans="2:16" x14ac:dyDescent="0.45">
      <c r="B13" s="2">
        <v>66</v>
      </c>
      <c r="C13" s="3">
        <v>1.3669000000000001E-2</v>
      </c>
      <c r="D13" s="4">
        <v>85636</v>
      </c>
      <c r="E13" s="4">
        <v>1171</v>
      </c>
      <c r="F13" s="3">
        <v>1.3109000000000001E-2</v>
      </c>
      <c r="G13" s="5">
        <v>17.54</v>
      </c>
      <c r="H13">
        <f t="shared" si="0"/>
        <v>0.53390817568584104</v>
      </c>
      <c r="I13" s="18">
        <f t="shared" si="1"/>
        <v>14528.596379527235</v>
      </c>
    </row>
    <row r="14" spans="2:16" x14ac:dyDescent="0.45">
      <c r="B14" s="2">
        <v>67</v>
      </c>
      <c r="C14" s="3">
        <v>1.5008000000000001E-2</v>
      </c>
      <c r="D14" s="4">
        <v>84465</v>
      </c>
      <c r="E14" s="4">
        <v>1267</v>
      </c>
      <c r="F14" s="3">
        <v>1.4416E-2</v>
      </c>
      <c r="G14" s="5">
        <v>16.78</v>
      </c>
      <c r="H14">
        <f t="shared" si="0"/>
        <v>0.55526450271327477</v>
      </c>
      <c r="I14" s="18">
        <f t="shared" si="1"/>
        <v>15319.217601840792</v>
      </c>
    </row>
    <row r="15" spans="2:16" x14ac:dyDescent="0.45">
      <c r="B15" s="2">
        <v>68</v>
      </c>
      <c r="C15" s="3">
        <v>1.6594999999999999E-2</v>
      </c>
      <c r="D15" s="4">
        <v>83198</v>
      </c>
      <c r="E15" s="4">
        <v>1381</v>
      </c>
      <c r="F15" s="3">
        <v>1.5876999999999999E-2</v>
      </c>
      <c r="G15" s="5">
        <v>16.02</v>
      </c>
      <c r="H15">
        <f t="shared" si="0"/>
        <v>0.57747508282180582</v>
      </c>
      <c r="I15" s="18">
        <f t="shared" si="1"/>
        <v>16174.610246989854</v>
      </c>
    </row>
    <row r="16" spans="2:16" x14ac:dyDescent="0.45">
      <c r="B16" s="2">
        <v>69</v>
      </c>
      <c r="C16" s="3">
        <v>1.8537999999999999E-2</v>
      </c>
      <c r="D16" s="4">
        <v>81817</v>
      </c>
      <c r="E16" s="4">
        <v>1517</v>
      </c>
      <c r="F16" s="3">
        <v>1.7673999999999999E-2</v>
      </c>
      <c r="G16" s="5">
        <v>15.29</v>
      </c>
      <c r="H16">
        <f t="shared" si="0"/>
        <v>0.600574086134678</v>
      </c>
      <c r="I16" s="18">
        <f t="shared" si="1"/>
        <v>17105.52858528453</v>
      </c>
    </row>
    <row r="17" spans="2:9" x14ac:dyDescent="0.45">
      <c r="B17" s="2">
        <v>70</v>
      </c>
      <c r="C17" s="3">
        <v>2.0691000000000001E-2</v>
      </c>
      <c r="D17" s="4">
        <v>80300</v>
      </c>
      <c r="E17" s="4">
        <v>1661</v>
      </c>
      <c r="F17" s="3">
        <v>1.9789000000000001E-2</v>
      </c>
      <c r="G17" s="5">
        <v>14.56</v>
      </c>
      <c r="H17">
        <f t="shared" si="0"/>
        <v>0.62459704958006512</v>
      </c>
      <c r="I17" s="18">
        <f t="shared" si="1"/>
        <v>18125.827566036281</v>
      </c>
    </row>
    <row r="18" spans="2:9" x14ac:dyDescent="0.45">
      <c r="B18" s="2">
        <v>71</v>
      </c>
      <c r="C18" s="3">
        <v>2.2859999999999998E-2</v>
      </c>
      <c r="D18" s="4">
        <v>78639</v>
      </c>
      <c r="E18" s="4">
        <v>1798</v>
      </c>
      <c r="F18" s="3">
        <v>2.2009999999999998E-2</v>
      </c>
      <c r="G18" s="5">
        <v>13.86</v>
      </c>
      <c r="H18">
        <f t="shared" si="0"/>
        <v>0.6495809315632679</v>
      </c>
      <c r="I18" s="18">
        <f t="shared" si="1"/>
        <v>19249.025441508948</v>
      </c>
    </row>
    <row r="19" spans="2:9" x14ac:dyDescent="0.45">
      <c r="B19" s="2">
        <v>72</v>
      </c>
      <c r="C19" s="3">
        <v>2.5080999999999999E-2</v>
      </c>
      <c r="D19" s="4">
        <v>76841</v>
      </c>
      <c r="E19" s="4">
        <v>1927</v>
      </c>
      <c r="F19" s="3">
        <v>2.4243000000000001E-2</v>
      </c>
      <c r="G19" s="5">
        <v>13.17</v>
      </c>
      <c r="H19">
        <f t="shared" si="0"/>
        <v>0.67556416882579851</v>
      </c>
      <c r="I19" s="18">
        <f t="shared" si="1"/>
        <v>20487.410056644429</v>
      </c>
    </row>
    <row r="20" spans="2:9" x14ac:dyDescent="0.45">
      <c r="B20" s="2">
        <v>73</v>
      </c>
      <c r="C20" s="3">
        <v>2.7479E-2</v>
      </c>
      <c r="D20" s="4">
        <v>74914</v>
      </c>
      <c r="E20" s="4">
        <v>2059</v>
      </c>
      <c r="F20" s="3">
        <v>2.6589999999999999E-2</v>
      </c>
      <c r="G20" s="5">
        <v>12.5</v>
      </c>
      <c r="H20">
        <f t="shared" si="0"/>
        <v>0.70258673557883045</v>
      </c>
      <c r="I20" s="18">
        <f t="shared" si="1"/>
        <v>21854.980366942353</v>
      </c>
    </row>
    <row r="21" spans="2:9" x14ac:dyDescent="0.45">
      <c r="B21" s="2">
        <v>74</v>
      </c>
      <c r="C21" s="3">
        <v>3.0193000000000001E-2</v>
      </c>
      <c r="D21" s="4">
        <v>72855</v>
      </c>
      <c r="E21" s="4">
        <v>2199</v>
      </c>
      <c r="F21" s="3">
        <v>2.9194000000000001E-2</v>
      </c>
      <c r="G21" s="5">
        <v>11.84</v>
      </c>
      <c r="H21">
        <f t="shared" si="0"/>
        <v>0.73069020500198378</v>
      </c>
      <c r="I21" s="18">
        <f t="shared" si="1"/>
        <v>23371.54291644341</v>
      </c>
    </row>
    <row r="22" spans="2:9" x14ac:dyDescent="0.45">
      <c r="B22" s="2">
        <v>75</v>
      </c>
      <c r="C22" s="3">
        <v>3.3362000000000003E-2</v>
      </c>
      <c r="D22" s="4">
        <v>70656</v>
      </c>
      <c r="E22" s="4">
        <v>2357</v>
      </c>
      <c r="F22" s="3">
        <v>3.2210000000000003E-2</v>
      </c>
      <c r="G22" s="5">
        <v>11.19</v>
      </c>
    </row>
    <row r="23" spans="2:9" x14ac:dyDescent="0.45">
      <c r="B23" s="2">
        <v>76</v>
      </c>
      <c r="C23" s="3">
        <v>3.7052000000000002E-2</v>
      </c>
      <c r="D23" s="4">
        <v>68299</v>
      </c>
      <c r="E23" s="4">
        <v>2531</v>
      </c>
      <c r="F23" s="3">
        <v>3.5756999999999997E-2</v>
      </c>
      <c r="G23" s="5">
        <v>10.56</v>
      </c>
    </row>
    <row r="24" spans="2:9" x14ac:dyDescent="0.45">
      <c r="B24" s="2">
        <v>77</v>
      </c>
      <c r="C24" s="3">
        <v>4.1194000000000001E-2</v>
      </c>
      <c r="D24" s="4">
        <v>65768</v>
      </c>
      <c r="E24" s="4">
        <v>2709</v>
      </c>
      <c r="F24" s="3">
        <v>3.9829999999999997E-2</v>
      </c>
      <c r="G24" s="5">
        <v>9.9499999999999993</v>
      </c>
    </row>
    <row r="25" spans="2:9" x14ac:dyDescent="0.45">
      <c r="B25" s="2">
        <v>78</v>
      </c>
      <c r="C25" s="3">
        <v>4.5786E-2</v>
      </c>
      <c r="D25" s="4">
        <v>63059</v>
      </c>
      <c r="E25" s="4">
        <v>2888</v>
      </c>
      <c r="F25" s="3">
        <v>4.4363E-2</v>
      </c>
      <c r="G25" s="5">
        <v>9.35</v>
      </c>
    </row>
    <row r="26" spans="2:9" x14ac:dyDescent="0.45">
      <c r="B26" s="2">
        <v>79</v>
      </c>
      <c r="C26" s="3">
        <v>5.1111999999999998E-2</v>
      </c>
      <c r="D26" s="4">
        <v>60171</v>
      </c>
      <c r="E26" s="4">
        <v>3075</v>
      </c>
      <c r="F26" s="3">
        <v>4.9514000000000002E-2</v>
      </c>
      <c r="G26" s="5">
        <v>8.7799999999999994</v>
      </c>
    </row>
    <row r="27" spans="2:9" x14ac:dyDescent="0.45">
      <c r="B27" s="2">
        <v>80</v>
      </c>
      <c r="C27" s="3">
        <v>5.7401000000000001E-2</v>
      </c>
      <c r="D27" s="4">
        <v>57096</v>
      </c>
      <c r="E27" s="4">
        <v>3277</v>
      </c>
      <c r="F27" s="3">
        <v>5.5620999999999997E-2</v>
      </c>
      <c r="G27" s="5">
        <v>8.2200000000000006</v>
      </c>
    </row>
    <row r="28" spans="2:9" x14ac:dyDescent="0.45">
      <c r="B28" s="2">
        <v>81</v>
      </c>
      <c r="C28" s="3">
        <v>6.4549999999999996E-2</v>
      </c>
      <c r="D28" s="4">
        <v>53819</v>
      </c>
      <c r="E28" s="4">
        <v>3474</v>
      </c>
      <c r="F28" s="3">
        <v>6.2773999999999996E-2</v>
      </c>
      <c r="G28" s="5">
        <v>7.69</v>
      </c>
    </row>
    <row r="29" spans="2:9" x14ac:dyDescent="0.45">
      <c r="B29" s="2">
        <v>82</v>
      </c>
      <c r="C29" s="3">
        <v>7.2362999999999997E-2</v>
      </c>
      <c r="D29" s="4">
        <v>50345</v>
      </c>
      <c r="E29" s="4">
        <v>3643</v>
      </c>
      <c r="F29" s="3">
        <v>7.0787000000000003E-2</v>
      </c>
      <c r="G29" s="5">
        <v>7.19</v>
      </c>
    </row>
    <row r="30" spans="2:9" x14ac:dyDescent="0.45">
      <c r="B30" s="2">
        <v>83</v>
      </c>
      <c r="C30" s="3">
        <v>8.0889000000000003E-2</v>
      </c>
      <c r="D30" s="4">
        <v>46702</v>
      </c>
      <c r="E30" s="4">
        <v>3778</v>
      </c>
      <c r="F30" s="3">
        <v>7.9575999999999994E-2</v>
      </c>
      <c r="G30" s="5">
        <v>6.71</v>
      </c>
    </row>
    <row r="31" spans="2:9" x14ac:dyDescent="0.45">
      <c r="B31" s="2">
        <v>84</v>
      </c>
      <c r="C31" s="3">
        <v>9.0288999999999994E-2</v>
      </c>
      <c r="D31" s="4">
        <v>42924</v>
      </c>
      <c r="E31" s="4">
        <v>3876</v>
      </c>
      <c r="F31" s="3">
        <v>8.9302000000000006E-2</v>
      </c>
      <c r="G31" s="5">
        <v>6.26</v>
      </c>
    </row>
    <row r="32" spans="2:9" x14ac:dyDescent="0.45">
      <c r="B32" s="2">
        <v>85</v>
      </c>
      <c r="C32" s="3">
        <v>0.100675</v>
      </c>
      <c r="D32" s="4">
        <v>39048</v>
      </c>
      <c r="E32" s="4">
        <v>3931</v>
      </c>
      <c r="F32" s="3">
        <v>0.100159</v>
      </c>
      <c r="G32" s="5">
        <v>5.83</v>
      </c>
    </row>
  </sheetData>
  <conditionalFormatting sqref="B7:B21">
    <cfRule type="cellIs" dxfId="0" priority="1" operator="equal">
      <formula>$K$5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1"/>
  <sheetViews>
    <sheetView workbookViewId="0">
      <selection activeCell="J15" sqref="J15"/>
    </sheetView>
  </sheetViews>
  <sheetFormatPr defaultColWidth="9.19921875" defaultRowHeight="14.25" x14ac:dyDescent="0.45"/>
  <cols>
    <col min="1" max="1" width="10.19921875" bestFit="1" customWidth="1"/>
  </cols>
  <sheetData>
    <row r="2" spans="1:7" x14ac:dyDescent="0.45">
      <c r="B2" s="9" t="s">
        <v>0</v>
      </c>
      <c r="C2" s="10">
        <f>'Q3'!O2</f>
        <v>60983</v>
      </c>
      <c r="G2" s="39">
        <f>0.04+C3</f>
        <v>4.3999999999999997E-2</v>
      </c>
    </row>
    <row r="3" spans="1:7" x14ac:dyDescent="0.45">
      <c r="A3" t="s">
        <v>30</v>
      </c>
      <c r="B3" s="9" t="s">
        <v>2</v>
      </c>
      <c r="C3" s="37">
        <f>'Q3'!O3</f>
        <v>4.0000000000000001E-3</v>
      </c>
      <c r="F3" t="s">
        <v>31</v>
      </c>
      <c r="G3">
        <f>1/(1+G4)</f>
        <v>0.95718388356265172</v>
      </c>
    </row>
    <row r="4" spans="1:7" x14ac:dyDescent="0.45">
      <c r="B4" s="9" t="s">
        <v>3</v>
      </c>
      <c r="C4" s="9" t="str">
        <f>'Q3'!O4</f>
        <v>83</v>
      </c>
      <c r="F4" t="s">
        <v>32</v>
      </c>
      <c r="G4" s="14">
        <f>((1+G2/4)^4)-1</f>
        <v>4.4731338640999763E-2</v>
      </c>
    </row>
    <row r="5" spans="1:7" x14ac:dyDescent="0.45">
      <c r="B5" s="9" t="s">
        <v>4</v>
      </c>
      <c r="C5" s="9">
        <f>'Q3'!O5</f>
        <v>72</v>
      </c>
      <c r="F5" t="s">
        <v>33</v>
      </c>
      <c r="G5">
        <f>G4/(1+G4)</f>
        <v>4.2816116437348263E-2</v>
      </c>
    </row>
    <row r="6" spans="1:7" s="7" customFormat="1" x14ac:dyDescent="0.45">
      <c r="G6" s="13"/>
    </row>
    <row r="7" spans="1:7" x14ac:dyDescent="0.45">
      <c r="A7" s="15"/>
      <c r="E7" t="s">
        <v>34</v>
      </c>
      <c r="G7" s="2">
        <f>1-(G5*17)</f>
        <v>0.27212602056507951</v>
      </c>
    </row>
    <row r="8" spans="1:7" x14ac:dyDescent="0.45">
      <c r="A8" s="15"/>
    </row>
    <row r="9" spans="1:7" x14ac:dyDescent="0.45">
      <c r="A9" s="15"/>
      <c r="E9" t="s">
        <v>35</v>
      </c>
      <c r="G9" s="38">
        <f>(6-G7)/(G3*(1-C3))</f>
        <v>6.0081219378534083</v>
      </c>
    </row>
    <row r="10" spans="1:7" x14ac:dyDescent="0.45">
      <c r="A10" s="15"/>
    </row>
    <row r="11" spans="1:7" x14ac:dyDescent="0.45">
      <c r="A11" s="15"/>
    </row>
    <row r="12" spans="1:7" x14ac:dyDescent="0.45">
      <c r="A12" s="15"/>
    </row>
    <row r="13" spans="1:7" x14ac:dyDescent="0.45">
      <c r="A13" s="15"/>
    </row>
    <row r="14" spans="1:7" x14ac:dyDescent="0.45">
      <c r="A14" s="15"/>
    </row>
    <row r="15" spans="1:7" x14ac:dyDescent="0.45">
      <c r="A15" s="15"/>
    </row>
    <row r="16" spans="1:7" x14ac:dyDescent="0.45">
      <c r="A16" s="15"/>
    </row>
    <row r="17" spans="1:1" x14ac:dyDescent="0.45">
      <c r="A17" s="15"/>
    </row>
    <row r="18" spans="1:1" x14ac:dyDescent="0.45">
      <c r="A18" s="15"/>
    </row>
    <row r="19" spans="1:1" x14ac:dyDescent="0.45">
      <c r="A19" s="15"/>
    </row>
    <row r="20" spans="1:1" x14ac:dyDescent="0.45">
      <c r="A20" s="15"/>
    </row>
    <row r="21" spans="1:1" x14ac:dyDescent="0.45">
      <c r="A21" s="15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47"/>
  <sheetViews>
    <sheetView workbookViewId="0">
      <selection activeCell="I3" sqref="I3"/>
    </sheetView>
  </sheetViews>
  <sheetFormatPr defaultRowHeight="14.25" x14ac:dyDescent="0.45"/>
  <cols>
    <col min="3" max="3" width="5.46484375" bestFit="1" customWidth="1"/>
    <col min="4" max="4" width="7.53125" bestFit="1" customWidth="1"/>
    <col min="5" max="5" width="7.73046875" bestFit="1" customWidth="1"/>
    <col min="6" max="6" width="11.796875" bestFit="1" customWidth="1"/>
    <col min="7" max="7" width="10.46484375" bestFit="1" customWidth="1"/>
  </cols>
  <sheetData>
    <row r="3" spans="2:11" x14ac:dyDescent="0.45">
      <c r="I3">
        <f>K3+'Q3'!O3</f>
        <v>1.024</v>
      </c>
      <c r="K3">
        <v>1.02</v>
      </c>
    </row>
    <row r="5" spans="2:11" x14ac:dyDescent="0.45">
      <c r="D5" t="s">
        <v>36</v>
      </c>
      <c r="E5" t="s">
        <v>37</v>
      </c>
      <c r="F5" t="s">
        <v>38</v>
      </c>
      <c r="I5" s="16"/>
    </row>
    <row r="6" spans="2:11" ht="15.75" x14ac:dyDescent="0.55000000000000004">
      <c r="B6" s="35" t="s">
        <v>39</v>
      </c>
      <c r="C6" s="34" t="s">
        <v>40</v>
      </c>
      <c r="D6" s="34" t="s">
        <v>41</v>
      </c>
      <c r="E6" s="35" t="s">
        <v>42</v>
      </c>
      <c r="F6" s="29" t="s">
        <v>43</v>
      </c>
      <c r="G6" s="33" t="s">
        <v>44</v>
      </c>
    </row>
    <row r="7" spans="2:11" x14ac:dyDescent="0.45">
      <c r="B7">
        <v>9681</v>
      </c>
      <c r="C7">
        <v>0</v>
      </c>
      <c r="D7" s="21">
        <v>1</v>
      </c>
      <c r="E7">
        <f>B7/B$7</f>
        <v>1</v>
      </c>
      <c r="F7">
        <v>1</v>
      </c>
      <c r="G7">
        <f>D7*E7*F7</f>
        <v>1</v>
      </c>
    </row>
    <row r="8" spans="2:11" x14ac:dyDescent="0.45">
      <c r="B8">
        <v>9660</v>
      </c>
      <c r="C8">
        <v>1</v>
      </c>
      <c r="D8" s="21">
        <v>2</v>
      </c>
      <c r="E8">
        <f t="shared" ref="E8:E10" si="0">B8/B$7</f>
        <v>0.99783080260303691</v>
      </c>
      <c r="F8">
        <f>F7/$I$3</f>
        <v>0.9765625</v>
      </c>
      <c r="G8" s="14">
        <f t="shared" ref="G8:G10" si="1">D8*E8*F8</f>
        <v>1.9488882863340564</v>
      </c>
    </row>
    <row r="9" spans="2:11" x14ac:dyDescent="0.45">
      <c r="B9">
        <v>9630</v>
      </c>
      <c r="C9">
        <v>2</v>
      </c>
      <c r="D9" s="21">
        <v>3</v>
      </c>
      <c r="E9">
        <f t="shared" si="0"/>
        <v>0.99473194917880381</v>
      </c>
      <c r="F9">
        <f t="shared" ref="F9:F10" si="2">F8/$I$3</f>
        <v>0.95367431640625</v>
      </c>
      <c r="G9" s="14">
        <f t="shared" si="1"/>
        <v>2.8459509349216572</v>
      </c>
    </row>
    <row r="10" spans="2:11" x14ac:dyDescent="0.45">
      <c r="B10">
        <v>9596</v>
      </c>
      <c r="C10">
        <v>3</v>
      </c>
      <c r="D10" s="21">
        <v>4</v>
      </c>
      <c r="E10">
        <f t="shared" si="0"/>
        <v>0.99121991529800635</v>
      </c>
      <c r="F10">
        <f t="shared" si="2"/>
        <v>0.93132257461547852</v>
      </c>
      <c r="G10" s="14">
        <f t="shared" si="1"/>
        <v>3.6925819341019031</v>
      </c>
    </row>
    <row r="11" spans="2:11" x14ac:dyDescent="0.45">
      <c r="D11" s="14"/>
      <c r="G11" s="36">
        <f>SUM(G7:G10)</f>
        <v>9.487421155357616</v>
      </c>
    </row>
    <row r="12" spans="2:11" x14ac:dyDescent="0.45">
      <c r="D12" s="14"/>
    </row>
    <row r="13" spans="2:11" x14ac:dyDescent="0.45">
      <c r="D13" s="14"/>
    </row>
    <row r="14" spans="2:11" x14ac:dyDescent="0.45">
      <c r="D14" s="14"/>
    </row>
    <row r="15" spans="2:11" x14ac:dyDescent="0.45">
      <c r="D15" s="14"/>
    </row>
    <row r="16" spans="2:11" x14ac:dyDescent="0.45">
      <c r="D16" s="14"/>
    </row>
    <row r="17" spans="4:4" x14ac:dyDescent="0.45">
      <c r="D17" s="14"/>
    </row>
    <row r="18" spans="4:4" x14ac:dyDescent="0.45">
      <c r="D18" s="14"/>
    </row>
    <row r="19" spans="4:4" x14ac:dyDescent="0.45">
      <c r="D19" s="14"/>
    </row>
    <row r="20" spans="4:4" x14ac:dyDescent="0.45">
      <c r="D20" s="14"/>
    </row>
    <row r="21" spans="4:4" x14ac:dyDescent="0.45">
      <c r="D21" s="14"/>
    </row>
    <row r="22" spans="4:4" x14ac:dyDescent="0.45">
      <c r="D22" s="14"/>
    </row>
    <row r="23" spans="4:4" x14ac:dyDescent="0.45">
      <c r="D23" s="14"/>
    </row>
    <row r="24" spans="4:4" x14ac:dyDescent="0.45">
      <c r="D24" s="14"/>
    </row>
    <row r="25" spans="4:4" x14ac:dyDescent="0.45">
      <c r="D25" s="14"/>
    </row>
    <row r="26" spans="4:4" x14ac:dyDescent="0.45">
      <c r="D26" s="14"/>
    </row>
    <row r="27" spans="4:4" x14ac:dyDescent="0.45">
      <c r="D27" s="14"/>
    </row>
    <row r="28" spans="4:4" x14ac:dyDescent="0.45">
      <c r="D28" s="14"/>
    </row>
    <row r="29" spans="4:4" x14ac:dyDescent="0.45">
      <c r="D29" s="14"/>
    </row>
    <row r="30" spans="4:4" x14ac:dyDescent="0.45">
      <c r="D30" s="14"/>
    </row>
    <row r="31" spans="4:4" x14ac:dyDescent="0.45">
      <c r="D31" s="14"/>
    </row>
    <row r="32" spans="4:4" x14ac:dyDescent="0.45">
      <c r="D32" s="14"/>
    </row>
    <row r="33" spans="4:4" x14ac:dyDescent="0.45">
      <c r="D33" s="14"/>
    </row>
    <row r="34" spans="4:4" x14ac:dyDescent="0.45">
      <c r="D34" s="14"/>
    </row>
    <row r="35" spans="4:4" x14ac:dyDescent="0.45">
      <c r="D35" s="14"/>
    </row>
    <row r="36" spans="4:4" x14ac:dyDescent="0.45">
      <c r="D36" s="14"/>
    </row>
    <row r="37" spans="4:4" x14ac:dyDescent="0.45">
      <c r="D37" s="14"/>
    </row>
    <row r="38" spans="4:4" x14ac:dyDescent="0.45">
      <c r="D38" s="14"/>
    </row>
    <row r="39" spans="4:4" x14ac:dyDescent="0.45">
      <c r="D39" s="14"/>
    </row>
    <row r="40" spans="4:4" x14ac:dyDescent="0.45">
      <c r="D40" s="14"/>
    </row>
    <row r="41" spans="4:4" x14ac:dyDescent="0.45">
      <c r="D41" s="14"/>
    </row>
    <row r="42" spans="4:4" x14ac:dyDescent="0.45">
      <c r="D42" s="14"/>
    </row>
    <row r="43" spans="4:4" x14ac:dyDescent="0.45">
      <c r="D43" s="14"/>
    </row>
    <row r="44" spans="4:4" x14ac:dyDescent="0.45">
      <c r="D44" s="14"/>
    </row>
    <row r="45" spans="4:4" x14ac:dyDescent="0.45">
      <c r="D45" s="14"/>
    </row>
    <row r="46" spans="4:4" x14ac:dyDescent="0.45">
      <c r="D46" s="14"/>
    </row>
    <row r="47" spans="4:4" x14ac:dyDescent="0.45">
      <c r="D47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00a582-9eea-4d1d-b024-b1a3d546a88e" xsi:nil="true"/>
    <lcf76f155ced4ddcb4097134ff3c332f xmlns="8cfbfa66-30c8-4c32-a584-67b30014bd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F8D74CA0F024D9F7FEB43DFDE19B8" ma:contentTypeVersion="11" ma:contentTypeDescription="Create a new document." ma:contentTypeScope="" ma:versionID="6b4237796ed7d5b114eee72597d8462e">
  <xsd:schema xmlns:xsd="http://www.w3.org/2001/XMLSchema" xmlns:xs="http://www.w3.org/2001/XMLSchema" xmlns:p="http://schemas.microsoft.com/office/2006/metadata/properties" xmlns:ns2="8cfbfa66-30c8-4c32-a584-67b30014bdda" xmlns:ns3="3200a582-9eea-4d1d-b024-b1a3d546a88e" targetNamespace="http://schemas.microsoft.com/office/2006/metadata/properties" ma:root="true" ma:fieldsID="d2a2e41998865e36f1c09be94e7ecb1c" ns2:_="" ns3:_="">
    <xsd:import namespace="8cfbfa66-30c8-4c32-a584-67b30014bdda"/>
    <xsd:import namespace="3200a582-9eea-4d1d-b024-b1a3d546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bfa66-30c8-4c32-a584-67b30014b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f8fe375-cbb6-4b35-9ea2-3916cf22ce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0a582-9eea-4d1d-b024-b1a3d546a8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36fe2f-371f-4063-9f02-b06f2dd7ed68}" ma:internalName="TaxCatchAll" ma:showField="CatchAllData" ma:web="3200a582-9eea-4d1d-b024-b1a3d546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47832-BED9-497F-97F7-C2DECAE42091}">
  <ds:schemaRefs>
    <ds:schemaRef ds:uri="http://purl.org/dc/terms/"/>
    <ds:schemaRef ds:uri="B778D921-1F03-42A1-B3F2-31560236E7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b778d921-1f03-42a1-b3f2-31560236e7c9"/>
    <ds:schemaRef ds:uri="http://www.w3.org/XML/1998/namespace"/>
    <ds:schemaRef ds:uri="http://purl.org/dc/dcmitype/"/>
    <ds:schemaRef ds:uri="3200a582-9eea-4d1d-b024-b1a3d546a88e"/>
    <ds:schemaRef ds:uri="8cfbfa66-30c8-4c32-a584-67b30014bdda"/>
  </ds:schemaRefs>
</ds:datastoreItem>
</file>

<file path=customXml/itemProps2.xml><?xml version="1.0" encoding="utf-8"?>
<ds:datastoreItem xmlns:ds="http://schemas.openxmlformats.org/officeDocument/2006/customXml" ds:itemID="{EF268FE4-A95F-44FE-95DA-C01CEBA287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6313DC-2E1E-4096-A53B-FCE6BCA8F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bfa66-30c8-4c32-a584-67b30014bdda"/>
    <ds:schemaRef ds:uri="3200a582-9eea-4d1d-b024-b1a3d546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Q3</vt:lpstr>
      <vt:lpstr>Q4</vt:lpstr>
      <vt:lpstr>Q5</vt:lpstr>
      <vt:lpstr>Q6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Ridges Local User</dc:creator>
  <cp:keywords/>
  <dc:description/>
  <cp:lastModifiedBy>Marcus Gwee Wen Hong</cp:lastModifiedBy>
  <cp:revision/>
  <dcterms:created xsi:type="dcterms:W3CDTF">2020-10-07T13:17:13Z</dcterms:created>
  <dcterms:modified xsi:type="dcterms:W3CDTF">2025-11-07T09:42:53Z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0x0101000D6F8D74CA0F024D9F7FEB43DFDE19B8</vt:lpwstr>
  </property>
</Properties>
</file>