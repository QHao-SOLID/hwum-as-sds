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100\Desktop\F70LA\Exam 2020\"/>
    </mc:Choice>
  </mc:AlternateContent>
  <bookViews>
    <workbookView xWindow="0" yWindow="0" windowWidth="8385" windowHeight="7050"/>
  </bookViews>
  <sheets>
    <sheet name="Q2" sheetId="6" r:id="rId1"/>
    <sheet name="Q3" sheetId="1" r:id="rId2"/>
    <sheet name="Q4" sheetId="2" r:id="rId3"/>
    <sheet name="Q5" sheetId="4" r:id="rId4"/>
    <sheet name="Q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5" l="1"/>
  <c r="I3" i="5"/>
  <c r="E15" i="6"/>
  <c r="E5" i="6"/>
  <c r="E4" i="6"/>
  <c r="O3" i="1" l="1"/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7" i="1"/>
  <c r="E8" i="6" l="1"/>
  <c r="E9" i="6" s="1"/>
  <c r="G21" i="4" l="1"/>
  <c r="F21" i="4"/>
  <c r="E21" i="4"/>
  <c r="H21" i="4" s="1"/>
  <c r="G20" i="4"/>
  <c r="F20" i="4"/>
  <c r="E20" i="4"/>
  <c r="H20" i="4" s="1"/>
  <c r="G19" i="4"/>
  <c r="F19" i="4"/>
  <c r="E19" i="4"/>
  <c r="H19" i="4" s="1"/>
  <c r="G18" i="4"/>
  <c r="F18" i="4"/>
  <c r="E18" i="4"/>
  <c r="H18" i="4" s="1"/>
  <c r="G17" i="4"/>
  <c r="F17" i="4"/>
  <c r="E17" i="4"/>
  <c r="H17" i="4" s="1"/>
  <c r="G16" i="4"/>
  <c r="F16" i="4"/>
  <c r="E16" i="4"/>
  <c r="H16" i="4" s="1"/>
  <c r="G15" i="4"/>
  <c r="F15" i="4"/>
  <c r="E15" i="4"/>
  <c r="H15" i="4" s="1"/>
  <c r="G14" i="4"/>
  <c r="F14" i="4"/>
  <c r="E14" i="4"/>
  <c r="H14" i="4" s="1"/>
  <c r="G13" i="4"/>
  <c r="F13" i="4"/>
  <c r="E13" i="4"/>
  <c r="H13" i="4" s="1"/>
  <c r="G12" i="4"/>
  <c r="F12" i="4"/>
  <c r="E12" i="4"/>
  <c r="H12" i="4" s="1"/>
  <c r="G11" i="4"/>
  <c r="F11" i="4"/>
  <c r="E11" i="4"/>
  <c r="H11" i="4" s="1"/>
  <c r="G10" i="4"/>
  <c r="F10" i="4"/>
  <c r="E10" i="4"/>
  <c r="H10" i="4" s="1"/>
  <c r="G9" i="4"/>
  <c r="F9" i="4"/>
  <c r="E9" i="4"/>
  <c r="H9" i="4" s="1"/>
  <c r="G8" i="4"/>
  <c r="F8" i="4"/>
  <c r="E8" i="4"/>
  <c r="H8" i="4" s="1"/>
  <c r="G7" i="4"/>
  <c r="F7" i="4"/>
  <c r="E7" i="4"/>
  <c r="H7" i="4" s="1"/>
  <c r="K2" i="4"/>
  <c r="O6" i="2"/>
  <c r="K2" i="2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7" i="1"/>
  <c r="L3" i="5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O4" i="1"/>
  <c r="O5" i="1" s="1"/>
  <c r="L4" i="5" s="1"/>
  <c r="C7" i="5" s="1"/>
  <c r="D7" i="5" s="1"/>
  <c r="K5" i="2" l="1"/>
  <c r="K5" i="4"/>
  <c r="K3" i="2"/>
  <c r="O4" i="2" s="1"/>
  <c r="K3" i="4"/>
  <c r="E7" i="5"/>
  <c r="G7" i="5" s="1"/>
  <c r="I7" i="5" s="1"/>
  <c r="K4" i="2"/>
  <c r="K4" i="4"/>
  <c r="C8" i="5"/>
  <c r="D8" i="5" s="1"/>
  <c r="E8" i="5" l="1"/>
  <c r="C9" i="5"/>
  <c r="E9" i="5" s="1"/>
  <c r="H10" i="2"/>
  <c r="I10" i="2" s="1"/>
  <c r="H14" i="2"/>
  <c r="I14" i="2" s="1"/>
  <c r="H18" i="2"/>
  <c r="I18" i="2" s="1"/>
  <c r="H7" i="2"/>
  <c r="I7" i="2" s="1"/>
  <c r="H11" i="2"/>
  <c r="I11" i="2" s="1"/>
  <c r="H15" i="2"/>
  <c r="I15" i="2" s="1"/>
  <c r="H19" i="2"/>
  <c r="I19" i="2" s="1"/>
  <c r="H8" i="2"/>
  <c r="I8" i="2" s="1"/>
  <c r="H12" i="2"/>
  <c r="I12" i="2" s="1"/>
  <c r="H16" i="2"/>
  <c r="I16" i="2" s="1"/>
  <c r="H20" i="2"/>
  <c r="I20" i="2" s="1"/>
  <c r="H9" i="2"/>
  <c r="I9" i="2" s="1"/>
  <c r="H13" i="2"/>
  <c r="I13" i="2" s="1"/>
  <c r="H17" i="2"/>
  <c r="I17" i="2" s="1"/>
  <c r="H21" i="2"/>
  <c r="I21" i="2" s="1"/>
  <c r="C10" i="5"/>
  <c r="D9" i="5" l="1"/>
  <c r="C11" i="5"/>
  <c r="E10" i="5"/>
  <c r="D10" i="5"/>
  <c r="C12" i="5" l="1"/>
  <c r="E11" i="5"/>
  <c r="D11" i="5"/>
  <c r="C13" i="5" l="1"/>
  <c r="D12" i="5"/>
  <c r="E12" i="5"/>
  <c r="C14" i="5" l="1"/>
  <c r="E13" i="5"/>
  <c r="D13" i="5"/>
  <c r="C15" i="5" l="1"/>
  <c r="E14" i="5"/>
  <c r="D14" i="5"/>
  <c r="C16" i="5" l="1"/>
  <c r="D15" i="5"/>
  <c r="E15" i="5"/>
  <c r="C17" i="5" l="1"/>
  <c r="D16" i="5"/>
  <c r="E16" i="5"/>
  <c r="C18" i="5" l="1"/>
  <c r="E17" i="5"/>
  <c r="D17" i="5"/>
  <c r="C19" i="5" l="1"/>
  <c r="E18" i="5"/>
  <c r="D18" i="5"/>
  <c r="C20" i="5" l="1"/>
  <c r="D19" i="5"/>
  <c r="E19" i="5"/>
  <c r="C21" i="5" l="1"/>
  <c r="D20" i="5"/>
  <c r="E20" i="5"/>
  <c r="C22" i="5" l="1"/>
  <c r="E21" i="5"/>
  <c r="D21" i="5"/>
  <c r="C23" i="5" l="1"/>
  <c r="E22" i="5"/>
  <c r="D22" i="5"/>
  <c r="C24" i="5" l="1"/>
  <c r="E23" i="5"/>
  <c r="D23" i="5"/>
  <c r="C25" i="5" l="1"/>
  <c r="D24" i="5"/>
  <c r="E24" i="5"/>
  <c r="C26" i="5" l="1"/>
  <c r="E25" i="5"/>
  <c r="D25" i="5"/>
  <c r="C27" i="5" l="1"/>
  <c r="E26" i="5"/>
  <c r="D26" i="5"/>
  <c r="C28" i="5" l="1"/>
  <c r="D27" i="5"/>
  <c r="E27" i="5"/>
  <c r="G27" i="5" l="1"/>
  <c r="I27" i="5" s="1"/>
  <c r="J27" i="5" s="1"/>
  <c r="C29" i="5"/>
  <c r="D28" i="5"/>
  <c r="E28" i="5"/>
  <c r="C30" i="5" l="1"/>
  <c r="E29" i="5"/>
  <c r="D29" i="5"/>
  <c r="C31" i="5" l="1"/>
  <c r="E30" i="5"/>
  <c r="D30" i="5"/>
  <c r="C32" i="5" l="1"/>
  <c r="E31" i="5"/>
  <c r="D31" i="5"/>
  <c r="C33" i="5" l="1"/>
  <c r="D32" i="5"/>
  <c r="E32" i="5"/>
  <c r="C34" i="5" l="1"/>
  <c r="E33" i="5"/>
  <c r="D33" i="5"/>
  <c r="C35" i="5" l="1"/>
  <c r="E34" i="5"/>
  <c r="D34" i="5"/>
  <c r="C36" i="5" l="1"/>
  <c r="D35" i="5"/>
  <c r="E35" i="5"/>
  <c r="C37" i="5" l="1"/>
  <c r="D36" i="5"/>
  <c r="E36" i="5"/>
  <c r="C38" i="5" l="1"/>
  <c r="E37" i="5"/>
  <c r="D37" i="5"/>
  <c r="C39" i="5" l="1"/>
  <c r="E38" i="5"/>
  <c r="D38" i="5"/>
  <c r="C40" i="5" l="1"/>
  <c r="D39" i="5"/>
  <c r="E39" i="5"/>
  <c r="C41" i="5" l="1"/>
  <c r="D40" i="5"/>
  <c r="E40" i="5"/>
  <c r="C42" i="5" l="1"/>
  <c r="E41" i="5"/>
  <c r="D41" i="5"/>
  <c r="C43" i="5" l="1"/>
  <c r="E42" i="5"/>
  <c r="D42" i="5"/>
  <c r="C44" i="5" l="1"/>
  <c r="E43" i="5"/>
  <c r="D43" i="5"/>
  <c r="C45" i="5" l="1"/>
  <c r="D44" i="5"/>
  <c r="E44" i="5"/>
  <c r="C46" i="5" l="1"/>
  <c r="E45" i="5"/>
  <c r="D45" i="5"/>
  <c r="C47" i="5" l="1"/>
  <c r="E46" i="5"/>
  <c r="D46" i="5"/>
  <c r="D47" i="5" l="1"/>
  <c r="E47" i="5"/>
  <c r="G47" i="5" l="1"/>
  <c r="I47" i="5" s="1"/>
  <c r="J47" i="5" l="1"/>
  <c r="K3" i="5" l="1"/>
</calcChain>
</file>

<file path=xl/sharedStrings.xml><?xml version="1.0" encoding="utf-8"?>
<sst xmlns="http://schemas.openxmlformats.org/spreadsheetml/2006/main" count="52" uniqueCount="33">
  <si>
    <t>x</t>
  </si>
  <si>
    <r>
      <t>q</t>
    </r>
    <r>
      <rPr>
        <b/>
        <i/>
        <vertAlign val="subscript"/>
        <sz val="11"/>
        <color indexed="8"/>
        <rFont val="Calibri"/>
        <family val="2"/>
      </rPr>
      <t>x</t>
    </r>
  </si>
  <si>
    <r>
      <t>l</t>
    </r>
    <r>
      <rPr>
        <b/>
        <i/>
        <vertAlign val="subscript"/>
        <sz val="11"/>
        <color indexed="8"/>
        <rFont val="Calibri"/>
        <family val="2"/>
      </rPr>
      <t>x</t>
    </r>
  </si>
  <si>
    <r>
      <t>d</t>
    </r>
    <r>
      <rPr>
        <b/>
        <i/>
        <vertAlign val="subscript"/>
        <sz val="11"/>
        <color indexed="8"/>
        <rFont val="Calibri"/>
        <family val="2"/>
      </rPr>
      <t>x</t>
    </r>
  </si>
  <si>
    <r>
      <t>m</t>
    </r>
    <r>
      <rPr>
        <b/>
        <i/>
        <vertAlign val="subscript"/>
        <sz val="12"/>
        <rFont val="Times New Roman"/>
        <family val="1"/>
      </rPr>
      <t>x</t>
    </r>
  </si>
  <si>
    <r>
      <t>e</t>
    </r>
    <r>
      <rPr>
        <b/>
        <i/>
        <vertAlign val="subscript"/>
        <sz val="11"/>
        <color indexed="8"/>
        <rFont val="Calibri"/>
        <family val="2"/>
      </rPr>
      <t>x</t>
    </r>
  </si>
  <si>
    <t>Answer (a)</t>
  </si>
  <si>
    <t>X</t>
  </si>
  <si>
    <t>Y</t>
  </si>
  <si>
    <t>Z</t>
  </si>
  <si>
    <t>K</t>
  </si>
  <si>
    <t>Answer (c) (i)</t>
  </si>
  <si>
    <t xml:space="preserve"> (c) (ii)</t>
  </si>
  <si>
    <t xml:space="preserve"> (c) (iii)</t>
  </si>
  <si>
    <t>abar 80</t>
  </si>
  <si>
    <r>
      <t>v</t>
    </r>
    <r>
      <rPr>
        <vertAlign val="superscript"/>
        <sz val="11"/>
        <color theme="1"/>
        <rFont val="Calibri"/>
        <family val="2"/>
        <scheme val="minor"/>
      </rPr>
      <t>t</t>
    </r>
  </si>
  <si>
    <t>1+i</t>
  </si>
  <si>
    <t>Premium</t>
  </si>
  <si>
    <r>
      <t>p</t>
    </r>
    <r>
      <rPr>
        <b/>
        <i/>
        <vertAlign val="subscript"/>
        <sz val="11"/>
        <color indexed="8"/>
        <rFont val="Calibri"/>
        <family val="2"/>
      </rPr>
      <t>[x]</t>
    </r>
  </si>
  <si>
    <r>
      <t>p</t>
    </r>
    <r>
      <rPr>
        <b/>
        <i/>
        <vertAlign val="subscript"/>
        <sz val="11"/>
        <color indexed="8"/>
        <rFont val="Calibri"/>
        <family val="2"/>
      </rPr>
      <t>[x]+1</t>
    </r>
  </si>
  <si>
    <r>
      <t>p</t>
    </r>
    <r>
      <rPr>
        <b/>
        <i/>
        <vertAlign val="subscript"/>
        <sz val="11"/>
        <color indexed="8"/>
        <rFont val="Calibri"/>
        <family val="2"/>
      </rPr>
      <t>[x]+2</t>
    </r>
  </si>
  <si>
    <r>
      <t>l</t>
    </r>
    <r>
      <rPr>
        <b/>
        <i/>
        <vertAlign val="subscript"/>
        <sz val="11"/>
        <color indexed="8"/>
        <rFont val="Calibri"/>
        <family val="2"/>
      </rPr>
      <t>[x]</t>
    </r>
  </si>
  <si>
    <r>
      <rPr>
        <b/>
        <i/>
        <vertAlign val="subscript"/>
        <sz val="11"/>
        <color indexed="8"/>
        <rFont val="Calibri"/>
        <family val="2"/>
      </rPr>
      <t>t</t>
    </r>
    <r>
      <rPr>
        <b/>
        <i/>
        <sz val="11"/>
        <color indexed="8"/>
        <rFont val="Calibri"/>
        <family val="2"/>
      </rPr>
      <t>p</t>
    </r>
    <r>
      <rPr>
        <b/>
        <i/>
        <vertAlign val="subscript"/>
        <sz val="11"/>
        <color indexed="8"/>
        <rFont val="Calibri"/>
        <family val="2"/>
      </rPr>
      <t>x</t>
    </r>
  </si>
  <si>
    <t>v^t</t>
  </si>
  <si>
    <r>
      <t>m</t>
    </r>
    <r>
      <rPr>
        <b/>
        <i/>
        <vertAlign val="subscript"/>
        <sz val="12"/>
        <rFont val="Times New Roman"/>
        <family val="1"/>
      </rPr>
      <t>x      t</t>
    </r>
    <r>
      <rPr>
        <b/>
        <i/>
        <sz val="12"/>
        <rFont val="Times New Roman"/>
        <family val="1"/>
      </rPr>
      <t>p</t>
    </r>
    <r>
      <rPr>
        <b/>
        <i/>
        <vertAlign val="subscript"/>
        <sz val="12"/>
        <rFont val="Times New Roman"/>
        <family val="1"/>
      </rPr>
      <t xml:space="preserve">x  </t>
    </r>
    <r>
      <rPr>
        <b/>
        <i/>
        <sz val="12"/>
        <rFont val="Times New Roman"/>
        <family val="1"/>
      </rPr>
      <t>v^t</t>
    </r>
  </si>
  <si>
    <t>A</t>
  </si>
  <si>
    <t>IA</t>
  </si>
  <si>
    <t>(a)</t>
  </si>
  <si>
    <t>(b)</t>
  </si>
  <si>
    <t>This is the only cell where part of the ID number should be input.</t>
  </si>
  <si>
    <t>(e)/(d)</t>
  </si>
  <si>
    <t xml:space="preserve"> 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</si>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</sst>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£&quot;#,##0;[Red]\-&quot;£&quot;#,##0"/>
    <numFmt numFmtId="164" formatCode=".00000"/>
    <numFmt numFmtId="165" formatCode="0.000000"/>
    <numFmt numFmtId="166" formatCode="0.0%"/>
    <numFmt numFmtId="167" formatCode="0.0000"/>
    <numFmt numFmtId="168" formatCode="&quot;£&quot;#,##0"/>
    <numFmt numFmtId="169" formatCode="&quot;£&quot;#,##0.00"/>
    <numFmt numFmtId="170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vertAlign val="subscript"/>
      <sz val="12"/>
      <name val="Times New Roman"/>
      <family val="1"/>
    </font>
    <font>
      <b/>
      <i/>
      <sz val="12"/>
      <name val="Symbol"/>
      <family val="1"/>
      <charset val="2"/>
    </font>
    <font>
      <b/>
      <i/>
      <vertAlign val="subscript"/>
      <sz val="11"/>
      <color indexed="8"/>
      <name val="Calibri"/>
      <family val="2"/>
    </font>
    <font>
      <u/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i/>
      <sz val="11"/>
      <color indexed="8"/>
      <name val="Calibri"/>
      <family val="2"/>
    </font>
    <font>
      <b/>
      <i/>
      <sz val="12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7" fillId="2" borderId="1" xfId="0" applyFont="1" applyFill="1" applyBorder="1" applyAlignment="1">
      <alignment horizontal="right"/>
    </xf>
    <xf numFmtId="0" fontId="0" fillId="0" borderId="0" xfId="0"/>
    <xf numFmtId="0" fontId="0" fillId="2" borderId="0" xfId="0" applyFill="1"/>
    <xf numFmtId="165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164" fontId="4" fillId="2" borderId="1" xfId="0" quotePrefix="1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3" borderId="2" xfId="0" applyFill="1" applyBorder="1"/>
    <xf numFmtId="0" fontId="0" fillId="0" borderId="2" xfId="0" applyBorder="1" applyAlignment="1">
      <alignment horizontal="right"/>
    </xf>
    <xf numFmtId="0" fontId="0" fillId="0" borderId="2" xfId="0" applyFill="1" applyBorder="1"/>
    <xf numFmtId="0" fontId="0" fillId="0" borderId="2" xfId="0" applyFill="1" applyBorder="1" applyAlignment="1">
      <alignment horizontal="right"/>
    </xf>
    <xf numFmtId="166" fontId="0" fillId="0" borderId="2" xfId="0" applyNumberFormat="1" applyFill="1" applyBorder="1"/>
    <xf numFmtId="10" fontId="0" fillId="0" borderId="2" xfId="0" applyNumberFormat="1" applyFill="1" applyBorder="1" applyAlignment="1">
      <alignment horizontal="right"/>
    </xf>
    <xf numFmtId="2" fontId="0" fillId="0" borderId="0" xfId="0" applyNumberFormat="1" applyAlignment="1">
      <alignment horizontal="right"/>
    </xf>
    <xf numFmtId="167" fontId="0" fillId="0" borderId="0" xfId="0" applyNumberFormat="1"/>
    <xf numFmtId="168" fontId="0" fillId="0" borderId="0" xfId="0" applyNumberFormat="1"/>
    <xf numFmtId="0" fontId="9" fillId="2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1" fontId="0" fillId="0" borderId="0" xfId="0" applyNumberFormat="1"/>
    <xf numFmtId="0" fontId="0" fillId="0" borderId="1" xfId="0" applyBorder="1" applyAlignment="1">
      <alignment horizontal="right"/>
    </xf>
    <xf numFmtId="169" fontId="0" fillId="0" borderId="0" xfId="0" applyNumberFormat="1"/>
    <xf numFmtId="169" fontId="0" fillId="0" borderId="0" xfId="0" applyNumberFormat="1" applyFont="1"/>
    <xf numFmtId="0" fontId="0" fillId="0" borderId="0" xfId="0" applyFont="1"/>
    <xf numFmtId="169" fontId="11" fillId="4" borderId="0" xfId="0" applyNumberFormat="1" applyFont="1" applyFill="1"/>
    <xf numFmtId="169" fontId="0" fillId="4" borderId="0" xfId="0" applyNumberFormat="1" applyFill="1"/>
    <xf numFmtId="165" fontId="0" fillId="4" borderId="0" xfId="0" applyNumberFormat="1" applyFill="1"/>
    <xf numFmtId="168" fontId="0" fillId="4" borderId="0" xfId="0" applyNumberFormat="1" applyFill="1"/>
    <xf numFmtId="0" fontId="7" fillId="0" borderId="0" xfId="0" applyFont="1"/>
    <xf numFmtId="0" fontId="0" fillId="4" borderId="0" xfId="0" applyFill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4" borderId="6" xfId="0" applyFill="1" applyBorder="1"/>
    <xf numFmtId="0" fontId="0" fillId="4" borderId="7" xfId="0" applyFill="1" applyBorder="1"/>
    <xf numFmtId="0" fontId="0" fillId="0" borderId="5" xfId="0" applyBorder="1" applyAlignment="1">
      <alignment horizontal="right"/>
    </xf>
    <xf numFmtId="170" fontId="0" fillId="4" borderId="8" xfId="0" applyNumberFormat="1" applyFill="1" applyBorder="1"/>
    <xf numFmtId="0" fontId="12" fillId="0" borderId="0" xfId="0" applyFont="1"/>
    <xf numFmtId="6" fontId="0" fillId="0" borderId="0" xfId="0" applyNumberFormat="1"/>
    <xf numFmtId="9" fontId="0" fillId="0" borderId="0" xfId="0" applyNumberFormat="1"/>
  </cellXfs>
  <cellStyles count="5">
    <cellStyle name="Hyperlink 2" xfId="1"/>
    <cellStyle name="Normal" xfId="0" builtinId="0"/>
    <cellStyle name="Normal 2" xfId="2"/>
    <cellStyle name="Normal 2 2" xfId="3"/>
    <cellStyle name="Percent 2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I15"/>
  <sheetViews>
    <sheetView tabSelected="1" workbookViewId="0">
      <selection activeCell="A2" sqref="A2"/>
    </sheetView>
  </sheetViews>
  <sheetFormatPr defaultRowHeight="15" x14ac:dyDescent="0.25"/>
  <cols>
    <col min="5" max="5" width="14.28515625" bestFit="1" customWidth="1"/>
  </cols>
  <sheetData>
    <row r="4" spans="4:9" x14ac:dyDescent="0.25">
      <c r="D4" t="s">
        <v>27</v>
      </c>
      <c r="E4" s="23">
        <f>G4*H4</f>
        <v>48128</v>
      </c>
      <c r="G4" s="38">
        <v>80000</v>
      </c>
      <c r="H4">
        <v>0.60160000000000002</v>
      </c>
    </row>
    <row r="5" spans="4:9" x14ac:dyDescent="0.25">
      <c r="E5" s="23">
        <f>PRODUCT(G5:I5)</f>
        <v>15483.6</v>
      </c>
      <c r="G5" s="39">
        <v>0.88</v>
      </c>
      <c r="H5" s="38">
        <v>2500</v>
      </c>
      <c r="I5">
        <v>7.0380000000000003</v>
      </c>
    </row>
    <row r="6" spans="4:9" x14ac:dyDescent="0.25">
      <c r="E6" s="24"/>
    </row>
    <row r="7" spans="4:9" x14ac:dyDescent="0.25">
      <c r="E7" s="24"/>
    </row>
    <row r="8" spans="4:9" x14ac:dyDescent="0.25">
      <c r="E8" s="23">
        <f>E4-E5</f>
        <v>32644.400000000001</v>
      </c>
    </row>
    <row r="9" spans="4:9" x14ac:dyDescent="0.25">
      <c r="D9">
        <v>150</v>
      </c>
      <c r="E9" s="25">
        <f>E8-D9</f>
        <v>32494.400000000001</v>
      </c>
    </row>
    <row r="10" spans="4:9" s="2" customFormat="1" x14ac:dyDescent="0.25">
      <c r="E10" s="22"/>
    </row>
    <row r="11" spans="4:9" s="2" customFormat="1" x14ac:dyDescent="0.25">
      <c r="E11" s="22"/>
    </row>
    <row r="13" spans="4:9" x14ac:dyDescent="0.25">
      <c r="D13" t="s">
        <v>28</v>
      </c>
    </row>
    <row r="15" spans="4:9" x14ac:dyDescent="0.25">
      <c r="E15" s="26">
        <f>E9/H4</f>
        <v>54013.297872340423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2"/>
  <sheetViews>
    <sheetView workbookViewId="0">
      <selection activeCell="K14" sqref="K14"/>
    </sheetView>
  </sheetViews>
  <sheetFormatPr defaultRowHeight="15" x14ac:dyDescent="0.25"/>
  <cols>
    <col min="8" max="8" width="12" customWidth="1"/>
    <col min="9" max="10" width="12.85546875" customWidth="1"/>
    <col min="11" max="12" width="9.140625" style="2"/>
  </cols>
  <sheetData>
    <row r="2" spans="2:18" x14ac:dyDescent="0.25">
      <c r="N2" s="10" t="s">
        <v>7</v>
      </c>
      <c r="O2" s="9">
        <v>23455</v>
      </c>
      <c r="P2" s="29" t="s">
        <v>29</v>
      </c>
    </row>
    <row r="3" spans="2:18" x14ac:dyDescent="0.25">
      <c r="N3" s="10" t="s">
        <v>8</v>
      </c>
      <c r="O3" s="13">
        <f>(RIGHT(O2,1)+1)/1000</f>
        <v>6.0000000000000001E-3</v>
      </c>
    </row>
    <row r="4" spans="2:18" x14ac:dyDescent="0.25">
      <c r="N4" s="10" t="s">
        <v>9</v>
      </c>
      <c r="O4" s="12" t="str">
        <f>RIGHT(O2,2)</f>
        <v>55</v>
      </c>
    </row>
    <row r="5" spans="2:18" x14ac:dyDescent="0.25">
      <c r="N5" s="10" t="s">
        <v>10</v>
      </c>
      <c r="O5" s="11">
        <f>ROUND(Q5+O4/7,0)</f>
        <v>68</v>
      </c>
      <c r="Q5">
        <v>60</v>
      </c>
      <c r="R5">
        <v>7</v>
      </c>
    </row>
    <row r="6" spans="2:18" s="8" customFormat="1" ht="18.75" x14ac:dyDescent="0.35">
      <c r="B6" s="1" t="s">
        <v>0</v>
      </c>
      <c r="C6" s="1" t="s">
        <v>1</v>
      </c>
      <c r="D6" s="1" t="s">
        <v>2</v>
      </c>
      <c r="E6" s="1" t="s">
        <v>3</v>
      </c>
      <c r="F6" s="7" t="s">
        <v>4</v>
      </c>
      <c r="G6" s="1" t="s">
        <v>5</v>
      </c>
      <c r="H6" s="8" t="s">
        <v>6</v>
      </c>
      <c r="I6" s="8" t="s">
        <v>11</v>
      </c>
      <c r="J6" s="8" t="s">
        <v>12</v>
      </c>
      <c r="K6" s="8" t="s">
        <v>13</v>
      </c>
    </row>
    <row r="7" spans="2:18" x14ac:dyDescent="0.25">
      <c r="B7" s="3">
        <v>60</v>
      </c>
      <c r="C7" s="4">
        <v>8.0160000000000006E-3</v>
      </c>
      <c r="D7" s="5">
        <v>90975</v>
      </c>
      <c r="E7" s="5">
        <v>729</v>
      </c>
      <c r="F7" s="4">
        <v>7.6750000000000004E-3</v>
      </c>
      <c r="G7" s="6">
        <v>22.35</v>
      </c>
      <c r="H7" s="27">
        <f>(D13-D17)/D7</f>
        <v>5.8653476229733444E-2</v>
      </c>
      <c r="I7" s="27">
        <f>C7/12</f>
        <v>6.6800000000000008E-4</v>
      </c>
      <c r="J7" s="27">
        <f>1-(1-C7)^(1/12)</f>
        <v>6.7046687486993495E-4</v>
      </c>
      <c r="K7" s="27">
        <f>F7/12</f>
        <v>6.3958333333333337E-4</v>
      </c>
    </row>
    <row r="8" spans="2:18" x14ac:dyDescent="0.25">
      <c r="B8" s="3">
        <v>61</v>
      </c>
      <c r="C8" s="4">
        <v>8.7729999999999995E-3</v>
      </c>
      <c r="D8" s="5">
        <v>90246</v>
      </c>
      <c r="E8" s="5">
        <v>792</v>
      </c>
      <c r="F8" s="4">
        <v>8.43E-3</v>
      </c>
      <c r="G8" s="6">
        <v>21.52</v>
      </c>
      <c r="H8" s="27">
        <f t="shared" ref="H8:H21" si="0">(D14-D18)/D8</f>
        <v>6.455687786716309E-2</v>
      </c>
      <c r="I8" s="27">
        <f t="shared" ref="I8:I21" si="1">C8/12</f>
        <v>7.3108333333333326E-4</v>
      </c>
      <c r="J8" s="27">
        <f t="shared" ref="J8:J21" si="2">1-(1-C8)^(1/12)</f>
        <v>7.3403957177353707E-4</v>
      </c>
      <c r="K8" s="27">
        <f t="shared" ref="K8:K21" si="3">F8/12</f>
        <v>7.025E-4</v>
      </c>
    </row>
    <row r="9" spans="2:18" x14ac:dyDescent="0.25">
      <c r="B9" s="3">
        <v>62</v>
      </c>
      <c r="C9" s="4">
        <v>9.4920000000000004E-3</v>
      </c>
      <c r="D9" s="5">
        <v>89454</v>
      </c>
      <c r="E9" s="5">
        <v>849</v>
      </c>
      <c r="F9" s="4">
        <v>9.1739999999999999E-3</v>
      </c>
      <c r="G9" s="6">
        <v>20.71</v>
      </c>
      <c r="H9" s="27">
        <f t="shared" si="0"/>
        <v>7.1064457710107984E-2</v>
      </c>
      <c r="I9" s="27">
        <f t="shared" si="1"/>
        <v>7.9100000000000004E-4</v>
      </c>
      <c r="J9" s="27">
        <f t="shared" si="2"/>
        <v>7.9446225988077934E-4</v>
      </c>
      <c r="K9" s="27">
        <f t="shared" si="3"/>
        <v>7.6449999999999999E-4</v>
      </c>
    </row>
    <row r="10" spans="2:18" x14ac:dyDescent="0.25">
      <c r="B10" s="3">
        <v>63</v>
      </c>
      <c r="C10" s="4">
        <v>1.0259000000000001E-2</v>
      </c>
      <c r="D10" s="5">
        <v>88605</v>
      </c>
      <c r="E10" s="5">
        <v>909</v>
      </c>
      <c r="F10" s="4">
        <v>9.9039999999999996E-3</v>
      </c>
      <c r="G10" s="6">
        <v>19.899999999999999</v>
      </c>
      <c r="H10" s="27">
        <f t="shared" si="0"/>
        <v>7.7907567293042157E-2</v>
      </c>
      <c r="I10" s="27">
        <f t="shared" si="1"/>
        <v>8.5491666666666669E-4</v>
      </c>
      <c r="J10" s="27">
        <f t="shared" si="2"/>
        <v>8.5896306671906508E-4</v>
      </c>
      <c r="K10" s="27">
        <f t="shared" si="3"/>
        <v>8.253333333333333E-4</v>
      </c>
    </row>
    <row r="11" spans="2:18" x14ac:dyDescent="0.25">
      <c r="B11" s="3">
        <v>64</v>
      </c>
      <c r="C11" s="4">
        <v>1.1227000000000001E-2</v>
      </c>
      <c r="D11" s="5">
        <v>87696</v>
      </c>
      <c r="E11" s="5">
        <v>984</v>
      </c>
      <c r="F11" s="4">
        <v>1.0766E-2</v>
      </c>
      <c r="G11" s="6">
        <v>19.100000000000001</v>
      </c>
      <c r="H11" s="27">
        <f t="shared" si="0"/>
        <v>8.489554825761722E-2</v>
      </c>
      <c r="I11" s="27">
        <f t="shared" si="1"/>
        <v>9.3558333333333341E-4</v>
      </c>
      <c r="J11" s="27">
        <f t="shared" si="2"/>
        <v>9.4043238908525506E-4</v>
      </c>
      <c r="K11" s="27">
        <f t="shared" si="3"/>
        <v>8.9716666666666666E-4</v>
      </c>
    </row>
    <row r="12" spans="2:18" x14ac:dyDescent="0.25">
      <c r="B12" s="3">
        <v>65</v>
      </c>
      <c r="C12" s="4">
        <v>1.2404E-2</v>
      </c>
      <c r="D12" s="5">
        <v>86712</v>
      </c>
      <c r="E12" s="5">
        <v>1076</v>
      </c>
      <c r="F12" s="4">
        <v>1.1861E-2</v>
      </c>
      <c r="G12" s="6">
        <v>18.32</v>
      </c>
      <c r="H12" s="27">
        <f t="shared" si="0"/>
        <v>9.2063382230833102E-2</v>
      </c>
      <c r="I12" s="27">
        <f t="shared" si="1"/>
        <v>1.0336666666666667E-3</v>
      </c>
      <c r="J12" s="27">
        <f t="shared" si="2"/>
        <v>1.0395902297796189E-3</v>
      </c>
      <c r="K12" s="27">
        <f t="shared" si="3"/>
        <v>9.8841666666666674E-4</v>
      </c>
      <c r="Q12" t="s">
        <v>31</v>
      </c>
    </row>
    <row r="13" spans="2:18" x14ac:dyDescent="0.25">
      <c r="B13" s="3">
        <v>66</v>
      </c>
      <c r="C13" s="4">
        <v>1.3669000000000001E-2</v>
      </c>
      <c r="D13" s="5">
        <v>85636</v>
      </c>
      <c r="E13" s="5">
        <v>1171</v>
      </c>
      <c r="F13" s="4">
        <v>1.3109000000000001E-2</v>
      </c>
      <c r="G13" s="6">
        <v>17.54</v>
      </c>
      <c r="H13" s="27">
        <f t="shared" si="0"/>
        <v>9.9747769629595029E-2</v>
      </c>
      <c r="I13" s="27">
        <f t="shared" si="1"/>
        <v>1.1390833333333333E-3</v>
      </c>
      <c r="J13" s="27">
        <f t="shared" si="2"/>
        <v>1.1462825920288688E-3</v>
      </c>
      <c r="K13" s="27">
        <f t="shared" si="3"/>
        <v>1.0924166666666667E-3</v>
      </c>
    </row>
    <row r="14" spans="2:18" x14ac:dyDescent="0.25">
      <c r="B14" s="3">
        <v>67</v>
      </c>
      <c r="C14" s="4">
        <v>1.5008000000000001E-2</v>
      </c>
      <c r="D14" s="5">
        <v>84465</v>
      </c>
      <c r="E14" s="5">
        <v>1267</v>
      </c>
      <c r="F14" s="4">
        <v>1.4416E-2</v>
      </c>
      <c r="G14" s="6">
        <v>16.78</v>
      </c>
      <c r="H14" s="27">
        <f t="shared" si="0"/>
        <v>0.10828153673119044</v>
      </c>
      <c r="I14" s="27">
        <f t="shared" si="1"/>
        <v>1.2506666666666666E-3</v>
      </c>
      <c r="J14" s="27">
        <f t="shared" si="2"/>
        <v>1.2593529878346388E-3</v>
      </c>
      <c r="K14" s="27">
        <f t="shared" si="3"/>
        <v>1.2013333333333333E-3</v>
      </c>
    </row>
    <row r="15" spans="2:18" x14ac:dyDescent="0.25">
      <c r="B15" s="3">
        <v>68</v>
      </c>
      <c r="C15" s="4">
        <v>1.6594999999999999E-2</v>
      </c>
      <c r="D15" s="5">
        <v>83198</v>
      </c>
      <c r="E15" s="5">
        <v>1381</v>
      </c>
      <c r="F15" s="4">
        <v>1.5876999999999999E-2</v>
      </c>
      <c r="G15" s="6">
        <v>16.02</v>
      </c>
      <c r="H15" s="27">
        <f t="shared" si="0"/>
        <v>0.11774321498112936</v>
      </c>
      <c r="I15" s="27">
        <f t="shared" si="1"/>
        <v>1.3829166666666666E-3</v>
      </c>
      <c r="J15" s="27">
        <f t="shared" si="2"/>
        <v>1.393548076869644E-3</v>
      </c>
      <c r="K15" s="27">
        <f t="shared" si="3"/>
        <v>1.3230833333333332E-3</v>
      </c>
    </row>
    <row r="16" spans="2:18" x14ac:dyDescent="0.25">
      <c r="B16" s="3">
        <v>69</v>
      </c>
      <c r="C16" s="4">
        <v>1.8537999999999999E-2</v>
      </c>
      <c r="D16" s="5">
        <v>81817</v>
      </c>
      <c r="E16" s="5">
        <v>1517</v>
      </c>
      <c r="F16" s="4">
        <v>1.7673999999999999E-2</v>
      </c>
      <c r="G16" s="6">
        <v>15.29</v>
      </c>
      <c r="H16" s="27">
        <f t="shared" si="0"/>
        <v>0.12815185108229341</v>
      </c>
      <c r="I16" s="27">
        <f t="shared" si="1"/>
        <v>1.5448333333333332E-3</v>
      </c>
      <c r="J16" s="27">
        <f t="shared" si="2"/>
        <v>1.5581167292385567E-3</v>
      </c>
      <c r="K16" s="27">
        <f t="shared" si="3"/>
        <v>1.4728333333333332E-3</v>
      </c>
    </row>
    <row r="17" spans="2:11" x14ac:dyDescent="0.25">
      <c r="B17" s="3">
        <v>70</v>
      </c>
      <c r="C17" s="4">
        <v>2.0691000000000001E-2</v>
      </c>
      <c r="D17" s="5">
        <v>80300</v>
      </c>
      <c r="E17" s="5">
        <v>1661</v>
      </c>
      <c r="F17" s="4">
        <v>1.9789000000000001E-2</v>
      </c>
      <c r="G17" s="6">
        <v>14.56</v>
      </c>
      <c r="H17" s="27">
        <f t="shared" si="0"/>
        <v>0.13951432129514321</v>
      </c>
      <c r="I17" s="27">
        <f t="shared" si="1"/>
        <v>1.7242500000000001E-3</v>
      </c>
      <c r="J17" s="27">
        <f t="shared" si="2"/>
        <v>1.740821181653307E-3</v>
      </c>
      <c r="K17" s="27">
        <f t="shared" si="3"/>
        <v>1.6490833333333333E-3</v>
      </c>
    </row>
    <row r="18" spans="2:11" x14ac:dyDescent="0.25">
      <c r="B18" s="3">
        <v>71</v>
      </c>
      <c r="C18" s="4">
        <v>2.2859999999999998E-2</v>
      </c>
      <c r="D18" s="5">
        <v>78639</v>
      </c>
      <c r="E18" s="5">
        <v>1798</v>
      </c>
      <c r="F18" s="4">
        <v>2.2009999999999998E-2</v>
      </c>
      <c r="G18" s="6">
        <v>13.86</v>
      </c>
      <c r="H18" s="27">
        <f t="shared" si="0"/>
        <v>0.15194750696219433</v>
      </c>
      <c r="I18" s="27">
        <f t="shared" si="1"/>
        <v>1.9049999999999998E-3</v>
      </c>
      <c r="J18" s="27">
        <f t="shared" si="2"/>
        <v>1.9252560957957465E-3</v>
      </c>
      <c r="K18" s="27">
        <f t="shared" si="3"/>
        <v>1.8341666666666665E-3</v>
      </c>
    </row>
    <row r="19" spans="2:11" x14ac:dyDescent="0.25">
      <c r="B19" s="3">
        <v>72</v>
      </c>
      <c r="C19" s="4">
        <v>2.5080999999999999E-2</v>
      </c>
      <c r="D19" s="5">
        <v>76841</v>
      </c>
      <c r="E19" s="5">
        <v>1927</v>
      </c>
      <c r="F19" s="4">
        <v>2.4243000000000001E-2</v>
      </c>
      <c r="G19" s="6">
        <v>13.17</v>
      </c>
      <c r="H19" s="27">
        <f t="shared" si="0"/>
        <v>0.16545854426673259</v>
      </c>
      <c r="I19" s="27">
        <f t="shared" si="1"/>
        <v>2.0900833333333331E-3</v>
      </c>
      <c r="J19" s="27">
        <f t="shared" si="2"/>
        <v>2.1145019808210819E-3</v>
      </c>
      <c r="K19" s="27">
        <f t="shared" si="3"/>
        <v>2.0202499999999999E-3</v>
      </c>
    </row>
    <row r="20" spans="2:11" x14ac:dyDescent="0.25">
      <c r="B20" s="3">
        <v>73</v>
      </c>
      <c r="C20" s="4">
        <v>2.7479E-2</v>
      </c>
      <c r="D20" s="5">
        <v>74914</v>
      </c>
      <c r="E20" s="5">
        <v>2059</v>
      </c>
      <c r="F20" s="4">
        <v>2.6589999999999999E-2</v>
      </c>
      <c r="G20" s="6">
        <v>12.5</v>
      </c>
      <c r="H20" s="27">
        <f t="shared" si="0"/>
        <v>0.17979282911071362</v>
      </c>
      <c r="I20" s="27">
        <f t="shared" si="1"/>
        <v>2.2899166666666667E-3</v>
      </c>
      <c r="J20" s="27">
        <f t="shared" si="2"/>
        <v>2.3192738097974619E-3</v>
      </c>
      <c r="K20" s="27">
        <f t="shared" si="3"/>
        <v>2.2158333333333331E-3</v>
      </c>
    </row>
    <row r="21" spans="2:11" x14ac:dyDescent="0.25">
      <c r="B21" s="3">
        <v>74</v>
      </c>
      <c r="C21" s="4">
        <v>3.0193000000000001E-2</v>
      </c>
      <c r="D21" s="5">
        <v>72855</v>
      </c>
      <c r="E21" s="5">
        <v>2199</v>
      </c>
      <c r="F21" s="4">
        <v>2.9194000000000001E-2</v>
      </c>
      <c r="G21" s="6">
        <v>11.84</v>
      </c>
      <c r="H21" s="27">
        <f t="shared" si="0"/>
        <v>0.19452336833436276</v>
      </c>
      <c r="I21" s="27">
        <f t="shared" si="1"/>
        <v>2.5160833333333333E-3</v>
      </c>
      <c r="J21" s="27">
        <f t="shared" si="2"/>
        <v>2.5515888452546376E-3</v>
      </c>
      <c r="K21" s="27">
        <f t="shared" si="3"/>
        <v>2.4328333333333333E-3</v>
      </c>
    </row>
    <row r="22" spans="2:11" x14ac:dyDescent="0.25">
      <c r="B22" s="3">
        <v>75</v>
      </c>
      <c r="C22" s="4">
        <v>3.3362000000000003E-2</v>
      </c>
      <c r="D22" s="5">
        <v>70656</v>
      </c>
      <c r="E22" s="5">
        <v>2357</v>
      </c>
      <c r="F22" s="4">
        <v>3.2210000000000003E-2</v>
      </c>
      <c r="G22" s="6">
        <v>11.19</v>
      </c>
    </row>
    <row r="23" spans="2:11" x14ac:dyDescent="0.25">
      <c r="B23" s="3">
        <v>76</v>
      </c>
      <c r="C23" s="4">
        <v>3.7052000000000002E-2</v>
      </c>
      <c r="D23" s="5">
        <v>68299</v>
      </c>
      <c r="E23" s="5">
        <v>2531</v>
      </c>
      <c r="F23" s="4">
        <v>3.5756999999999997E-2</v>
      </c>
      <c r="G23" s="6">
        <v>10.56</v>
      </c>
    </row>
    <row r="24" spans="2:11" x14ac:dyDescent="0.25">
      <c r="B24" s="3">
        <v>77</v>
      </c>
      <c r="C24" s="4">
        <v>4.1194000000000001E-2</v>
      </c>
      <c r="D24" s="5">
        <v>65768</v>
      </c>
      <c r="E24" s="5">
        <v>2709</v>
      </c>
      <c r="F24" s="4">
        <v>3.9829999999999997E-2</v>
      </c>
      <c r="G24" s="6">
        <v>9.9499999999999993</v>
      </c>
    </row>
    <row r="25" spans="2:11" x14ac:dyDescent="0.25">
      <c r="B25" s="3">
        <v>78</v>
      </c>
      <c r="C25" s="4">
        <v>4.5786E-2</v>
      </c>
      <c r="D25" s="5">
        <v>63059</v>
      </c>
      <c r="E25" s="5">
        <v>2888</v>
      </c>
      <c r="F25" s="4">
        <v>4.4363E-2</v>
      </c>
      <c r="G25" s="6">
        <v>9.35</v>
      </c>
    </row>
    <row r="26" spans="2:11" x14ac:dyDescent="0.25">
      <c r="B26" s="3">
        <v>79</v>
      </c>
      <c r="C26" s="4">
        <v>5.1111999999999998E-2</v>
      </c>
      <c r="D26" s="5">
        <v>60171</v>
      </c>
      <c r="E26" s="5">
        <v>3075</v>
      </c>
      <c r="F26" s="4">
        <v>4.9514000000000002E-2</v>
      </c>
      <c r="G26" s="6">
        <v>8.7799999999999994</v>
      </c>
    </row>
    <row r="27" spans="2:11" x14ac:dyDescent="0.25">
      <c r="B27" s="3">
        <v>80</v>
      </c>
      <c r="C27" s="4">
        <v>5.7401000000000001E-2</v>
      </c>
      <c r="D27" s="5">
        <v>57096</v>
      </c>
      <c r="E27" s="5">
        <v>3277</v>
      </c>
      <c r="F27" s="4">
        <v>5.5620999999999997E-2</v>
      </c>
      <c r="G27" s="6">
        <v>8.2200000000000006</v>
      </c>
    </row>
    <row r="28" spans="2:11" x14ac:dyDescent="0.25">
      <c r="B28" s="3">
        <v>81</v>
      </c>
      <c r="C28" s="4">
        <v>6.4549999999999996E-2</v>
      </c>
      <c r="D28" s="5">
        <v>53819</v>
      </c>
      <c r="E28" s="5">
        <v>3474</v>
      </c>
      <c r="F28" s="4">
        <v>6.2773999999999996E-2</v>
      </c>
      <c r="G28" s="6">
        <v>7.69</v>
      </c>
    </row>
    <row r="29" spans="2:11" x14ac:dyDescent="0.25">
      <c r="B29" s="3">
        <v>82</v>
      </c>
      <c r="C29" s="4">
        <v>7.2362999999999997E-2</v>
      </c>
      <c r="D29" s="5">
        <v>50345</v>
      </c>
      <c r="E29" s="5">
        <v>3643</v>
      </c>
      <c r="F29" s="4">
        <v>7.0787000000000003E-2</v>
      </c>
      <c r="G29" s="6">
        <v>7.19</v>
      </c>
    </row>
    <row r="30" spans="2:11" x14ac:dyDescent="0.25">
      <c r="B30" s="3">
        <v>83</v>
      </c>
      <c r="C30" s="4">
        <v>8.0889000000000003E-2</v>
      </c>
      <c r="D30" s="5">
        <v>46702</v>
      </c>
      <c r="E30" s="5">
        <v>3778</v>
      </c>
      <c r="F30" s="4">
        <v>7.9575999999999994E-2</v>
      </c>
      <c r="G30" s="6">
        <v>6.71</v>
      </c>
    </row>
    <row r="31" spans="2:11" x14ac:dyDescent="0.25">
      <c r="B31" s="3">
        <v>84</v>
      </c>
      <c r="C31" s="4">
        <v>9.0288999999999994E-2</v>
      </c>
      <c r="D31" s="5">
        <v>42924</v>
      </c>
      <c r="E31" s="5">
        <v>3876</v>
      </c>
      <c r="F31" s="4">
        <v>8.9302000000000006E-2</v>
      </c>
      <c r="G31" s="6">
        <v>6.26</v>
      </c>
    </row>
    <row r="32" spans="2:11" x14ac:dyDescent="0.25">
      <c r="B32" s="3">
        <v>85</v>
      </c>
      <c r="C32" s="4">
        <v>0.100675</v>
      </c>
      <c r="D32" s="5">
        <v>39048</v>
      </c>
      <c r="E32" s="5">
        <v>3931</v>
      </c>
      <c r="F32" s="4">
        <v>0.100159</v>
      </c>
      <c r="G32" s="6">
        <v>5.83</v>
      </c>
    </row>
  </sheetData>
  <conditionalFormatting sqref="B7:B21">
    <cfRule type="cellIs" dxfId="2" priority="1" operator="equal">
      <formula>$O$5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2"/>
  <sheetViews>
    <sheetView workbookViewId="0">
      <selection activeCell="I11" sqref="I11"/>
    </sheetView>
  </sheetViews>
  <sheetFormatPr defaultRowHeight="15" x14ac:dyDescent="0.25"/>
  <cols>
    <col min="1" max="8" width="9.140625" style="2"/>
    <col min="9" max="9" width="10.140625" style="2" bestFit="1" customWidth="1"/>
    <col min="10" max="16384" width="9.140625" style="2"/>
  </cols>
  <sheetData>
    <row r="2" spans="2:16" x14ac:dyDescent="0.25">
      <c r="J2" s="10" t="s">
        <v>7</v>
      </c>
      <c r="K2" s="11">
        <f>'Q3'!O2</f>
        <v>23455</v>
      </c>
    </row>
    <row r="3" spans="2:16" x14ac:dyDescent="0.25">
      <c r="J3" s="10" t="s">
        <v>8</v>
      </c>
      <c r="K3" s="14">
        <f>'Q3'!O3</f>
        <v>6.0000000000000001E-3</v>
      </c>
    </row>
    <row r="4" spans="2:16" x14ac:dyDescent="0.25">
      <c r="J4" s="10" t="s">
        <v>9</v>
      </c>
      <c r="K4" s="12" t="str">
        <f>'Q3'!O4</f>
        <v>55</v>
      </c>
      <c r="N4" s="2" t="s">
        <v>16</v>
      </c>
      <c r="O4" s="16">
        <f>P4+K3</f>
        <v>1.046</v>
      </c>
      <c r="P4" s="2">
        <v>1.04</v>
      </c>
    </row>
    <row r="5" spans="2:16" x14ac:dyDescent="0.25">
      <c r="J5" s="10" t="s">
        <v>10</v>
      </c>
      <c r="K5" s="12">
        <f>'Q3'!O5</f>
        <v>68</v>
      </c>
      <c r="O5" s="2">
        <v>80</v>
      </c>
    </row>
    <row r="6" spans="2:16" s="8" customFormat="1" ht="18.75" x14ac:dyDescent="0.35">
      <c r="B6" s="1" t="s">
        <v>0</v>
      </c>
      <c r="C6" s="1" t="s">
        <v>1</v>
      </c>
      <c r="D6" s="1" t="s">
        <v>2</v>
      </c>
      <c r="E6" s="1" t="s">
        <v>3</v>
      </c>
      <c r="F6" s="7" t="s">
        <v>4</v>
      </c>
      <c r="G6" s="1" t="s">
        <v>5</v>
      </c>
      <c r="H6" s="8" t="s">
        <v>15</v>
      </c>
      <c r="I6" s="8" t="s">
        <v>17</v>
      </c>
      <c r="N6" s="8" t="s">
        <v>14</v>
      </c>
      <c r="O6" s="15">
        <f>G27+0.5</f>
        <v>8.7200000000000006</v>
      </c>
    </row>
    <row r="7" spans="2:16" x14ac:dyDescent="0.25">
      <c r="B7" s="3">
        <v>60</v>
      </c>
      <c r="C7" s="4">
        <v>8.0160000000000006E-3</v>
      </c>
      <c r="D7" s="5">
        <v>90975</v>
      </c>
      <c r="E7" s="5">
        <v>729</v>
      </c>
      <c r="F7" s="4">
        <v>7.6750000000000004E-3</v>
      </c>
      <c r="G7" s="6">
        <v>22.35</v>
      </c>
      <c r="H7" s="2">
        <f>1/$O$4^($O$5-B7)</f>
        <v>0.40678629186549448</v>
      </c>
      <c r="I7" s="28">
        <f>$K$2*$D$27/D7*$O$6*H7</f>
        <v>52215.789762323293</v>
      </c>
    </row>
    <row r="8" spans="2:16" x14ac:dyDescent="0.25">
      <c r="B8" s="3">
        <v>61</v>
      </c>
      <c r="C8" s="4">
        <v>8.7729999999999995E-3</v>
      </c>
      <c r="D8" s="5">
        <v>90246</v>
      </c>
      <c r="E8" s="5">
        <v>792</v>
      </c>
      <c r="F8" s="4">
        <v>8.43E-3</v>
      </c>
      <c r="G8" s="6">
        <v>21.52</v>
      </c>
      <c r="H8" s="2">
        <f t="shared" ref="H8:H21" si="0">1/$O$4^($O$5-B8)</f>
        <v>0.4254984612913072</v>
      </c>
      <c r="I8" s="28">
        <f t="shared" ref="I8:I21" si="1">$K$2*$D$27/D8*$O$6*H8</f>
        <v>55058.913651732153</v>
      </c>
    </row>
    <row r="9" spans="2:16" x14ac:dyDescent="0.25">
      <c r="B9" s="3">
        <v>62</v>
      </c>
      <c r="C9" s="4">
        <v>9.4920000000000004E-3</v>
      </c>
      <c r="D9" s="5">
        <v>89454</v>
      </c>
      <c r="E9" s="5">
        <v>849</v>
      </c>
      <c r="F9" s="4">
        <v>9.1739999999999999E-3</v>
      </c>
      <c r="G9" s="6">
        <v>20.71</v>
      </c>
      <c r="H9" s="2">
        <f t="shared" si="0"/>
        <v>0.44507139051070732</v>
      </c>
      <c r="I9" s="28">
        <f>$K$2*$D$27/D9*$O$6*H9</f>
        <v>58101.523359483916</v>
      </c>
    </row>
    <row r="10" spans="2:16" x14ac:dyDescent="0.25">
      <c r="B10" s="3">
        <v>63</v>
      </c>
      <c r="C10" s="4">
        <v>1.0259000000000001E-2</v>
      </c>
      <c r="D10" s="5">
        <v>88605</v>
      </c>
      <c r="E10" s="5">
        <v>909</v>
      </c>
      <c r="F10" s="4">
        <v>9.9039999999999996E-3</v>
      </c>
      <c r="G10" s="6">
        <v>19.899999999999999</v>
      </c>
      <c r="H10" s="2">
        <f t="shared" si="0"/>
        <v>0.46554467447419984</v>
      </c>
      <c r="I10" s="28">
        <f t="shared" si="1"/>
        <v>61356.522763352419</v>
      </c>
    </row>
    <row r="11" spans="2:16" x14ac:dyDescent="0.25">
      <c r="B11" s="3">
        <v>64</v>
      </c>
      <c r="C11" s="4">
        <v>1.1227000000000001E-2</v>
      </c>
      <c r="D11" s="5">
        <v>87696</v>
      </c>
      <c r="E11" s="5">
        <v>984</v>
      </c>
      <c r="F11" s="4">
        <v>1.0766E-2</v>
      </c>
      <c r="G11" s="6">
        <v>19.100000000000001</v>
      </c>
      <c r="H11" s="2">
        <f t="shared" si="0"/>
        <v>0.48695972950001309</v>
      </c>
      <c r="I11" s="28">
        <f t="shared" si="1"/>
        <v>64844.160002980709</v>
      </c>
    </row>
    <row r="12" spans="2:16" x14ac:dyDescent="0.25">
      <c r="B12" s="3">
        <v>65</v>
      </c>
      <c r="C12" s="4">
        <v>1.2404E-2</v>
      </c>
      <c r="D12" s="5">
        <v>86712</v>
      </c>
      <c r="E12" s="5">
        <v>1076</v>
      </c>
      <c r="F12" s="4">
        <v>1.1861E-2</v>
      </c>
      <c r="G12" s="6">
        <v>18.32</v>
      </c>
      <c r="H12" s="2">
        <f t="shared" si="0"/>
        <v>0.50935987705701369</v>
      </c>
      <c r="I12" s="28">
        <f t="shared" si="1"/>
        <v>68596.685978641719</v>
      </c>
    </row>
    <row r="13" spans="2:16" x14ac:dyDescent="0.25">
      <c r="B13" s="3">
        <v>66</v>
      </c>
      <c r="C13" s="4">
        <v>1.3669000000000001E-2</v>
      </c>
      <c r="D13" s="5">
        <v>85636</v>
      </c>
      <c r="E13" s="5">
        <v>1171</v>
      </c>
      <c r="F13" s="4">
        <v>1.3109000000000001E-2</v>
      </c>
      <c r="G13" s="6">
        <v>17.54</v>
      </c>
      <c r="H13" s="2">
        <f t="shared" si="0"/>
        <v>0.5327904314016364</v>
      </c>
      <c r="I13" s="28">
        <f t="shared" si="1"/>
        <v>72653.685400656977</v>
      </c>
    </row>
    <row r="14" spans="2:16" x14ac:dyDescent="0.25">
      <c r="B14" s="3">
        <v>67</v>
      </c>
      <c r="C14" s="4">
        <v>1.5008000000000001E-2</v>
      </c>
      <c r="D14" s="5">
        <v>84465</v>
      </c>
      <c r="E14" s="5">
        <v>1267</v>
      </c>
      <c r="F14" s="4">
        <v>1.4416E-2</v>
      </c>
      <c r="G14" s="6">
        <v>16.78</v>
      </c>
      <c r="H14" s="2">
        <f t="shared" si="0"/>
        <v>0.5572987912461117</v>
      </c>
      <c r="I14" s="28">
        <f t="shared" si="1"/>
        <v>77049.339597552957</v>
      </c>
    </row>
    <row r="15" spans="2:16" x14ac:dyDescent="0.25">
      <c r="B15" s="3">
        <v>68</v>
      </c>
      <c r="C15" s="4">
        <v>1.6594999999999999E-2</v>
      </c>
      <c r="D15" s="5">
        <v>83198</v>
      </c>
      <c r="E15" s="5">
        <v>1381</v>
      </c>
      <c r="F15" s="4">
        <v>1.5876999999999999E-2</v>
      </c>
      <c r="G15" s="6">
        <v>16.02</v>
      </c>
      <c r="H15" s="2">
        <f t="shared" si="0"/>
        <v>0.58293453564343278</v>
      </c>
      <c r="I15" s="28">
        <f t="shared" si="1"/>
        <v>81820.947651220529</v>
      </c>
    </row>
    <row r="16" spans="2:16" x14ac:dyDescent="0.25">
      <c r="B16" s="3">
        <v>69</v>
      </c>
      <c r="C16" s="4">
        <v>1.8537999999999999E-2</v>
      </c>
      <c r="D16" s="5">
        <v>81817</v>
      </c>
      <c r="E16" s="5">
        <v>1517</v>
      </c>
      <c r="F16" s="4">
        <v>1.7673999999999999E-2</v>
      </c>
      <c r="G16" s="6">
        <v>15.29</v>
      </c>
      <c r="H16" s="2">
        <f t="shared" si="0"/>
        <v>0.60974952428303064</v>
      </c>
      <c r="I16" s="28">
        <f t="shared" si="1"/>
        <v>87029.306941220202</v>
      </c>
    </row>
    <row r="17" spans="2:9" x14ac:dyDescent="0.25">
      <c r="B17" s="3">
        <v>70</v>
      </c>
      <c r="C17" s="4">
        <v>2.0691000000000001E-2</v>
      </c>
      <c r="D17" s="5">
        <v>80300</v>
      </c>
      <c r="E17" s="5">
        <v>1661</v>
      </c>
      <c r="F17" s="4">
        <v>1.9789000000000001E-2</v>
      </c>
      <c r="G17" s="6">
        <v>14.56</v>
      </c>
      <c r="H17" s="2">
        <f t="shared" si="0"/>
        <v>0.63779800240005025</v>
      </c>
      <c r="I17" s="28">
        <f t="shared" si="1"/>
        <v>92752.412690987127</v>
      </c>
    </row>
    <row r="18" spans="2:9" x14ac:dyDescent="0.25">
      <c r="B18" s="3">
        <v>71</v>
      </c>
      <c r="C18" s="4">
        <v>2.2859999999999998E-2</v>
      </c>
      <c r="D18" s="5">
        <v>78639</v>
      </c>
      <c r="E18" s="5">
        <v>1798</v>
      </c>
      <c r="F18" s="4">
        <v>2.2009999999999998E-2</v>
      </c>
      <c r="G18" s="6">
        <v>13.86</v>
      </c>
      <c r="H18" s="2">
        <f t="shared" si="0"/>
        <v>0.66713671051045254</v>
      </c>
      <c r="I18" s="28">
        <f t="shared" si="1"/>
        <v>99068.243506202198</v>
      </c>
    </row>
    <row r="19" spans="2:9" x14ac:dyDescent="0.25">
      <c r="B19" s="3">
        <v>72</v>
      </c>
      <c r="C19" s="4">
        <v>2.5080999999999999E-2</v>
      </c>
      <c r="D19" s="5">
        <v>76841</v>
      </c>
      <c r="E19" s="5">
        <v>1927</v>
      </c>
      <c r="F19" s="4">
        <v>2.4243000000000001E-2</v>
      </c>
      <c r="G19" s="6">
        <v>13.17</v>
      </c>
      <c r="H19" s="2">
        <f t="shared" si="0"/>
        <v>0.69782499919393337</v>
      </c>
      <c r="I19" s="28">
        <f t="shared" si="1"/>
        <v>106050.1095864722</v>
      </c>
    </row>
    <row r="20" spans="2:9" x14ac:dyDescent="0.25">
      <c r="B20" s="3">
        <v>73</v>
      </c>
      <c r="C20" s="4">
        <v>2.7479E-2</v>
      </c>
      <c r="D20" s="5">
        <v>74914</v>
      </c>
      <c r="E20" s="5">
        <v>2059</v>
      </c>
      <c r="F20" s="4">
        <v>2.6589999999999999E-2</v>
      </c>
      <c r="G20" s="6">
        <v>12.5</v>
      </c>
      <c r="H20" s="2">
        <f t="shared" si="0"/>
        <v>0.72992494915685424</v>
      </c>
      <c r="I20" s="28">
        <f t="shared" si="1"/>
        <v>113781.80725081933</v>
      </c>
    </row>
    <row r="21" spans="2:9" x14ac:dyDescent="0.25">
      <c r="B21" s="3">
        <v>74</v>
      </c>
      <c r="C21" s="4">
        <v>3.0193000000000001E-2</v>
      </c>
      <c r="D21" s="5">
        <v>72855</v>
      </c>
      <c r="E21" s="5">
        <v>2199</v>
      </c>
      <c r="F21" s="4">
        <v>2.9194000000000001E-2</v>
      </c>
      <c r="G21" s="6">
        <v>11.84</v>
      </c>
      <c r="H21" s="2">
        <f t="shared" si="0"/>
        <v>0.76350149681806956</v>
      </c>
      <c r="I21" s="28">
        <f t="shared" si="1"/>
        <v>122379.34832988431</v>
      </c>
    </row>
    <row r="22" spans="2:9" x14ac:dyDescent="0.25">
      <c r="B22" s="3">
        <v>75</v>
      </c>
      <c r="C22" s="4">
        <v>3.3362000000000003E-2</v>
      </c>
      <c r="D22" s="5">
        <v>70656</v>
      </c>
      <c r="E22" s="5">
        <v>2357</v>
      </c>
      <c r="F22" s="4">
        <v>3.2210000000000003E-2</v>
      </c>
      <c r="G22" s="6">
        <v>11.19</v>
      </c>
    </row>
    <row r="23" spans="2:9" x14ac:dyDescent="0.25">
      <c r="B23" s="3">
        <v>76</v>
      </c>
      <c r="C23" s="4">
        <v>3.7052000000000002E-2</v>
      </c>
      <c r="D23" s="5">
        <v>68299</v>
      </c>
      <c r="E23" s="5">
        <v>2531</v>
      </c>
      <c r="F23" s="4">
        <v>3.5756999999999997E-2</v>
      </c>
      <c r="G23" s="6">
        <v>10.56</v>
      </c>
    </row>
    <row r="24" spans="2:9" x14ac:dyDescent="0.25">
      <c r="B24" s="3">
        <v>77</v>
      </c>
      <c r="C24" s="4">
        <v>4.1194000000000001E-2</v>
      </c>
      <c r="D24" s="5">
        <v>65768</v>
      </c>
      <c r="E24" s="5">
        <v>2709</v>
      </c>
      <c r="F24" s="4">
        <v>3.9829999999999997E-2</v>
      </c>
      <c r="G24" s="6">
        <v>9.9499999999999993</v>
      </c>
    </row>
    <row r="25" spans="2:9" x14ac:dyDescent="0.25">
      <c r="B25" s="3">
        <v>78</v>
      </c>
      <c r="C25" s="4">
        <v>4.5786E-2</v>
      </c>
      <c r="D25" s="5">
        <v>63059</v>
      </c>
      <c r="E25" s="5">
        <v>2888</v>
      </c>
      <c r="F25" s="4">
        <v>4.4363E-2</v>
      </c>
      <c r="G25" s="6">
        <v>9.35</v>
      </c>
    </row>
    <row r="26" spans="2:9" x14ac:dyDescent="0.25">
      <c r="B26" s="3">
        <v>79</v>
      </c>
      <c r="C26" s="4">
        <v>5.1111999999999998E-2</v>
      </c>
      <c r="D26" s="5">
        <v>60171</v>
      </c>
      <c r="E26" s="5">
        <v>3075</v>
      </c>
      <c r="F26" s="4">
        <v>4.9514000000000002E-2</v>
      </c>
      <c r="G26" s="6">
        <v>8.7799999999999994</v>
      </c>
    </row>
    <row r="27" spans="2:9" x14ac:dyDescent="0.25">
      <c r="B27" s="3">
        <v>80</v>
      </c>
      <c r="C27" s="4">
        <v>5.7401000000000001E-2</v>
      </c>
      <c r="D27" s="5">
        <v>57096</v>
      </c>
      <c r="E27" s="5">
        <v>3277</v>
      </c>
      <c r="F27" s="4">
        <v>5.5620999999999997E-2</v>
      </c>
      <c r="G27" s="6">
        <v>8.2200000000000006</v>
      </c>
    </row>
    <row r="28" spans="2:9" x14ac:dyDescent="0.25">
      <c r="B28" s="3">
        <v>81</v>
      </c>
      <c r="C28" s="4">
        <v>6.4549999999999996E-2</v>
      </c>
      <c r="D28" s="5">
        <v>53819</v>
      </c>
      <c r="E28" s="5">
        <v>3474</v>
      </c>
      <c r="F28" s="4">
        <v>6.2773999999999996E-2</v>
      </c>
      <c r="G28" s="6">
        <v>7.69</v>
      </c>
    </row>
    <row r="29" spans="2:9" x14ac:dyDescent="0.25">
      <c r="B29" s="3">
        <v>82</v>
      </c>
      <c r="C29" s="4">
        <v>7.2362999999999997E-2</v>
      </c>
      <c r="D29" s="5">
        <v>50345</v>
      </c>
      <c r="E29" s="5">
        <v>3643</v>
      </c>
      <c r="F29" s="4">
        <v>7.0787000000000003E-2</v>
      </c>
      <c r="G29" s="6">
        <v>7.19</v>
      </c>
    </row>
    <row r="30" spans="2:9" x14ac:dyDescent="0.25">
      <c r="B30" s="3">
        <v>83</v>
      </c>
      <c r="C30" s="4">
        <v>8.0889000000000003E-2</v>
      </c>
      <c r="D30" s="5">
        <v>46702</v>
      </c>
      <c r="E30" s="5">
        <v>3778</v>
      </c>
      <c r="F30" s="4">
        <v>7.9575999999999994E-2</v>
      </c>
      <c r="G30" s="6">
        <v>6.71</v>
      </c>
    </row>
    <row r="31" spans="2:9" x14ac:dyDescent="0.25">
      <c r="B31" s="3">
        <v>84</v>
      </c>
      <c r="C31" s="4">
        <v>9.0288999999999994E-2</v>
      </c>
      <c r="D31" s="5">
        <v>42924</v>
      </c>
      <c r="E31" s="5">
        <v>3876</v>
      </c>
      <c r="F31" s="4">
        <v>8.9302000000000006E-2</v>
      </c>
      <c r="G31" s="6">
        <v>6.26</v>
      </c>
    </row>
    <row r="32" spans="2:9" x14ac:dyDescent="0.25">
      <c r="B32" s="3">
        <v>85</v>
      </c>
      <c r="C32" s="4">
        <v>0.100675</v>
      </c>
      <c r="D32" s="5">
        <v>39048</v>
      </c>
      <c r="E32" s="5">
        <v>3931</v>
      </c>
      <c r="F32" s="4">
        <v>0.100159</v>
      </c>
      <c r="G32" s="6">
        <v>5.83</v>
      </c>
    </row>
  </sheetData>
  <conditionalFormatting sqref="B7:B21">
    <cfRule type="cellIs" dxfId="1" priority="1" operator="equal">
      <formula>$K$5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2"/>
  <sheetViews>
    <sheetView workbookViewId="0">
      <selection activeCell="L19" sqref="L19"/>
    </sheetView>
  </sheetViews>
  <sheetFormatPr defaultRowHeight="15" x14ac:dyDescent="0.25"/>
  <cols>
    <col min="1" max="8" width="9.140625" style="2"/>
    <col min="9" max="9" width="10.140625" style="2" bestFit="1" customWidth="1"/>
    <col min="10" max="16384" width="9.140625" style="2"/>
  </cols>
  <sheetData>
    <row r="2" spans="2:15" x14ac:dyDescent="0.25">
      <c r="J2" s="10" t="s">
        <v>7</v>
      </c>
      <c r="K2" s="11">
        <f>'Q3'!O2</f>
        <v>23455</v>
      </c>
    </row>
    <row r="3" spans="2:15" x14ac:dyDescent="0.25">
      <c r="J3" s="10" t="s">
        <v>8</v>
      </c>
      <c r="K3" s="14">
        <f>'Q3'!O3</f>
        <v>6.0000000000000001E-3</v>
      </c>
    </row>
    <row r="4" spans="2:15" x14ac:dyDescent="0.25">
      <c r="J4" s="10" t="s">
        <v>9</v>
      </c>
      <c r="K4" s="12" t="str">
        <f>'Q3'!O4</f>
        <v>55</v>
      </c>
      <c r="O4" s="16"/>
    </row>
    <row r="5" spans="2:15" x14ac:dyDescent="0.25">
      <c r="E5" s="2">
        <v>0.3</v>
      </c>
      <c r="F5" s="2">
        <v>0.7</v>
      </c>
      <c r="G5" s="2">
        <v>1.1000000000000001</v>
      </c>
      <c r="J5" s="10" t="s">
        <v>10</v>
      </c>
      <c r="K5" s="12">
        <f>'Q3'!O5</f>
        <v>68</v>
      </c>
    </row>
    <row r="6" spans="2:15" s="8" customFormat="1" ht="18" x14ac:dyDescent="0.35">
      <c r="B6" s="1" t="s">
        <v>0</v>
      </c>
      <c r="C6" s="1" t="s">
        <v>1</v>
      </c>
      <c r="D6" s="1" t="s">
        <v>2</v>
      </c>
      <c r="E6" s="1" t="s">
        <v>18</v>
      </c>
      <c r="F6" s="1" t="s">
        <v>19</v>
      </c>
      <c r="G6" s="1" t="s">
        <v>20</v>
      </c>
      <c r="H6" s="1" t="s">
        <v>21</v>
      </c>
      <c r="O6" s="15"/>
    </row>
    <row r="7" spans="2:15" x14ac:dyDescent="0.25">
      <c r="B7" s="3">
        <v>60</v>
      </c>
      <c r="C7" s="4">
        <v>8.0160000000000006E-3</v>
      </c>
      <c r="D7" s="5">
        <v>90975</v>
      </c>
      <c r="E7" s="4">
        <f>1-E$5*$C7</f>
        <v>0.99759520000000002</v>
      </c>
      <c r="F7" s="4">
        <f t="shared" ref="F7:G21" si="0">1-F$5*$C7</f>
        <v>0.99438879999999996</v>
      </c>
      <c r="G7" s="4">
        <f t="shared" si="0"/>
        <v>0.99118240000000002</v>
      </c>
      <c r="H7" s="30">
        <f>D10/PRODUCT(E7:G7)</f>
        <v>90114.374618516144</v>
      </c>
      <c r="I7" s="17"/>
    </row>
    <row r="8" spans="2:15" x14ac:dyDescent="0.25">
      <c r="B8" s="3">
        <v>61</v>
      </c>
      <c r="C8" s="4">
        <v>8.7729999999999995E-3</v>
      </c>
      <c r="D8" s="5">
        <v>90246</v>
      </c>
      <c r="E8" s="4">
        <f t="shared" ref="E8:E21" si="1">1-E$5*$C8</f>
        <v>0.99736809999999998</v>
      </c>
      <c r="F8" s="4">
        <f t="shared" si="0"/>
        <v>0.99385889999999999</v>
      </c>
      <c r="G8" s="4">
        <f t="shared" si="0"/>
        <v>0.9903497</v>
      </c>
      <c r="H8" s="30">
        <f t="shared" ref="H8:H21" si="2">D11/PRODUCT(E8:G8)</f>
        <v>89332.812165334646</v>
      </c>
      <c r="I8" s="17"/>
    </row>
    <row r="9" spans="2:15" x14ac:dyDescent="0.25">
      <c r="B9" s="3">
        <v>62</v>
      </c>
      <c r="C9" s="4">
        <v>9.4920000000000004E-3</v>
      </c>
      <c r="D9" s="5">
        <v>89454</v>
      </c>
      <c r="E9" s="4">
        <f t="shared" si="1"/>
        <v>0.99715240000000005</v>
      </c>
      <c r="F9" s="4">
        <f t="shared" si="0"/>
        <v>0.99335560000000001</v>
      </c>
      <c r="G9" s="4">
        <f t="shared" si="0"/>
        <v>0.98955879999999996</v>
      </c>
      <c r="H9" s="30">
        <f t="shared" si="2"/>
        <v>88464.965951857987</v>
      </c>
      <c r="I9" s="17"/>
    </row>
    <row r="10" spans="2:15" x14ac:dyDescent="0.25">
      <c r="B10" s="3">
        <v>63</v>
      </c>
      <c r="C10" s="4">
        <v>1.0259000000000001E-2</v>
      </c>
      <c r="D10" s="5">
        <v>88605</v>
      </c>
      <c r="E10" s="4">
        <f t="shared" si="1"/>
        <v>0.99692230000000004</v>
      </c>
      <c r="F10" s="4">
        <f t="shared" si="0"/>
        <v>0.99281870000000005</v>
      </c>
      <c r="G10" s="4">
        <f t="shared" si="0"/>
        <v>0.98871509999999996</v>
      </c>
      <c r="H10" s="30">
        <f t="shared" si="2"/>
        <v>87509.247072768514</v>
      </c>
      <c r="I10" s="17"/>
    </row>
    <row r="11" spans="2:15" x14ac:dyDescent="0.25">
      <c r="B11" s="3">
        <v>64</v>
      </c>
      <c r="C11" s="4">
        <v>1.1227000000000001E-2</v>
      </c>
      <c r="D11" s="5">
        <v>87696</v>
      </c>
      <c r="E11" s="4">
        <f t="shared" si="1"/>
        <v>0.99663190000000002</v>
      </c>
      <c r="F11" s="4">
        <f t="shared" si="0"/>
        <v>0.9921411</v>
      </c>
      <c r="G11" s="4">
        <f t="shared" si="0"/>
        <v>0.98765029999999998</v>
      </c>
      <c r="H11" s="30">
        <f t="shared" si="2"/>
        <v>86489.893361276467</v>
      </c>
      <c r="I11" s="17"/>
    </row>
    <row r="12" spans="2:15" x14ac:dyDescent="0.25">
      <c r="B12" s="3">
        <v>65</v>
      </c>
      <c r="C12" s="4">
        <v>1.2404E-2</v>
      </c>
      <c r="D12" s="5">
        <v>86712</v>
      </c>
      <c r="E12" s="4">
        <f t="shared" si="1"/>
        <v>0.99627880000000002</v>
      </c>
      <c r="F12" s="4">
        <f t="shared" si="0"/>
        <v>0.99131720000000001</v>
      </c>
      <c r="G12" s="4">
        <f t="shared" si="0"/>
        <v>0.9863556</v>
      </c>
      <c r="H12" s="30">
        <f t="shared" si="2"/>
        <v>85405.500331861447</v>
      </c>
      <c r="I12" s="17"/>
    </row>
    <row r="13" spans="2:15" x14ac:dyDescent="0.25">
      <c r="B13" s="3">
        <v>66</v>
      </c>
      <c r="C13" s="4">
        <v>1.3669000000000001E-2</v>
      </c>
      <c r="D13" s="5">
        <v>85636</v>
      </c>
      <c r="E13" s="4">
        <f t="shared" si="1"/>
        <v>0.99589930000000004</v>
      </c>
      <c r="F13" s="4">
        <f t="shared" si="0"/>
        <v>0.99043170000000003</v>
      </c>
      <c r="G13" s="4">
        <f t="shared" si="0"/>
        <v>0.98496410000000001</v>
      </c>
      <c r="H13" s="30">
        <f t="shared" si="2"/>
        <v>84213.785605079582</v>
      </c>
      <c r="I13" s="17"/>
    </row>
    <row r="14" spans="2:15" x14ac:dyDescent="0.25">
      <c r="B14" s="3">
        <v>67</v>
      </c>
      <c r="C14" s="4">
        <v>1.5008000000000001E-2</v>
      </c>
      <c r="D14" s="5">
        <v>84465</v>
      </c>
      <c r="E14" s="4">
        <f t="shared" si="1"/>
        <v>0.99549759999999998</v>
      </c>
      <c r="F14" s="4">
        <f t="shared" si="0"/>
        <v>0.9894944</v>
      </c>
      <c r="G14" s="4">
        <f t="shared" si="0"/>
        <v>0.98349120000000001</v>
      </c>
      <c r="H14" s="30">
        <f t="shared" si="2"/>
        <v>82887.971034081231</v>
      </c>
      <c r="I14" s="17"/>
    </row>
    <row r="15" spans="2:15" x14ac:dyDescent="0.25">
      <c r="B15" s="3">
        <v>68</v>
      </c>
      <c r="C15" s="4">
        <v>1.6594999999999999E-2</v>
      </c>
      <c r="D15" s="5">
        <v>83198</v>
      </c>
      <c r="E15" s="4">
        <f t="shared" si="1"/>
        <v>0.9950215</v>
      </c>
      <c r="F15" s="4">
        <f t="shared" si="0"/>
        <v>0.98838349999999997</v>
      </c>
      <c r="G15" s="4">
        <f t="shared" si="0"/>
        <v>0.98174550000000005</v>
      </c>
      <c r="H15" s="30">
        <f t="shared" si="2"/>
        <v>81448.12882106613</v>
      </c>
      <c r="I15" s="17"/>
    </row>
    <row r="16" spans="2:15" x14ac:dyDescent="0.25">
      <c r="B16" s="3">
        <v>69</v>
      </c>
      <c r="C16" s="4">
        <v>1.8537999999999999E-2</v>
      </c>
      <c r="D16" s="5">
        <v>81817</v>
      </c>
      <c r="E16" s="4">
        <f t="shared" si="1"/>
        <v>0.99443859999999995</v>
      </c>
      <c r="F16" s="4">
        <f t="shared" si="0"/>
        <v>0.9870234</v>
      </c>
      <c r="G16" s="4">
        <f t="shared" si="0"/>
        <v>0.97960820000000004</v>
      </c>
      <c r="H16" s="30">
        <f t="shared" si="2"/>
        <v>79916.264186224769</v>
      </c>
      <c r="I16" s="17"/>
    </row>
    <row r="17" spans="2:9" x14ac:dyDescent="0.25">
      <c r="B17" s="3">
        <v>70</v>
      </c>
      <c r="C17" s="4">
        <v>2.0691000000000001E-2</v>
      </c>
      <c r="D17" s="5">
        <v>80300</v>
      </c>
      <c r="E17" s="4">
        <f t="shared" si="1"/>
        <v>0.99379269999999997</v>
      </c>
      <c r="F17" s="4">
        <f t="shared" si="0"/>
        <v>0.98551630000000001</v>
      </c>
      <c r="G17" s="4">
        <f t="shared" si="0"/>
        <v>0.97723990000000005</v>
      </c>
      <c r="H17" s="30">
        <f t="shared" si="2"/>
        <v>78271.234225577587</v>
      </c>
      <c r="I17" s="17"/>
    </row>
    <row r="18" spans="2:9" x14ac:dyDescent="0.25">
      <c r="B18" s="3">
        <v>71</v>
      </c>
      <c r="C18" s="4">
        <v>2.2859999999999998E-2</v>
      </c>
      <c r="D18" s="5">
        <v>78639</v>
      </c>
      <c r="E18" s="4">
        <f t="shared" si="1"/>
        <v>0.99314199999999997</v>
      </c>
      <c r="F18" s="4">
        <f t="shared" si="0"/>
        <v>0.98399800000000004</v>
      </c>
      <c r="G18" s="4">
        <f t="shared" si="0"/>
        <v>0.974854</v>
      </c>
      <c r="H18" s="30">
        <f t="shared" si="2"/>
        <v>76474.072809064863</v>
      </c>
      <c r="I18" s="17"/>
    </row>
    <row r="19" spans="2:9" x14ac:dyDescent="0.25">
      <c r="B19" s="3">
        <v>72</v>
      </c>
      <c r="C19" s="4">
        <v>2.5080999999999999E-2</v>
      </c>
      <c r="D19" s="5">
        <v>76841</v>
      </c>
      <c r="E19" s="4">
        <f t="shared" si="1"/>
        <v>0.99247569999999996</v>
      </c>
      <c r="F19" s="4">
        <f t="shared" si="0"/>
        <v>0.98244330000000002</v>
      </c>
      <c r="G19" s="4">
        <f t="shared" si="0"/>
        <v>0.97241089999999997</v>
      </c>
      <c r="H19" s="30">
        <f t="shared" si="2"/>
        <v>74519.82934050636</v>
      </c>
      <c r="I19" s="17"/>
    </row>
    <row r="20" spans="2:9" x14ac:dyDescent="0.25">
      <c r="B20" s="3">
        <v>73</v>
      </c>
      <c r="C20" s="4">
        <v>2.7479E-2</v>
      </c>
      <c r="D20" s="5">
        <v>74914</v>
      </c>
      <c r="E20" s="4">
        <f t="shared" si="1"/>
        <v>0.99175630000000004</v>
      </c>
      <c r="F20" s="4">
        <f t="shared" si="0"/>
        <v>0.98076470000000004</v>
      </c>
      <c r="G20" s="4">
        <f t="shared" si="0"/>
        <v>0.96977310000000005</v>
      </c>
      <c r="H20" s="30">
        <f t="shared" si="2"/>
        <v>72405.976927443087</v>
      </c>
      <c r="I20" s="17"/>
    </row>
    <row r="21" spans="2:9" x14ac:dyDescent="0.25">
      <c r="B21" s="3">
        <v>74</v>
      </c>
      <c r="C21" s="4">
        <v>3.0193000000000001E-2</v>
      </c>
      <c r="D21" s="5">
        <v>72855</v>
      </c>
      <c r="E21" s="4">
        <f t="shared" si="1"/>
        <v>0.99094210000000005</v>
      </c>
      <c r="F21" s="4">
        <f t="shared" si="0"/>
        <v>0.97886490000000004</v>
      </c>
      <c r="G21" s="4">
        <f t="shared" si="0"/>
        <v>0.96678770000000003</v>
      </c>
      <c r="H21" s="30">
        <f t="shared" si="2"/>
        <v>70131.395884265337</v>
      </c>
      <c r="I21" s="17"/>
    </row>
    <row r="22" spans="2:9" x14ac:dyDescent="0.25">
      <c r="B22" s="3">
        <v>75</v>
      </c>
      <c r="C22" s="4">
        <v>3.3362000000000003E-2</v>
      </c>
      <c r="D22" s="5">
        <v>70656</v>
      </c>
      <c r="E22" s="4"/>
      <c r="F22" s="4"/>
      <c r="G22" s="4"/>
    </row>
    <row r="23" spans="2:9" x14ac:dyDescent="0.25">
      <c r="B23" s="3">
        <v>76</v>
      </c>
      <c r="C23" s="4">
        <v>3.7052000000000002E-2</v>
      </c>
      <c r="D23" s="5">
        <v>68299</v>
      </c>
      <c r="E23" s="4"/>
      <c r="F23" s="4"/>
      <c r="G23" s="4"/>
    </row>
    <row r="24" spans="2:9" x14ac:dyDescent="0.25">
      <c r="B24" s="3">
        <v>77</v>
      </c>
      <c r="C24" s="4">
        <v>4.1194000000000001E-2</v>
      </c>
      <c r="D24" s="5">
        <v>65768</v>
      </c>
      <c r="E24" s="5"/>
      <c r="F24" s="4"/>
      <c r="G24" s="6"/>
    </row>
    <row r="25" spans="2:9" x14ac:dyDescent="0.25">
      <c r="B25" s="3">
        <v>78</v>
      </c>
      <c r="C25" s="4">
        <v>4.5786E-2</v>
      </c>
      <c r="D25" s="5">
        <v>63059</v>
      </c>
      <c r="E25" s="5"/>
      <c r="F25" s="4"/>
      <c r="G25" s="6"/>
    </row>
    <row r="26" spans="2:9" x14ac:dyDescent="0.25">
      <c r="B26" s="3">
        <v>79</v>
      </c>
      <c r="C26" s="4">
        <v>5.1111999999999998E-2</v>
      </c>
      <c r="D26" s="5">
        <v>60171</v>
      </c>
      <c r="E26" s="5"/>
      <c r="F26" s="4"/>
      <c r="G26" s="6"/>
    </row>
    <row r="27" spans="2:9" x14ac:dyDescent="0.25">
      <c r="B27" s="3">
        <v>80</v>
      </c>
      <c r="C27" s="4">
        <v>5.7401000000000001E-2</v>
      </c>
      <c r="D27" s="5">
        <v>57096</v>
      </c>
      <c r="E27" s="5"/>
      <c r="F27" s="4"/>
      <c r="G27" s="6"/>
    </row>
    <row r="28" spans="2:9" x14ac:dyDescent="0.25">
      <c r="B28" s="3">
        <v>81</v>
      </c>
      <c r="C28" s="4">
        <v>6.4549999999999996E-2</v>
      </c>
      <c r="D28" s="5">
        <v>53819</v>
      </c>
      <c r="E28" s="5"/>
      <c r="F28" s="4"/>
      <c r="G28" s="6"/>
    </row>
    <row r="29" spans="2:9" x14ac:dyDescent="0.25">
      <c r="B29" s="3">
        <v>82</v>
      </c>
      <c r="C29" s="4">
        <v>7.2362999999999997E-2</v>
      </c>
      <c r="D29" s="5">
        <v>50345</v>
      </c>
      <c r="E29" s="5"/>
      <c r="F29" s="4"/>
      <c r="G29" s="6"/>
    </row>
    <row r="30" spans="2:9" x14ac:dyDescent="0.25">
      <c r="B30" s="3">
        <v>83</v>
      </c>
      <c r="C30" s="4">
        <v>8.0889000000000003E-2</v>
      </c>
      <c r="D30" s="5">
        <v>46702</v>
      </c>
      <c r="E30" s="5"/>
      <c r="F30" s="4"/>
      <c r="G30" s="6"/>
    </row>
    <row r="31" spans="2:9" x14ac:dyDescent="0.25">
      <c r="B31" s="3">
        <v>84</v>
      </c>
      <c r="C31" s="4">
        <v>9.0288999999999994E-2</v>
      </c>
      <c r="D31" s="5">
        <v>42924</v>
      </c>
      <c r="E31" s="5"/>
      <c r="F31" s="4"/>
      <c r="G31" s="6"/>
    </row>
    <row r="32" spans="2:9" x14ac:dyDescent="0.25">
      <c r="B32" s="3">
        <v>85</v>
      </c>
      <c r="C32" s="4">
        <v>0.100675</v>
      </c>
      <c r="D32" s="5">
        <v>39048</v>
      </c>
      <c r="E32" s="5"/>
      <c r="F32" s="4"/>
      <c r="G32" s="6"/>
    </row>
  </sheetData>
  <conditionalFormatting sqref="B7:B21">
    <cfRule type="cellIs" dxfId="0" priority="1" operator="equal">
      <formula>$K$5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47"/>
  <sheetViews>
    <sheetView workbookViewId="0">
      <selection activeCell="G20" sqref="G20"/>
    </sheetView>
  </sheetViews>
  <sheetFormatPr defaultRowHeight="15" x14ac:dyDescent="0.25"/>
  <cols>
    <col min="7" max="7" width="16.42578125" customWidth="1"/>
    <col min="9" max="11" width="9.140625" style="2"/>
  </cols>
  <sheetData>
    <row r="1" spans="3:14" s="2" customFormat="1" ht="15.75" thickBot="1" x14ac:dyDescent="0.3"/>
    <row r="2" spans="3:14" x14ac:dyDescent="0.25">
      <c r="I2" s="31" t="s">
        <v>25</v>
      </c>
      <c r="J2" s="32" t="s">
        <v>26</v>
      </c>
      <c r="K2" s="35" t="s">
        <v>30</v>
      </c>
    </row>
    <row r="3" spans="3:14" ht="15.75" thickBot="1" x14ac:dyDescent="0.3">
      <c r="I3" s="33">
        <f>SUM(I7:I61)*40/6</f>
        <v>0.49522374012925691</v>
      </c>
      <c r="J3" s="34">
        <f>SUM(J7:J61)*40/6</f>
        <v>6.5476383406985894</v>
      </c>
      <c r="K3" s="36">
        <f>J3/I3</f>
        <v>13.221576047605492</v>
      </c>
      <c r="L3">
        <f>N3+'Q3'!O3</f>
        <v>1.036</v>
      </c>
      <c r="N3">
        <v>1.03</v>
      </c>
    </row>
    <row r="4" spans="3:14" x14ac:dyDescent="0.25">
      <c r="L4">
        <f>'Q3'!O5</f>
        <v>68</v>
      </c>
    </row>
    <row r="5" spans="3:14" x14ac:dyDescent="0.25">
      <c r="L5" s="20">
        <v>6.0000000000000002E-6</v>
      </c>
    </row>
    <row r="6" spans="3:14" ht="18.75" x14ac:dyDescent="0.35">
      <c r="C6" s="19" t="s">
        <v>0</v>
      </c>
      <c r="D6" s="7" t="s">
        <v>4</v>
      </c>
      <c r="E6" s="18" t="s">
        <v>22</v>
      </c>
      <c r="F6" s="21" t="s">
        <v>23</v>
      </c>
      <c r="G6" s="7" t="s">
        <v>24</v>
      </c>
      <c r="H6" s="37" t="s">
        <v>32</v>
      </c>
    </row>
    <row r="7" spans="3:14" x14ac:dyDescent="0.25">
      <c r="C7">
        <f>L4</f>
        <v>68</v>
      </c>
      <c r="D7" s="16">
        <f>$L$5*C7^2</f>
        <v>2.7744000000000001E-2</v>
      </c>
      <c r="E7">
        <f>EXP(-$L$5/3*(C7^3-$C$7^3))</f>
        <v>1</v>
      </c>
      <c r="F7">
        <v>1</v>
      </c>
      <c r="G7">
        <f>D7*E7*F7</f>
        <v>2.7744000000000001E-2</v>
      </c>
      <c r="H7">
        <v>1</v>
      </c>
      <c r="I7" s="2">
        <f>G7*H7</f>
        <v>2.7744000000000001E-2</v>
      </c>
      <c r="J7" s="2">
        <v>0</v>
      </c>
    </row>
    <row r="8" spans="3:14" x14ac:dyDescent="0.25">
      <c r="C8">
        <f>C7+1</f>
        <v>69</v>
      </c>
      <c r="D8" s="16">
        <f t="shared" ref="D8:D47" si="0">$L$5*C8^2</f>
        <v>2.8566000000000001E-2</v>
      </c>
      <c r="E8" s="2">
        <f t="shared" ref="E8:E47" si="1">EXP(-$L$5/3*(C8^3-$C$7^3))</f>
        <v>0.97223863052274884</v>
      </c>
      <c r="F8">
        <f>F7/$L$3</f>
        <v>0.96525096525096521</v>
      </c>
    </row>
    <row r="9" spans="3:14" x14ac:dyDescent="0.25">
      <c r="C9" s="2">
        <f t="shared" ref="C9:C47" si="2">C8+1</f>
        <v>70</v>
      </c>
      <c r="D9" s="16">
        <f t="shared" si="0"/>
        <v>2.9399999999999999E-2</v>
      </c>
      <c r="E9" s="2">
        <f t="shared" si="1"/>
        <v>0.94446561330829948</v>
      </c>
      <c r="F9" s="2">
        <f t="shared" ref="F9:F47" si="3">F8/$L$3</f>
        <v>0.93170942591792005</v>
      </c>
    </row>
    <row r="10" spans="3:14" x14ac:dyDescent="0.25">
      <c r="C10" s="2">
        <f t="shared" si="2"/>
        <v>71</v>
      </c>
      <c r="D10" s="16">
        <f t="shared" si="0"/>
        <v>3.0246000000000002E-2</v>
      </c>
      <c r="E10" s="2">
        <f t="shared" si="1"/>
        <v>0.9167155968796894</v>
      </c>
      <c r="F10" s="2">
        <f t="shared" si="3"/>
        <v>0.89933342270069505</v>
      </c>
    </row>
    <row r="11" spans="3:14" x14ac:dyDescent="0.25">
      <c r="C11" s="2">
        <f t="shared" si="2"/>
        <v>72</v>
      </c>
      <c r="D11" s="16">
        <f t="shared" si="0"/>
        <v>3.1104E-2</v>
      </c>
      <c r="E11" s="2">
        <f t="shared" si="1"/>
        <v>0.88902315294474887</v>
      </c>
      <c r="F11" s="2">
        <f t="shared" si="3"/>
        <v>0.8680824543443002</v>
      </c>
    </row>
    <row r="12" spans="3:14" x14ac:dyDescent="0.25">
      <c r="C12" s="2">
        <f t="shared" si="2"/>
        <v>73</v>
      </c>
      <c r="D12" s="16">
        <f t="shared" si="0"/>
        <v>3.1974000000000002E-2</v>
      </c>
      <c r="E12" s="2">
        <f t="shared" si="1"/>
        <v>0.86142266059839367</v>
      </c>
      <c r="F12" s="2">
        <f t="shared" si="3"/>
        <v>0.83791742697326277</v>
      </c>
    </row>
    <row r="13" spans="3:14" x14ac:dyDescent="0.25">
      <c r="C13" s="2">
        <f t="shared" si="2"/>
        <v>74</v>
      </c>
      <c r="D13" s="16">
        <f t="shared" si="0"/>
        <v>3.2856000000000003E-2</v>
      </c>
      <c r="E13" s="2">
        <f t="shared" si="1"/>
        <v>0.83394819071320814</v>
      </c>
      <c r="F13" s="2">
        <f t="shared" si="3"/>
        <v>0.80880060518654706</v>
      </c>
    </row>
    <row r="14" spans="3:14" x14ac:dyDescent="0.25">
      <c r="C14" s="2">
        <f t="shared" si="2"/>
        <v>75</v>
      </c>
      <c r="D14" s="16">
        <f t="shared" si="0"/>
        <v>3.3750000000000002E-2</v>
      </c>
      <c r="E14" s="2">
        <f t="shared" si="1"/>
        <v>0.80663339114261257</v>
      </c>
      <c r="F14" s="2">
        <f t="shared" si="3"/>
        <v>0.78069556485187941</v>
      </c>
    </row>
    <row r="15" spans="3:14" x14ac:dyDescent="0.25">
      <c r="C15" s="2">
        <f t="shared" si="2"/>
        <v>76</v>
      </c>
      <c r="D15" s="16">
        <f t="shared" si="0"/>
        <v>3.4655999999999999E-2</v>
      </c>
      <c r="E15" s="2">
        <f t="shared" si="1"/>
        <v>0.7795113733654877</v>
      </c>
      <c r="F15" s="2">
        <f t="shared" si="3"/>
        <v>0.75356714754042409</v>
      </c>
    </row>
    <row r="16" spans="3:14" x14ac:dyDescent="0.25">
      <c r="C16" s="2">
        <f t="shared" si="2"/>
        <v>77</v>
      </c>
      <c r="D16" s="16">
        <f t="shared" si="0"/>
        <v>3.5574000000000001E-2</v>
      </c>
      <c r="E16" s="2">
        <f t="shared" si="1"/>
        <v>0.75261460120087664</v>
      </c>
      <c r="F16" s="2">
        <f t="shared" si="3"/>
        <v>0.72738141654481092</v>
      </c>
    </row>
    <row r="17" spans="3:12" x14ac:dyDescent="0.25">
      <c r="C17" s="2">
        <f t="shared" si="2"/>
        <v>78</v>
      </c>
      <c r="D17" s="16">
        <f t="shared" si="0"/>
        <v>3.6504000000000002E-2</v>
      </c>
      <c r="E17" s="2">
        <f t="shared" si="1"/>
        <v>0.72597478221621259</v>
      </c>
      <c r="F17" s="2">
        <f t="shared" si="3"/>
        <v>0.70210561442549313</v>
      </c>
    </row>
    <row r="18" spans="3:12" x14ac:dyDescent="0.25">
      <c r="C18" s="2">
        <f t="shared" si="2"/>
        <v>79</v>
      </c>
      <c r="D18" s="16">
        <f t="shared" si="0"/>
        <v>3.7446E-2</v>
      </c>
      <c r="E18" s="2">
        <f t="shared" si="1"/>
        <v>0.69962276244234356</v>
      </c>
      <c r="F18" s="2">
        <f t="shared" si="3"/>
        <v>0.67770812203232922</v>
      </c>
      <c r="L18" s="2"/>
    </row>
    <row r="19" spans="3:12" x14ac:dyDescent="0.25">
      <c r="C19" s="2">
        <f t="shared" si="2"/>
        <v>80</v>
      </c>
      <c r="D19" s="16">
        <f t="shared" si="0"/>
        <v>3.8400000000000004E-2</v>
      </c>
      <c r="E19" s="2">
        <f t="shared" si="1"/>
        <v>0.6735884249934404</v>
      </c>
      <c r="F19" s="2">
        <f t="shared" si="3"/>
        <v>0.65415841895012472</v>
      </c>
    </row>
    <row r="20" spans="3:12" x14ac:dyDescent="0.25">
      <c r="C20" s="2">
        <f t="shared" si="2"/>
        <v>81</v>
      </c>
      <c r="D20" s="16">
        <f t="shared" si="0"/>
        <v>3.9365999999999998E-2</v>
      </c>
      <c r="E20" s="2">
        <f t="shared" si="1"/>
        <v>0.64790059316971305</v>
      </c>
      <c r="F20" s="2">
        <f t="shared" si="3"/>
        <v>0.63142704531865324</v>
      </c>
    </row>
    <row r="21" spans="3:12" x14ac:dyDescent="0.25">
      <c r="C21" s="2">
        <f t="shared" si="2"/>
        <v>82</v>
      </c>
      <c r="D21" s="16">
        <f t="shared" si="0"/>
        <v>4.0343999999999998E-2</v>
      </c>
      <c r="E21" s="2">
        <f t="shared" si="1"/>
        <v>0.62258693859581249</v>
      </c>
      <c r="F21" s="2">
        <f t="shared" si="3"/>
        <v>0.60948556497939499</v>
      </c>
    </row>
    <row r="22" spans="3:12" x14ac:dyDescent="0.25">
      <c r="C22" s="2">
        <f t="shared" si="2"/>
        <v>83</v>
      </c>
      <c r="D22" s="16">
        <f t="shared" si="0"/>
        <v>4.1334000000000003E-2</v>
      </c>
      <c r="E22" s="2">
        <f t="shared" si="1"/>
        <v>0.59767389491800571</v>
      </c>
      <c r="F22" s="2">
        <f t="shared" si="3"/>
        <v>0.5883065299028909</v>
      </c>
    </row>
    <row r="23" spans="3:12" x14ac:dyDescent="0.25">
      <c r="C23" s="2">
        <f t="shared" si="2"/>
        <v>84</v>
      </c>
      <c r="D23" s="16">
        <f t="shared" si="0"/>
        <v>4.2335999999999999E-2</v>
      </c>
      <c r="E23" s="2">
        <f t="shared" si="1"/>
        <v>0.57318657754887581</v>
      </c>
      <c r="F23" s="2">
        <f t="shared" si="3"/>
        <v>0.56786344585221127</v>
      </c>
    </row>
    <row r="24" spans="3:12" x14ac:dyDescent="0.25">
      <c r="C24" s="2">
        <f t="shared" si="2"/>
        <v>85</v>
      </c>
      <c r="D24" s="16">
        <f t="shared" si="0"/>
        <v>4.335E-2</v>
      </c>
      <c r="E24" s="2">
        <f t="shared" si="1"/>
        <v>0.54914870990965992</v>
      </c>
      <c r="F24" s="2">
        <f t="shared" si="3"/>
        <v>0.54813073923958611</v>
      </c>
    </row>
    <row r="25" spans="3:12" x14ac:dyDescent="0.25">
      <c r="C25" s="2">
        <f t="shared" si="2"/>
        <v>86</v>
      </c>
      <c r="D25" s="16">
        <f t="shared" si="0"/>
        <v>4.4375999999999999E-2</v>
      </c>
      <c r="E25" s="2">
        <f t="shared" si="1"/>
        <v>0.52558255657770803</v>
      </c>
      <c r="F25" s="2">
        <f t="shared" si="3"/>
        <v>0.52908372513473556</v>
      </c>
    </row>
    <row r="26" spans="3:12" x14ac:dyDescent="0.25">
      <c r="C26" s="2">
        <f t="shared" si="2"/>
        <v>87</v>
      </c>
      <c r="D26" s="16">
        <f t="shared" si="0"/>
        <v>4.5414000000000003E-2</v>
      </c>
      <c r="E26" s="2">
        <f t="shared" si="1"/>
        <v>0.50250886370024883</v>
      </c>
      <c r="F26" s="2">
        <f t="shared" si="3"/>
        <v>0.51069857638487992</v>
      </c>
    </row>
    <row r="27" spans="3:12" x14ac:dyDescent="0.25">
      <c r="C27" s="2">
        <f t="shared" si="2"/>
        <v>88</v>
      </c>
      <c r="D27" s="16">
        <f t="shared" si="0"/>
        <v>4.6463999999999998E-2</v>
      </c>
      <c r="E27" s="2">
        <f t="shared" si="1"/>
        <v>0.47994680698610642</v>
      </c>
      <c r="F27" s="2">
        <f t="shared" si="3"/>
        <v>0.49295229380779915</v>
      </c>
      <c r="G27" s="2">
        <f>D27*E27*F27</f>
        <v>1.0992958620884412E-2</v>
      </c>
      <c r="H27">
        <v>4</v>
      </c>
      <c r="I27" s="2">
        <f>G27*H27</f>
        <v>4.3971834483537649E-2</v>
      </c>
      <c r="J27" s="2">
        <f>I27*20</f>
        <v>0.87943668967075295</v>
      </c>
    </row>
    <row r="28" spans="3:12" x14ac:dyDescent="0.25">
      <c r="C28" s="2">
        <f t="shared" si="2"/>
        <v>89</v>
      </c>
      <c r="D28" s="16">
        <f t="shared" si="0"/>
        <v>4.7525999999999999E-2</v>
      </c>
      <c r="E28" s="2">
        <f t="shared" si="1"/>
        <v>0.45791394753462522</v>
      </c>
      <c r="F28" s="2">
        <f t="shared" si="3"/>
        <v>0.47582267742065554</v>
      </c>
    </row>
    <row r="29" spans="3:12" x14ac:dyDescent="0.25">
      <c r="C29" s="2">
        <f t="shared" si="2"/>
        <v>90</v>
      </c>
      <c r="D29" s="16">
        <f t="shared" si="0"/>
        <v>4.8600000000000004E-2</v>
      </c>
      <c r="E29" s="2">
        <f t="shared" si="1"/>
        <v>0.43642619570632485</v>
      </c>
      <c r="F29" s="2">
        <f t="shared" si="3"/>
        <v>0.45928829866858639</v>
      </c>
    </row>
    <row r="30" spans="3:12" x14ac:dyDescent="0.25">
      <c r="C30" s="2">
        <f t="shared" si="2"/>
        <v>91</v>
      </c>
      <c r="D30" s="16">
        <f t="shared" si="0"/>
        <v>4.9686000000000001E-2</v>
      </c>
      <c r="E30" s="2">
        <f t="shared" si="1"/>
        <v>0.41549778318321023</v>
      </c>
      <c r="F30" s="2">
        <f t="shared" si="3"/>
        <v>0.44332847361832661</v>
      </c>
    </row>
    <row r="31" spans="3:12" x14ac:dyDescent="0.25">
      <c r="C31" s="2">
        <f t="shared" si="2"/>
        <v>92</v>
      </c>
      <c r="D31" s="16">
        <f t="shared" si="0"/>
        <v>5.0784000000000003E-2</v>
      </c>
      <c r="E31" s="2">
        <f t="shared" si="1"/>
        <v>0.3951412433087324</v>
      </c>
      <c r="F31" s="2">
        <f t="shared" si="3"/>
        <v>0.42792323708332686</v>
      </c>
    </row>
    <row r="32" spans="3:12" x14ac:dyDescent="0.25">
      <c r="C32" s="2">
        <f t="shared" si="2"/>
        <v>93</v>
      </c>
      <c r="D32" s="16">
        <f t="shared" si="0"/>
        <v>5.1894000000000003E-2</v>
      </c>
      <c r="E32" s="2">
        <f t="shared" si="1"/>
        <v>0.37536739973868821</v>
      </c>
      <c r="F32" s="2">
        <f t="shared" si="3"/>
        <v>0.41305331764799891</v>
      </c>
    </row>
    <row r="33" spans="3:10" x14ac:dyDescent="0.25">
      <c r="C33" s="2">
        <f t="shared" si="2"/>
        <v>94</v>
      </c>
      <c r="D33" s="16">
        <f t="shared" si="0"/>
        <v>5.3016000000000001E-2</v>
      </c>
      <c r="E33" s="2">
        <f t="shared" si="1"/>
        <v>0.35618536337541157</v>
      </c>
      <c r="F33" s="2">
        <f t="shared" si="3"/>
        <v>0.39870011355984447</v>
      </c>
    </row>
    <row r="34" spans="3:10" x14ac:dyDescent="0.25">
      <c r="C34" s="2">
        <f t="shared" si="2"/>
        <v>95</v>
      </c>
      <c r="D34" s="16">
        <f t="shared" si="0"/>
        <v>5.4150000000000004E-2</v>
      </c>
      <c r="E34" s="2">
        <f t="shared" si="1"/>
        <v>0.33760253749902536</v>
      </c>
      <c r="F34" s="2">
        <f t="shared" si="3"/>
        <v>0.38484566945930931</v>
      </c>
    </row>
    <row r="35" spans="3:10" x14ac:dyDescent="0.25">
      <c r="C35" s="2">
        <f t="shared" si="2"/>
        <v>96</v>
      </c>
      <c r="D35" s="16">
        <f t="shared" si="0"/>
        <v>5.5295999999999998E-2</v>
      </c>
      <c r="E35" s="2">
        <f t="shared" si="1"/>
        <v>0.31962463095185067</v>
      </c>
      <c r="F35" s="2">
        <f t="shared" si="3"/>
        <v>0.37147265391825224</v>
      </c>
    </row>
    <row r="36" spans="3:10" x14ac:dyDescent="0.25">
      <c r="C36" s="2">
        <f t="shared" si="2"/>
        <v>97</v>
      </c>
      <c r="D36" s="16">
        <f t="shared" si="0"/>
        <v>5.6454000000000004E-2</v>
      </c>
      <c r="E36" s="2">
        <f t="shared" si="1"/>
        <v>0.30225567917587098</v>
      </c>
      <c r="F36" s="2">
        <f t="shared" si="3"/>
        <v>0.35856433775893071</v>
      </c>
    </row>
    <row r="37" spans="3:10" x14ac:dyDescent="0.25">
      <c r="C37" s="2">
        <f t="shared" si="2"/>
        <v>98</v>
      </c>
      <c r="D37" s="16">
        <f t="shared" si="0"/>
        <v>5.7624000000000002E-2</v>
      </c>
      <c r="E37" s="2">
        <f t="shared" si="1"/>
        <v>0.28549807284897788</v>
      </c>
      <c r="F37" s="2">
        <f t="shared" si="3"/>
        <v>0.34610457312638099</v>
      </c>
    </row>
    <row r="38" spans="3:10" x14ac:dyDescent="0.25">
      <c r="C38" s="2">
        <f t="shared" si="2"/>
        <v>99</v>
      </c>
      <c r="D38" s="16">
        <f t="shared" si="0"/>
        <v>5.8806000000000004E-2</v>
      </c>
      <c r="E38" s="2">
        <f t="shared" si="1"/>
        <v>0.26935259381409332</v>
      </c>
      <c r="F38" s="2">
        <f t="shared" si="3"/>
        <v>0.33407777328801253</v>
      </c>
    </row>
    <row r="39" spans="3:10" x14ac:dyDescent="0.25">
      <c r="C39" s="2">
        <f t="shared" si="2"/>
        <v>100</v>
      </c>
      <c r="D39" s="16">
        <f t="shared" si="0"/>
        <v>6.0000000000000005E-2</v>
      </c>
      <c r="E39" s="2">
        <f t="shared" si="1"/>
        <v>0.25381845794668645</v>
      </c>
      <c r="F39" s="2">
        <f t="shared" si="3"/>
        <v>0.32246889313514721</v>
      </c>
    </row>
    <row r="40" spans="3:10" x14ac:dyDescent="0.25">
      <c r="C40" s="2">
        <f t="shared" si="2"/>
        <v>101</v>
      </c>
      <c r="D40" s="16">
        <f t="shared" si="0"/>
        <v>6.1206000000000003E-2</v>
      </c>
      <c r="E40" s="2">
        <f t="shared" si="1"/>
        <v>0.23889336456112542</v>
      </c>
      <c r="F40" s="2">
        <f t="shared" si="3"/>
        <v>0.31126341036211119</v>
      </c>
    </row>
    <row r="41" spans="3:10" x14ac:dyDescent="0.25">
      <c r="C41" s="2">
        <f t="shared" si="2"/>
        <v>102</v>
      </c>
      <c r="D41" s="16">
        <f t="shared" si="0"/>
        <v>6.2424E-2</v>
      </c>
      <c r="E41" s="2">
        <f t="shared" si="1"/>
        <v>0.22457355191517031</v>
      </c>
      <c r="F41" s="2">
        <f t="shared" si="3"/>
        <v>0.30044730729933511</v>
      </c>
    </row>
    <row r="42" spans="3:10" x14ac:dyDescent="0.25">
      <c r="C42" s="2">
        <f t="shared" si="2"/>
        <v>103</v>
      </c>
      <c r="D42" s="16">
        <f t="shared" si="0"/>
        <v>6.3654000000000002E-2</v>
      </c>
      <c r="E42" s="2">
        <f t="shared" si="1"/>
        <v>0.2108538583350818</v>
      </c>
      <c r="F42" s="2">
        <f t="shared" si="3"/>
        <v>0.29000705337773658</v>
      </c>
    </row>
    <row r="43" spans="3:10" x14ac:dyDescent="0.25">
      <c r="C43" s="2">
        <f t="shared" si="2"/>
        <v>104</v>
      </c>
      <c r="D43" s="16">
        <f t="shared" si="0"/>
        <v>6.4895999999999995E-2</v>
      </c>
      <c r="E43" s="2">
        <f t="shared" si="1"/>
        <v>0.1977277884516315</v>
      </c>
      <c r="F43" s="2">
        <f t="shared" si="3"/>
        <v>0.27992958820244845</v>
      </c>
    </row>
    <row r="44" spans="3:10" x14ac:dyDescent="0.25">
      <c r="C44" s="2">
        <f t="shared" si="2"/>
        <v>105</v>
      </c>
      <c r="D44" s="16">
        <f t="shared" si="0"/>
        <v>6.615E-2</v>
      </c>
      <c r="E44" s="2">
        <f t="shared" si="1"/>
        <v>0.18518758401002344</v>
      </c>
      <c r="F44" s="2">
        <f t="shared" si="3"/>
        <v>0.27020230521471855</v>
      </c>
    </row>
    <row r="45" spans="3:10" x14ac:dyDescent="0.25">
      <c r="C45" s="2">
        <f t="shared" si="2"/>
        <v>106</v>
      </c>
      <c r="D45" s="16">
        <f t="shared" si="0"/>
        <v>6.7416000000000004E-2</v>
      </c>
      <c r="E45" s="2">
        <f t="shared" si="1"/>
        <v>0.17322429869458383</v>
      </c>
      <c r="F45" s="2">
        <f t="shared" si="3"/>
        <v>0.26081303592154298</v>
      </c>
    </row>
    <row r="46" spans="3:10" x14ac:dyDescent="0.25">
      <c r="C46" s="2">
        <f t="shared" si="2"/>
        <v>107</v>
      </c>
      <c r="D46" s="16">
        <f t="shared" si="0"/>
        <v>6.8694000000000005E-2</v>
      </c>
      <c r="E46" s="2">
        <f t="shared" si="1"/>
        <v>0.16182787639220811</v>
      </c>
      <c r="F46" s="2">
        <f t="shared" si="3"/>
        <v>0.25175003467330404</v>
      </c>
    </row>
    <row r="47" spans="3:10" x14ac:dyDescent="0.25">
      <c r="C47" s="2">
        <f t="shared" si="2"/>
        <v>108</v>
      </c>
      <c r="D47" s="16">
        <f t="shared" si="0"/>
        <v>6.9984000000000005E-2</v>
      </c>
      <c r="E47" s="2">
        <f t="shared" si="1"/>
        <v>0.15098723230706096</v>
      </c>
      <c r="F47" s="2">
        <f t="shared" si="3"/>
        <v>0.24300196397037069</v>
      </c>
      <c r="G47" s="2">
        <f>D47*E47*F47</f>
        <v>2.5677265358508882E-3</v>
      </c>
      <c r="H47">
        <v>1</v>
      </c>
      <c r="I47" s="2">
        <f>G47*H47</f>
        <v>2.5677265358508882E-3</v>
      </c>
      <c r="J47" s="2">
        <f>I47*40</f>
        <v>0.10270906143403552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Q2</vt:lpstr>
      <vt:lpstr>Q3</vt:lpstr>
      <vt:lpstr>Q4</vt:lpstr>
      <vt:lpstr>Q5</vt:lpstr>
      <vt:lpstr>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Ridges Local User</dc:creator>
  <cp:lastModifiedBy>Peter Ridges Local User</cp:lastModifiedBy>
  <dcterms:created xsi:type="dcterms:W3CDTF">2020-10-07T13:17:13Z</dcterms:created>
  <dcterms:modified xsi:type="dcterms:W3CDTF">2021-01-01T16:22:36Z</dcterms:modified>
</cp:coreProperties>
</file>