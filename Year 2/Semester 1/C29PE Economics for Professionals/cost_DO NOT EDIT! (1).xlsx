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bcf56a11f402f5/Desktop/02_Courses/04_Economics/"/>
    </mc:Choice>
  </mc:AlternateContent>
  <xr:revisionPtr revIDLastSave="152" documentId="13_ncr:1_{B25ADC50-3FCD-429E-A49F-4187705E7C28}" xr6:coauthVersionLast="47" xr6:coauthVersionMax="47" xr10:uidLastSave="{C5D1D114-FB21-410A-8C82-EACC66553400}"/>
  <bookViews>
    <workbookView xWindow="-98" yWindow="-98" windowWidth="21795" windowHeight="12975" activeTab="1" xr2:uid="{654E88F1-C807-479D-924A-7B217D055367}"/>
  </bookViews>
  <sheets>
    <sheet name="Sheet 1" sheetId="2" r:id="rId1"/>
    <sheet name="Sheet 2" sheetId="5" r:id="rId2"/>
    <sheet name="Sheet 3" sheetId="11" r:id="rId3"/>
    <sheet name="Sheet4" sheetId="12" r:id="rId4"/>
    <sheet name="Sheet 5" sheetId="1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5" l="1"/>
  <c r="E6" i="5"/>
  <c r="C45" i="12"/>
  <c r="D45" i="12"/>
  <c r="C46" i="12"/>
  <c r="D46" i="12"/>
  <c r="C47" i="12"/>
  <c r="D47" i="12"/>
  <c r="C48" i="12"/>
  <c r="D48" i="12"/>
  <c r="C49" i="12"/>
  <c r="D49" i="12"/>
  <c r="C50" i="12"/>
  <c r="D50" i="12"/>
  <c r="C51" i="12"/>
  <c r="D51" i="12"/>
  <c r="C52" i="12"/>
  <c r="D52" i="12"/>
  <c r="H3" i="12"/>
  <c r="H4" i="12"/>
  <c r="H5" i="12"/>
  <c r="H6" i="12"/>
  <c r="H7" i="12"/>
  <c r="H8" i="12"/>
  <c r="H9" i="12"/>
  <c r="H10" i="12"/>
  <c r="H11" i="12"/>
  <c r="H2" i="12"/>
  <c r="B4" i="12"/>
  <c r="C4" i="12"/>
  <c r="D4" i="12"/>
  <c r="E4" i="12"/>
  <c r="F4" i="12"/>
  <c r="G4" i="12"/>
  <c r="B5" i="12"/>
  <c r="C5" i="12"/>
  <c r="D5" i="12"/>
  <c r="E5" i="12"/>
  <c r="F5" i="12"/>
  <c r="G5" i="12"/>
  <c r="B6" i="12"/>
  <c r="C6" i="12"/>
  <c r="D6" i="12"/>
  <c r="E6" i="12"/>
  <c r="F6" i="12"/>
  <c r="G6" i="12"/>
  <c r="B7" i="12"/>
  <c r="C7" i="12"/>
  <c r="D7" i="12"/>
  <c r="E7" i="12"/>
  <c r="F7" i="12"/>
  <c r="G7" i="12"/>
  <c r="B8" i="12"/>
  <c r="C8" i="12"/>
  <c r="D8" i="12"/>
  <c r="E8" i="12"/>
  <c r="F8" i="12"/>
  <c r="G8" i="12"/>
  <c r="B9" i="12"/>
  <c r="C9" i="12"/>
  <c r="D9" i="12"/>
  <c r="E9" i="12"/>
  <c r="F9" i="12"/>
  <c r="G9" i="12"/>
  <c r="B10" i="12"/>
  <c r="C10" i="12"/>
  <c r="D10" i="12"/>
  <c r="E10" i="12"/>
  <c r="F10" i="12"/>
  <c r="G10" i="12"/>
  <c r="B11" i="12"/>
  <c r="C11" i="12"/>
  <c r="D11" i="12"/>
  <c r="E11" i="12"/>
  <c r="F11" i="12"/>
  <c r="G11" i="12"/>
  <c r="B3" i="11"/>
  <c r="C3" i="11"/>
  <c r="D3" i="11"/>
  <c r="B4" i="11"/>
  <c r="C4" i="11"/>
  <c r="D4" i="11"/>
  <c r="B5" i="11"/>
  <c r="C5" i="11"/>
  <c r="D5" i="11"/>
  <c r="B6" i="11"/>
  <c r="C6" i="11"/>
  <c r="D6" i="11"/>
  <c r="B7" i="11"/>
  <c r="C7" i="11"/>
  <c r="D7" i="11"/>
  <c r="B8" i="11"/>
  <c r="C8" i="11"/>
  <c r="D8" i="11"/>
  <c r="B9" i="11"/>
  <c r="C9" i="11"/>
  <c r="D9" i="11"/>
  <c r="B10" i="11"/>
  <c r="C10" i="11"/>
  <c r="D10" i="11"/>
  <c r="D3" i="2"/>
  <c r="D4" i="2"/>
  <c r="D5" i="2"/>
  <c r="D6" i="2"/>
  <c r="D7" i="2"/>
  <c r="D8" i="2"/>
  <c r="D9" i="2"/>
  <c r="D10" i="2"/>
  <c r="D11" i="2"/>
  <c r="D2" i="2"/>
  <c r="C4" i="2"/>
  <c r="C5" i="2"/>
  <c r="C6" i="2"/>
  <c r="C7" i="2"/>
  <c r="C8" i="2"/>
  <c r="C9" i="2"/>
  <c r="C10" i="2"/>
  <c r="C11" i="2"/>
  <c r="C3" i="2"/>
  <c r="D44" i="12"/>
  <c r="C44" i="12"/>
  <c r="C43" i="12"/>
  <c r="D3" i="12"/>
  <c r="C3" i="12"/>
  <c r="B3" i="12"/>
  <c r="F3" i="12"/>
  <c r="G3" i="12"/>
  <c r="E3" i="12"/>
  <c r="D2" i="12"/>
  <c r="C2" i="12"/>
  <c r="B2" i="12"/>
  <c r="C2" i="11"/>
  <c r="B2" i="11"/>
  <c r="D2" i="11"/>
  <c r="G3" i="5"/>
  <c r="G4" i="5"/>
  <c r="G5" i="5"/>
  <c r="G6" i="5"/>
  <c r="H6" i="5"/>
  <c r="G7" i="5"/>
  <c r="H7" i="5" s="1"/>
  <c r="G8" i="5"/>
  <c r="G9" i="5"/>
  <c r="G10" i="5"/>
  <c r="H10" i="5"/>
  <c r="G11" i="5"/>
  <c r="E5" i="5"/>
  <c r="H5" i="5" s="1"/>
  <c r="E7" i="5"/>
  <c r="E8" i="5"/>
  <c r="E9" i="5"/>
  <c r="E10" i="5"/>
  <c r="E11" i="5"/>
  <c r="D5" i="5"/>
  <c r="D6" i="5"/>
  <c r="D7" i="5"/>
  <c r="D8" i="5"/>
  <c r="D9" i="5"/>
  <c r="D10" i="5"/>
  <c r="D11" i="5"/>
  <c r="C4" i="5"/>
  <c r="E4" i="5" s="1"/>
  <c r="C3" i="5"/>
  <c r="D3" i="5" s="1"/>
  <c r="C2" i="5"/>
  <c r="E2" i="5" s="1"/>
  <c r="H2" i="5" s="1"/>
  <c r="H4" i="5" l="1"/>
  <c r="H9" i="5"/>
  <c r="H8" i="5"/>
  <c r="H11" i="5"/>
  <c r="D4" i="5"/>
  <c r="E3" i="5"/>
  <c r="H3" i="5" s="1"/>
</calcChain>
</file>

<file path=xl/sharedStrings.xml><?xml version="1.0" encoding="utf-8"?>
<sst xmlns="http://schemas.openxmlformats.org/spreadsheetml/2006/main" count="109" uniqueCount="77">
  <si>
    <t>Labour</t>
  </si>
  <si>
    <t>TP</t>
  </si>
  <si>
    <t>MP</t>
  </si>
  <si>
    <t>AP</t>
  </si>
  <si>
    <t>Total (variable) cost</t>
  </si>
  <si>
    <t>MC</t>
  </si>
  <si>
    <t>AVC</t>
  </si>
  <si>
    <t>Fixed cost</t>
  </si>
  <si>
    <t>AFC</t>
  </si>
  <si>
    <t>Total AC</t>
  </si>
  <si>
    <t>Assume wage rate = $2/hr of labour</t>
  </si>
  <si>
    <t>AVERAGE MARGINAL RULE</t>
  </si>
  <si>
    <t>Q</t>
  </si>
  <si>
    <t>Total cost</t>
  </si>
  <si>
    <t>AC</t>
  </si>
  <si>
    <t>* Increasing returns to scale: production level left of min MC</t>
  </si>
  <si>
    <t>Decreasing returns to scale: production level to right of min MC</t>
  </si>
  <si>
    <t>Economies of scale: Left of min AC</t>
  </si>
  <si>
    <t>Diseconomies of scale: Right of min AC</t>
  </si>
  <si>
    <t>Price = AR</t>
  </si>
  <si>
    <t>TR</t>
  </si>
  <si>
    <t>MR</t>
  </si>
  <si>
    <t>AR</t>
  </si>
  <si>
    <t>Demand: P = 10 - Q</t>
  </si>
  <si>
    <t>MR = 10 -2Q</t>
  </si>
  <si>
    <t>*Set by the market</t>
  </si>
  <si>
    <t>Price taker</t>
  </si>
  <si>
    <t>Perfect competition</t>
  </si>
  <si>
    <t>Monopoly</t>
  </si>
  <si>
    <t>Monopolistic competition</t>
  </si>
  <si>
    <t>Oligopoly</t>
  </si>
  <si>
    <t>Number of firms</t>
  </si>
  <si>
    <t>Infinitely many firms</t>
  </si>
  <si>
    <t>One firm</t>
  </si>
  <si>
    <t>Few firms</t>
  </si>
  <si>
    <t>Ease of entry into industry/entry barriers</t>
  </si>
  <si>
    <t>Easy to enter/exit</t>
  </si>
  <si>
    <t>Impossible to enter</t>
  </si>
  <si>
    <t>Difficult to enter</t>
  </si>
  <si>
    <t>Market power</t>
  </si>
  <si>
    <t>Zero</t>
  </si>
  <si>
    <t>High</t>
  </si>
  <si>
    <t>Moderate to high</t>
  </si>
  <si>
    <t>Product differentiation</t>
  </si>
  <si>
    <t>None</t>
  </si>
  <si>
    <t>Yes</t>
  </si>
  <si>
    <t>Possible</t>
  </si>
  <si>
    <t>Knowledge of market</t>
  </si>
  <si>
    <t>Perfect knowledge</t>
  </si>
  <si>
    <t>Can vary</t>
  </si>
  <si>
    <t>Supply curve</t>
  </si>
  <si>
    <t>Marginal cost</t>
  </si>
  <si>
    <t>Price taker/maker</t>
  </si>
  <si>
    <t>Taker</t>
  </si>
  <si>
    <t>Maker</t>
  </si>
  <si>
    <t>Usually maker</t>
  </si>
  <si>
    <t>Welfare effects</t>
  </si>
  <si>
    <t>Good</t>
  </si>
  <si>
    <t>Not favourable usually</t>
  </si>
  <si>
    <t>Strategic behaviour/interdependence of firms</t>
  </si>
  <si>
    <t>No interdependence</t>
  </si>
  <si>
    <t>Interdependent firms</t>
  </si>
  <si>
    <t>Motive/objective of existence</t>
  </si>
  <si>
    <t>Max profit</t>
  </si>
  <si>
    <t>Shut down in short run</t>
  </si>
  <si>
    <t>shut down : TR &lt; TVC or AR &lt; AVC</t>
  </si>
  <si>
    <t>Short run behavior</t>
  </si>
  <si>
    <t>Max profit, can make profit/loss</t>
  </si>
  <si>
    <t>Long run behaviour</t>
  </si>
  <si>
    <t>Profit - encourage entry, loss - leads to exit, supply adjusts, price adjusts, zero profit eventually</t>
  </si>
  <si>
    <t>No entry/exit, same as short run</t>
  </si>
  <si>
    <t>Profit - can encourage entry, loss - leads to exit, but what happens eventually depends also on incumbent firm response. May act to deter competition and entry into industry</t>
  </si>
  <si>
    <t>Examples</t>
  </si>
  <si>
    <t>Market for agriculture products</t>
  </si>
  <si>
    <t>Business that involves heavy capital investments, e.g. utility, telecommunication</t>
  </si>
  <si>
    <t>Stalls/shops in malls</t>
  </si>
  <si>
    <t>Oil and gas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</si>
</sst>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/>
    <xf numFmtId="0" fontId="0" fillId="2" borderId="0" xfId="0" applyFill="1"/>
    <xf numFmtId="2" fontId="0" fillId="2" borderId="0" xfId="0" applyNumberFormat="1" applyFill="1"/>
    <xf numFmtId="2" fontId="0" fillId="3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'Sheet 1'!$A$2:$A$11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'Sheet 1'!$C$2:$C$11</c:f>
              <c:numCache>
                <c:formatCode>General</c:formatCode>
                <c:ptCount val="10"/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9</c:v>
                </c:pt>
                <c:pt idx="5">
                  <c:v>7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5-424A-AF6E-34033EDE3EF9}"/>
            </c:ext>
          </c:extLst>
        </c:ser>
        <c:ser>
          <c:idx val="1"/>
          <c:order val="1"/>
          <c:tx>
            <c:v>AP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'Sheet 1'!$D$2:$D$11</c:f>
              <c:numCache>
                <c:formatCode>General</c:formatCode>
                <c:ptCount val="10"/>
                <c:pt idx="0">
                  <c:v>4</c:v>
                </c:pt>
                <c:pt idx="1">
                  <c:v>6</c:v>
                </c:pt>
                <c:pt idx="2">
                  <c:v>7.333333333333333</c:v>
                </c:pt>
                <c:pt idx="3">
                  <c:v>8.5</c:v>
                </c:pt>
                <c:pt idx="4">
                  <c:v>8.6</c:v>
                </c:pt>
                <c:pt idx="5">
                  <c:v>8.3333333333333339</c:v>
                </c:pt>
                <c:pt idx="6">
                  <c:v>8</c:v>
                </c:pt>
                <c:pt idx="7">
                  <c:v>7.5</c:v>
                </c:pt>
                <c:pt idx="8">
                  <c:v>6.8888888888888893</c:v>
                </c:pt>
                <c:pt idx="9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5-424A-AF6E-34033EDE3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9386944"/>
        <c:axId val="1784388464"/>
      </c:lineChart>
      <c:catAx>
        <c:axId val="115938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88464"/>
        <c:crosses val="autoZero"/>
        <c:auto val="1"/>
        <c:lblAlgn val="ctr"/>
        <c:lblOffset val="100"/>
        <c:noMultiLvlLbl val="0"/>
      </c:catAx>
      <c:valAx>
        <c:axId val="178438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38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Average total cost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2'!$J$2:$J$11</c:f>
              <c:numCache>
                <c:formatCode>General</c:formatCode>
                <c:ptCount val="10"/>
                <c:pt idx="0">
                  <c:v>4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43</c:v>
                </c:pt>
                <c:pt idx="5">
                  <c:v>50</c:v>
                </c:pt>
                <c:pt idx="6">
                  <c:v>56</c:v>
                </c:pt>
                <c:pt idx="7">
                  <c:v>60</c:v>
                </c:pt>
                <c:pt idx="8">
                  <c:v>62</c:v>
                </c:pt>
                <c:pt idx="9">
                  <c:v>63</c:v>
                </c:pt>
              </c:numCache>
            </c:numRef>
          </c:xVal>
          <c:yVal>
            <c:numRef>
              <c:f>'Sheet 2'!$K$2:$K$11</c:f>
              <c:numCache>
                <c:formatCode>General</c:formatCode>
                <c:ptCount val="10"/>
                <c:pt idx="0">
                  <c:v>1.75</c:v>
                </c:pt>
                <c:pt idx="1">
                  <c:v>0.75</c:v>
                </c:pt>
                <c:pt idx="2">
                  <c:v>0.5</c:v>
                </c:pt>
                <c:pt idx="3">
                  <c:v>0.38235294117647056</c:v>
                </c:pt>
                <c:pt idx="4">
                  <c:v>0.34883720930232559</c:v>
                </c:pt>
                <c:pt idx="5">
                  <c:v>0.33999999999999997</c:v>
                </c:pt>
                <c:pt idx="6">
                  <c:v>0.3392857142857143</c:v>
                </c:pt>
                <c:pt idx="7">
                  <c:v>0.35</c:v>
                </c:pt>
                <c:pt idx="8">
                  <c:v>0.37096774193548387</c:v>
                </c:pt>
                <c:pt idx="9">
                  <c:v>0.3968253968253968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11-4CF7-83FA-AB9D036C8DC5}"/>
            </c:ext>
          </c:extLst>
        </c:ser>
        <c:ser>
          <c:idx val="1"/>
          <c:order val="1"/>
          <c:tx>
            <c:v>AVC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2'!$J$2:$J$11</c:f>
              <c:numCache>
                <c:formatCode>General</c:formatCode>
                <c:ptCount val="10"/>
                <c:pt idx="0">
                  <c:v>4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43</c:v>
                </c:pt>
                <c:pt idx="5">
                  <c:v>50</c:v>
                </c:pt>
                <c:pt idx="6">
                  <c:v>56</c:v>
                </c:pt>
                <c:pt idx="7">
                  <c:v>60</c:v>
                </c:pt>
                <c:pt idx="8">
                  <c:v>62</c:v>
                </c:pt>
                <c:pt idx="9">
                  <c:v>63</c:v>
                </c:pt>
              </c:numCache>
            </c:numRef>
          </c:xVal>
          <c:yVal>
            <c:numRef>
              <c:f>'Sheet 2'!$E$2:$E$11</c:f>
              <c:numCache>
                <c:formatCode>0.00</c:formatCode>
                <c:ptCount val="10"/>
                <c:pt idx="0">
                  <c:v>0.5</c:v>
                </c:pt>
                <c:pt idx="1">
                  <c:v>0.33333333333333331</c:v>
                </c:pt>
                <c:pt idx="2">
                  <c:v>0.27272727272727271</c:v>
                </c:pt>
                <c:pt idx="3">
                  <c:v>0.23529411764705882</c:v>
                </c:pt>
                <c:pt idx="4">
                  <c:v>0.23255813953488372</c:v>
                </c:pt>
                <c:pt idx="5">
                  <c:v>0.24</c:v>
                </c:pt>
                <c:pt idx="6">
                  <c:v>0.25</c:v>
                </c:pt>
                <c:pt idx="7">
                  <c:v>0.26666666666666666</c:v>
                </c:pt>
                <c:pt idx="8">
                  <c:v>0.29032258064516131</c:v>
                </c:pt>
                <c:pt idx="9">
                  <c:v>0.31746031746031744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11-4CF7-83FA-AB9D036C8DC5}"/>
            </c:ext>
          </c:extLst>
        </c:ser>
        <c:ser>
          <c:idx val="2"/>
          <c:order val="2"/>
          <c:tx>
            <c:v>MC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 2'!$J$2:$J$11</c:f>
              <c:numCache>
                <c:formatCode>General</c:formatCode>
                <c:ptCount val="10"/>
                <c:pt idx="0">
                  <c:v>4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43</c:v>
                </c:pt>
                <c:pt idx="5">
                  <c:v>50</c:v>
                </c:pt>
                <c:pt idx="6">
                  <c:v>56</c:v>
                </c:pt>
                <c:pt idx="7">
                  <c:v>60</c:v>
                </c:pt>
                <c:pt idx="8">
                  <c:v>62</c:v>
                </c:pt>
                <c:pt idx="9">
                  <c:v>63</c:v>
                </c:pt>
              </c:numCache>
            </c:numRef>
          </c:xVal>
          <c:yVal>
            <c:numRef>
              <c:f>'Sheet 2'!$D$2:$D$11</c:f>
              <c:numCache>
                <c:formatCode>0.00</c:formatCode>
                <c:ptCount val="10"/>
                <c:pt idx="1">
                  <c:v>0.25</c:v>
                </c:pt>
                <c:pt idx="2">
                  <c:v>0.2</c:v>
                </c:pt>
                <c:pt idx="3">
                  <c:v>0.16666666666666666</c:v>
                </c:pt>
                <c:pt idx="4">
                  <c:v>0.22222222222222221</c:v>
                </c:pt>
                <c:pt idx="5">
                  <c:v>0.2857142857142857</c:v>
                </c:pt>
                <c:pt idx="6">
                  <c:v>0.33333333333333331</c:v>
                </c:pt>
                <c:pt idx="7">
                  <c:v>0.5</c:v>
                </c:pt>
                <c:pt idx="8">
                  <c:v>1</c:v>
                </c:pt>
                <c:pt idx="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11-4CF7-83FA-AB9D036C8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817023"/>
        <c:axId val="1515221791"/>
      </c:scatterChart>
      <c:valAx>
        <c:axId val="33381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221791"/>
        <c:crosses val="autoZero"/>
        <c:crossBetween val="midCat"/>
      </c:valAx>
      <c:valAx>
        <c:axId val="1515221791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81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AVC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2'!$J$20:$J$29</c:f>
              <c:numCache>
                <c:formatCode>General</c:formatCode>
                <c:ptCount val="10"/>
                <c:pt idx="0">
                  <c:v>4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43</c:v>
                </c:pt>
                <c:pt idx="5">
                  <c:v>50</c:v>
                </c:pt>
                <c:pt idx="6">
                  <c:v>56</c:v>
                </c:pt>
                <c:pt idx="7">
                  <c:v>60</c:v>
                </c:pt>
                <c:pt idx="8">
                  <c:v>62</c:v>
                </c:pt>
                <c:pt idx="9">
                  <c:v>63</c:v>
                </c:pt>
              </c:numCache>
            </c:numRef>
          </c:xVal>
          <c:yVal>
            <c:numRef>
              <c:f>'Sheet 2'!$K$20:$K$29</c:f>
              <c:numCache>
                <c:formatCode>General</c:formatCode>
                <c:ptCount val="10"/>
                <c:pt idx="0">
                  <c:v>0.5</c:v>
                </c:pt>
                <c:pt idx="1">
                  <c:v>0.33333333333333331</c:v>
                </c:pt>
                <c:pt idx="2">
                  <c:v>0.27272727272727271</c:v>
                </c:pt>
                <c:pt idx="3">
                  <c:v>0.23529411764705882</c:v>
                </c:pt>
                <c:pt idx="4">
                  <c:v>0.23255813953488372</c:v>
                </c:pt>
                <c:pt idx="5">
                  <c:v>0.24</c:v>
                </c:pt>
                <c:pt idx="6">
                  <c:v>0.25</c:v>
                </c:pt>
                <c:pt idx="7">
                  <c:v>0.26666666666666666</c:v>
                </c:pt>
                <c:pt idx="8">
                  <c:v>0.29032258064516131</c:v>
                </c:pt>
                <c:pt idx="9">
                  <c:v>0.31746031746031744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1B-491B-B072-20EE092B07B1}"/>
            </c:ext>
          </c:extLst>
        </c:ser>
        <c:ser>
          <c:idx val="1"/>
          <c:order val="1"/>
          <c:tx>
            <c:v>MC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2'!$J$20:$J$29</c:f>
              <c:numCache>
                <c:formatCode>General</c:formatCode>
                <c:ptCount val="10"/>
                <c:pt idx="0">
                  <c:v>4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43</c:v>
                </c:pt>
                <c:pt idx="5">
                  <c:v>50</c:v>
                </c:pt>
                <c:pt idx="6">
                  <c:v>56</c:v>
                </c:pt>
                <c:pt idx="7">
                  <c:v>60</c:v>
                </c:pt>
                <c:pt idx="8">
                  <c:v>62</c:v>
                </c:pt>
                <c:pt idx="9">
                  <c:v>63</c:v>
                </c:pt>
              </c:numCache>
            </c:numRef>
          </c:xVal>
          <c:yVal>
            <c:numRef>
              <c:f>'Sheet 2'!$D$2:$D$11</c:f>
              <c:numCache>
                <c:formatCode>0.00</c:formatCode>
                <c:ptCount val="10"/>
                <c:pt idx="1">
                  <c:v>0.25</c:v>
                </c:pt>
                <c:pt idx="2">
                  <c:v>0.2</c:v>
                </c:pt>
                <c:pt idx="3">
                  <c:v>0.16666666666666666</c:v>
                </c:pt>
                <c:pt idx="4">
                  <c:v>0.22222222222222221</c:v>
                </c:pt>
                <c:pt idx="5">
                  <c:v>0.2857142857142857</c:v>
                </c:pt>
                <c:pt idx="6">
                  <c:v>0.33333333333333331</c:v>
                </c:pt>
                <c:pt idx="7">
                  <c:v>0.5</c:v>
                </c:pt>
                <c:pt idx="8">
                  <c:v>1</c:v>
                </c:pt>
                <c:pt idx="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1B-491B-B072-20EE092B0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871167"/>
        <c:axId val="348894079"/>
      </c:scatterChart>
      <c:valAx>
        <c:axId val="34787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894079"/>
        <c:crosses val="autoZero"/>
        <c:crossBetween val="midCat"/>
      </c:valAx>
      <c:valAx>
        <c:axId val="3488940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871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'Sheet 3'!$A$2:$A$10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'Sheet 3'!$D$2:$D$9</c:f>
              <c:numCache>
                <c:formatCode>0.00</c:formatCode>
                <c:ptCount val="8"/>
                <c:pt idx="0">
                  <c:v>41</c:v>
                </c:pt>
                <c:pt idx="1">
                  <c:v>34</c:v>
                </c:pt>
                <c:pt idx="2">
                  <c:v>29</c:v>
                </c:pt>
                <c:pt idx="3">
                  <c:v>26</c:v>
                </c:pt>
                <c:pt idx="4">
                  <c:v>25</c:v>
                </c:pt>
                <c:pt idx="5">
                  <c:v>26</c:v>
                </c:pt>
                <c:pt idx="6">
                  <c:v>29</c:v>
                </c:pt>
                <c:pt idx="7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BB-45D2-B971-B9DF54BB925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'Sheet 3'!$A$2:$A$10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'Sheet 3'!$C$2:$C$9</c:f>
              <c:numCache>
                <c:formatCode>0.00</c:formatCode>
                <c:ptCount val="8"/>
                <c:pt idx="0">
                  <c:v>33</c:v>
                </c:pt>
                <c:pt idx="1">
                  <c:v>22</c:v>
                </c:pt>
                <c:pt idx="2">
                  <c:v>17</c:v>
                </c:pt>
                <c:pt idx="3">
                  <c:v>18</c:v>
                </c:pt>
                <c:pt idx="4">
                  <c:v>25</c:v>
                </c:pt>
                <c:pt idx="5">
                  <c:v>38</c:v>
                </c:pt>
                <c:pt idx="6">
                  <c:v>57</c:v>
                </c:pt>
                <c:pt idx="7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BB-45D2-B971-B9DF54BB9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710271"/>
        <c:axId val="697389455"/>
      </c:lineChart>
      <c:catAx>
        <c:axId val="101971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89455"/>
        <c:crosses val="autoZero"/>
        <c:auto val="1"/>
        <c:lblAlgn val="ctr"/>
        <c:lblOffset val="100"/>
        <c:noMultiLvlLbl val="0"/>
      </c:catAx>
      <c:valAx>
        <c:axId val="697389455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1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'Sheet 3'!$A$2:$A$10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'Sheet 3'!$D$2:$D$9</c:f>
              <c:numCache>
                <c:formatCode>0.00</c:formatCode>
                <c:ptCount val="8"/>
                <c:pt idx="0">
                  <c:v>41</c:v>
                </c:pt>
                <c:pt idx="1">
                  <c:v>34</c:v>
                </c:pt>
                <c:pt idx="2">
                  <c:v>29</c:v>
                </c:pt>
                <c:pt idx="3">
                  <c:v>26</c:v>
                </c:pt>
                <c:pt idx="4">
                  <c:v>25</c:v>
                </c:pt>
                <c:pt idx="5">
                  <c:v>26</c:v>
                </c:pt>
                <c:pt idx="6">
                  <c:v>29</c:v>
                </c:pt>
                <c:pt idx="7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31-477D-B808-66D2BC2D7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710271"/>
        <c:axId val="697389455"/>
      </c:lineChart>
      <c:catAx>
        <c:axId val="101971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89455"/>
        <c:crosses val="autoZero"/>
        <c:auto val="1"/>
        <c:lblAlgn val="ctr"/>
        <c:lblOffset val="100"/>
        <c:noMultiLvlLbl val="0"/>
      </c:catAx>
      <c:valAx>
        <c:axId val="697389455"/>
        <c:scaling>
          <c:orientation val="minMax"/>
          <c:max val="45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1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Sheet4!$C$2:$C$11</c:f>
              <c:numCache>
                <c:formatCode>General</c:formatCode>
                <c:ptCount val="10"/>
                <c:pt idx="0">
                  <c:v>9</c:v>
                </c:pt>
                <c:pt idx="1">
                  <c:v>16</c:v>
                </c:pt>
                <c:pt idx="2">
                  <c:v>21</c:v>
                </c:pt>
                <c:pt idx="3">
                  <c:v>24</c:v>
                </c:pt>
                <c:pt idx="4">
                  <c:v>25</c:v>
                </c:pt>
                <c:pt idx="5">
                  <c:v>24</c:v>
                </c:pt>
                <c:pt idx="6">
                  <c:v>21</c:v>
                </c:pt>
                <c:pt idx="7">
                  <c:v>16</c:v>
                </c:pt>
                <c:pt idx="8">
                  <c:v>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86-43A9-BAC0-970D99F58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657807"/>
        <c:axId val="1049495247"/>
      </c:lineChart>
      <c:catAx>
        <c:axId val="69865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495247"/>
        <c:crosses val="autoZero"/>
        <c:auto val="1"/>
        <c:lblAlgn val="ctr"/>
        <c:lblOffset val="100"/>
        <c:noMultiLvlLbl val="0"/>
      </c:catAx>
      <c:valAx>
        <c:axId val="1049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65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Sheet4!$B$2:$B$11</c:f>
              <c:numCache>
                <c:formatCode>General</c:formatCode>
                <c:ptCount val="10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8-46F6-854F-4A84603BD91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Sheet4!$D$2:$D$11</c:f>
              <c:numCache>
                <c:formatCode>General</c:formatCode>
                <c:ptCount val="10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-2</c:v>
                </c:pt>
                <c:pt idx="6">
                  <c:v>-4</c:v>
                </c:pt>
                <c:pt idx="7">
                  <c:v>-6</c:v>
                </c:pt>
                <c:pt idx="8">
                  <c:v>-8</c:v>
                </c:pt>
                <c:pt idx="9">
                  <c:v>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48-46F6-854F-4A84603BD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666383"/>
        <c:axId val="1049486815"/>
      </c:lineChart>
      <c:catAx>
        <c:axId val="698666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486815"/>
        <c:crosses val="autoZero"/>
        <c:auto val="1"/>
        <c:lblAlgn val="ctr"/>
        <c:lblOffset val="100"/>
        <c:noMultiLvlLbl val="0"/>
      </c:catAx>
      <c:valAx>
        <c:axId val="1049486815"/>
        <c:scaling>
          <c:orientation val="minMax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66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Sheet4!$A$43:$A$52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Sheet4!$C$43:$C$52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8E-4EDD-A9F3-634FA19B5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661583"/>
        <c:axId val="1049459039"/>
      </c:lineChart>
      <c:catAx>
        <c:axId val="69866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459039"/>
        <c:crosses val="autoZero"/>
        <c:auto val="1"/>
        <c:lblAlgn val="ctr"/>
        <c:lblOffset val="100"/>
        <c:noMultiLvlLbl val="0"/>
      </c:catAx>
      <c:valAx>
        <c:axId val="104945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66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Sheet4!$A$43:$A$52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Sheet4!$B$43:$B$52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3-488F-A506-D63AABA9B44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Sheet4!$D$43:$D$52</c:f>
              <c:numCache>
                <c:formatCode>General</c:formatCode>
                <c:ptCount val="10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73-488F-A506-D63AABA9B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661583"/>
        <c:axId val="1049459039"/>
      </c:lineChart>
      <c:catAx>
        <c:axId val="69866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459039"/>
        <c:crosses val="autoZero"/>
        <c:auto val="1"/>
        <c:lblAlgn val="ctr"/>
        <c:lblOffset val="100"/>
        <c:noMultiLvlLbl val="0"/>
      </c:catAx>
      <c:valAx>
        <c:axId val="1049459039"/>
        <c:scaling>
          <c:orientation val="minMax"/>
          <c:max val="10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66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47625</xdr:rowOff>
    </xdr:from>
    <xdr:to>
      <xdr:col>13</xdr:col>
      <xdr:colOff>333375</xdr:colOff>
      <xdr:row>19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F29BEE-1F81-458E-4C3D-0D0556384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290467</xdr:colOff>
      <xdr:row>0</xdr:row>
      <xdr:rowOff>137310</xdr:rowOff>
    </xdr:from>
    <xdr:to>
      <xdr:col>19</xdr:col>
      <xdr:colOff>584704</xdr:colOff>
      <xdr:row>15</xdr:row>
      <xdr:rowOff>164470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5E40D0-F205-BC48-EBB0-3FB8E915B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252743</xdr:colOff>
      <xdr:row>18</xdr:row>
      <xdr:rowOff>144855</xdr:rowOff>
    </xdr:from>
    <xdr:to>
      <xdr:col>19</xdr:col>
      <xdr:colOff>546980</xdr:colOff>
      <xdr:row>33</xdr:row>
      <xdr:rowOff>172016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F58DBB-FB92-3BD8-8815-18B0850D4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571500</xdr:colOff>
      <xdr:row>24</xdr:row>
      <xdr:rowOff>123825</xdr:rowOff>
    </xdr:from>
    <xdr:to>
      <xdr:col>20</xdr:col>
      <xdr:colOff>371475</xdr:colOff>
      <xdr:row>27</xdr:row>
      <xdr:rowOff>85725</xdr:rowOff>
    </xdr:to>
    <xdr:sp macro="" textlink="">
      <xdr:nvSpPr>
        <xdr:cNvPr id="4" name="Left Arrow 3">
          <a:extLst>
            <a:ext uri="{FF2B5EF4-FFF2-40B4-BE49-F238E27FC236}">
              <a16:creationId xmlns:a16="http://schemas.microsoft.com/office/drawing/2014/main" id="{F80266A4-EDD8-4823-BC38-6C9B1C39B049}"/>
            </a:ext>
            <a:ext uri="{147F2762-F138-4A5C-976F-8EAC2B608ADB}">
              <a16:predDERef xmlns:a16="http://schemas.microsoft.com/office/drawing/2014/main" pred="{21F58DBB-FB92-3BD8-8815-18B0850D4E9A}"/>
            </a:ext>
          </a:extLst>
        </xdr:cNvPr>
        <xdr:cNvSpPr/>
      </xdr:nvSpPr>
      <xdr:spPr>
        <a:xfrm rot="21388713">
          <a:off x="13096875" y="4467225"/>
          <a:ext cx="1019175" cy="5048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0</xdr:row>
      <xdr:rowOff>118110</xdr:rowOff>
    </xdr:from>
    <xdr:to>
      <xdr:col>12</xdr:col>
      <xdr:colOff>289560</xdr:colOff>
      <xdr:row>15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2F444B-7B56-C948-E80A-3CDEA6A8F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64477</xdr:rowOff>
    </xdr:from>
    <xdr:to>
      <xdr:col>12</xdr:col>
      <xdr:colOff>304800</xdr:colOff>
      <xdr:row>37</xdr:row>
      <xdr:rowOff>64476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D5F49C-3F32-47F5-A8DA-940FE56A5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314325</xdr:colOff>
      <xdr:row>16</xdr:row>
      <xdr:rowOff>0</xdr:rowOff>
    </xdr:from>
    <xdr:to>
      <xdr:col>4</xdr:col>
      <xdr:colOff>114300</xdr:colOff>
      <xdr:row>18</xdr:row>
      <xdr:rowOff>142875</xdr:rowOff>
    </xdr:to>
    <xdr:sp macro="" textlink="">
      <xdr:nvSpPr>
        <xdr:cNvPr id="2" name="Left Arrow 1">
          <a:extLst>
            <a:ext uri="{FF2B5EF4-FFF2-40B4-BE49-F238E27FC236}">
              <a16:creationId xmlns:a16="http://schemas.microsoft.com/office/drawing/2014/main" id="{B38AAAFC-5A1D-46BB-A715-2BAE8AFED44C}"/>
            </a:ext>
            <a:ext uri="{147F2762-F138-4A5C-976F-8EAC2B608ADB}">
              <a16:predDERef xmlns:a16="http://schemas.microsoft.com/office/drawing/2014/main" pred="{3FD5F49C-3F32-47F5-A8DA-940FE56A5385}"/>
            </a:ext>
          </a:extLst>
        </xdr:cNvPr>
        <xdr:cNvSpPr/>
      </xdr:nvSpPr>
      <xdr:spPr>
        <a:xfrm rot="8937271">
          <a:off x="1619250" y="2895600"/>
          <a:ext cx="1019175" cy="5048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565152</xdr:colOff>
      <xdr:row>0</xdr:row>
      <xdr:rowOff>0</xdr:rowOff>
    </xdr:from>
    <xdr:to>
      <xdr:col>16</xdr:col>
      <xdr:colOff>247482</xdr:colOff>
      <xdr:row>15</xdr:row>
      <xdr:rowOff>27161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BC38BA69-4A92-A320-D80D-285861E94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101852</xdr:colOff>
      <xdr:row>21</xdr:row>
      <xdr:rowOff>152400</xdr:rowOff>
    </xdr:from>
    <xdr:to>
      <xdr:col>14</xdr:col>
      <xdr:colOff>396090</xdr:colOff>
      <xdr:row>36</xdr:row>
      <xdr:rowOff>179560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12CFF2-B3BA-543A-FE9C-FD7DE4BF1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430039</xdr:colOff>
      <xdr:row>6</xdr:row>
      <xdr:rowOff>98079</xdr:rowOff>
    </xdr:from>
    <xdr:to>
      <xdr:col>10</xdr:col>
      <xdr:colOff>452673</xdr:colOff>
      <xdr:row>34</xdr:row>
      <xdr:rowOff>7544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65C3031-E4C1-53A9-94FA-47FB48EBCD06}"/>
            </a:ext>
          </a:extLst>
        </xdr:cNvPr>
        <xdr:cNvCxnSpPr/>
      </xdr:nvCxnSpPr>
      <xdr:spPr>
        <a:xfrm flipH="1">
          <a:off x="6873089" y="1184495"/>
          <a:ext cx="22634" cy="49794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86762</xdr:colOff>
      <xdr:row>41</xdr:row>
      <xdr:rowOff>144855</xdr:rowOff>
    </xdr:from>
    <xdr:to>
      <xdr:col>14</xdr:col>
      <xdr:colOff>381000</xdr:colOff>
      <xdr:row>56</xdr:row>
      <xdr:rowOff>172016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CF501BF-3CC8-B716-C897-795A3CC0B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98080</xdr:colOff>
      <xdr:row>57</xdr:row>
      <xdr:rowOff>82990</xdr:rowOff>
    </xdr:from>
    <xdr:to>
      <xdr:col>14</xdr:col>
      <xdr:colOff>392318</xdr:colOff>
      <xdr:row>72</xdr:row>
      <xdr:rowOff>110150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DF9B1A6-982C-4D42-9CEA-2BE55332D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300038</xdr:colOff>
      <xdr:row>22</xdr:row>
      <xdr:rowOff>90487</xdr:rowOff>
    </xdr:from>
    <xdr:to>
      <xdr:col>10</xdr:col>
      <xdr:colOff>414338</xdr:colOff>
      <xdr:row>25</xdr:row>
      <xdr:rowOff>71437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A71E1768-2B3E-C3BA-2D08-79E60793AD09}"/>
            </a:ext>
            <a:ext uri="{147F2762-F138-4A5C-976F-8EAC2B608ADB}">
              <a16:predDERef xmlns:a16="http://schemas.microsoft.com/office/drawing/2014/main" pred="{4DF9B1A6-982C-4D42-9CEA-2BE55332D52E}"/>
            </a:ext>
          </a:extLst>
        </xdr:cNvPr>
        <xdr:cNvSpPr/>
      </xdr:nvSpPr>
      <xdr:spPr>
        <a:xfrm rot="17723755">
          <a:off x="5867400" y="3667125"/>
          <a:ext cx="523875" cy="1333500"/>
        </a:xfrm>
        <a:prstGeom prst="rightBrace">
          <a:avLst/>
        </a:prstGeom>
        <a:ln w="38100">
          <a:solidFill>
            <a:srgbClr val="0070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CF56-C7B8-440F-9A18-93DC78CE4E84}">
  <dimension ref="A1:D11"/>
  <sheetViews>
    <sheetView zoomScale="106" zoomScaleNormal="205" workbookViewId="0">
      <selection activeCell="B14" sqref="B14"/>
    </sheetView>
  </sheetViews>
  <sheetFormatPr defaultRowHeight="14.25" x14ac:dyDescent="0.45"/>
  <sheetData>
    <row r="1" spans="1:4" x14ac:dyDescent="0.4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45">
      <c r="A2">
        <v>1</v>
      </c>
      <c r="B2">
        <v>4</v>
      </c>
      <c r="D2">
        <f>B2/A2</f>
        <v>4</v>
      </c>
    </row>
    <row r="3" spans="1:4" x14ac:dyDescent="0.45">
      <c r="A3">
        <v>2</v>
      </c>
      <c r="B3">
        <v>12</v>
      </c>
      <c r="C3">
        <f>(B3-B2)/(A3-A2)</f>
        <v>8</v>
      </c>
      <c r="D3">
        <f t="shared" ref="D3:D11" si="0">B3/A3</f>
        <v>6</v>
      </c>
    </row>
    <row r="4" spans="1:4" x14ac:dyDescent="0.45">
      <c r="A4">
        <v>3</v>
      </c>
      <c r="B4">
        <v>22</v>
      </c>
      <c r="C4">
        <f t="shared" ref="C4:C11" si="1">(B4-B3)/(A4-A3)</f>
        <v>10</v>
      </c>
      <c r="D4">
        <f t="shared" si="0"/>
        <v>7.333333333333333</v>
      </c>
    </row>
    <row r="5" spans="1:4" x14ac:dyDescent="0.45">
      <c r="A5">
        <v>4</v>
      </c>
      <c r="B5">
        <v>34</v>
      </c>
      <c r="C5">
        <f t="shared" si="1"/>
        <v>12</v>
      </c>
      <c r="D5">
        <f t="shared" si="0"/>
        <v>8.5</v>
      </c>
    </row>
    <row r="6" spans="1:4" x14ac:dyDescent="0.45">
      <c r="A6">
        <v>5</v>
      </c>
      <c r="B6">
        <v>43</v>
      </c>
      <c r="C6">
        <f t="shared" si="1"/>
        <v>9</v>
      </c>
      <c r="D6">
        <f t="shared" si="0"/>
        <v>8.6</v>
      </c>
    </row>
    <row r="7" spans="1:4" x14ac:dyDescent="0.45">
      <c r="A7">
        <v>6</v>
      </c>
      <c r="B7">
        <v>50</v>
      </c>
      <c r="C7">
        <f t="shared" si="1"/>
        <v>7</v>
      </c>
      <c r="D7">
        <f t="shared" si="0"/>
        <v>8.3333333333333339</v>
      </c>
    </row>
    <row r="8" spans="1:4" x14ac:dyDescent="0.45">
      <c r="A8">
        <v>7</v>
      </c>
      <c r="B8">
        <v>56</v>
      </c>
      <c r="C8">
        <f t="shared" si="1"/>
        <v>6</v>
      </c>
      <c r="D8">
        <f t="shared" si="0"/>
        <v>8</v>
      </c>
    </row>
    <row r="9" spans="1:4" x14ac:dyDescent="0.45">
      <c r="A9">
        <v>8</v>
      </c>
      <c r="B9">
        <v>60</v>
      </c>
      <c r="C9">
        <f t="shared" si="1"/>
        <v>4</v>
      </c>
      <c r="D9">
        <f t="shared" si="0"/>
        <v>7.5</v>
      </c>
    </row>
    <row r="10" spans="1:4" x14ac:dyDescent="0.45">
      <c r="A10">
        <v>9</v>
      </c>
      <c r="B10">
        <v>62</v>
      </c>
      <c r="C10">
        <f t="shared" si="1"/>
        <v>2</v>
      </c>
      <c r="D10">
        <f t="shared" si="0"/>
        <v>6.8888888888888893</v>
      </c>
    </row>
    <row r="11" spans="1:4" x14ac:dyDescent="0.45">
      <c r="A11">
        <v>10</v>
      </c>
      <c r="B11">
        <v>63</v>
      </c>
      <c r="C11">
        <f t="shared" si="1"/>
        <v>1</v>
      </c>
      <c r="D11">
        <f t="shared" si="0"/>
        <v>6.3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0758-058F-4028-9F25-4525E50977DD}">
  <dimension ref="A1:O40"/>
  <sheetViews>
    <sheetView tabSelected="1" zoomScale="82" workbookViewId="0">
      <selection activeCell="L6" sqref="L6"/>
    </sheetView>
  </sheetViews>
  <sheetFormatPr defaultRowHeight="14.25" x14ac:dyDescent="0.45"/>
  <cols>
    <col min="2" max="2" width="9.1328125" customWidth="1"/>
    <col min="3" max="3" width="19.73046875" customWidth="1"/>
    <col min="4" max="4" width="22.265625" customWidth="1"/>
    <col min="5" max="5" width="17.86328125" customWidth="1"/>
  </cols>
  <sheetData>
    <row r="1" spans="1:11" x14ac:dyDescent="0.45">
      <c r="A1" s="4" t="s">
        <v>0</v>
      </c>
      <c r="B1" s="4" t="s">
        <v>1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</row>
    <row r="2" spans="1:11" x14ac:dyDescent="0.45">
      <c r="A2">
        <v>1</v>
      </c>
      <c r="B2" s="9">
        <v>4</v>
      </c>
      <c r="C2">
        <f>1*2</f>
        <v>2</v>
      </c>
      <c r="D2" s="1"/>
      <c r="E2" s="7">
        <f>C2/B2</f>
        <v>0.5</v>
      </c>
      <c r="F2">
        <v>5</v>
      </c>
      <c r="G2" s="1">
        <f>F2/B2</f>
        <v>1.25</v>
      </c>
      <c r="H2" s="6">
        <f>G2+E2</f>
        <v>1.75</v>
      </c>
      <c r="I2" s="1"/>
      <c r="J2" s="9">
        <v>4</v>
      </c>
      <c r="K2" s="5">
        <v>1.75</v>
      </c>
    </row>
    <row r="3" spans="1:11" x14ac:dyDescent="0.45">
      <c r="A3">
        <v>2</v>
      </c>
      <c r="B3" s="9">
        <v>12</v>
      </c>
      <c r="C3">
        <f>2*2</f>
        <v>4</v>
      </c>
      <c r="D3" s="1">
        <f>(C3-C2)/(B3-B2)</f>
        <v>0.25</v>
      </c>
      <c r="E3" s="7">
        <f t="shared" ref="E3:E11" si="0">C3/B3</f>
        <v>0.33333333333333331</v>
      </c>
      <c r="F3">
        <v>5</v>
      </c>
      <c r="G3" s="1">
        <f t="shared" ref="G3:G11" si="1">F3/B3</f>
        <v>0.41666666666666669</v>
      </c>
      <c r="H3" s="6">
        <f t="shared" ref="H3:H11" si="2">G3+E3</f>
        <v>0.75</v>
      </c>
      <c r="I3" s="1"/>
      <c r="J3" s="9">
        <v>12</v>
      </c>
      <c r="K3" s="5">
        <v>0.75</v>
      </c>
    </row>
    <row r="4" spans="1:11" x14ac:dyDescent="0.45">
      <c r="A4">
        <v>3</v>
      </c>
      <c r="B4" s="9">
        <v>22</v>
      </c>
      <c r="C4">
        <f>2*3</f>
        <v>6</v>
      </c>
      <c r="D4" s="1">
        <f t="shared" ref="D4:D11" si="3">(C4-C3)/(B4-B3)</f>
        <v>0.2</v>
      </c>
      <c r="E4" s="7">
        <f t="shared" si="0"/>
        <v>0.27272727272727271</v>
      </c>
      <c r="F4">
        <v>5</v>
      </c>
      <c r="G4" s="1">
        <f t="shared" si="1"/>
        <v>0.22727272727272727</v>
      </c>
      <c r="H4" s="6">
        <f t="shared" si="2"/>
        <v>0.5</v>
      </c>
      <c r="I4" s="1"/>
      <c r="J4" s="9">
        <v>22</v>
      </c>
      <c r="K4" s="5">
        <v>0.5</v>
      </c>
    </row>
    <row r="5" spans="1:11" x14ac:dyDescent="0.45">
      <c r="A5">
        <v>4</v>
      </c>
      <c r="B5" s="9">
        <v>34</v>
      </c>
      <c r="C5">
        <v>8</v>
      </c>
      <c r="D5" s="1">
        <f t="shared" si="3"/>
        <v>0.16666666666666666</v>
      </c>
      <c r="E5" s="7">
        <f t="shared" si="0"/>
        <v>0.23529411764705882</v>
      </c>
      <c r="F5">
        <v>5</v>
      </c>
      <c r="G5" s="1">
        <f t="shared" si="1"/>
        <v>0.14705882352941177</v>
      </c>
      <c r="H5" s="6">
        <f t="shared" si="2"/>
        <v>0.38235294117647056</v>
      </c>
      <c r="I5" s="1"/>
      <c r="J5" s="9">
        <v>34</v>
      </c>
      <c r="K5" s="5">
        <v>0.38235294117647056</v>
      </c>
    </row>
    <row r="6" spans="1:11" x14ac:dyDescent="0.45">
      <c r="A6">
        <v>5</v>
      </c>
      <c r="B6" s="9">
        <v>43</v>
      </c>
      <c r="C6">
        <v>10</v>
      </c>
      <c r="D6" s="1">
        <f t="shared" si="3"/>
        <v>0.22222222222222221</v>
      </c>
      <c r="E6" s="7">
        <f>C6/B6</f>
        <v>0.23255813953488372</v>
      </c>
      <c r="F6">
        <v>5</v>
      </c>
      <c r="G6" s="1">
        <f t="shared" si="1"/>
        <v>0.11627906976744186</v>
      </c>
      <c r="H6" s="6">
        <f t="shared" si="2"/>
        <v>0.34883720930232559</v>
      </c>
      <c r="I6" s="1"/>
      <c r="J6" s="9">
        <v>43</v>
      </c>
      <c r="K6" s="5">
        <v>0.34883720930232559</v>
      </c>
    </row>
    <row r="7" spans="1:11" x14ac:dyDescent="0.45">
      <c r="A7">
        <v>6</v>
      </c>
      <c r="B7" s="9">
        <v>50</v>
      </c>
      <c r="C7">
        <v>12</v>
      </c>
      <c r="D7" s="1">
        <f t="shared" si="3"/>
        <v>0.2857142857142857</v>
      </c>
      <c r="E7" s="7">
        <f t="shared" si="0"/>
        <v>0.24</v>
      </c>
      <c r="F7">
        <v>5</v>
      </c>
      <c r="G7" s="1">
        <f t="shared" si="1"/>
        <v>0.1</v>
      </c>
      <c r="H7" s="6">
        <f t="shared" si="2"/>
        <v>0.33999999999999997</v>
      </c>
      <c r="I7" s="1"/>
      <c r="J7" s="9">
        <v>50</v>
      </c>
      <c r="K7" s="5">
        <v>0.33999999999999997</v>
      </c>
    </row>
    <row r="8" spans="1:11" x14ac:dyDescent="0.45">
      <c r="A8">
        <v>7</v>
      </c>
      <c r="B8" s="9">
        <v>56</v>
      </c>
      <c r="C8">
        <v>14</v>
      </c>
      <c r="D8" s="1">
        <f t="shared" si="3"/>
        <v>0.33333333333333331</v>
      </c>
      <c r="E8" s="7">
        <f t="shared" si="0"/>
        <v>0.25</v>
      </c>
      <c r="F8">
        <v>5</v>
      </c>
      <c r="G8" s="1">
        <f t="shared" si="1"/>
        <v>8.9285714285714288E-2</v>
      </c>
      <c r="H8" s="6">
        <f t="shared" si="2"/>
        <v>0.3392857142857143</v>
      </c>
      <c r="I8" s="1"/>
      <c r="J8" s="9">
        <v>56</v>
      </c>
      <c r="K8" s="5">
        <v>0.3392857142857143</v>
      </c>
    </row>
    <row r="9" spans="1:11" x14ac:dyDescent="0.45">
      <c r="A9">
        <v>8</v>
      </c>
      <c r="B9" s="9">
        <v>60</v>
      </c>
      <c r="C9">
        <v>16</v>
      </c>
      <c r="D9" s="1">
        <f t="shared" si="3"/>
        <v>0.5</v>
      </c>
      <c r="E9" s="7">
        <f t="shared" si="0"/>
        <v>0.26666666666666666</v>
      </c>
      <c r="F9">
        <v>5</v>
      </c>
      <c r="G9" s="1">
        <f t="shared" si="1"/>
        <v>8.3333333333333329E-2</v>
      </c>
      <c r="H9" s="6">
        <f t="shared" si="2"/>
        <v>0.35</v>
      </c>
      <c r="I9" s="1"/>
      <c r="J9" s="9">
        <v>60</v>
      </c>
      <c r="K9" s="5">
        <v>0.35</v>
      </c>
    </row>
    <row r="10" spans="1:11" x14ac:dyDescent="0.45">
      <c r="A10">
        <v>9</v>
      </c>
      <c r="B10" s="9">
        <v>62</v>
      </c>
      <c r="C10">
        <v>18</v>
      </c>
      <c r="D10" s="1">
        <f t="shared" si="3"/>
        <v>1</v>
      </c>
      <c r="E10" s="7">
        <f t="shared" si="0"/>
        <v>0.29032258064516131</v>
      </c>
      <c r="F10">
        <v>5</v>
      </c>
      <c r="G10" s="1">
        <f t="shared" si="1"/>
        <v>8.0645161290322578E-2</v>
      </c>
      <c r="H10" s="6">
        <f t="shared" si="2"/>
        <v>0.37096774193548387</v>
      </c>
      <c r="I10" s="1"/>
      <c r="J10" s="9">
        <v>62</v>
      </c>
      <c r="K10" s="5">
        <v>0.37096774193548387</v>
      </c>
    </row>
    <row r="11" spans="1:11" x14ac:dyDescent="0.45">
      <c r="A11">
        <v>10</v>
      </c>
      <c r="B11" s="9">
        <v>63</v>
      </c>
      <c r="C11">
        <v>20</v>
      </c>
      <c r="D11" s="1">
        <f t="shared" si="3"/>
        <v>2</v>
      </c>
      <c r="E11" s="7">
        <f t="shared" si="0"/>
        <v>0.31746031746031744</v>
      </c>
      <c r="F11">
        <v>5</v>
      </c>
      <c r="G11" s="1">
        <f t="shared" si="1"/>
        <v>7.9365079365079361E-2</v>
      </c>
      <c r="H11" s="6">
        <f t="shared" si="2"/>
        <v>0.3968253968253968</v>
      </c>
      <c r="I11" s="1"/>
      <c r="J11" s="9">
        <v>63</v>
      </c>
      <c r="K11" s="5">
        <v>0.3968253968253968</v>
      </c>
    </row>
    <row r="13" spans="1:11" x14ac:dyDescent="0.45">
      <c r="A13" t="s">
        <v>10</v>
      </c>
    </row>
    <row r="20" spans="10:11" x14ac:dyDescent="0.45">
      <c r="J20" s="9">
        <v>4</v>
      </c>
      <c r="K20" s="8">
        <v>0.5</v>
      </c>
    </row>
    <row r="21" spans="10:11" x14ac:dyDescent="0.45">
      <c r="J21" s="9">
        <v>12</v>
      </c>
      <c r="K21" s="8">
        <v>0.33333333333333331</v>
      </c>
    </row>
    <row r="22" spans="10:11" x14ac:dyDescent="0.45">
      <c r="J22" s="9">
        <v>22</v>
      </c>
      <c r="K22" s="8">
        <v>0.27272727272727271</v>
      </c>
    </row>
    <row r="23" spans="10:11" x14ac:dyDescent="0.45">
      <c r="J23" s="9">
        <v>34</v>
      </c>
      <c r="K23" s="8">
        <v>0.23529411764705882</v>
      </c>
    </row>
    <row r="24" spans="10:11" x14ac:dyDescent="0.45">
      <c r="J24" s="9">
        <v>43</v>
      </c>
      <c r="K24" s="8">
        <v>0.23255813953488372</v>
      </c>
    </row>
    <row r="25" spans="10:11" x14ac:dyDescent="0.45">
      <c r="J25" s="9">
        <v>50</v>
      </c>
      <c r="K25" s="8">
        <v>0.24</v>
      </c>
    </row>
    <row r="26" spans="10:11" x14ac:dyDescent="0.45">
      <c r="J26" s="9">
        <v>56</v>
      </c>
      <c r="K26" s="8">
        <v>0.25</v>
      </c>
    </row>
    <row r="27" spans="10:11" x14ac:dyDescent="0.45">
      <c r="J27" s="9">
        <v>60</v>
      </c>
      <c r="K27" s="8">
        <v>0.26666666666666666</v>
      </c>
    </row>
    <row r="28" spans="10:11" x14ac:dyDescent="0.45">
      <c r="J28" s="9">
        <v>62</v>
      </c>
      <c r="K28" s="8">
        <v>0.29032258064516131</v>
      </c>
    </row>
    <row r="29" spans="10:11" x14ac:dyDescent="0.45">
      <c r="J29" s="9">
        <v>63</v>
      </c>
      <c r="K29" s="8">
        <v>0.31746031746031744</v>
      </c>
    </row>
    <row r="40" spans="15:15" x14ac:dyDescent="0.45">
      <c r="O40" t="s">
        <v>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D306-7371-4B6F-8444-CEAD396922C1}">
  <dimension ref="A1:F41"/>
  <sheetViews>
    <sheetView zoomScale="75" zoomScaleNormal="130" workbookViewId="0">
      <selection activeCell="F41" sqref="F41"/>
    </sheetView>
  </sheetViews>
  <sheetFormatPr defaultRowHeight="14.25" x14ac:dyDescent="0.45"/>
  <cols>
    <col min="2" max="2" width="10.265625" customWidth="1"/>
    <col min="3" max="4" width="9.1328125" style="1"/>
  </cols>
  <sheetData>
    <row r="1" spans="1:4" x14ac:dyDescent="0.45">
      <c r="A1" t="s">
        <v>12</v>
      </c>
      <c r="B1" t="s">
        <v>13</v>
      </c>
      <c r="C1" s="1" t="s">
        <v>5</v>
      </c>
      <c r="D1" s="1" t="s">
        <v>14</v>
      </c>
    </row>
    <row r="2" spans="1:4" x14ac:dyDescent="0.45">
      <c r="A2">
        <v>1</v>
      </c>
      <c r="B2">
        <f>50*(A2)-10*(A2)^2+A2^3</f>
        <v>41</v>
      </c>
      <c r="C2" s="1">
        <f>50-20*A2+3*A2^2</f>
        <v>33</v>
      </c>
      <c r="D2" s="1">
        <f>50-10*A2+A2^2</f>
        <v>41</v>
      </c>
    </row>
    <row r="3" spans="1:4" x14ac:dyDescent="0.45">
      <c r="A3">
        <v>2</v>
      </c>
      <c r="B3">
        <f t="shared" ref="B3:B10" si="0">50*(A3)-10*(A3)^2+A3^3</f>
        <v>68</v>
      </c>
      <c r="C3" s="1">
        <f t="shared" ref="C3:C10" si="1">50-20*A3+3*A3^2</f>
        <v>22</v>
      </c>
      <c r="D3" s="1">
        <f t="shared" ref="D3:D10" si="2">50-10*A3+A3^2</f>
        <v>34</v>
      </c>
    </row>
    <row r="4" spans="1:4" x14ac:dyDescent="0.45">
      <c r="A4">
        <v>3</v>
      </c>
      <c r="B4">
        <f t="shared" si="0"/>
        <v>87</v>
      </c>
      <c r="C4" s="1">
        <f t="shared" si="1"/>
        <v>17</v>
      </c>
      <c r="D4" s="1">
        <f t="shared" si="2"/>
        <v>29</v>
      </c>
    </row>
    <row r="5" spans="1:4" x14ac:dyDescent="0.45">
      <c r="A5">
        <v>4</v>
      </c>
      <c r="B5">
        <f t="shared" si="0"/>
        <v>104</v>
      </c>
      <c r="C5" s="1">
        <f t="shared" si="1"/>
        <v>18</v>
      </c>
      <c r="D5" s="1">
        <f t="shared" si="2"/>
        <v>26</v>
      </c>
    </row>
    <row r="6" spans="1:4" x14ac:dyDescent="0.45">
      <c r="A6">
        <v>5</v>
      </c>
      <c r="B6">
        <f t="shared" si="0"/>
        <v>125</v>
      </c>
      <c r="C6" s="1">
        <f t="shared" si="1"/>
        <v>25</v>
      </c>
      <c r="D6" s="1">
        <f t="shared" si="2"/>
        <v>25</v>
      </c>
    </row>
    <row r="7" spans="1:4" x14ac:dyDescent="0.45">
      <c r="A7">
        <v>6</v>
      </c>
      <c r="B7">
        <f t="shared" si="0"/>
        <v>156</v>
      </c>
      <c r="C7" s="1">
        <f t="shared" si="1"/>
        <v>38</v>
      </c>
      <c r="D7" s="1">
        <f t="shared" si="2"/>
        <v>26</v>
      </c>
    </row>
    <row r="8" spans="1:4" x14ac:dyDescent="0.45">
      <c r="A8">
        <v>7</v>
      </c>
      <c r="B8">
        <f t="shared" si="0"/>
        <v>203</v>
      </c>
      <c r="C8" s="1">
        <f t="shared" si="1"/>
        <v>57</v>
      </c>
      <c r="D8" s="1">
        <f t="shared" si="2"/>
        <v>29</v>
      </c>
    </row>
    <row r="9" spans="1:4" x14ac:dyDescent="0.45">
      <c r="A9">
        <v>8</v>
      </c>
      <c r="B9">
        <f t="shared" si="0"/>
        <v>272</v>
      </c>
      <c r="C9" s="1">
        <f t="shared" si="1"/>
        <v>82</v>
      </c>
      <c r="D9" s="1">
        <f t="shared" si="2"/>
        <v>34</v>
      </c>
    </row>
    <row r="10" spans="1:4" x14ac:dyDescent="0.45">
      <c r="A10">
        <v>9</v>
      </c>
      <c r="B10">
        <f t="shared" si="0"/>
        <v>369</v>
      </c>
      <c r="C10" s="1">
        <f t="shared" si="1"/>
        <v>113</v>
      </c>
      <c r="D10" s="1">
        <f t="shared" si="2"/>
        <v>41</v>
      </c>
    </row>
    <row r="18" spans="6:6" x14ac:dyDescent="0.45">
      <c r="F18" t="s">
        <v>15</v>
      </c>
    </row>
    <row r="19" spans="6:6" x14ac:dyDescent="0.45">
      <c r="F19" t="s">
        <v>16</v>
      </c>
    </row>
    <row r="40" spans="6:6" x14ac:dyDescent="0.45">
      <c r="F40" t="s">
        <v>17</v>
      </c>
    </row>
    <row r="41" spans="6:6" x14ac:dyDescent="0.45">
      <c r="F41" t="s">
        <v>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8B74-F351-4D95-9F37-BEE572458057}">
  <dimension ref="A1:H55"/>
  <sheetViews>
    <sheetView zoomScale="61" zoomScaleNormal="61" workbookViewId="0">
      <selection activeCell="G27" sqref="G27"/>
    </sheetView>
  </sheetViews>
  <sheetFormatPr defaultRowHeight="14.25" x14ac:dyDescent="0.45"/>
  <cols>
    <col min="1" max="2" width="11.265625" customWidth="1"/>
  </cols>
  <sheetData>
    <row r="1" spans="1:8" x14ac:dyDescent="0.45">
      <c r="A1" t="s">
        <v>12</v>
      </c>
      <c r="B1" t="s">
        <v>19</v>
      </c>
      <c r="C1" t="s">
        <v>20</v>
      </c>
      <c r="D1" t="s">
        <v>21</v>
      </c>
      <c r="H1" t="s">
        <v>22</v>
      </c>
    </row>
    <row r="2" spans="1:8" x14ac:dyDescent="0.45">
      <c r="A2">
        <v>1</v>
      </c>
      <c r="B2">
        <f>10-A2</f>
        <v>9</v>
      </c>
      <c r="C2">
        <f>B2*A2</f>
        <v>9</v>
      </c>
      <c r="D2">
        <f>10-2*A2</f>
        <v>8</v>
      </c>
      <c r="H2">
        <f>C2/A2</f>
        <v>9</v>
      </c>
    </row>
    <row r="3" spans="1:8" x14ac:dyDescent="0.45">
      <c r="A3">
        <v>2</v>
      </c>
      <c r="B3">
        <f>10-A3</f>
        <v>8</v>
      </c>
      <c r="C3">
        <f>B3*A3</f>
        <v>16</v>
      </c>
      <c r="D3">
        <f>10-2*A3</f>
        <v>6</v>
      </c>
      <c r="E3">
        <f>(A3-A2)*2/(A2+A3)</f>
        <v>0.66666666666666663</v>
      </c>
      <c r="F3">
        <f>(B3-B2)*2/(B2+B3)</f>
        <v>-0.11764705882352941</v>
      </c>
      <c r="G3">
        <f>E3/F3</f>
        <v>-5.6666666666666661</v>
      </c>
      <c r="H3">
        <f t="shared" ref="H3:H11" si="0">C3/A3</f>
        <v>8</v>
      </c>
    </row>
    <row r="4" spans="1:8" x14ac:dyDescent="0.45">
      <c r="A4">
        <v>3</v>
      </c>
      <c r="B4">
        <f t="shared" ref="B4:B11" si="1">10-A4</f>
        <v>7</v>
      </c>
      <c r="C4">
        <f t="shared" ref="C4:C11" si="2">B4*A4</f>
        <v>21</v>
      </c>
      <c r="D4">
        <f t="shared" ref="D4:D11" si="3">10-2*A4</f>
        <v>4</v>
      </c>
      <c r="E4">
        <f t="shared" ref="E4:E11" si="4">(A4-A3)*2/(A3+A4)</f>
        <v>0.4</v>
      </c>
      <c r="F4">
        <f t="shared" ref="F4:F11" si="5">(B4-B3)*2/(B3+B4)</f>
        <v>-0.13333333333333333</v>
      </c>
      <c r="G4">
        <f t="shared" ref="G4:G11" si="6">E4/F4</f>
        <v>-3</v>
      </c>
      <c r="H4">
        <f t="shared" si="0"/>
        <v>7</v>
      </c>
    </row>
    <row r="5" spans="1:8" x14ac:dyDescent="0.45">
      <c r="A5">
        <v>4</v>
      </c>
      <c r="B5">
        <f t="shared" si="1"/>
        <v>6</v>
      </c>
      <c r="C5">
        <f t="shared" si="2"/>
        <v>24</v>
      </c>
      <c r="D5">
        <f t="shared" si="3"/>
        <v>2</v>
      </c>
      <c r="E5">
        <f t="shared" si="4"/>
        <v>0.2857142857142857</v>
      </c>
      <c r="F5">
        <f t="shared" si="5"/>
        <v>-0.15384615384615385</v>
      </c>
      <c r="G5">
        <f t="shared" si="6"/>
        <v>-1.857142857142857</v>
      </c>
      <c r="H5">
        <f t="shared" si="0"/>
        <v>6</v>
      </c>
    </row>
    <row r="6" spans="1:8" x14ac:dyDescent="0.45">
      <c r="A6">
        <v>5</v>
      </c>
      <c r="B6">
        <f t="shared" si="1"/>
        <v>5</v>
      </c>
      <c r="C6">
        <f t="shared" si="2"/>
        <v>25</v>
      </c>
      <c r="D6">
        <f t="shared" si="3"/>
        <v>0</v>
      </c>
      <c r="E6">
        <f t="shared" si="4"/>
        <v>0.22222222222222221</v>
      </c>
      <c r="F6">
        <f t="shared" si="5"/>
        <v>-0.18181818181818182</v>
      </c>
      <c r="G6">
        <f t="shared" si="6"/>
        <v>-1.2222222222222221</v>
      </c>
      <c r="H6">
        <f t="shared" si="0"/>
        <v>5</v>
      </c>
    </row>
    <row r="7" spans="1:8" x14ac:dyDescent="0.45">
      <c r="A7">
        <v>6</v>
      </c>
      <c r="B7">
        <f t="shared" si="1"/>
        <v>4</v>
      </c>
      <c r="C7">
        <f t="shared" si="2"/>
        <v>24</v>
      </c>
      <c r="D7">
        <f t="shared" si="3"/>
        <v>-2</v>
      </c>
      <c r="E7">
        <f t="shared" si="4"/>
        <v>0.18181818181818182</v>
      </c>
      <c r="F7">
        <f t="shared" si="5"/>
        <v>-0.22222222222222221</v>
      </c>
      <c r="G7">
        <f t="shared" si="6"/>
        <v>-0.81818181818181823</v>
      </c>
      <c r="H7">
        <f t="shared" si="0"/>
        <v>4</v>
      </c>
    </row>
    <row r="8" spans="1:8" x14ac:dyDescent="0.45">
      <c r="A8">
        <v>7</v>
      </c>
      <c r="B8">
        <f t="shared" si="1"/>
        <v>3</v>
      </c>
      <c r="C8">
        <f t="shared" si="2"/>
        <v>21</v>
      </c>
      <c r="D8">
        <f t="shared" si="3"/>
        <v>-4</v>
      </c>
      <c r="E8">
        <f t="shared" si="4"/>
        <v>0.15384615384615385</v>
      </c>
      <c r="F8">
        <f t="shared" si="5"/>
        <v>-0.2857142857142857</v>
      </c>
      <c r="G8">
        <f t="shared" si="6"/>
        <v>-0.53846153846153855</v>
      </c>
      <c r="H8">
        <f t="shared" si="0"/>
        <v>3</v>
      </c>
    </row>
    <row r="9" spans="1:8" x14ac:dyDescent="0.45">
      <c r="A9">
        <v>8</v>
      </c>
      <c r="B9">
        <f t="shared" si="1"/>
        <v>2</v>
      </c>
      <c r="C9">
        <f t="shared" si="2"/>
        <v>16</v>
      </c>
      <c r="D9">
        <f t="shared" si="3"/>
        <v>-6</v>
      </c>
      <c r="E9">
        <f t="shared" si="4"/>
        <v>0.13333333333333333</v>
      </c>
      <c r="F9">
        <f t="shared" si="5"/>
        <v>-0.4</v>
      </c>
      <c r="G9">
        <f t="shared" si="6"/>
        <v>-0.33333333333333331</v>
      </c>
      <c r="H9">
        <f t="shared" si="0"/>
        <v>2</v>
      </c>
    </row>
    <row r="10" spans="1:8" x14ac:dyDescent="0.45">
      <c r="A10">
        <v>9</v>
      </c>
      <c r="B10">
        <f t="shared" si="1"/>
        <v>1</v>
      </c>
      <c r="C10">
        <f t="shared" si="2"/>
        <v>9</v>
      </c>
      <c r="D10">
        <f t="shared" si="3"/>
        <v>-8</v>
      </c>
      <c r="E10">
        <f t="shared" si="4"/>
        <v>0.11764705882352941</v>
      </c>
      <c r="F10">
        <f t="shared" si="5"/>
        <v>-0.66666666666666663</v>
      </c>
      <c r="G10">
        <f t="shared" si="6"/>
        <v>-0.17647058823529413</v>
      </c>
      <c r="H10">
        <f t="shared" si="0"/>
        <v>1</v>
      </c>
    </row>
    <row r="11" spans="1:8" x14ac:dyDescent="0.45">
      <c r="A11">
        <v>10</v>
      </c>
      <c r="B11">
        <f t="shared" si="1"/>
        <v>0</v>
      </c>
      <c r="C11">
        <f t="shared" si="2"/>
        <v>0</v>
      </c>
      <c r="D11">
        <f t="shared" si="3"/>
        <v>-10</v>
      </c>
      <c r="E11">
        <f t="shared" si="4"/>
        <v>0.10526315789473684</v>
      </c>
      <c r="F11">
        <f t="shared" si="5"/>
        <v>-2</v>
      </c>
      <c r="G11">
        <f t="shared" si="6"/>
        <v>-5.2631578947368418E-2</v>
      </c>
      <c r="H11">
        <f t="shared" si="0"/>
        <v>0</v>
      </c>
    </row>
    <row r="13" spans="1:8" x14ac:dyDescent="0.45">
      <c r="A13" t="s">
        <v>23</v>
      </c>
    </row>
    <row r="14" spans="1:8" x14ac:dyDescent="0.45">
      <c r="A14" t="s">
        <v>24</v>
      </c>
    </row>
    <row r="41" spans="1:4" x14ac:dyDescent="0.45">
      <c r="B41" t="s">
        <v>25</v>
      </c>
    </row>
    <row r="42" spans="1:4" x14ac:dyDescent="0.45">
      <c r="A42" t="s">
        <v>12</v>
      </c>
      <c r="B42" t="s">
        <v>19</v>
      </c>
      <c r="C42" t="s">
        <v>20</v>
      </c>
      <c r="D42" t="s">
        <v>21</v>
      </c>
    </row>
    <row r="43" spans="1:4" x14ac:dyDescent="0.45">
      <c r="A43">
        <v>1</v>
      </c>
      <c r="B43">
        <v>5</v>
      </c>
      <c r="C43">
        <f>B43*A43</f>
        <v>5</v>
      </c>
    </row>
    <row r="44" spans="1:4" x14ac:dyDescent="0.45">
      <c r="A44">
        <v>2</v>
      </c>
      <c r="B44">
        <v>5</v>
      </c>
      <c r="C44">
        <f>B44*A44</f>
        <v>10</v>
      </c>
      <c r="D44">
        <f>(C44-C43)/(A44-A43)</f>
        <v>5</v>
      </c>
    </row>
    <row r="45" spans="1:4" x14ac:dyDescent="0.45">
      <c r="A45">
        <v>3</v>
      </c>
      <c r="B45">
        <v>5</v>
      </c>
      <c r="C45">
        <f t="shared" ref="C45:C52" si="7">B45*A45</f>
        <v>15</v>
      </c>
      <c r="D45">
        <f t="shared" ref="D45:D52" si="8">(C45-C44)/(A45-A44)</f>
        <v>5</v>
      </c>
    </row>
    <row r="46" spans="1:4" x14ac:dyDescent="0.45">
      <c r="A46">
        <v>4</v>
      </c>
      <c r="B46">
        <v>5</v>
      </c>
      <c r="C46">
        <f t="shared" si="7"/>
        <v>20</v>
      </c>
      <c r="D46">
        <f t="shared" si="8"/>
        <v>5</v>
      </c>
    </row>
    <row r="47" spans="1:4" x14ac:dyDescent="0.45">
      <c r="A47">
        <v>5</v>
      </c>
      <c r="B47">
        <v>5</v>
      </c>
      <c r="C47">
        <f t="shared" si="7"/>
        <v>25</v>
      </c>
      <c r="D47">
        <f t="shared" si="8"/>
        <v>5</v>
      </c>
    </row>
    <row r="48" spans="1:4" x14ac:dyDescent="0.45">
      <c r="A48">
        <v>6</v>
      </c>
      <c r="B48">
        <v>5</v>
      </c>
      <c r="C48">
        <f t="shared" si="7"/>
        <v>30</v>
      </c>
      <c r="D48">
        <f t="shared" si="8"/>
        <v>5</v>
      </c>
    </row>
    <row r="49" spans="1:4" x14ac:dyDescent="0.45">
      <c r="A49">
        <v>7</v>
      </c>
      <c r="B49">
        <v>5</v>
      </c>
      <c r="C49">
        <f t="shared" si="7"/>
        <v>35</v>
      </c>
      <c r="D49">
        <f t="shared" si="8"/>
        <v>5</v>
      </c>
    </row>
    <row r="50" spans="1:4" x14ac:dyDescent="0.45">
      <c r="A50">
        <v>8</v>
      </c>
      <c r="B50">
        <v>5</v>
      </c>
      <c r="C50">
        <f t="shared" si="7"/>
        <v>40</v>
      </c>
      <c r="D50">
        <f t="shared" si="8"/>
        <v>5</v>
      </c>
    </row>
    <row r="51" spans="1:4" x14ac:dyDescent="0.45">
      <c r="A51">
        <v>9</v>
      </c>
      <c r="B51">
        <v>5</v>
      </c>
      <c r="C51">
        <f t="shared" si="7"/>
        <v>45</v>
      </c>
      <c r="D51">
        <f t="shared" si="8"/>
        <v>5</v>
      </c>
    </row>
    <row r="52" spans="1:4" x14ac:dyDescent="0.45">
      <c r="A52">
        <v>10</v>
      </c>
      <c r="B52">
        <v>5</v>
      </c>
      <c r="C52">
        <f t="shared" si="7"/>
        <v>50</v>
      </c>
      <c r="D52">
        <f t="shared" si="8"/>
        <v>5</v>
      </c>
    </row>
    <row r="55" spans="1:4" x14ac:dyDescent="0.45">
      <c r="A55" t="s">
        <v>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DBCD-5B11-472F-B987-A93B13038D02}">
  <dimension ref="A1:E15"/>
  <sheetViews>
    <sheetView workbookViewId="0">
      <selection activeCell="B23" sqref="B23"/>
    </sheetView>
  </sheetViews>
  <sheetFormatPr defaultRowHeight="14.25" x14ac:dyDescent="0.45"/>
  <cols>
    <col min="1" max="1" width="41.59765625" style="3" customWidth="1"/>
    <col min="2" max="2" width="43.73046875" customWidth="1"/>
    <col min="3" max="3" width="44.3984375" customWidth="1"/>
    <col min="4" max="4" width="53.265625" customWidth="1"/>
    <col min="5" max="5" width="76.73046875" customWidth="1"/>
  </cols>
  <sheetData>
    <row r="1" spans="1:5" s="3" customFormat="1" x14ac:dyDescent="0.45">
      <c r="B1" s="3" t="s">
        <v>27</v>
      </c>
      <c r="C1" s="3" t="s">
        <v>28</v>
      </c>
      <c r="D1" s="3" t="s">
        <v>29</v>
      </c>
      <c r="E1" s="3" t="s">
        <v>30</v>
      </c>
    </row>
    <row r="2" spans="1:5" x14ac:dyDescent="0.45">
      <c r="A2" s="3" t="s">
        <v>31</v>
      </c>
      <c r="B2" s="2" t="s">
        <v>32</v>
      </c>
      <c r="C2" s="2" t="s">
        <v>33</v>
      </c>
      <c r="D2" s="2" t="s">
        <v>32</v>
      </c>
      <c r="E2" s="2" t="s">
        <v>34</v>
      </c>
    </row>
    <row r="3" spans="1:5" x14ac:dyDescent="0.45">
      <c r="A3" s="3" t="s">
        <v>35</v>
      </c>
      <c r="B3" s="2" t="s">
        <v>36</v>
      </c>
      <c r="C3" s="2" t="s">
        <v>37</v>
      </c>
      <c r="D3" s="2" t="s">
        <v>36</v>
      </c>
      <c r="E3" s="2" t="s">
        <v>38</v>
      </c>
    </row>
    <row r="4" spans="1:5" x14ac:dyDescent="0.45">
      <c r="A4" s="3" t="s">
        <v>39</v>
      </c>
      <c r="B4" s="2" t="s">
        <v>40</v>
      </c>
      <c r="C4" s="2" t="s">
        <v>41</v>
      </c>
      <c r="D4" s="2" t="s">
        <v>40</v>
      </c>
      <c r="E4" s="2" t="s">
        <v>42</v>
      </c>
    </row>
    <row r="5" spans="1:5" x14ac:dyDescent="0.45">
      <c r="A5" s="3" t="s">
        <v>43</v>
      </c>
      <c r="B5" s="2" t="s">
        <v>44</v>
      </c>
      <c r="C5" s="2" t="s">
        <v>44</v>
      </c>
      <c r="D5" s="2" t="s">
        <v>45</v>
      </c>
      <c r="E5" s="2" t="s">
        <v>46</v>
      </c>
    </row>
    <row r="6" spans="1:5" x14ac:dyDescent="0.45">
      <c r="A6" s="3" t="s">
        <v>47</v>
      </c>
      <c r="B6" s="2" t="s">
        <v>48</v>
      </c>
      <c r="C6" s="2" t="s">
        <v>48</v>
      </c>
      <c r="D6" s="2" t="s">
        <v>48</v>
      </c>
      <c r="E6" s="2" t="s">
        <v>49</v>
      </c>
    </row>
    <row r="7" spans="1:5" x14ac:dyDescent="0.45">
      <c r="A7" s="3" t="s">
        <v>50</v>
      </c>
      <c r="B7" s="2" t="s">
        <v>51</v>
      </c>
      <c r="C7" s="2" t="s">
        <v>44</v>
      </c>
      <c r="D7" s="2" t="s">
        <v>44</v>
      </c>
      <c r="E7" s="2" t="s">
        <v>44</v>
      </c>
    </row>
    <row r="8" spans="1:5" x14ac:dyDescent="0.45">
      <c r="A8" s="3" t="s">
        <v>52</v>
      </c>
      <c r="B8" s="2" t="s">
        <v>53</v>
      </c>
      <c r="C8" s="2" t="s">
        <v>54</v>
      </c>
      <c r="D8" s="2" t="s">
        <v>54</v>
      </c>
      <c r="E8" s="2" t="s">
        <v>55</v>
      </c>
    </row>
    <row r="9" spans="1:5" x14ac:dyDescent="0.45">
      <c r="A9" s="3" t="s">
        <v>56</v>
      </c>
      <c r="B9" s="2" t="s">
        <v>57</v>
      </c>
      <c r="C9" s="2" t="s">
        <v>58</v>
      </c>
      <c r="D9" s="2" t="s">
        <v>58</v>
      </c>
      <c r="E9" s="2" t="s">
        <v>58</v>
      </c>
    </row>
    <row r="10" spans="1:5" x14ac:dyDescent="0.45">
      <c r="A10" s="3" t="s">
        <v>59</v>
      </c>
      <c r="B10" s="2" t="s">
        <v>60</v>
      </c>
      <c r="C10" s="2" t="s">
        <v>60</v>
      </c>
      <c r="D10" s="2" t="s">
        <v>60</v>
      </c>
      <c r="E10" s="2" t="s">
        <v>61</v>
      </c>
    </row>
    <row r="11" spans="1:5" x14ac:dyDescent="0.45">
      <c r="A11" s="3" t="s">
        <v>62</v>
      </c>
      <c r="B11" s="2" t="s">
        <v>63</v>
      </c>
      <c r="C11" s="2" t="s">
        <v>63</v>
      </c>
      <c r="D11" s="2" t="s">
        <v>63</v>
      </c>
      <c r="E11" s="2" t="s">
        <v>63</v>
      </c>
    </row>
    <row r="12" spans="1:5" x14ac:dyDescent="0.45">
      <c r="A12" s="3" t="s">
        <v>64</v>
      </c>
      <c r="B12" s="2" t="s">
        <v>65</v>
      </c>
      <c r="C12" s="2" t="s">
        <v>65</v>
      </c>
      <c r="D12" s="2" t="s">
        <v>65</v>
      </c>
      <c r="E12" s="2" t="s">
        <v>65</v>
      </c>
    </row>
    <row r="13" spans="1:5" x14ac:dyDescent="0.45">
      <c r="A13" s="3" t="s">
        <v>66</v>
      </c>
      <c r="B13" s="2" t="s">
        <v>67</v>
      </c>
      <c r="C13" s="2" t="s">
        <v>67</v>
      </c>
      <c r="D13" s="2" t="s">
        <v>67</v>
      </c>
      <c r="E13" s="2" t="s">
        <v>67</v>
      </c>
    </row>
    <row r="14" spans="1:5" ht="27.75" customHeight="1" x14ac:dyDescent="0.45">
      <c r="A14" s="3" t="s">
        <v>68</v>
      </c>
      <c r="B14" s="2" t="s">
        <v>69</v>
      </c>
      <c r="C14" s="2" t="s">
        <v>70</v>
      </c>
      <c r="D14" s="2" t="s">
        <v>69</v>
      </c>
      <c r="E14" s="2" t="s">
        <v>71</v>
      </c>
    </row>
    <row r="15" spans="1:5" ht="28.5" x14ac:dyDescent="0.45">
      <c r="A15" s="3" t="s">
        <v>72</v>
      </c>
      <c r="B15" s="2" t="s">
        <v>73</v>
      </c>
      <c r="C15" s="2" t="s">
        <v>74</v>
      </c>
      <c r="D15" s="2" t="s">
        <v>75</v>
      </c>
      <c r="E15" s="2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2791EEB547EC4F81F225DE0E35DF66" ma:contentTypeVersion="8" ma:contentTypeDescription="Create a new document." ma:contentTypeScope="" ma:versionID="ac4393408adc820e16f2038883c182b3">
  <xsd:schema xmlns:xsd="http://www.w3.org/2001/XMLSchema" xmlns:xs="http://www.w3.org/2001/XMLSchema" xmlns:p="http://schemas.microsoft.com/office/2006/metadata/properties" xmlns:ns2="be624240-81e7-40cd-bfbb-3c593e918a16" targetNamespace="http://schemas.microsoft.com/office/2006/metadata/properties" ma:root="true" ma:fieldsID="7afcd21d14d3a07a1e7670133ad87275" ns2:_="">
    <xsd:import namespace="be624240-81e7-40cd-bfbb-3c593e918a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624240-81e7-40cd-bfbb-3c593e918a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13A52C-0FF2-4C82-AD07-78CC0F53BB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4956B60-45B9-4377-A62D-875E420202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0A72DD-5B1F-4D86-ABD6-A089E698CE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624240-81e7-40cd-bfbb-3c593e918a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</vt:lpstr>
      <vt:lpstr>Sheet 2</vt:lpstr>
      <vt:lpstr>Sheet 3</vt:lpstr>
      <vt:lpstr>Sheet4</vt:lpstr>
      <vt:lpstr>Sheet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Hui, Hon Chung</dc:creator>
  <cp:keywords/>
  <dc:description/>
  <cp:lastModifiedBy>Marcus Gwee Wen Hong</cp:lastModifiedBy>
  <cp:revision/>
  <dcterms:created xsi:type="dcterms:W3CDTF">2023-10-03T10:17:12Z</dcterms:created>
  <dcterms:modified xsi:type="dcterms:W3CDTF">2025-09-24T04:36:48Z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0x0101002A2791EEB547EC4F81F225DE0E35DF66</vt:lpwstr>
  </property>
</Properties>
</file>