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236\Downloads\"/>
    </mc:Choice>
  </mc:AlternateContent>
  <xr:revisionPtr revIDLastSave="0" documentId="8_{2F553098-A256-4914-8828-8E4DDEF462E7}" xr6:coauthVersionLast="47" xr6:coauthVersionMax="47" xr10:uidLastSave="{00000000-0000-0000-0000-000000000000}"/>
  <bookViews>
    <workbookView xWindow="-120" yWindow="-120" windowWidth="29040" windowHeight="15840" xr2:uid="{44C8280D-9587-43BA-A300-893EF6FBF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E27" i="1"/>
  <c r="D27" i="1"/>
  <c r="D18" i="1"/>
  <c r="D19" i="1"/>
  <c r="D20" i="1"/>
  <c r="D21" i="1"/>
  <c r="E21" i="1" s="1"/>
  <c r="D22" i="1"/>
  <c r="D17" i="1"/>
  <c r="E17" i="1" s="1"/>
  <c r="E22" i="1"/>
  <c r="E20" i="1"/>
  <c r="E19" i="1"/>
  <c r="E18" i="1"/>
  <c r="E12" i="1"/>
  <c r="E6" i="1"/>
  <c r="E7" i="1"/>
  <c r="E8" i="1"/>
  <c r="E9" i="1"/>
  <c r="E10" i="1"/>
  <c r="E5" i="1"/>
  <c r="D6" i="1"/>
  <c r="D7" i="1"/>
  <c r="D8" i="1"/>
  <c r="D9" i="1"/>
  <c r="D10" i="1"/>
  <c r="D5" i="1"/>
  <c r="E24" i="1" l="1"/>
</calcChain>
</file>

<file path=xl/sharedStrings.xml><?xml version="1.0" encoding="utf-8"?>
<sst xmlns="http://schemas.openxmlformats.org/spreadsheetml/2006/main" count="14" uniqueCount="10">
  <si>
    <t>Time</t>
  </si>
  <si>
    <t>CF (1,000)</t>
  </si>
  <si>
    <t>PRESENT VALUES</t>
  </si>
  <si>
    <t>INTEREST MULTIPLES</t>
  </si>
  <si>
    <t>NPV AT 5%</t>
  </si>
  <si>
    <t>NPV AT 8%</t>
  </si>
  <si>
    <t>r+</t>
  </si>
  <si>
    <t>RATIO</t>
  </si>
  <si>
    <t>RANGE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</si>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</sst>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B6C1-BC32-4E6F-A638-A52476088FDA}">
  <dimension ref="B2:E30"/>
  <sheetViews>
    <sheetView tabSelected="1" zoomScale="200" zoomScaleNormal="200" workbookViewId="0">
      <selection activeCell="B30" sqref="B30"/>
    </sheetView>
  </sheetViews>
  <sheetFormatPr defaultRowHeight="15" x14ac:dyDescent="0.25"/>
  <cols>
    <col min="2" max="2" width="10" customWidth="1"/>
    <col min="4" max="4" width="21" customWidth="1"/>
  </cols>
  <sheetData>
    <row r="2" spans="2:5" ht="30" x14ac:dyDescent="0.25">
      <c r="B2" s="1" t="s">
        <v>4</v>
      </c>
    </row>
    <row r="3" spans="2:5" ht="15.75" thickBot="1" x14ac:dyDescent="0.3">
      <c r="B3" s="1"/>
    </row>
    <row r="4" spans="2:5" ht="30.75" thickBot="1" x14ac:dyDescent="0.3">
      <c r="B4" s="2" t="s">
        <v>0</v>
      </c>
      <c r="C4" s="3" t="s">
        <v>1</v>
      </c>
      <c r="D4" t="s">
        <v>3</v>
      </c>
      <c r="E4" t="s">
        <v>2</v>
      </c>
    </row>
    <row r="5" spans="2:5" ht="15.75" thickBot="1" x14ac:dyDescent="0.3">
      <c r="B5" s="4">
        <v>0</v>
      </c>
      <c r="C5" s="5">
        <v>-200</v>
      </c>
      <c r="D5">
        <f>1.05^B5</f>
        <v>1</v>
      </c>
      <c r="E5">
        <f>C5/D5</f>
        <v>-200</v>
      </c>
    </row>
    <row r="6" spans="2:5" ht="15.75" thickBot="1" x14ac:dyDescent="0.3">
      <c r="B6" s="4">
        <v>1</v>
      </c>
      <c r="C6" s="5">
        <v>50</v>
      </c>
      <c r="D6">
        <f t="shared" ref="D6:D10" si="0">1.05^B6</f>
        <v>1.05</v>
      </c>
      <c r="E6">
        <f t="shared" ref="E6:E10" si="1">C6/D6</f>
        <v>47.61904761904762</v>
      </c>
    </row>
    <row r="7" spans="2:5" ht="15.75" thickBot="1" x14ac:dyDescent="0.3">
      <c r="B7" s="4">
        <v>2</v>
      </c>
      <c r="C7" s="5">
        <v>50</v>
      </c>
      <c r="D7">
        <f t="shared" si="0"/>
        <v>1.1025</v>
      </c>
      <c r="E7">
        <f t="shared" si="1"/>
        <v>45.351473922902493</v>
      </c>
    </row>
    <row r="8" spans="2:5" ht="15.75" thickBot="1" x14ac:dyDescent="0.3">
      <c r="B8" s="4">
        <v>3</v>
      </c>
      <c r="C8" s="5">
        <v>50</v>
      </c>
      <c r="D8">
        <f t="shared" si="0"/>
        <v>1.1576250000000001</v>
      </c>
      <c r="E8">
        <f t="shared" si="1"/>
        <v>43.191879926573797</v>
      </c>
    </row>
    <row r="9" spans="2:5" ht="15.75" thickBot="1" x14ac:dyDescent="0.3">
      <c r="B9" s="4">
        <v>4</v>
      </c>
      <c r="C9" s="5">
        <v>50</v>
      </c>
      <c r="D9">
        <f t="shared" si="0"/>
        <v>1.21550625</v>
      </c>
      <c r="E9">
        <f t="shared" si="1"/>
        <v>41.1351237395941</v>
      </c>
    </row>
    <row r="10" spans="2:5" ht="15.75" thickBot="1" x14ac:dyDescent="0.3">
      <c r="B10" s="4">
        <v>5</v>
      </c>
      <c r="C10" s="5">
        <v>50</v>
      </c>
      <c r="D10">
        <f t="shared" si="0"/>
        <v>1.2762815625000001</v>
      </c>
      <c r="E10">
        <f t="shared" si="1"/>
        <v>39.176308323422944</v>
      </c>
    </row>
    <row r="11" spans="2:5" x14ac:dyDescent="0.25">
      <c r="B11" s="1"/>
    </row>
    <row r="12" spans="2:5" x14ac:dyDescent="0.25">
      <c r="E12">
        <f>SUM(E5:E10)</f>
        <v>16.473833531540961</v>
      </c>
    </row>
    <row r="14" spans="2:5" ht="30" x14ac:dyDescent="0.25">
      <c r="B14" s="1" t="s">
        <v>5</v>
      </c>
    </row>
    <row r="15" spans="2:5" ht="15.75" thickBot="1" x14ac:dyDescent="0.3">
      <c r="B15" s="1"/>
    </row>
    <row r="16" spans="2:5" ht="30.75" thickBot="1" x14ac:dyDescent="0.3">
      <c r="B16" s="2" t="s">
        <v>0</v>
      </c>
      <c r="C16" s="3" t="s">
        <v>1</v>
      </c>
      <c r="D16" t="s">
        <v>3</v>
      </c>
      <c r="E16" t="s">
        <v>2</v>
      </c>
    </row>
    <row r="17" spans="2:5" ht="15.75" thickBot="1" x14ac:dyDescent="0.3">
      <c r="B17" s="4">
        <v>0</v>
      </c>
      <c r="C17" s="5">
        <v>-200</v>
      </c>
      <c r="D17">
        <f>1.1^B17</f>
        <v>1</v>
      </c>
      <c r="E17">
        <f>C17/D17</f>
        <v>-200</v>
      </c>
    </row>
    <row r="18" spans="2:5" ht="15.75" thickBot="1" x14ac:dyDescent="0.3">
      <c r="B18" s="4">
        <v>1</v>
      </c>
      <c r="C18" s="5">
        <v>50</v>
      </c>
      <c r="D18">
        <f t="shared" ref="D18:D22" si="2">1.1^B18</f>
        <v>1.1000000000000001</v>
      </c>
      <c r="E18">
        <f t="shared" ref="E18:E22" si="3">C18/D18</f>
        <v>45.454545454545453</v>
      </c>
    </row>
    <row r="19" spans="2:5" ht="15.75" thickBot="1" x14ac:dyDescent="0.3">
      <c r="B19" s="4">
        <v>2</v>
      </c>
      <c r="C19" s="5">
        <v>50</v>
      </c>
      <c r="D19">
        <f t="shared" si="2"/>
        <v>1.2100000000000002</v>
      </c>
      <c r="E19">
        <f t="shared" si="3"/>
        <v>41.322314049586772</v>
      </c>
    </row>
    <row r="20" spans="2:5" ht="15.75" thickBot="1" x14ac:dyDescent="0.3">
      <c r="B20" s="4">
        <v>3</v>
      </c>
      <c r="C20" s="5">
        <v>50</v>
      </c>
      <c r="D20">
        <f t="shared" si="2"/>
        <v>1.3310000000000004</v>
      </c>
      <c r="E20">
        <f t="shared" si="3"/>
        <v>37.565740045078876</v>
      </c>
    </row>
    <row r="21" spans="2:5" ht="15.75" thickBot="1" x14ac:dyDescent="0.3">
      <c r="B21" s="4">
        <v>4</v>
      </c>
      <c r="C21" s="5">
        <v>50</v>
      </c>
      <c r="D21">
        <f t="shared" si="2"/>
        <v>1.4641000000000004</v>
      </c>
      <c r="E21">
        <f t="shared" si="3"/>
        <v>34.150672768253528</v>
      </c>
    </row>
    <row r="22" spans="2:5" ht="15.75" thickBot="1" x14ac:dyDescent="0.3">
      <c r="B22" s="4">
        <v>5</v>
      </c>
      <c r="C22" s="5">
        <v>50</v>
      </c>
      <c r="D22">
        <f t="shared" si="2"/>
        <v>1.6105100000000006</v>
      </c>
      <c r="E22">
        <f t="shared" si="3"/>
        <v>31.046066152957749</v>
      </c>
    </row>
    <row r="23" spans="2:5" x14ac:dyDescent="0.25">
      <c r="B23" s="1"/>
    </row>
    <row r="24" spans="2:5" x14ac:dyDescent="0.25">
      <c r="E24">
        <f>SUM(E17:E22)</f>
        <v>-10.460661529577635</v>
      </c>
    </row>
    <row r="26" spans="2:5" x14ac:dyDescent="0.25">
      <c r="B26" t="s">
        <v>6</v>
      </c>
      <c r="D26" t="s">
        <v>7</v>
      </c>
      <c r="E26" t="s">
        <v>8</v>
      </c>
    </row>
    <row r="27" spans="2:5" x14ac:dyDescent="0.25">
      <c r="B27" s="6">
        <v>0.05</v>
      </c>
      <c r="D27">
        <f>E12/(E12-E24)</f>
        <v>0.61162585354428389</v>
      </c>
      <c r="E27" s="7">
        <f>10%-5%</f>
        <v>0.05</v>
      </c>
    </row>
    <row r="29" spans="2:5" x14ac:dyDescent="0.25">
      <c r="B29" t="s">
        <v>9</v>
      </c>
    </row>
    <row r="30" spans="2:5" x14ac:dyDescent="0.25">
      <c r="B30" s="7">
        <f>B27+D27*E27</f>
        <v>8.05812926772142E-2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Marney, John-Paul</dc:creator>
  <cp:lastModifiedBy>Marney, John-Paul</cp:lastModifiedBy>
  <dcterms:created xsi:type="dcterms:W3CDTF">2024-03-06T11:40:22Z</dcterms:created>
  <dcterms:modified xsi:type="dcterms:W3CDTF">2024-03-06T11:46:02Z</dcterms:modified>
</cp:coreProperties>
</file>