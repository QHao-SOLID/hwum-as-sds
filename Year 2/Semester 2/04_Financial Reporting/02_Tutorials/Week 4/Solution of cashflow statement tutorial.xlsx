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d4022\Desktop\HWU\Courses\C39FF-Financial Reporting and finance\Week-4\"/>
    </mc:Choice>
  </mc:AlternateContent>
  <xr:revisionPtr revIDLastSave="0" documentId="13_ncr:1_{56F626BE-4F52-429E-AADA-704598895A4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ear PLC" sheetId="1" r:id="rId1"/>
    <sheet name="CM PL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D25" i="2"/>
  <c r="D24" i="2"/>
  <c r="B48" i="2"/>
  <c r="D21" i="2"/>
  <c r="D20" i="2"/>
  <c r="F40" i="2"/>
  <c r="I41" i="2"/>
  <c r="B42" i="2"/>
  <c r="D14" i="2"/>
  <c r="D33" i="2"/>
  <c r="G34" i="2"/>
  <c r="D11" i="2"/>
  <c r="D10" i="2"/>
  <c r="D9" i="2"/>
  <c r="D26" i="1"/>
  <c r="D19" i="1"/>
  <c r="C47" i="1"/>
  <c r="F50" i="1"/>
  <c r="B42" i="1"/>
  <c r="B33" i="1"/>
  <c r="B35" i="1" s="1"/>
  <c r="D12" i="1"/>
  <c r="D15" i="1" s="1"/>
  <c r="D27" i="1" s="1"/>
  <c r="D29" i="1" s="1"/>
  <c r="D11" i="1"/>
  <c r="D10" i="1"/>
</calcChain>
</file>

<file path=xl/sharedStrings.xml><?xml version="1.0" encoding="utf-8"?>
<sst xmlns="http://schemas.openxmlformats.org/spreadsheetml/2006/main" count="105" uniqueCount="80">
  <si>
    <t>Statement of Cashflow</t>
  </si>
  <si>
    <t>For the year ended as of 31st March 2014</t>
  </si>
  <si>
    <t>Cashflow from operating activities</t>
  </si>
  <si>
    <t>Profit from operation</t>
  </si>
  <si>
    <t>000,</t>
  </si>
  <si>
    <t>Add: Depreciation</t>
  </si>
  <si>
    <t>Less: Profit on disposal of PPE</t>
  </si>
  <si>
    <t>Less: Inventories</t>
  </si>
  <si>
    <t xml:space="preserve">Less: Trade and other receivable </t>
  </si>
  <si>
    <t>Add: Trade and other payables</t>
  </si>
  <si>
    <t>Less: Interest paid</t>
  </si>
  <si>
    <t>Less; Tax paid</t>
  </si>
  <si>
    <t>Net cashflow from operating activities</t>
  </si>
  <si>
    <t xml:space="preserve">Cashflow from investing activities </t>
  </si>
  <si>
    <t>W-1 Sales of PPE</t>
  </si>
  <si>
    <t>Cost of PPE</t>
  </si>
  <si>
    <t xml:space="preserve">Less; Acc. Dep </t>
  </si>
  <si>
    <t xml:space="preserve">Book value </t>
  </si>
  <si>
    <t xml:space="preserve">Add: Profit </t>
  </si>
  <si>
    <t xml:space="preserve">Sales price </t>
  </si>
  <si>
    <t>Disposal of PPE (W1)</t>
  </si>
  <si>
    <t>Acquisition of PPE (W2)</t>
  </si>
  <si>
    <t>W-2 Acquisition of PPE</t>
  </si>
  <si>
    <t xml:space="preserve">Opening balance </t>
  </si>
  <si>
    <t>Less: Depreciation</t>
  </si>
  <si>
    <t>Less: Book value of PPE (W1)</t>
  </si>
  <si>
    <t xml:space="preserve">Less: Closing balance </t>
  </si>
  <si>
    <t>Purchase of PPE</t>
  </si>
  <si>
    <t>PPE</t>
  </si>
  <si>
    <t>Dr</t>
  </si>
  <si>
    <t>Cr</t>
  </si>
  <si>
    <t>Depreciation</t>
  </si>
  <si>
    <t>Closing balance</t>
  </si>
  <si>
    <t>Purchase of New PPE</t>
  </si>
  <si>
    <t>Net cashflow from investing activites</t>
  </si>
  <si>
    <t>Cashflow from financing activities</t>
  </si>
  <si>
    <t xml:space="preserve">Share capital </t>
  </si>
  <si>
    <t xml:space="preserve">Share premium </t>
  </si>
  <si>
    <t>Bank loan</t>
  </si>
  <si>
    <t>Dividend paid</t>
  </si>
  <si>
    <t>Net cashflow from financing activities</t>
  </si>
  <si>
    <t>Net cash increase/decrease</t>
  </si>
  <si>
    <t xml:space="preserve">Cash and Cash equivalent at the beginging of the year </t>
  </si>
  <si>
    <t xml:space="preserve">Cash and Cash equivalent at the end of the year </t>
  </si>
  <si>
    <t>For the year end 31st December 2010</t>
  </si>
  <si>
    <t>(42,500-38,500)</t>
  </si>
  <si>
    <t>Less: Increase in inventory</t>
  </si>
  <si>
    <t>Less: Increase in trade receivables</t>
  </si>
  <si>
    <t>Add: Increase in trade payables</t>
  </si>
  <si>
    <t>Less: Tax Paid (W-1)</t>
  </si>
  <si>
    <t>W-1 Tax</t>
  </si>
  <si>
    <t>Tax payable</t>
  </si>
  <si>
    <t>Opening balance</t>
  </si>
  <si>
    <t>Tax estimation</t>
  </si>
  <si>
    <t>Total</t>
  </si>
  <si>
    <t>Tax paid</t>
  </si>
  <si>
    <t>Cashflow from investing activities</t>
  </si>
  <si>
    <t>Acquisition of Non-current asset (W-2)</t>
  </si>
  <si>
    <t>W-2 Acquistion of NCA</t>
  </si>
  <si>
    <t>NCA</t>
  </si>
  <si>
    <t xml:space="preserve">Carrying amount </t>
  </si>
  <si>
    <t>Add: Revaluation</t>
  </si>
  <si>
    <t xml:space="preserve">Less: Closing book value </t>
  </si>
  <si>
    <t>Purchase</t>
  </si>
  <si>
    <t>Revaluation</t>
  </si>
  <si>
    <t>Net cashflow from investing activities</t>
  </si>
  <si>
    <t>Share capital</t>
  </si>
  <si>
    <t>Share premium</t>
  </si>
  <si>
    <t xml:space="preserve">Less: Loan payment </t>
  </si>
  <si>
    <t>Less: Dividend payment (W-3)</t>
  </si>
  <si>
    <t xml:space="preserve">W-3 Dividend payment </t>
  </si>
  <si>
    <t xml:space="preserve">Opening Retained earnings </t>
  </si>
  <si>
    <t xml:space="preserve">Add: Current year profit </t>
  </si>
  <si>
    <t xml:space="preserve">Less: Closing Retained Earnings </t>
  </si>
  <si>
    <t>Dividend</t>
  </si>
  <si>
    <t>Cash and cash equivalent increase (decrease)</t>
  </si>
  <si>
    <t>Cash and cash equivalent opening balance</t>
  </si>
  <si>
    <t>Cash and cash equivalent closing balance</t>
  </si>
  <si>
    <t>Bear PLC</t>
  </si>
  <si>
    <t>CM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</si>
</sst>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3" fontId="0" fillId="0" borderId="1" xfId="0" applyNumberFormat="1" applyBorder="1"/>
    <xf numFmtId="3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3" fontId="0" fillId="0" borderId="5" xfId="0" applyNumberFormat="1" applyBorder="1"/>
    <xf numFmtId="3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769CFF-D565-4803-9505-9D34BAA25E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zoomScale="157" workbookViewId="0">
      <selection activeCell="F50" sqref="A1:F50"/>
    </sheetView>
  </sheetViews>
  <sheetFormatPr defaultRowHeight="15" x14ac:dyDescent="0.25"/>
  <cols>
    <col min="1" max="1" width="37.42578125" customWidth="1"/>
    <col min="4" max="4" width="9.140625" style="3"/>
  </cols>
  <sheetData>
    <row r="1" spans="1:4" x14ac:dyDescent="0.25">
      <c r="A1" t="s">
        <v>78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D4" s="3" t="s">
        <v>4</v>
      </c>
    </row>
    <row r="5" spans="1:4" s="1" customFormat="1" x14ac:dyDescent="0.25">
      <c r="A5" s="1" t="s">
        <v>2</v>
      </c>
      <c r="D5" s="4"/>
    </row>
    <row r="6" spans="1:4" x14ac:dyDescent="0.25">
      <c r="A6" t="s">
        <v>3</v>
      </c>
      <c r="D6" s="5">
        <v>2213</v>
      </c>
    </row>
    <row r="7" spans="1:4" x14ac:dyDescent="0.25">
      <c r="A7" t="s">
        <v>5</v>
      </c>
      <c r="D7" s="5">
        <v>2952</v>
      </c>
    </row>
    <row r="8" spans="1:4" x14ac:dyDescent="0.25">
      <c r="A8" t="s">
        <v>6</v>
      </c>
      <c r="D8" s="3">
        <v>-217</v>
      </c>
    </row>
    <row r="9" spans="1:4" x14ac:dyDescent="0.25">
      <c r="B9" s="6">
        <v>2014</v>
      </c>
      <c r="C9" s="6">
        <v>2013</v>
      </c>
    </row>
    <row r="10" spans="1:4" x14ac:dyDescent="0.25">
      <c r="A10" t="s">
        <v>7</v>
      </c>
      <c r="B10" s="2">
        <v>2701</v>
      </c>
      <c r="C10" s="2">
        <v>2019</v>
      </c>
      <c r="D10" s="5">
        <f>C10-B10</f>
        <v>-682</v>
      </c>
    </row>
    <row r="11" spans="1:4" x14ac:dyDescent="0.25">
      <c r="A11" t="s">
        <v>8</v>
      </c>
      <c r="B11" s="2">
        <v>2456</v>
      </c>
      <c r="C11" s="2">
        <v>1009</v>
      </c>
      <c r="D11" s="5">
        <f>C11-B11</f>
        <v>-1447</v>
      </c>
    </row>
    <row r="12" spans="1:4" x14ac:dyDescent="0.25">
      <c r="A12" t="s">
        <v>9</v>
      </c>
      <c r="B12" s="2">
        <v>1140</v>
      </c>
      <c r="C12" s="2">
        <v>1113</v>
      </c>
      <c r="D12" s="5">
        <f>B12-C12</f>
        <v>27</v>
      </c>
    </row>
    <row r="13" spans="1:4" x14ac:dyDescent="0.25">
      <c r="A13" t="s">
        <v>10</v>
      </c>
      <c r="D13" s="3">
        <v>-210</v>
      </c>
    </row>
    <row r="14" spans="1:4" x14ac:dyDescent="0.25">
      <c r="A14" t="s">
        <v>11</v>
      </c>
      <c r="D14" s="3">
        <v>-466</v>
      </c>
    </row>
    <row r="15" spans="1:4" x14ac:dyDescent="0.25">
      <c r="A15" t="s">
        <v>12</v>
      </c>
      <c r="D15" s="5">
        <f>SUM(D6:D14)</f>
        <v>2170</v>
      </c>
    </row>
    <row r="16" spans="1:4" s="1" customFormat="1" x14ac:dyDescent="0.25">
      <c r="A16" s="1" t="s">
        <v>13</v>
      </c>
      <c r="D16" s="4"/>
    </row>
    <row r="17" spans="1:4" x14ac:dyDescent="0.25">
      <c r="A17" t="s">
        <v>20</v>
      </c>
      <c r="D17" s="5">
        <v>1254</v>
      </c>
    </row>
    <row r="18" spans="1:4" x14ac:dyDescent="0.25">
      <c r="A18" t="s">
        <v>21</v>
      </c>
      <c r="D18" s="5">
        <v>-9900</v>
      </c>
    </row>
    <row r="19" spans="1:4" x14ac:dyDescent="0.25">
      <c r="A19" t="s">
        <v>34</v>
      </c>
      <c r="D19" s="5">
        <f>D17+D18</f>
        <v>-8646</v>
      </c>
    </row>
    <row r="20" spans="1:4" s="1" customFormat="1" x14ac:dyDescent="0.25">
      <c r="A20" s="1" t="s">
        <v>35</v>
      </c>
      <c r="D20" s="4"/>
    </row>
    <row r="21" spans="1:4" x14ac:dyDescent="0.25">
      <c r="B21" s="6">
        <v>2014</v>
      </c>
      <c r="C21" s="6">
        <v>2013</v>
      </c>
    </row>
    <row r="22" spans="1:4" x14ac:dyDescent="0.25">
      <c r="A22" t="s">
        <v>36</v>
      </c>
      <c r="B22" s="2">
        <v>6000</v>
      </c>
      <c r="C22" s="2">
        <v>4000</v>
      </c>
      <c r="D22" s="5">
        <v>2000</v>
      </c>
    </row>
    <row r="23" spans="1:4" x14ac:dyDescent="0.25">
      <c r="A23" t="s">
        <v>37</v>
      </c>
      <c r="B23" s="2">
        <v>4000</v>
      </c>
      <c r="C23" s="2">
        <v>1000</v>
      </c>
      <c r="D23" s="5">
        <v>3000</v>
      </c>
    </row>
    <row r="24" spans="1:4" x14ac:dyDescent="0.25">
      <c r="A24" t="s">
        <v>38</v>
      </c>
      <c r="B24" s="2">
        <v>3000</v>
      </c>
      <c r="C24" s="2">
        <v>2000</v>
      </c>
      <c r="D24" s="5">
        <v>1000</v>
      </c>
    </row>
    <row r="25" spans="1:4" x14ac:dyDescent="0.25">
      <c r="A25" t="s">
        <v>39</v>
      </c>
      <c r="D25" s="3">
        <v>-600</v>
      </c>
    </row>
    <row r="26" spans="1:4" x14ac:dyDescent="0.25">
      <c r="A26" t="s">
        <v>40</v>
      </c>
      <c r="D26" s="5">
        <f>SUM(D22:D25)</f>
        <v>5400</v>
      </c>
    </row>
    <row r="27" spans="1:4" s="1" customFormat="1" x14ac:dyDescent="0.25">
      <c r="A27" s="1" t="s">
        <v>41</v>
      </c>
      <c r="D27" s="11">
        <f>D15+D19+D26</f>
        <v>-1076</v>
      </c>
    </row>
    <row r="28" spans="1:4" s="1" customFormat="1" x14ac:dyDescent="0.25">
      <c r="A28" s="1" t="s">
        <v>42</v>
      </c>
      <c r="D28" s="4">
        <v>392</v>
      </c>
    </row>
    <row r="29" spans="1:4" s="1" customFormat="1" x14ac:dyDescent="0.25">
      <c r="A29" s="1" t="s">
        <v>43</v>
      </c>
      <c r="D29" s="11">
        <f>D27+D28</f>
        <v>-684</v>
      </c>
    </row>
    <row r="30" spans="1:4" s="1" customFormat="1" x14ac:dyDescent="0.25">
      <c r="A30" s="1" t="s">
        <v>14</v>
      </c>
      <c r="D30" s="4"/>
    </row>
    <row r="31" spans="1:4" x14ac:dyDescent="0.25">
      <c r="A31" t="s">
        <v>15</v>
      </c>
      <c r="B31" s="2">
        <v>2048</v>
      </c>
    </row>
    <row r="32" spans="1:4" x14ac:dyDescent="0.25">
      <c r="A32" t="s">
        <v>16</v>
      </c>
      <c r="B32" s="2">
        <v>1011</v>
      </c>
    </row>
    <row r="33" spans="1:6" x14ac:dyDescent="0.25">
      <c r="A33" t="s">
        <v>17</v>
      </c>
      <c r="B33" s="2">
        <f>B31-B32</f>
        <v>1037</v>
      </c>
    </row>
    <row r="34" spans="1:6" x14ac:dyDescent="0.25">
      <c r="A34" t="s">
        <v>18</v>
      </c>
      <c r="B34">
        <v>217</v>
      </c>
    </row>
    <row r="35" spans="1:6" x14ac:dyDescent="0.25">
      <c r="A35" t="s">
        <v>19</v>
      </c>
      <c r="B35" s="2">
        <f>B33+B34</f>
        <v>1254</v>
      </c>
    </row>
    <row r="37" spans="1:6" s="1" customFormat="1" x14ac:dyDescent="0.25">
      <c r="A37" s="1" t="s">
        <v>22</v>
      </c>
      <c r="D37" s="4"/>
    </row>
    <row r="38" spans="1:6" x14ac:dyDescent="0.25">
      <c r="A38" t="s">
        <v>23</v>
      </c>
      <c r="B38" s="2">
        <v>16797</v>
      </c>
    </row>
    <row r="39" spans="1:6" x14ac:dyDescent="0.25">
      <c r="A39" t="s">
        <v>24</v>
      </c>
      <c r="B39" s="2">
        <v>-2952</v>
      </c>
    </row>
    <row r="40" spans="1:6" x14ac:dyDescent="0.25">
      <c r="A40" t="s">
        <v>25</v>
      </c>
      <c r="B40" s="2">
        <v>-1037</v>
      </c>
    </row>
    <row r="41" spans="1:6" x14ac:dyDescent="0.25">
      <c r="A41" t="s">
        <v>26</v>
      </c>
      <c r="B41" s="2">
        <v>-22708</v>
      </c>
    </row>
    <row r="42" spans="1:6" x14ac:dyDescent="0.25">
      <c r="A42" t="s">
        <v>27</v>
      </c>
      <c r="B42" s="2">
        <f>SUM(B38:B41)</f>
        <v>-9900</v>
      </c>
    </row>
    <row r="43" spans="1:6" x14ac:dyDescent="0.25">
      <c r="A43" s="1" t="s">
        <v>29</v>
      </c>
      <c r="B43" s="1"/>
      <c r="C43" s="1" t="s">
        <v>28</v>
      </c>
      <c r="D43" s="1"/>
      <c r="E43" s="1"/>
      <c r="F43" s="1" t="s">
        <v>30</v>
      </c>
    </row>
    <row r="44" spans="1:6" x14ac:dyDescent="0.25">
      <c r="A44" s="7"/>
      <c r="B44" s="8"/>
      <c r="C44" s="7"/>
      <c r="D44" s="9"/>
      <c r="E44" s="8"/>
      <c r="F44" s="7"/>
    </row>
    <row r="45" spans="1:6" x14ac:dyDescent="0.25">
      <c r="A45" t="s">
        <v>23</v>
      </c>
      <c r="C45" s="10">
        <v>16797</v>
      </c>
      <c r="D45" t="s">
        <v>31</v>
      </c>
      <c r="F45" s="10">
        <v>2952</v>
      </c>
    </row>
    <row r="46" spans="1:6" x14ac:dyDescent="0.25">
      <c r="C46" s="7"/>
      <c r="D46" t="s">
        <v>17</v>
      </c>
      <c r="F46" s="10">
        <v>1037</v>
      </c>
    </row>
    <row r="47" spans="1:6" x14ac:dyDescent="0.25">
      <c r="A47" t="s">
        <v>33</v>
      </c>
      <c r="C47" s="10">
        <f>C50-C45</f>
        <v>9900</v>
      </c>
      <c r="D47"/>
      <c r="F47" s="7"/>
    </row>
    <row r="48" spans="1:6" x14ac:dyDescent="0.25">
      <c r="C48" s="7"/>
      <c r="D48" t="s">
        <v>32</v>
      </c>
      <c r="F48" s="10">
        <v>22708</v>
      </c>
    </row>
    <row r="49" spans="3:6" x14ac:dyDescent="0.25">
      <c r="C49" s="7"/>
      <c r="D49"/>
      <c r="F49" s="7"/>
    </row>
    <row r="50" spans="3:6" x14ac:dyDescent="0.25">
      <c r="C50" s="10">
        <v>26697</v>
      </c>
      <c r="D50"/>
      <c r="F50" s="10">
        <f>SUM(F45:F48)</f>
        <v>26697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E9BB-D5E1-49D6-BFE0-CA96165EBFAE}">
  <dimension ref="A1:I48"/>
  <sheetViews>
    <sheetView tabSelected="1" topLeftCell="A22" zoomScale="112" workbookViewId="0">
      <selection activeCell="B27" sqref="B27"/>
    </sheetView>
  </sheetViews>
  <sheetFormatPr defaultRowHeight="15" x14ac:dyDescent="0.25"/>
  <cols>
    <col min="1" max="1" width="41.85546875" bestFit="1" customWidth="1"/>
    <col min="4" max="4" width="13.140625" style="3" customWidth="1"/>
  </cols>
  <sheetData>
    <row r="1" spans="1:4" x14ac:dyDescent="0.25">
      <c r="A1" t="s">
        <v>79</v>
      </c>
    </row>
    <row r="2" spans="1:4" x14ac:dyDescent="0.25">
      <c r="A2" t="s">
        <v>0</v>
      </c>
    </row>
    <row r="3" spans="1:4" x14ac:dyDescent="0.25">
      <c r="A3" t="s">
        <v>44</v>
      </c>
    </row>
    <row r="5" spans="1:4" s="1" customFormat="1" x14ac:dyDescent="0.25">
      <c r="A5" s="1" t="s">
        <v>2</v>
      </c>
      <c r="D5" s="4" t="s">
        <v>4</v>
      </c>
    </row>
    <row r="6" spans="1:4" x14ac:dyDescent="0.25">
      <c r="A6" t="s">
        <v>3</v>
      </c>
      <c r="D6" s="5">
        <v>27800</v>
      </c>
    </row>
    <row r="7" spans="1:4" x14ac:dyDescent="0.25">
      <c r="A7" t="s">
        <v>5</v>
      </c>
      <c r="B7" t="s">
        <v>45</v>
      </c>
      <c r="D7" s="5">
        <v>4000</v>
      </c>
    </row>
    <row r="8" spans="1:4" x14ac:dyDescent="0.25">
      <c r="B8" s="6">
        <v>2009</v>
      </c>
      <c r="C8" s="6">
        <v>2010</v>
      </c>
    </row>
    <row r="9" spans="1:4" x14ac:dyDescent="0.25">
      <c r="A9" t="s">
        <v>46</v>
      </c>
      <c r="B9" s="2">
        <v>16520</v>
      </c>
      <c r="C9" s="2">
        <v>19200</v>
      </c>
      <c r="D9" s="5">
        <f>B9-C9</f>
        <v>-2680</v>
      </c>
    </row>
    <row r="10" spans="1:4" x14ac:dyDescent="0.25">
      <c r="A10" t="s">
        <v>47</v>
      </c>
      <c r="B10" s="2">
        <v>9200</v>
      </c>
      <c r="C10" s="2">
        <v>9880</v>
      </c>
      <c r="D10" s="5">
        <f>B10-C10</f>
        <v>-680</v>
      </c>
    </row>
    <row r="11" spans="1:4" x14ac:dyDescent="0.25">
      <c r="A11" t="s">
        <v>48</v>
      </c>
      <c r="B11" s="2">
        <v>10600</v>
      </c>
      <c r="C11" s="2">
        <v>11900</v>
      </c>
      <c r="D11" s="5">
        <f>C11-B11</f>
        <v>1300</v>
      </c>
    </row>
    <row r="12" spans="1:4" x14ac:dyDescent="0.25">
      <c r="A12" t="s">
        <v>10</v>
      </c>
      <c r="D12" s="5">
        <v>-1500</v>
      </c>
    </row>
    <row r="13" spans="1:4" x14ac:dyDescent="0.25">
      <c r="A13" t="s">
        <v>49</v>
      </c>
      <c r="D13" s="5">
        <v>-6000</v>
      </c>
    </row>
    <row r="14" spans="1:4" x14ac:dyDescent="0.25">
      <c r="A14" t="s">
        <v>12</v>
      </c>
      <c r="D14" s="5">
        <f>SUM(D6:D13)</f>
        <v>22240</v>
      </c>
    </row>
    <row r="15" spans="1:4" s="1" customFormat="1" x14ac:dyDescent="0.25">
      <c r="A15" s="1" t="s">
        <v>56</v>
      </c>
      <c r="D15" s="4"/>
    </row>
    <row r="16" spans="1:4" x14ac:dyDescent="0.25">
      <c r="A16" t="s">
        <v>57</v>
      </c>
      <c r="D16" s="5">
        <v>-23090</v>
      </c>
    </row>
    <row r="17" spans="1:7" x14ac:dyDescent="0.25">
      <c r="A17" t="s">
        <v>65</v>
      </c>
      <c r="D17" s="5">
        <v>-23090</v>
      </c>
    </row>
    <row r="18" spans="1:7" s="1" customFormat="1" x14ac:dyDescent="0.25">
      <c r="A18" s="1" t="s">
        <v>35</v>
      </c>
      <c r="D18" s="4"/>
    </row>
    <row r="19" spans="1:7" x14ac:dyDescent="0.25">
      <c r="B19" s="6">
        <v>2009</v>
      </c>
      <c r="C19" s="6">
        <v>2010</v>
      </c>
    </row>
    <row r="20" spans="1:7" x14ac:dyDescent="0.25">
      <c r="A20" t="s">
        <v>66</v>
      </c>
      <c r="B20" s="2">
        <v>43000</v>
      </c>
      <c r="C20" s="2">
        <v>57000</v>
      </c>
      <c r="D20" s="5">
        <f>C20-B20</f>
        <v>14000</v>
      </c>
    </row>
    <row r="21" spans="1:7" x14ac:dyDescent="0.25">
      <c r="A21" t="s">
        <v>67</v>
      </c>
      <c r="B21" s="2">
        <v>11300</v>
      </c>
      <c r="C21" s="2">
        <v>12600</v>
      </c>
      <c r="D21" s="5">
        <f>C21-B21</f>
        <v>1300</v>
      </c>
    </row>
    <row r="22" spans="1:7" x14ac:dyDescent="0.25">
      <c r="A22" t="s">
        <v>68</v>
      </c>
      <c r="B22">
        <v>800</v>
      </c>
      <c r="C22">
        <v>600</v>
      </c>
      <c r="D22" s="3">
        <v>-200</v>
      </c>
    </row>
    <row r="23" spans="1:7" x14ac:dyDescent="0.25">
      <c r="A23" t="s">
        <v>69</v>
      </c>
      <c r="D23" s="3">
        <v>-440</v>
      </c>
    </row>
    <row r="24" spans="1:7" x14ac:dyDescent="0.25">
      <c r="A24" t="s">
        <v>40</v>
      </c>
      <c r="D24" s="5">
        <f>SUM(D20:D23)</f>
        <v>14660</v>
      </c>
    </row>
    <row r="25" spans="1:7" s="1" customFormat="1" x14ac:dyDescent="0.25">
      <c r="A25" s="1" t="s">
        <v>75</v>
      </c>
      <c r="D25" s="11">
        <f>D24+D17+D14</f>
        <v>13810</v>
      </c>
    </row>
    <row r="26" spans="1:7" s="1" customFormat="1" x14ac:dyDescent="0.25">
      <c r="A26" s="1" t="s">
        <v>76</v>
      </c>
      <c r="D26" s="11">
        <v>-7500</v>
      </c>
    </row>
    <row r="27" spans="1:7" s="1" customFormat="1" x14ac:dyDescent="0.25">
      <c r="A27" s="1" t="s">
        <v>77</v>
      </c>
      <c r="D27" s="11">
        <f>D25+D26</f>
        <v>6310</v>
      </c>
    </row>
    <row r="30" spans="1:7" s="1" customFormat="1" ht="15.75" thickBot="1" x14ac:dyDescent="0.3">
      <c r="A30" s="1" t="s">
        <v>50</v>
      </c>
      <c r="B30" s="1" t="s">
        <v>29</v>
      </c>
      <c r="D30" s="4" t="s">
        <v>51</v>
      </c>
      <c r="G30" s="1" t="s">
        <v>30</v>
      </c>
    </row>
    <row r="31" spans="1:7" ht="15.75" thickBot="1" x14ac:dyDescent="0.3">
      <c r="B31" s="14"/>
      <c r="C31" s="15"/>
      <c r="D31" s="12"/>
      <c r="E31" s="15"/>
      <c r="F31" s="15"/>
      <c r="G31" s="7"/>
    </row>
    <row r="32" spans="1:7" x14ac:dyDescent="0.25">
      <c r="B32" s="13" t="s">
        <v>32</v>
      </c>
      <c r="D32" s="17">
        <v>9480</v>
      </c>
      <c r="E32" t="s">
        <v>52</v>
      </c>
      <c r="G32" s="16">
        <v>8420</v>
      </c>
    </row>
    <row r="33" spans="1:9" x14ac:dyDescent="0.25">
      <c r="B33" s="13" t="s">
        <v>55</v>
      </c>
      <c r="D33" s="17">
        <f>D34-D32</f>
        <v>6000</v>
      </c>
      <c r="E33" t="s">
        <v>53</v>
      </c>
      <c r="G33" s="10">
        <v>7060</v>
      </c>
    </row>
    <row r="34" spans="1:9" x14ac:dyDescent="0.25">
      <c r="B34" s="13" t="s">
        <v>54</v>
      </c>
      <c r="D34" s="17">
        <v>15480</v>
      </c>
      <c r="E34" t="s">
        <v>54</v>
      </c>
      <c r="G34" s="10">
        <f>G32+G33</f>
        <v>15480</v>
      </c>
    </row>
    <row r="36" spans="1:9" s="1" customFormat="1" x14ac:dyDescent="0.25">
      <c r="A36" s="1" t="s">
        <v>58</v>
      </c>
      <c r="D36" s="4" t="s">
        <v>29</v>
      </c>
      <c r="F36" s="1" t="s">
        <v>59</v>
      </c>
      <c r="I36" s="1" t="s">
        <v>30</v>
      </c>
    </row>
    <row r="37" spans="1:9" x14ac:dyDescent="0.25">
      <c r="B37" t="s">
        <v>59</v>
      </c>
      <c r="D37" s="12"/>
      <c r="E37" s="7"/>
      <c r="F37" s="7"/>
      <c r="G37" s="7"/>
      <c r="H37" s="7"/>
      <c r="I37" s="7"/>
    </row>
    <row r="38" spans="1:9" x14ac:dyDescent="0.25">
      <c r="A38" t="s">
        <v>60</v>
      </c>
      <c r="B38" s="2">
        <v>79400</v>
      </c>
      <c r="D38" s="18" t="s">
        <v>52</v>
      </c>
      <c r="F38" s="16">
        <v>79400</v>
      </c>
      <c r="G38" t="s">
        <v>31</v>
      </c>
      <c r="I38" s="16">
        <v>4000</v>
      </c>
    </row>
    <row r="39" spans="1:9" x14ac:dyDescent="0.25">
      <c r="A39" t="s">
        <v>24</v>
      </c>
      <c r="B39" s="2">
        <v>-4000</v>
      </c>
      <c r="D39" s="18" t="s">
        <v>64</v>
      </c>
      <c r="F39" s="10">
        <v>10000</v>
      </c>
      <c r="G39" t="s">
        <v>32</v>
      </c>
      <c r="I39" s="10">
        <v>108490</v>
      </c>
    </row>
    <row r="40" spans="1:9" x14ac:dyDescent="0.25">
      <c r="A40" t="s">
        <v>61</v>
      </c>
      <c r="B40" s="2">
        <v>10000</v>
      </c>
      <c r="D40" s="19" t="s">
        <v>63</v>
      </c>
      <c r="E40" s="1"/>
      <c r="F40" s="20">
        <f>F41-F38-F39</f>
        <v>23090</v>
      </c>
      <c r="I40" s="7"/>
    </row>
    <row r="41" spans="1:9" x14ac:dyDescent="0.25">
      <c r="A41" t="s">
        <v>62</v>
      </c>
      <c r="B41" s="2">
        <v>-108490</v>
      </c>
      <c r="D41" s="18" t="s">
        <v>54</v>
      </c>
      <c r="F41" s="10">
        <v>112490</v>
      </c>
      <c r="G41" t="s">
        <v>54</v>
      </c>
      <c r="I41" s="10">
        <f>I38+I39</f>
        <v>112490</v>
      </c>
    </row>
    <row r="42" spans="1:9" x14ac:dyDescent="0.25">
      <c r="A42" t="s">
        <v>63</v>
      </c>
      <c r="B42" s="2">
        <f>SUM(B38:B41)</f>
        <v>-23090</v>
      </c>
      <c r="D42" s="18"/>
      <c r="F42" s="7"/>
      <c r="I42" s="7"/>
    </row>
    <row r="44" spans="1:9" s="1" customFormat="1" x14ac:dyDescent="0.25">
      <c r="A44" s="1" t="s">
        <v>70</v>
      </c>
      <c r="D44" s="4"/>
    </row>
    <row r="45" spans="1:9" x14ac:dyDescent="0.25">
      <c r="A45" t="s">
        <v>71</v>
      </c>
      <c r="B45" s="2">
        <v>23500</v>
      </c>
    </row>
    <row r="46" spans="1:9" x14ac:dyDescent="0.25">
      <c r="A46" t="s">
        <v>72</v>
      </c>
      <c r="B46" s="2">
        <v>19240</v>
      </c>
    </row>
    <row r="47" spans="1:9" x14ac:dyDescent="0.25">
      <c r="A47" t="s">
        <v>73</v>
      </c>
      <c r="B47" s="2">
        <v>-42300</v>
      </c>
    </row>
    <row r="48" spans="1:9" x14ac:dyDescent="0.25">
      <c r="A48" t="s">
        <v>74</v>
      </c>
      <c r="B48" s="2">
        <f>SUM(B45:B47)</f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Bear PLC</vt:lpstr>
      <vt:lpstr>CM 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Dey</dc:creator>
  <cp:lastModifiedBy>Dey, Sajal Kumar</cp:lastModifiedBy>
  <cp:lastPrinted>2025-02-05T13:37:31Z</cp:lastPrinted>
  <dcterms:created xsi:type="dcterms:W3CDTF">2015-06-05T18:17:20Z</dcterms:created>
  <dcterms:modified xsi:type="dcterms:W3CDTF">2025-02-05T13:37:59Z</dcterms:modified>
</cp:coreProperties>
</file>