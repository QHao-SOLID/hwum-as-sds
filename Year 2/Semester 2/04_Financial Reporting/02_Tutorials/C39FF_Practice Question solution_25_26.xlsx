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ajal\OneDrive\Desktop\HWU\Year-2025-2026\Courses\Semester-2\C39FF-Financial Reporting and finance\Questions\Mock Test Question\"/>
    </mc:Choice>
  </mc:AlternateContent>
  <xr:revisionPtr revIDLastSave="0" documentId="13_ncr:1_{694D4EBE-E269-4480-A34F-A5DE50A4015B}" xr6:coauthVersionLast="47" xr6:coauthVersionMax="47" xr10:uidLastSave="{00000000-0000-0000-0000-000000000000}"/>
  <bookViews>
    <workbookView xWindow="28680" yWindow="-120" windowWidth="29040" windowHeight="15720" activeTab="8" xr2:uid="{00000000-000D-0000-FFFF-FFFF00000000}"/>
  </bookViews>
  <sheets>
    <sheet name="Question" sheetId="23" r:id="rId1"/>
    <sheet name="Q1 SOPL" sheetId="14" r:id="rId2"/>
    <sheet name="Q1 SOFP" sheetId="15" r:id="rId3"/>
    <sheet name="Q1 Workings" sheetId="17" r:id="rId4"/>
    <sheet name="Q2 cashflow" sheetId="25" r:id="rId5"/>
    <sheet name="Q3 Capital Project" sheetId="26" r:id="rId6"/>
    <sheet name="Q4.Ratio" sheetId="30" r:id="rId7"/>
    <sheet name="Q5. Theory" sheetId="27" r:id="rId8"/>
    <sheet name="Q6. Cash budget" sheetId="2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33" i="26" l="1"/>
  <c r="G35" i="26" s="1"/>
  <c r="F33" i="26"/>
  <c r="F35" i="26" s="1"/>
  <c r="E33" i="26"/>
  <c r="E35" i="26" s="1"/>
  <c r="D33" i="26"/>
  <c r="D35" i="26" s="1"/>
  <c r="C33" i="26"/>
  <c r="C35" i="26" s="1"/>
  <c r="B36" i="26" s="1"/>
  <c r="B37" i="26" s="1"/>
  <c r="E21" i="26"/>
  <c r="E23" i="26" s="1"/>
  <c r="D21" i="26"/>
  <c r="D23" i="26" s="1"/>
  <c r="C21" i="26"/>
  <c r="C23" i="26" s="1"/>
  <c r="B24" i="26" s="1"/>
  <c r="B25" i="26" s="1"/>
  <c r="G9" i="26"/>
  <c r="G11" i="26" s="1"/>
  <c r="F9" i="26"/>
  <c r="F11" i="26" s="1"/>
  <c r="E9" i="26"/>
  <c r="E11" i="26" s="1"/>
  <c r="D9" i="26"/>
  <c r="D11" i="26" s="1"/>
  <c r="C9" i="26"/>
  <c r="C11" i="26" s="1"/>
  <c r="B12" i="26" s="1"/>
  <c r="B13" i="26" s="1"/>
  <c r="J44" i="25"/>
  <c r="B42" i="25"/>
  <c r="G41" i="25"/>
  <c r="B33" i="25"/>
  <c r="B35" i="25" s="1"/>
  <c r="D26" i="25"/>
  <c r="D19" i="25"/>
  <c r="D12" i="25"/>
  <c r="D11" i="25"/>
  <c r="D10" i="25"/>
  <c r="C45" i="17"/>
  <c r="D45" i="17"/>
  <c r="E45" i="17"/>
  <c r="B45" i="17"/>
  <c r="D14" i="17"/>
  <c r="E24" i="15"/>
  <c r="E19" i="15"/>
  <c r="E18" i="15"/>
  <c r="E11" i="15"/>
  <c r="E5" i="15"/>
  <c r="B65" i="17"/>
  <c r="B58" i="17" s="1"/>
  <c r="B57" i="17"/>
  <c r="B50" i="17"/>
  <c r="D42" i="17"/>
  <c r="C42" i="17"/>
  <c r="C40" i="23"/>
  <c r="B40" i="17" s="1"/>
  <c r="D39" i="17"/>
  <c r="C39" i="17"/>
  <c r="B39" i="17"/>
  <c r="D17" i="17"/>
  <c r="C27" i="17"/>
  <c r="C15" i="17" s="1"/>
  <c r="B26" i="17"/>
  <c r="B27" i="17" s="1"/>
  <c r="B15" i="17" s="1"/>
  <c r="D12" i="17"/>
  <c r="D10" i="17"/>
  <c r="C10" i="17"/>
  <c r="D9" i="17"/>
  <c r="C8" i="17"/>
  <c r="B13" i="17"/>
  <c r="B11" i="17"/>
  <c r="B7" i="17"/>
  <c r="B6" i="17"/>
  <c r="B5" i="17"/>
  <c r="B3" i="14"/>
  <c r="B5" i="14" s="1"/>
  <c r="B9" i="14" s="1"/>
  <c r="B12" i="14" s="1"/>
  <c r="B15" i="14" s="1"/>
  <c r="B24" i="14" s="1"/>
  <c r="D15" i="25" l="1"/>
  <c r="D27" i="25" s="1"/>
  <c r="D29" i="25" s="1"/>
  <c r="E20" i="15"/>
  <c r="B59" i="17"/>
  <c r="E28" i="15" s="1"/>
  <c r="E30" i="15" s="1"/>
  <c r="E42" i="17"/>
  <c r="D41" i="17"/>
  <c r="C41" i="17"/>
  <c r="B41" i="17"/>
  <c r="E40" i="17"/>
  <c r="E39" i="17"/>
  <c r="C33" i="17"/>
  <c r="C16" i="17" s="1"/>
  <c r="C19" i="17" s="1"/>
  <c r="B33" i="17"/>
  <c r="B16" i="17" s="1"/>
  <c r="B19" i="17" s="1"/>
  <c r="E25" i="15"/>
  <c r="E12" i="15"/>
  <c r="D27" i="17" l="1"/>
  <c r="D33" i="17"/>
  <c r="D16" i="17" s="1"/>
  <c r="C43" i="17"/>
  <c r="D43" i="17"/>
  <c r="E41" i="17"/>
  <c r="E6" i="15" s="1"/>
  <c r="E7" i="15" s="1"/>
  <c r="E14" i="15" s="1"/>
  <c r="E32" i="15"/>
  <c r="B51" i="17" l="1"/>
  <c r="B53" i="17" s="1"/>
  <c r="E21" i="15" s="1"/>
  <c r="E22" i="15" s="1"/>
  <c r="E34" i="15" s="1"/>
  <c r="F34" i="15" s="1"/>
  <c r="D15" i="17"/>
  <c r="D19" i="17" s="1"/>
  <c r="E43" i="17"/>
</calcChain>
</file>

<file path=xl/sharedStrings.xml><?xml version="1.0" encoding="utf-8"?>
<sst xmlns="http://schemas.openxmlformats.org/spreadsheetml/2006/main" count="400" uniqueCount="323">
  <si>
    <t>Revenue</t>
  </si>
  <si>
    <t>Gross Profit</t>
  </si>
  <si>
    <t>Profit From Operations</t>
  </si>
  <si>
    <t>Profit Before tax</t>
  </si>
  <si>
    <t>Profit for the year</t>
  </si>
  <si>
    <t>*note where a company has gains/losses that are being taken directly to</t>
  </si>
  <si>
    <t>reserves  these need to be reported in 'Other comprehensive income'</t>
  </si>
  <si>
    <t>Other comprehensive income</t>
  </si>
  <si>
    <t>Total comprehensive income</t>
  </si>
  <si>
    <t>Assets</t>
  </si>
  <si>
    <t>Non-Current Assets</t>
  </si>
  <si>
    <t>Property, Plant &amp; equipment (W3)</t>
  </si>
  <si>
    <t>Current Assets</t>
  </si>
  <si>
    <t>Inventories (closing)</t>
  </si>
  <si>
    <t>Trade &amp; other recievables</t>
  </si>
  <si>
    <t>Cash &amp; Cash equivalents</t>
  </si>
  <si>
    <t>Total Assets</t>
  </si>
  <si>
    <t>Equity &amp; Liabilities</t>
  </si>
  <si>
    <t>Equity</t>
  </si>
  <si>
    <t>Share Premium</t>
  </si>
  <si>
    <t>Retained Earnings (W4)</t>
  </si>
  <si>
    <t>Non-current Liabilities</t>
  </si>
  <si>
    <t>Current Liabilites</t>
  </si>
  <si>
    <t>Current tax Payable</t>
  </si>
  <si>
    <t>Total Liabilities</t>
  </si>
  <si>
    <t>Total Equity &amp; Liabilities</t>
  </si>
  <si>
    <t>Revaluation</t>
  </si>
  <si>
    <t>Total</t>
  </si>
  <si>
    <t>Cost of sales</t>
  </si>
  <si>
    <t>Opening inventory</t>
  </si>
  <si>
    <t>Purchases</t>
  </si>
  <si>
    <t>Closing Inventory</t>
  </si>
  <si>
    <t>Working 2 - Depreciation</t>
  </si>
  <si>
    <t>Working 3 - Property, Plant &amp; Equipment</t>
  </si>
  <si>
    <t>Land</t>
  </si>
  <si>
    <t>Working 4 - Retained Earnings</t>
  </si>
  <si>
    <t>Retained earnings b/fwd</t>
  </si>
  <si>
    <t>Profit for period</t>
  </si>
  <si>
    <t>Dividend paid</t>
  </si>
  <si>
    <t>Retained earnings c/fwd</t>
  </si>
  <si>
    <t>Goodwill</t>
  </si>
  <si>
    <t>Working 1 - Allocation of expenses</t>
  </si>
  <si>
    <t>Distribution Costs (W1)</t>
  </si>
  <si>
    <t>Administrative Costs (W1)</t>
  </si>
  <si>
    <t>Finance Costs</t>
  </si>
  <si>
    <t>Tax</t>
  </si>
  <si>
    <t xml:space="preserve">Robert Plc </t>
  </si>
  <si>
    <t>Goodwill - intangible assets</t>
  </si>
  <si>
    <t>Equity Share capital</t>
  </si>
  <si>
    <t>Revaluation Reserve</t>
  </si>
  <si>
    <t>10% Loan</t>
  </si>
  <si>
    <t>Trade &amp; other payables (W5)</t>
  </si>
  <si>
    <t>Robert Plc</t>
  </si>
  <si>
    <t>Distribution</t>
  </si>
  <si>
    <t>Administrative</t>
  </si>
  <si>
    <t>Distribution salaries</t>
  </si>
  <si>
    <t>Directors remuneration</t>
  </si>
  <si>
    <t>Directors bonus accrual</t>
  </si>
  <si>
    <t>Heating &amp; lighting</t>
  </si>
  <si>
    <t>Admin Salaries</t>
  </si>
  <si>
    <t>factory wages</t>
  </si>
  <si>
    <t>Admin Expenses</t>
  </si>
  <si>
    <t>Depreciation - Buildings W2</t>
  </si>
  <si>
    <t>Depreciation - Equipment W2</t>
  </si>
  <si>
    <t>Admin salaries accrued</t>
  </si>
  <si>
    <t>Provision for doubtful debt</t>
  </si>
  <si>
    <t>Buildings</t>
  </si>
  <si>
    <t>Equipment</t>
  </si>
  <si>
    <t>Building</t>
  </si>
  <si>
    <t>Working 5 - Trade payables</t>
  </si>
  <si>
    <t>Trade payables</t>
  </si>
  <si>
    <t>Accruals</t>
  </si>
  <si>
    <t>Bank Balance</t>
  </si>
  <si>
    <t>Buildings at cost</t>
  </si>
  <si>
    <t>Equipment at cost</t>
  </si>
  <si>
    <t>Land at cost</t>
  </si>
  <si>
    <t>Heating &amp; Lighting</t>
  </si>
  <si>
    <t>Administrative Expenses</t>
  </si>
  <si>
    <t>Trade Receivables</t>
  </si>
  <si>
    <t>Trade Payables</t>
  </si>
  <si>
    <t>Factory Wages</t>
  </si>
  <si>
    <t>Administrative Salaries</t>
  </si>
  <si>
    <t>Distribution Salaries</t>
  </si>
  <si>
    <t>Directors Remuneration</t>
  </si>
  <si>
    <t>Retained Profits</t>
  </si>
  <si>
    <t>£1 Ordinary shares</t>
  </si>
  <si>
    <t>1. Inventory</t>
  </si>
  <si>
    <t>2. Admin salaries</t>
  </si>
  <si>
    <t>3. CEO</t>
  </si>
  <si>
    <t>Sales director</t>
  </si>
  <si>
    <t>4. Provision for doubtful debt</t>
  </si>
  <si>
    <t>5. Equipment Depreciation</t>
  </si>
  <si>
    <t>6. Building Depreciation</t>
  </si>
  <si>
    <t>Admin exp</t>
  </si>
  <si>
    <t>Distribution exp</t>
  </si>
  <si>
    <t>7. Tax exp</t>
  </si>
  <si>
    <t>8. Land revaluation</t>
  </si>
  <si>
    <t>Cost of sales (W1)</t>
  </si>
  <si>
    <t>Cost @ 1 jan 2024</t>
  </si>
  <si>
    <t>Less:Acc.Dep</t>
  </si>
  <si>
    <t>Current year Dep</t>
  </si>
  <si>
    <t>NBV @ 31 Dec 2024</t>
  </si>
  <si>
    <t>Interest</t>
  </si>
  <si>
    <t>Admins</t>
  </si>
  <si>
    <t>CEO</t>
  </si>
  <si>
    <t>Total Non-current asset</t>
  </si>
  <si>
    <t>NPV</t>
  </si>
  <si>
    <t>Statement of Profit &amp; Loss &amp; Other Comprehensive Income year ended 31st December 2025</t>
  </si>
  <si>
    <t>Statement of Financial Position as at 31st Dec 2025</t>
  </si>
  <si>
    <t>Straight Line Method</t>
  </si>
  <si>
    <t xml:space="preserve">Reducing Balance </t>
  </si>
  <si>
    <r>
      <t>Buildings depreciation at 1</t>
    </r>
    <r>
      <rPr>
        <vertAlign val="superscript"/>
        <sz val="12"/>
        <color theme="1"/>
        <rFont val="Verdana"/>
        <family val="2"/>
      </rPr>
      <t>st</t>
    </r>
    <r>
      <rPr>
        <sz val="12"/>
        <color theme="1"/>
        <rFont val="Verdana"/>
        <family val="2"/>
      </rPr>
      <t xml:space="preserve"> Jan 2025</t>
    </r>
  </si>
  <si>
    <r>
      <t>Equipment depreciation at 1</t>
    </r>
    <r>
      <rPr>
        <vertAlign val="superscript"/>
        <sz val="12"/>
        <color theme="1"/>
        <rFont val="Verdana"/>
        <family val="2"/>
      </rPr>
      <t>st</t>
    </r>
    <r>
      <rPr>
        <sz val="12"/>
        <color theme="1"/>
        <rFont val="Verdana"/>
        <family val="2"/>
      </rPr>
      <t xml:space="preserve"> Jan 2025</t>
    </r>
  </si>
  <si>
    <r>
      <t>Provision for doubtful debts at 1</t>
    </r>
    <r>
      <rPr>
        <vertAlign val="superscript"/>
        <sz val="12"/>
        <color theme="1"/>
        <rFont val="Verdana"/>
        <family val="2"/>
      </rPr>
      <t>st</t>
    </r>
    <r>
      <rPr>
        <sz val="12"/>
        <color theme="1"/>
        <rFont val="Verdana"/>
        <family val="2"/>
      </rPr>
      <t xml:space="preserve"> Jan 2025</t>
    </r>
  </si>
  <si>
    <r>
      <t>Inventory at 1</t>
    </r>
    <r>
      <rPr>
        <vertAlign val="superscript"/>
        <sz val="12"/>
        <color theme="1"/>
        <rFont val="Verdana"/>
        <family val="2"/>
      </rPr>
      <t>st</t>
    </r>
    <r>
      <rPr>
        <sz val="12"/>
        <color theme="1"/>
        <rFont val="Verdana"/>
        <family val="2"/>
      </rPr>
      <t xml:space="preserve"> Jan 2025</t>
    </r>
  </si>
  <si>
    <t>000,</t>
  </si>
  <si>
    <t>(6750-600)</t>
  </si>
  <si>
    <t>45000 * 10%</t>
  </si>
  <si>
    <t>37500*20%</t>
  </si>
  <si>
    <t>Sales Director</t>
  </si>
  <si>
    <t>(180,000-150,000)</t>
  </si>
  <si>
    <t>20% Loan</t>
  </si>
  <si>
    <t>Statement of Cashflow</t>
  </si>
  <si>
    <t>For the year ended as of 31st March 2025</t>
  </si>
  <si>
    <t>Cashflow from operating activities</t>
  </si>
  <si>
    <t>Profit from operation</t>
  </si>
  <si>
    <t>Add: Depreciation</t>
  </si>
  <si>
    <t>Less: Profit on disposal of PPE</t>
  </si>
  <si>
    <t>Less: Inventories</t>
  </si>
  <si>
    <t xml:space="preserve">Less: Trade and other receivable </t>
  </si>
  <si>
    <t>Add: Trade and other payables</t>
  </si>
  <si>
    <t>Less: Interest paid</t>
  </si>
  <si>
    <t>Less; Tax paid</t>
  </si>
  <si>
    <t>Net cashflow from operating activities</t>
  </si>
  <si>
    <t xml:space="preserve">Cashflow from investing activities </t>
  </si>
  <si>
    <t>Disposal of PPE (W1)</t>
  </si>
  <si>
    <t>Acquisition of PPE (W2)</t>
  </si>
  <si>
    <t>Net cashflow from investing activites</t>
  </si>
  <si>
    <t>Cashflow from financing activities</t>
  </si>
  <si>
    <t xml:space="preserve">Share capital </t>
  </si>
  <si>
    <t xml:space="preserve">Share premium </t>
  </si>
  <si>
    <t>Bank loan</t>
  </si>
  <si>
    <t>Net cashflow from financing activities</t>
  </si>
  <si>
    <t>Net cash increase/decrease</t>
  </si>
  <si>
    <t xml:space="preserve">Cash and Cash equivalent at the beginging of the year </t>
  </si>
  <si>
    <t xml:space="preserve">Cash and Cash equivalent at the end of the year </t>
  </si>
  <si>
    <t>W-1 Sales of PPE</t>
  </si>
  <si>
    <t>Cost of PPE</t>
  </si>
  <si>
    <t xml:space="preserve">Less; Acc. Dep </t>
  </si>
  <si>
    <t xml:space="preserve">Book value </t>
  </si>
  <si>
    <t xml:space="preserve">Add: Profit </t>
  </si>
  <si>
    <t xml:space="preserve">Sales price </t>
  </si>
  <si>
    <t>W-2 Acquisition of PPE</t>
  </si>
  <si>
    <t>Dr</t>
  </si>
  <si>
    <t>PPE</t>
  </si>
  <si>
    <t>Cr</t>
  </si>
  <si>
    <t xml:space="preserve">Opening balance </t>
  </si>
  <si>
    <t>Less: Depreciation</t>
  </si>
  <si>
    <t>Depreciation</t>
  </si>
  <si>
    <t>Less: Book value of PPE (W1)</t>
  </si>
  <si>
    <t xml:space="preserve">Less: Closing balance </t>
  </si>
  <si>
    <t>Purchase of New PPE</t>
  </si>
  <si>
    <t>Purchase of PPE</t>
  </si>
  <si>
    <t>Closing balance</t>
  </si>
  <si>
    <t>Billls PLC</t>
  </si>
  <si>
    <t xml:space="preserve">a. Net present value </t>
  </si>
  <si>
    <t>Project A</t>
  </si>
  <si>
    <t>Year-0</t>
  </si>
  <si>
    <t>Year-1</t>
  </si>
  <si>
    <t>Year-2</t>
  </si>
  <si>
    <t>Year-3</t>
  </si>
  <si>
    <t>Year-4</t>
  </si>
  <si>
    <t>Year-5</t>
  </si>
  <si>
    <t>Investment required</t>
  </si>
  <si>
    <t>Working capital</t>
  </si>
  <si>
    <t>Cash inflow</t>
  </si>
  <si>
    <t>Cash savings</t>
  </si>
  <si>
    <t>Running cost</t>
  </si>
  <si>
    <t>Disposal value</t>
  </si>
  <si>
    <t xml:space="preserve">Total cashflow </t>
  </si>
  <si>
    <t>Interest factor (10%)</t>
  </si>
  <si>
    <t xml:space="preserve">Present value </t>
  </si>
  <si>
    <t>Total PV</t>
  </si>
  <si>
    <t>Project B</t>
  </si>
  <si>
    <t>Project C</t>
  </si>
  <si>
    <t xml:space="preserve">B. Payback period </t>
  </si>
  <si>
    <t>32,000/274,000</t>
  </si>
  <si>
    <t>PBP=</t>
  </si>
  <si>
    <t>2.117 Years</t>
  </si>
  <si>
    <t>34,500/158,000</t>
  </si>
  <si>
    <t>PBP</t>
  </si>
  <si>
    <t>2.22 years</t>
  </si>
  <si>
    <t>20,000/110,000</t>
  </si>
  <si>
    <t xml:space="preserve">c. </t>
  </si>
  <si>
    <t>Recommendation and justification should consider:</t>
  </si>
  <si>
    <t>• NPV</t>
  </si>
  <si>
    <t>• Investment amount and affordability</t>
  </si>
  <si>
    <t>• Working capital required and affordability</t>
  </si>
  <si>
    <t>• Cash inflows comparisons</t>
  </si>
  <si>
    <t>• Cash savings comparison</t>
  </si>
  <si>
    <t>• Running costs comparison</t>
  </si>
  <si>
    <t>• Duration comparison</t>
  </si>
  <si>
    <t>• Risk evaluation and comparison</t>
  </si>
  <si>
    <t>• Payback period</t>
  </si>
  <si>
    <t>• Payback period relevant to duration of project</t>
  </si>
  <si>
    <t>• etc</t>
  </si>
  <si>
    <t xml:space="preserve">d. </t>
  </si>
  <si>
    <t xml:space="preserve">•	ARR; PB; NPV and IRR may all be considered 
•	Question asks NPV and PB therefore assume more details will be given on these two methodologies 
•	simplicity of payback 
•	complexity of NPV 
•	payback doesn’t reflect time value of money – the longer the project the longer the risk 
•	some argue payback does not consider risk by ignoring the time value of money 
•	could bring in arguments for discounted payback – used in practice 
•	any one method alone is a risk – recognised in practice to use at least two 
•	sometimes different methods will rank projects in a different order 
•	working with estimated project figures 
•	DF is a best estimate – particularly topical with interest rates and inflation rising in the UK at a rate not seen by many. 
•	Rising interest and inflation rates a risk to costs and time value of money 
•	can it be ignored? 
•	Changing position after many years low inflation and low interest rates 
•	Most people will not have worked with these economies which creates risk within organisations 
•	Stock market is reacting to rate changes – this could have implications to risk perception of projects 
Any relevant points including those from ARR and IRR, and any comparison between all 4 methods, plus mention of alternative methods should be given credit. </t>
  </si>
  <si>
    <t>Cost   8,000</t>
  </si>
  <si>
    <t xml:space="preserve">Yr 1 Depreciation*  1,120 </t>
  </si>
  <si>
    <t>Yr 2 Depreciation   1,120</t>
  </si>
  <si>
    <t>Yr 3 Depreciation  1,120</t>
  </si>
  <si>
    <t>Yr 4 Depreciation  1,120</t>
  </si>
  <si>
    <t>*(8,000-2,400)/5=1,120</t>
  </si>
  <si>
    <t>Cost    8,000</t>
  </si>
  <si>
    <t>Yr 1 Depreciation (20% x 8,000)              1,600</t>
  </si>
  <si>
    <t>Yr 2 Depreciation (20% x 6400)               1,280</t>
  </si>
  <si>
    <t>Yr 3 Depreciation (20% x 5120)      1,024</t>
  </si>
  <si>
    <t>Yr 4 Depreciation (20% x  4,096)    819</t>
  </si>
  <si>
    <t>Yr 5 Depreciation (20% x  3,277)    655</t>
  </si>
  <si>
    <t>When utilized effectively, companies can use derivatives to efficiently manage a variety of financial risk exposures they may encounter. Three common hedging strategies involving derivatives include handling foreign exchange risks, mitigating interest rate risk, and addressing commodity or input price risks. Some examples of derivatives are futures, forwards, options, and swaps.</t>
  </si>
  <si>
    <r>
      <t>Futures</t>
    </r>
    <r>
      <rPr>
        <sz val="8"/>
        <color theme="1"/>
        <rFont val="Verdana"/>
        <family val="2"/>
      </rPr>
      <t>: Futures are standardized contracts organized by exchanges that specify the size, delivery time, and price of a commodity. They are easily tradable due to their standardized nature, and different aspects are specified for each commodity traded in a futures contract.</t>
    </r>
  </si>
  <si>
    <r>
      <t>Forwards:</t>
    </r>
    <r>
      <rPr>
        <sz val="8"/>
        <color theme="1"/>
        <rFont val="Verdana"/>
        <family val="2"/>
      </rPr>
      <t xml:space="preserve"> Forwards and futures are very similar, as they both grant access to a commodity at a predetermined price and time in the future. The key distinction is that a forward is traded directly between two parties without the use of an exchange. This absence of an exchange allows for negotiable terms regarding delivery, size, and price of the contract. Unlike </t>
    </r>
    <r>
      <rPr>
        <b/>
        <sz val="8"/>
        <color theme="1"/>
        <rFont val="Verdana"/>
        <family val="2"/>
      </rPr>
      <t>futures</t>
    </r>
    <r>
      <rPr>
        <sz val="8"/>
        <color theme="1"/>
        <rFont val="Verdana"/>
        <family val="2"/>
      </rPr>
      <t>, forwards are typically executed upon maturity, as they are primarily used as insurance against adverse price movements, and actual delivery of the commodity takes place. In contrast, futures are widely employed by speculators who aim to profit by selling the contracts at a higher price, and therefore, they are closed prior to maturity.</t>
    </r>
  </si>
  <si>
    <r>
      <t>Swap:</t>
    </r>
    <r>
      <rPr>
        <sz val="8"/>
        <color theme="1"/>
        <rFont val="Verdana"/>
        <family val="2"/>
      </rPr>
      <t xml:space="preserve"> A swap is an agreement between two parties to exchange cash flows on a specified date or, in many cases, on multiple dates. Typically, one party agrees to pay a fixed rate while the other party pays a floating rate. For example, in trading commodities, an airline company that relies on kerosene might agree to pay a fixed price for a predetermined quantity of this commodity. The other party, a bank, agrees to pay the spot price for the commodity. This arrangement ensures that the airline company knows the price it will pay for its commodity. If the price of the commodity rises, the bank covers the difference, but if it falls, the difference is paid to the bank.</t>
    </r>
  </si>
  <si>
    <t>Accounting is the process of recording, summarizing, analyzing, and reporting financial transactions of a business or an organization. It helps in tracking income, expenses, assets, and liabilities to ensure financial transparency and decision-making.</t>
  </si>
  <si>
    <t>Accounting consists of several key activities: Recording Transactions (Bookkeeping), Classifying and Summarizing Data, Financial Analysis and Interpretation, Preparing Financial Statements (e.g., Balance Sheet, Income Statement), Auditing and Compliance</t>
  </si>
  <si>
    <t xml:space="preserve">Internal Users </t>
  </si>
  <si>
    <r>
      <t xml:space="preserve">Owners/Management – They use accounting reports to make strategic decisions, such as expanding the business or cutting costs. </t>
    </r>
    <r>
      <rPr>
        <i/>
        <sz val="8"/>
        <color theme="1"/>
        <rFont val="Verdana"/>
        <family val="2"/>
      </rPr>
      <t>Example:</t>
    </r>
    <r>
      <rPr>
        <sz val="8"/>
        <color theme="1"/>
        <rFont val="Verdana"/>
        <family val="2"/>
      </rPr>
      <t xml:space="preserve"> A company's CEO analyzes the profit and loss statement to decide whether to invest in new machinery. Employees – Workers and unions use financial statements to negotiate salaries, bonuses, and job security. </t>
    </r>
    <r>
      <rPr>
        <i/>
        <sz val="8"/>
        <color theme="1"/>
        <rFont val="Verdana"/>
        <family val="2"/>
      </rPr>
      <t>Example:</t>
    </r>
    <r>
      <rPr>
        <sz val="8"/>
        <color theme="1"/>
        <rFont val="Verdana"/>
        <family val="2"/>
      </rPr>
      <t xml:space="preserve"> An employee union reviews the company's annual financial report to demand better wages. Managers – Departmental heads use accounting reports to track performance, budget, and control expenses. </t>
    </r>
    <r>
      <rPr>
        <i/>
        <sz val="8"/>
        <color theme="1"/>
        <rFont val="Verdana"/>
        <family val="2"/>
      </rPr>
      <t>Example:</t>
    </r>
    <r>
      <rPr>
        <sz val="8"/>
        <color theme="1"/>
        <rFont val="Verdana"/>
        <family val="2"/>
      </rPr>
      <t xml:space="preserve"> A sales manager checks revenue data to evaluate if the sales targets are met.</t>
    </r>
  </si>
  <si>
    <t xml:space="preserve">External Users </t>
  </si>
  <si>
    <r>
      <t xml:space="preserve">Investors &amp; Shareholders – They analyze financial statements to assess profitability and decide whether to invest. </t>
    </r>
    <r>
      <rPr>
        <i/>
        <sz val="8"/>
        <color theme="1"/>
        <rFont val="Verdana"/>
        <family val="2"/>
      </rPr>
      <t>Example:</t>
    </r>
    <r>
      <rPr>
        <sz val="8"/>
        <color theme="1"/>
        <rFont val="Verdana"/>
        <family val="2"/>
      </rPr>
      <t xml:space="preserve"> A stock market investor studies a company’s earnings report before buying shares. Creditors &amp; Lenders – Banks and financial institutions check financial health before giving loans. </t>
    </r>
    <r>
      <rPr>
        <i/>
        <sz val="8"/>
        <color theme="1"/>
        <rFont val="Verdana"/>
        <family val="2"/>
      </rPr>
      <t>Example:</t>
    </r>
    <r>
      <rPr>
        <sz val="8"/>
        <color theme="1"/>
        <rFont val="Verdana"/>
        <family val="2"/>
      </rPr>
      <t xml:space="preserve"> A bank reviews a company's balance sheet before approving a loan. Government &amp; Tax Authorities – The government uses financial reports for taxation and regulatory purposes. </t>
    </r>
    <r>
      <rPr>
        <i/>
        <sz val="8"/>
        <color theme="1"/>
        <rFont val="Verdana"/>
        <family val="2"/>
      </rPr>
      <t>Example:</t>
    </r>
    <r>
      <rPr>
        <sz val="8"/>
        <color theme="1"/>
        <rFont val="Verdana"/>
        <family val="2"/>
      </rPr>
      <t xml:space="preserve"> The IRS examines a company’s income statement to ensure tax compliance. Suppliers &amp; Vendors – They evaluate a company's financial stability before offering goods on credit. </t>
    </r>
    <r>
      <rPr>
        <i/>
        <sz val="8"/>
        <color theme="1"/>
        <rFont val="Verdana"/>
        <family val="2"/>
      </rPr>
      <t>Example:</t>
    </r>
    <r>
      <rPr>
        <sz val="8"/>
        <color theme="1"/>
        <rFont val="Verdana"/>
        <family val="2"/>
      </rPr>
      <t xml:space="preserve"> A supplier reviews a retail store’s credit history before supplying goods on a 30-day credit. Customers – Large clients may check a company’s stability to ensure long-term business relationships. </t>
    </r>
    <r>
      <rPr>
        <i/>
        <sz val="8"/>
        <color theme="1"/>
        <rFont val="Verdana"/>
        <family val="2"/>
      </rPr>
      <t>Example:</t>
    </r>
    <r>
      <rPr>
        <sz val="8"/>
        <color theme="1"/>
        <rFont val="Verdana"/>
        <family val="2"/>
      </rPr>
      <t xml:space="preserve"> A multinational corporation reviews its vendor’s financial strength before signing a long-term contract. Public &amp; Media – Analysts and reporters use financial reports to assess industry trends and corporate performance. </t>
    </r>
    <r>
      <rPr>
        <i/>
        <sz val="8"/>
        <color theme="1"/>
        <rFont val="Verdana"/>
        <family val="2"/>
      </rPr>
      <t>Example:</t>
    </r>
    <r>
      <rPr>
        <sz val="8"/>
        <color theme="1"/>
        <rFont val="Verdana"/>
        <family val="2"/>
      </rPr>
      <t xml:space="preserve"> A financial journalist writes an article on Apple’s annual earnings report.</t>
    </r>
  </si>
  <si>
    <t>Sources of Finance</t>
  </si>
  <si>
    <t>Internal sources of finance</t>
  </si>
  <si>
    <r>
      <t>–</t>
    </r>
    <r>
      <rPr>
        <sz val="7"/>
        <color theme="1"/>
        <rFont val="Times New Roman"/>
        <family val="1"/>
      </rPr>
      <t xml:space="preserve">      </t>
    </r>
    <r>
      <rPr>
        <sz val="8"/>
        <color theme="1"/>
        <rFont val="Verdana"/>
        <family val="2"/>
      </rPr>
      <t>Long term finance</t>
    </r>
  </si>
  <si>
    <r>
      <t>•</t>
    </r>
    <r>
      <rPr>
        <sz val="7"/>
        <color theme="1"/>
        <rFont val="Times New Roman"/>
        <family val="1"/>
      </rPr>
      <t xml:space="preserve">       </t>
    </r>
    <r>
      <rPr>
        <sz val="8"/>
        <color theme="1"/>
        <rFont val="Verdana"/>
        <family val="2"/>
      </rPr>
      <t>Retained profits</t>
    </r>
  </si>
  <si>
    <r>
      <t>–</t>
    </r>
    <r>
      <rPr>
        <sz val="7"/>
        <color theme="1"/>
        <rFont val="Times New Roman"/>
        <family val="1"/>
      </rPr>
      <t xml:space="preserve">      </t>
    </r>
    <r>
      <rPr>
        <sz val="8"/>
        <color theme="1"/>
        <rFont val="Verdana"/>
        <family val="2"/>
      </rPr>
      <t>Short-term finance</t>
    </r>
  </si>
  <si>
    <r>
      <t>•</t>
    </r>
    <r>
      <rPr>
        <sz val="7"/>
        <color theme="1"/>
        <rFont val="Times New Roman"/>
        <family val="1"/>
      </rPr>
      <t xml:space="preserve">       </t>
    </r>
    <r>
      <rPr>
        <sz val="8"/>
        <color theme="1"/>
        <rFont val="Verdana"/>
        <family val="2"/>
      </rPr>
      <t>Tight credit control of receivables</t>
    </r>
  </si>
  <si>
    <r>
      <t>•</t>
    </r>
    <r>
      <rPr>
        <sz val="7"/>
        <color theme="1"/>
        <rFont val="Times New Roman"/>
        <family val="1"/>
      </rPr>
      <t xml:space="preserve">       </t>
    </r>
    <r>
      <rPr>
        <sz val="8"/>
        <color theme="1"/>
        <rFont val="Verdana"/>
        <family val="2"/>
      </rPr>
      <t>Reducing inventories</t>
    </r>
  </si>
  <si>
    <r>
      <t>•</t>
    </r>
    <r>
      <rPr>
        <sz val="7"/>
        <color theme="1"/>
        <rFont val="Times New Roman"/>
        <family val="1"/>
      </rPr>
      <t xml:space="preserve">       </t>
    </r>
    <r>
      <rPr>
        <sz val="8"/>
        <color theme="1"/>
        <rFont val="Verdana"/>
        <family val="2"/>
      </rPr>
      <t>Delaying payments to suppliers</t>
    </r>
  </si>
  <si>
    <t>External sources of finance</t>
  </si>
  <si>
    <t>Capital = the long-term financing of a company</t>
  </si>
  <si>
    <t>Share capital</t>
  </si>
  <si>
    <t xml:space="preserve">Funds are raised by selling shares in the company. </t>
  </si>
  <si>
    <t>The shareholders are the owners of the company.</t>
  </si>
  <si>
    <t>Loan capital</t>
  </si>
  <si>
    <t>Funds are raised by obtaining a loan.</t>
  </si>
  <si>
    <t xml:space="preserve">Lenders are not owners but creditors of the company. </t>
  </si>
  <si>
    <t>July</t>
  </si>
  <si>
    <t>Aug</t>
  </si>
  <si>
    <t>Sept</t>
  </si>
  <si>
    <t>Oct</t>
  </si>
  <si>
    <t>INCOME:</t>
  </si>
  <si>
    <t>£</t>
  </si>
  <si>
    <t>Cash Sales</t>
  </si>
  <si>
    <t>Credit Sales (1mth)</t>
  </si>
  <si>
    <t>-</t>
  </si>
  <si>
    <t>Credit Sales (2mth)</t>
  </si>
  <si>
    <t>Total Income (A)</t>
  </si>
  <si>
    <t>EXPENDITURE:</t>
  </si>
  <si>
    <t>Cash Purchases</t>
  </si>
  <si>
    <t>Advertising</t>
  </si>
  <si>
    <t>Machine</t>
  </si>
  <si>
    <t>Rental</t>
  </si>
  <si>
    <t>Fixed Costs (1300-800)</t>
  </si>
  <si>
    <t>Salaries and Wages</t>
  </si>
  <si>
    <t>Other Expenses</t>
  </si>
  <si>
    <t>Total Expenditure (B)</t>
  </si>
  <si>
    <t>Net Income (A-B)</t>
  </si>
  <si>
    <t>Opening Balance</t>
  </si>
  <si>
    <t>Closing Balance</t>
  </si>
  <si>
    <t>Tay Ltd</t>
  </si>
  <si>
    <t>Dundee Ltd</t>
  </si>
  <si>
    <t>a. Return on capital employed</t>
  </si>
  <si>
    <t>(PBIT/Capital+RE+long-term loan)*100</t>
  </si>
  <si>
    <t>(1,120/2,000+2,820+500)*100</t>
  </si>
  <si>
    <t>(990/2,000+1,030+3,500)*100</t>
  </si>
  <si>
    <t>b. Return on equity</t>
  </si>
  <si>
    <t>(Profit after tax/ Total equity )*100</t>
  </si>
  <si>
    <t>(750/4,820)*100</t>
  </si>
  <si>
    <t>(430/3,030)*100</t>
  </si>
  <si>
    <t>c. Gross profit margin</t>
  </si>
  <si>
    <t>(Gross profit/ sales)*100</t>
  </si>
  <si>
    <t>(1,880/5,720)*100</t>
  </si>
  <si>
    <t>(2,070/6,310)*100</t>
  </si>
  <si>
    <t>d. Net profit margin</t>
  </si>
  <si>
    <t>(Net profit/sales)*100</t>
  </si>
  <si>
    <t>(1,070/5,720)*100</t>
  </si>
  <si>
    <t>(640/6,310)*100</t>
  </si>
  <si>
    <t>e. Current ratio</t>
  </si>
  <si>
    <t>Current asset/ current liability</t>
  </si>
  <si>
    <t>1,520/770</t>
  </si>
  <si>
    <t>1980/1,780</t>
  </si>
  <si>
    <t>1.97:1</t>
  </si>
  <si>
    <t>1.11:1</t>
  </si>
  <si>
    <t>f. Quick ratio</t>
  </si>
  <si>
    <t>Current asset-Inventory/ current liability</t>
  </si>
  <si>
    <t>1,520-510/770</t>
  </si>
  <si>
    <t>1,980-890/1,780</t>
  </si>
  <si>
    <t>1.31:1</t>
  </si>
  <si>
    <t>0.61:1</t>
  </si>
  <si>
    <t>g. Inventory holding periods</t>
  </si>
  <si>
    <t>(Inventory/ cost of sales)*365</t>
  </si>
  <si>
    <t>(510/3,840)*365</t>
  </si>
  <si>
    <t>(890/2,240)*365</t>
  </si>
  <si>
    <t>49 days</t>
  </si>
  <si>
    <t>77 days</t>
  </si>
  <si>
    <t>h. Trade receivables collection periods</t>
  </si>
  <si>
    <t>(Trade receivable/ Credit sales)*365</t>
  </si>
  <si>
    <t>(670/5,720)*365</t>
  </si>
  <si>
    <t>(1,090/6,310)*365</t>
  </si>
  <si>
    <t>43 days</t>
  </si>
  <si>
    <t>63 days</t>
  </si>
  <si>
    <t xml:space="preserve">i. Trade payable collection period </t>
  </si>
  <si>
    <t>(Trade payable/ Credit purchase)*365</t>
  </si>
  <si>
    <t>(450/3,840+510)*365</t>
  </si>
  <si>
    <t>(1,130/4,240+890)*100</t>
  </si>
  <si>
    <t>38 days</t>
  </si>
  <si>
    <t>80 days</t>
  </si>
  <si>
    <t>j. Asset turnover ratio</t>
  </si>
  <si>
    <t>Sales/ Average asset</t>
  </si>
  <si>
    <t>(5,720/2,000+2,820+500)</t>
  </si>
  <si>
    <t>(6,310/2,000+1,030+3,500)</t>
  </si>
  <si>
    <t>1.08 times</t>
  </si>
  <si>
    <t>0.97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</si>
</sst>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Red]\-&quot;£&quot;#,##0"/>
    <numFmt numFmtId="43" formatCode="_-* #,##0.00_-;\-* #,##0.00_-;_-* &quot;-&quot;??_-;_-@_-"/>
    <numFmt numFmtId="164" formatCode="0.0"/>
    <numFmt numFmtId="165" formatCode="_-* #,##0_-;\-* #,##0_-;_-* &quot;-&quot;??_-;_-@_-"/>
  </numFmts>
  <fonts count="21" x14ac:knownFonts="1">
    <font>
      <sz val="11"/>
      <color theme="1"/>
      <name val="Calibri"/>
      <family val="2"/>
      <scheme val="minor"/>
    </font>
    <font>
      <sz val="11"/>
      <color theme="1"/>
      <name val="Calibri"/>
      <family val="2"/>
      <scheme val="minor"/>
    </font>
    <font>
      <sz val="10"/>
      <name val="Arial"/>
      <family val="2"/>
    </font>
    <font>
      <b/>
      <u/>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rgb="FFFF0000"/>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sz val="11"/>
      <color theme="1"/>
      <name val="Verdana"/>
      <family val="2"/>
    </font>
    <font>
      <sz val="7"/>
      <color theme="1"/>
      <name val="Times New Roman"/>
      <family val="1"/>
    </font>
    <font>
      <sz val="12"/>
      <color theme="1"/>
      <name val="Verdana"/>
      <family val="2"/>
    </font>
    <font>
      <b/>
      <sz val="12"/>
      <color theme="1"/>
      <name val="Verdana"/>
      <family val="2"/>
    </font>
    <font>
      <vertAlign val="superscript"/>
      <sz val="12"/>
      <color theme="1"/>
      <name val="Verdana"/>
      <family val="2"/>
    </font>
    <font>
      <b/>
      <u/>
      <sz val="12"/>
      <color theme="1"/>
      <name val="Verdana"/>
      <family val="2"/>
    </font>
    <font>
      <i/>
      <sz val="8"/>
      <color theme="1"/>
      <name val="Verdana"/>
      <family val="2"/>
    </font>
    <font>
      <b/>
      <sz val="8"/>
      <color theme="1"/>
      <name val="Verdana"/>
      <family val="2"/>
    </font>
    <font>
      <sz val="8"/>
      <color theme="1"/>
      <name val="Verdana"/>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4">
    <border>
      <left/>
      <right/>
      <top/>
      <bottom/>
      <diagonal/>
    </border>
    <border>
      <left/>
      <right/>
      <top style="thin">
        <color indexed="64"/>
      </top>
      <bottom/>
      <diagonal/>
    </border>
    <border>
      <left/>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s>
  <cellStyleXfs count="5">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cellStyleXfs>
  <cellXfs count="79">
    <xf numFmtId="0" fontId="0" fillId="0" borderId="0" xfId="0"/>
    <xf numFmtId="0" fontId="3" fillId="0" borderId="0" xfId="0" applyFont="1"/>
    <xf numFmtId="165" fontId="4" fillId="0" borderId="0" xfId="1" applyNumberFormat="1" applyFont="1"/>
    <xf numFmtId="0" fontId="4" fillId="0" borderId="0" xfId="0" applyFont="1"/>
    <xf numFmtId="0" fontId="5" fillId="0" borderId="0" xfId="0" applyFont="1"/>
    <xf numFmtId="0" fontId="7" fillId="0" borderId="0" xfId="0" applyFont="1"/>
    <xf numFmtId="0" fontId="6" fillId="0" borderId="0" xfId="0" applyFont="1"/>
    <xf numFmtId="165" fontId="3" fillId="0" borderId="0" xfId="1" applyNumberFormat="1" applyFont="1"/>
    <xf numFmtId="0" fontId="10" fillId="0" borderId="0" xfId="0" applyFont="1"/>
    <xf numFmtId="165" fontId="0" fillId="0" borderId="0" xfId="1" applyNumberFormat="1" applyFont="1"/>
    <xf numFmtId="165" fontId="0" fillId="0" borderId="1" xfId="1" applyNumberFormat="1" applyFont="1" applyBorder="1"/>
    <xf numFmtId="165" fontId="9" fillId="0" borderId="1" xfId="1" applyNumberFormat="1" applyFont="1" applyBorder="1"/>
    <xf numFmtId="0" fontId="9" fillId="0" borderId="0" xfId="0" applyFont="1"/>
    <xf numFmtId="0" fontId="8" fillId="0" borderId="0" xfId="0" applyFont="1"/>
    <xf numFmtId="164" fontId="0" fillId="0" borderId="0" xfId="0" applyNumberFormat="1"/>
    <xf numFmtId="165" fontId="9" fillId="0" borderId="2" xfId="1" applyNumberFormat="1" applyFont="1" applyBorder="1"/>
    <xf numFmtId="165" fontId="9" fillId="0" borderId="0" xfId="1" applyNumberFormat="1" applyFont="1"/>
    <xf numFmtId="165" fontId="10" fillId="0" borderId="0" xfId="1" applyNumberFormat="1" applyFont="1"/>
    <xf numFmtId="165" fontId="0" fillId="0" borderId="2" xfId="1" applyNumberFormat="1" applyFont="1" applyBorder="1"/>
    <xf numFmtId="165" fontId="8" fillId="0" borderId="0" xfId="1" applyNumberFormat="1" applyFont="1"/>
    <xf numFmtId="3" fontId="0" fillId="0" borderId="0" xfId="0" applyNumberFormat="1"/>
    <xf numFmtId="2" fontId="0" fillId="0" borderId="0" xfId="0" applyNumberFormat="1"/>
    <xf numFmtId="2" fontId="0" fillId="0" borderId="0" xfId="1" applyNumberFormat="1" applyFont="1"/>
    <xf numFmtId="3" fontId="11" fillId="0" borderId="0" xfId="0" applyNumberFormat="1" applyFont="1" applyAlignment="1">
      <alignment horizontal="left" vertical="center" wrapText="1"/>
    </xf>
    <xf numFmtId="165" fontId="0" fillId="0" borderId="0" xfId="1" applyNumberFormat="1" applyFont="1" applyBorder="1"/>
    <xf numFmtId="0" fontId="0" fillId="0" borderId="0" xfId="0" applyAlignment="1">
      <alignment vertical="top"/>
    </xf>
    <xf numFmtId="0" fontId="0" fillId="0" borderId="0" xfId="0" applyAlignment="1">
      <alignment vertical="top" wrapText="1"/>
    </xf>
    <xf numFmtId="0" fontId="13" fillId="0" borderId="4" xfId="0" applyFont="1" applyBorder="1" applyAlignment="1">
      <alignment vertical="center" wrapText="1"/>
    </xf>
    <xf numFmtId="6" fontId="14" fillId="0" borderId="5" xfId="0" applyNumberFormat="1" applyFont="1" applyBorder="1" applyAlignment="1">
      <alignment vertical="center" wrapText="1"/>
    </xf>
    <xf numFmtId="0" fontId="13" fillId="0" borderId="6" xfId="0" applyFont="1" applyBorder="1" applyAlignment="1">
      <alignment vertical="center" wrapText="1"/>
    </xf>
    <xf numFmtId="0" fontId="13" fillId="0" borderId="3" xfId="0" applyFont="1" applyBorder="1" applyAlignment="1">
      <alignment vertical="center" wrapText="1"/>
    </xf>
    <xf numFmtId="3" fontId="13" fillId="0" borderId="3" xfId="0" applyNumberFormat="1" applyFont="1" applyBorder="1" applyAlignment="1">
      <alignment vertical="center" wrapText="1"/>
    </xf>
    <xf numFmtId="3" fontId="16" fillId="0" borderId="3" xfId="0" applyNumberFormat="1" applyFont="1" applyBorder="1" applyAlignment="1">
      <alignment vertical="center" wrapText="1"/>
    </xf>
    <xf numFmtId="0" fontId="13" fillId="0" borderId="0" xfId="0" applyFont="1" applyAlignment="1">
      <alignment vertical="center" wrapText="1"/>
    </xf>
    <xf numFmtId="0" fontId="13" fillId="0" borderId="0" xfId="0" applyFont="1"/>
    <xf numFmtId="3" fontId="13" fillId="0" borderId="0" xfId="0" applyNumberFormat="1" applyFont="1"/>
    <xf numFmtId="0" fontId="0" fillId="0" borderId="0" xfId="0" applyAlignment="1">
      <alignment horizontal="center"/>
    </xf>
    <xf numFmtId="165" fontId="0" fillId="0" borderId="0" xfId="1" applyNumberFormat="1" applyFont="1" applyAlignment="1">
      <alignment horizontal="center"/>
    </xf>
    <xf numFmtId="165" fontId="0" fillId="0" borderId="0" xfId="1" applyNumberFormat="1" applyFont="1" applyAlignment="1"/>
    <xf numFmtId="0" fontId="9" fillId="0" borderId="0" xfId="0" applyFont="1" applyAlignment="1">
      <alignment horizontal="center"/>
    </xf>
    <xf numFmtId="3" fontId="0" fillId="0" borderId="0" xfId="0" applyNumberFormat="1" applyAlignment="1">
      <alignment horizontal="center"/>
    </xf>
    <xf numFmtId="0" fontId="0" fillId="2" borderId="0" xfId="0" applyFill="1"/>
    <xf numFmtId="3" fontId="9" fillId="0" borderId="0" xfId="0" applyNumberFormat="1" applyFont="1" applyAlignment="1">
      <alignment horizontal="center"/>
    </xf>
    <xf numFmtId="0" fontId="0" fillId="0" borderId="8" xfId="0" applyBorder="1"/>
    <xf numFmtId="0" fontId="0" fillId="0" borderId="9" xfId="0" applyBorder="1"/>
    <xf numFmtId="0" fontId="0" fillId="0" borderId="10" xfId="0" applyBorder="1"/>
    <xf numFmtId="3" fontId="0" fillId="0" borderId="8" xfId="0" applyNumberFormat="1" applyBorder="1"/>
    <xf numFmtId="1" fontId="0" fillId="0" borderId="0" xfId="0" applyNumberFormat="1" applyAlignment="1">
      <alignment horizontal="center"/>
    </xf>
    <xf numFmtId="165" fontId="0" fillId="0" borderId="0" xfId="0" applyNumberFormat="1" applyAlignment="1">
      <alignment horizontal="center"/>
    </xf>
    <xf numFmtId="0" fontId="17" fillId="0" borderId="0" xfId="0" applyFont="1" applyAlignment="1">
      <alignment horizontal="left" vertical="center" indent="12"/>
    </xf>
    <xf numFmtId="0" fontId="17" fillId="0" borderId="0" xfId="0" applyFont="1" applyAlignment="1">
      <alignment horizontal="left" vertical="top"/>
    </xf>
    <xf numFmtId="0" fontId="0" fillId="0" borderId="0" xfId="0" applyAlignment="1">
      <alignment horizontal="center" vertical="top"/>
    </xf>
    <xf numFmtId="0" fontId="18" fillId="0" borderId="7" xfId="0" applyFont="1" applyBorder="1" applyAlignment="1">
      <alignment horizontal="center" vertical="top"/>
    </xf>
    <xf numFmtId="0" fontId="18" fillId="0" borderId="11" xfId="0" applyFont="1" applyBorder="1" applyAlignment="1">
      <alignment vertical="top"/>
    </xf>
    <xf numFmtId="0" fontId="18" fillId="0" borderId="12" xfId="0" applyFont="1" applyBorder="1" applyAlignment="1">
      <alignment horizontal="center" vertical="top"/>
    </xf>
    <xf numFmtId="0" fontId="19" fillId="0" borderId="13" xfId="0" applyFont="1" applyBorder="1" applyAlignment="1">
      <alignment vertical="top"/>
    </xf>
    <xf numFmtId="3" fontId="19" fillId="0" borderId="13" xfId="0" applyNumberFormat="1" applyFont="1" applyBorder="1" applyAlignment="1">
      <alignment vertical="top"/>
    </xf>
    <xf numFmtId="3" fontId="18" fillId="0" borderId="13" xfId="0" applyNumberFormat="1" applyFont="1" applyBorder="1" applyAlignment="1">
      <alignment vertical="top"/>
    </xf>
    <xf numFmtId="0" fontId="18" fillId="0" borderId="13" xfId="0" applyFont="1" applyBorder="1" applyAlignment="1">
      <alignment vertical="top"/>
    </xf>
    <xf numFmtId="0" fontId="18" fillId="0" borderId="6" xfId="0" applyFont="1" applyBorder="1" applyAlignment="1">
      <alignment horizontal="center" vertical="top"/>
    </xf>
    <xf numFmtId="0" fontId="18" fillId="0" borderId="3" xfId="0" applyFont="1" applyBorder="1" applyAlignment="1">
      <alignment vertical="top"/>
    </xf>
    <xf numFmtId="0" fontId="18" fillId="0" borderId="7" xfId="0" applyFont="1" applyBorder="1" applyAlignment="1">
      <alignment horizontal="center" vertical="top" wrapText="1"/>
    </xf>
    <xf numFmtId="0" fontId="19" fillId="0" borderId="11" xfId="0" applyFont="1" applyBorder="1" applyAlignment="1">
      <alignment horizontal="justify" vertical="top" wrapText="1"/>
    </xf>
    <xf numFmtId="0" fontId="18" fillId="0" borderId="12" xfId="0" applyFont="1" applyBorder="1" applyAlignment="1">
      <alignment horizontal="center" vertical="top" wrapText="1"/>
    </xf>
    <xf numFmtId="0" fontId="19" fillId="0" borderId="13" xfId="0" applyFont="1" applyBorder="1" applyAlignment="1">
      <alignment vertical="top" wrapText="1"/>
    </xf>
    <xf numFmtId="0" fontId="18" fillId="0" borderId="13" xfId="0" applyFont="1" applyBorder="1" applyAlignment="1">
      <alignment horizontal="justify" vertical="top" wrapText="1"/>
    </xf>
    <xf numFmtId="0" fontId="19" fillId="0" borderId="13" xfId="0" applyFont="1" applyBorder="1" applyAlignment="1">
      <alignment horizontal="justify" vertical="top" wrapText="1"/>
    </xf>
    <xf numFmtId="0" fontId="18" fillId="0" borderId="6" xfId="0" applyFont="1" applyBorder="1" applyAlignment="1">
      <alignment horizontal="center" vertical="top" wrapText="1"/>
    </xf>
    <xf numFmtId="0" fontId="18" fillId="0" borderId="3" xfId="0" applyFont="1" applyBorder="1" applyAlignment="1">
      <alignment horizontal="justify" vertical="top" wrapText="1"/>
    </xf>
    <xf numFmtId="0" fontId="19" fillId="0" borderId="11" xfId="0" applyFont="1" applyBorder="1" applyAlignment="1">
      <alignment vertical="center" wrapText="1"/>
    </xf>
    <xf numFmtId="0" fontId="19" fillId="0" borderId="13" xfId="0" applyFont="1" applyBorder="1" applyAlignment="1">
      <alignment vertical="center" wrapText="1"/>
    </xf>
    <xf numFmtId="0" fontId="18" fillId="0" borderId="13" xfId="0" applyFont="1" applyBorder="1" applyAlignment="1">
      <alignment vertical="center" wrapText="1"/>
    </xf>
    <xf numFmtId="0" fontId="19" fillId="0" borderId="13" xfId="0" applyFont="1" applyBorder="1" applyAlignment="1">
      <alignment horizontal="justify" vertical="center" wrapText="1"/>
    </xf>
    <xf numFmtId="0" fontId="19" fillId="0" borderId="3" xfId="0" applyFont="1" applyBorder="1" applyAlignment="1">
      <alignment horizontal="justify" vertical="center" wrapText="1"/>
    </xf>
    <xf numFmtId="0" fontId="18" fillId="0" borderId="11" xfId="0" applyFont="1" applyBorder="1" applyAlignment="1">
      <alignment vertical="center" wrapText="1"/>
    </xf>
    <xf numFmtId="0" fontId="20" fillId="0" borderId="13" xfId="0" applyFont="1" applyBorder="1" applyAlignment="1">
      <alignment horizontal="left" vertical="center" wrapText="1" indent="10"/>
    </xf>
    <xf numFmtId="0" fontId="20" fillId="0" borderId="13" xfId="0" applyFont="1" applyBorder="1" applyAlignment="1">
      <alignment horizontal="left" vertical="center" wrapText="1" indent="15"/>
    </xf>
    <xf numFmtId="0" fontId="19" fillId="0" borderId="3" xfId="0" applyFont="1" applyBorder="1" applyAlignment="1">
      <alignment vertical="center" wrapText="1"/>
    </xf>
    <xf numFmtId="10" fontId="0" fillId="0" borderId="0" xfId="0" applyNumberFormat="1" applyAlignment="1">
      <alignment horizontal="center"/>
    </xf>
  </cellXfs>
  <cellStyles count="5">
    <cellStyle name="Comma" xfId="1" builtinId="3"/>
    <cellStyle name="Comma 2" xfId="3" xr:uid="{6335DF32-6896-46F5-AA6F-2201A6E08013}"/>
    <cellStyle name="Normal" xfId="0" builtinId="0"/>
    <cellStyle name="Normal 3" xfId="2" xr:uid="{C3A19964-0EA4-4C5A-906C-F894ACEDDDD5}"/>
    <cellStyle name="Percent 2" xfId="4" xr:uid="{903E81F8-E14D-4D0F-A76A-92338623208F}"/>
  </cellStyles>
  <dxfs count="0"/>
  <tableStyles count="1" defaultTableStyle="TableStyleMedium2" defaultPivotStyle="PivotStyleLight16">
    <tableStyle name="Invisible" pivot="0" table="0" count="0" xr9:uid="{F6E0BA13-9C87-460B-BAED-A56B21588F2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4347845</xdr:colOff>
      <xdr:row>35</xdr:row>
      <xdr:rowOff>179070</xdr:rowOff>
    </xdr:from>
    <xdr:to>
      <xdr:col>1</xdr:col>
      <xdr:colOff>4873625</xdr:colOff>
      <xdr:row>35</xdr:row>
      <xdr:rowOff>179070</xdr:rowOff>
    </xdr:to>
    <xdr:cxnSp macro="">
      <xdr:nvCxnSpPr>
        <xdr:cNvPr id="2" name="Straight Connector 1">
          <a:extLst>
            <a:ext uri="{FF2B5EF4-FFF2-40B4-BE49-F238E27FC236}">
              <a16:creationId xmlns:a16="http://schemas.microsoft.com/office/drawing/2014/main" id="{972D7E60-239F-4A4F-BDD4-26E620B8DEC1}"/>
            </a:ext>
          </a:extLst>
        </xdr:cNvPr>
        <xdr:cNvCxnSpPr/>
      </xdr:nvCxnSpPr>
      <xdr:spPr>
        <a:xfrm>
          <a:off x="4852670" y="15304770"/>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4373245</xdr:colOff>
      <xdr:row>39</xdr:row>
      <xdr:rowOff>64770</xdr:rowOff>
    </xdr:from>
    <xdr:to>
      <xdr:col>1</xdr:col>
      <xdr:colOff>4899025</xdr:colOff>
      <xdr:row>39</xdr:row>
      <xdr:rowOff>64770</xdr:rowOff>
    </xdr:to>
    <xdr:cxnSp macro="">
      <xdr:nvCxnSpPr>
        <xdr:cNvPr id="3" name="Straight Connector 2">
          <a:extLst>
            <a:ext uri="{FF2B5EF4-FFF2-40B4-BE49-F238E27FC236}">
              <a16:creationId xmlns:a16="http://schemas.microsoft.com/office/drawing/2014/main" id="{20D4D320-AD77-4A7F-8695-BA69E85E2610}"/>
            </a:ext>
          </a:extLst>
        </xdr:cNvPr>
        <xdr:cNvCxnSpPr/>
      </xdr:nvCxnSpPr>
      <xdr:spPr>
        <a:xfrm>
          <a:off x="4878070" y="16447770"/>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4389755</xdr:colOff>
      <xdr:row>47</xdr:row>
      <xdr:rowOff>29845</xdr:rowOff>
    </xdr:from>
    <xdr:to>
      <xdr:col>1</xdr:col>
      <xdr:colOff>4915535</xdr:colOff>
      <xdr:row>47</xdr:row>
      <xdr:rowOff>29845</xdr:rowOff>
    </xdr:to>
    <xdr:cxnSp macro="">
      <xdr:nvCxnSpPr>
        <xdr:cNvPr id="4" name="Straight Connector 3">
          <a:extLst>
            <a:ext uri="{FF2B5EF4-FFF2-40B4-BE49-F238E27FC236}">
              <a16:creationId xmlns:a16="http://schemas.microsoft.com/office/drawing/2014/main" id="{230BC95E-580B-4E3A-80D5-B37FBB108822}"/>
            </a:ext>
          </a:extLst>
        </xdr:cNvPr>
        <xdr:cNvCxnSpPr/>
      </xdr:nvCxnSpPr>
      <xdr:spPr>
        <a:xfrm>
          <a:off x="4894580" y="18832195"/>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4347845</xdr:colOff>
      <xdr:row>43</xdr:row>
      <xdr:rowOff>120650</xdr:rowOff>
    </xdr:from>
    <xdr:to>
      <xdr:col>1</xdr:col>
      <xdr:colOff>4873625</xdr:colOff>
      <xdr:row>43</xdr:row>
      <xdr:rowOff>120650</xdr:rowOff>
    </xdr:to>
    <xdr:cxnSp macro="">
      <xdr:nvCxnSpPr>
        <xdr:cNvPr id="5" name="Straight Connector 4">
          <a:extLst>
            <a:ext uri="{FF2B5EF4-FFF2-40B4-BE49-F238E27FC236}">
              <a16:creationId xmlns:a16="http://schemas.microsoft.com/office/drawing/2014/main" id="{77888A85-381C-4FAF-AEB5-35DC6D037234}"/>
            </a:ext>
          </a:extLst>
        </xdr:cNvPr>
        <xdr:cNvCxnSpPr/>
      </xdr:nvCxnSpPr>
      <xdr:spPr>
        <a:xfrm>
          <a:off x="4852670" y="18161000"/>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3593465</xdr:colOff>
      <xdr:row>57</xdr:row>
      <xdr:rowOff>121285</xdr:rowOff>
    </xdr:from>
    <xdr:to>
      <xdr:col>1</xdr:col>
      <xdr:colOff>4119245</xdr:colOff>
      <xdr:row>57</xdr:row>
      <xdr:rowOff>121285</xdr:rowOff>
    </xdr:to>
    <xdr:cxnSp macro="">
      <xdr:nvCxnSpPr>
        <xdr:cNvPr id="6" name="Straight Connector 5">
          <a:extLst>
            <a:ext uri="{FF2B5EF4-FFF2-40B4-BE49-F238E27FC236}">
              <a16:creationId xmlns:a16="http://schemas.microsoft.com/office/drawing/2014/main" id="{63DB396A-1960-427B-B169-597C525BFD51}"/>
            </a:ext>
          </a:extLst>
        </xdr:cNvPr>
        <xdr:cNvCxnSpPr/>
      </xdr:nvCxnSpPr>
      <xdr:spPr>
        <a:xfrm>
          <a:off x="4098290" y="20828635"/>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2914650</xdr:colOff>
      <xdr:row>18</xdr:row>
      <xdr:rowOff>9525</xdr:rowOff>
    </xdr:from>
    <xdr:to>
      <xdr:col>1</xdr:col>
      <xdr:colOff>3422015</xdr:colOff>
      <xdr:row>18</xdr:row>
      <xdr:rowOff>17145</xdr:rowOff>
    </xdr:to>
    <xdr:cxnSp macro="">
      <xdr:nvCxnSpPr>
        <xdr:cNvPr id="7" name="Straight Connector 6">
          <a:extLst>
            <a:ext uri="{FF2B5EF4-FFF2-40B4-BE49-F238E27FC236}">
              <a16:creationId xmlns:a16="http://schemas.microsoft.com/office/drawing/2014/main" id="{56DBCC83-88F2-408D-B359-C2CAB172EB51}"/>
            </a:ext>
          </a:extLst>
        </xdr:cNvPr>
        <xdr:cNvCxnSpPr/>
      </xdr:nvCxnSpPr>
      <xdr:spPr>
        <a:xfrm>
          <a:off x="3419475" y="10620375"/>
          <a:ext cx="507365" cy="76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2771775</xdr:colOff>
      <xdr:row>24</xdr:row>
      <xdr:rowOff>9525</xdr:rowOff>
    </xdr:from>
    <xdr:to>
      <xdr:col>1</xdr:col>
      <xdr:colOff>3391535</xdr:colOff>
      <xdr:row>24</xdr:row>
      <xdr:rowOff>17145</xdr:rowOff>
    </xdr:to>
    <xdr:cxnSp macro="">
      <xdr:nvCxnSpPr>
        <xdr:cNvPr id="8" name="Straight Connector 7">
          <a:extLst>
            <a:ext uri="{FF2B5EF4-FFF2-40B4-BE49-F238E27FC236}">
              <a16:creationId xmlns:a16="http://schemas.microsoft.com/office/drawing/2014/main" id="{27AA50AB-E972-4E88-A2B3-D826D49469E6}"/>
            </a:ext>
          </a:extLst>
        </xdr:cNvPr>
        <xdr:cNvCxnSpPr/>
      </xdr:nvCxnSpPr>
      <xdr:spPr>
        <a:xfrm>
          <a:off x="3276600" y="11763375"/>
          <a:ext cx="619760" cy="762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4389755</xdr:colOff>
      <xdr:row>49</xdr:row>
      <xdr:rowOff>140970</xdr:rowOff>
    </xdr:from>
    <xdr:to>
      <xdr:col>1</xdr:col>
      <xdr:colOff>4915535</xdr:colOff>
      <xdr:row>49</xdr:row>
      <xdr:rowOff>140970</xdr:rowOff>
    </xdr:to>
    <xdr:cxnSp macro="">
      <xdr:nvCxnSpPr>
        <xdr:cNvPr id="9" name="Straight Connector 8">
          <a:extLst>
            <a:ext uri="{FF2B5EF4-FFF2-40B4-BE49-F238E27FC236}">
              <a16:creationId xmlns:a16="http://schemas.microsoft.com/office/drawing/2014/main" id="{D1F5B950-1CCC-43D4-8222-59D9982B0AEC}"/>
            </a:ext>
          </a:extLst>
        </xdr:cNvPr>
        <xdr:cNvCxnSpPr/>
      </xdr:nvCxnSpPr>
      <xdr:spPr>
        <a:xfrm>
          <a:off x="4894580" y="19324320"/>
          <a:ext cx="52578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5672455</xdr:colOff>
      <xdr:row>31</xdr:row>
      <xdr:rowOff>21590</xdr:rowOff>
    </xdr:from>
    <xdr:to>
      <xdr:col>1</xdr:col>
      <xdr:colOff>6212840</xdr:colOff>
      <xdr:row>31</xdr:row>
      <xdr:rowOff>21590</xdr:rowOff>
    </xdr:to>
    <xdr:cxnSp macro="">
      <xdr:nvCxnSpPr>
        <xdr:cNvPr id="10" name="Straight Connector 9">
          <a:extLst>
            <a:ext uri="{FF2B5EF4-FFF2-40B4-BE49-F238E27FC236}">
              <a16:creationId xmlns:a16="http://schemas.microsoft.com/office/drawing/2014/main" id="{7790D7CD-51C1-4A48-89C8-F0086E567D3E}"/>
            </a:ext>
          </a:extLst>
        </xdr:cNvPr>
        <xdr:cNvCxnSpPr/>
      </xdr:nvCxnSpPr>
      <xdr:spPr>
        <a:xfrm flipV="1">
          <a:off x="6177280" y="13413740"/>
          <a:ext cx="5403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46D1-1510-4435-B487-660770B85D7C}">
  <dimension ref="A1:C40"/>
  <sheetViews>
    <sheetView topLeftCell="A12" workbookViewId="0">
      <selection activeCell="F11" sqref="F11"/>
    </sheetView>
  </sheetViews>
  <sheetFormatPr defaultRowHeight="15.75" x14ac:dyDescent="0.25"/>
  <cols>
    <col min="1" max="1" width="58.42578125" style="34" customWidth="1"/>
    <col min="2" max="2" width="18" style="34" customWidth="1"/>
    <col min="3" max="3" width="21.42578125" style="34" customWidth="1"/>
  </cols>
  <sheetData>
    <row r="1" spans="1:3" ht="24.95" customHeight="1" thickBot="1" x14ac:dyDescent="0.3">
      <c r="A1" s="27"/>
      <c r="B1" s="28">
        <v>0</v>
      </c>
      <c r="C1" s="28">
        <v>0</v>
      </c>
    </row>
    <row r="2" spans="1:3" ht="24.95" customHeight="1" thickBot="1" x14ac:dyDescent="0.3">
      <c r="A2" s="29" t="s">
        <v>0</v>
      </c>
      <c r="B2" s="30"/>
      <c r="C2" s="31">
        <v>180000</v>
      </c>
    </row>
    <row r="3" spans="1:3" ht="24.95" customHeight="1" thickBot="1" x14ac:dyDescent="0.3">
      <c r="A3" s="29" t="s">
        <v>72</v>
      </c>
      <c r="B3" s="31">
        <v>7500</v>
      </c>
      <c r="C3" s="30"/>
    </row>
    <row r="4" spans="1:3" ht="24.95" customHeight="1" thickBot="1" x14ac:dyDescent="0.3">
      <c r="A4" s="29" t="s">
        <v>73</v>
      </c>
      <c r="B4" s="31">
        <v>45000</v>
      </c>
      <c r="C4" s="30"/>
    </row>
    <row r="5" spans="1:3" ht="24.95" customHeight="1" thickBot="1" x14ac:dyDescent="0.3">
      <c r="A5" s="29" t="s">
        <v>111</v>
      </c>
      <c r="B5" s="30"/>
      <c r="C5" s="31">
        <v>9000</v>
      </c>
    </row>
    <row r="6" spans="1:3" ht="24.95" customHeight="1" thickBot="1" x14ac:dyDescent="0.3">
      <c r="A6" s="29" t="s">
        <v>74</v>
      </c>
      <c r="B6" s="31">
        <v>37500</v>
      </c>
      <c r="C6" s="30"/>
    </row>
    <row r="7" spans="1:3" ht="34.5" customHeight="1" thickBot="1" x14ac:dyDescent="0.3">
      <c r="A7" s="29" t="s">
        <v>112</v>
      </c>
      <c r="B7" s="30"/>
      <c r="C7" s="31">
        <v>7500</v>
      </c>
    </row>
    <row r="8" spans="1:3" ht="24.95" customHeight="1" thickBot="1" x14ac:dyDescent="0.3">
      <c r="A8" s="29" t="s">
        <v>75</v>
      </c>
      <c r="B8" s="31">
        <v>150000</v>
      </c>
      <c r="C8" s="30"/>
    </row>
    <row r="9" spans="1:3" ht="24.95" customHeight="1" thickBot="1" x14ac:dyDescent="0.3">
      <c r="A9" s="29" t="s">
        <v>30</v>
      </c>
      <c r="B9" s="31">
        <v>49500</v>
      </c>
      <c r="C9" s="30"/>
    </row>
    <row r="10" spans="1:3" ht="24.95" customHeight="1" thickBot="1" x14ac:dyDescent="0.3">
      <c r="A10" s="29" t="s">
        <v>40</v>
      </c>
      <c r="B10" s="31">
        <v>7500</v>
      </c>
      <c r="C10" s="30"/>
    </row>
    <row r="11" spans="1:3" ht="24.95" customHeight="1" thickBot="1" x14ac:dyDescent="0.3">
      <c r="A11" s="29" t="s">
        <v>76</v>
      </c>
      <c r="B11" s="31">
        <v>1500</v>
      </c>
      <c r="C11" s="30"/>
    </row>
    <row r="12" spans="1:3" ht="24.95" customHeight="1" thickBot="1" x14ac:dyDescent="0.3">
      <c r="A12" s="29" t="s">
        <v>77</v>
      </c>
      <c r="B12" s="31">
        <v>2250</v>
      </c>
      <c r="C12" s="30"/>
    </row>
    <row r="13" spans="1:3" ht="24.95" customHeight="1" thickBot="1" x14ac:dyDescent="0.3">
      <c r="A13" s="29" t="s">
        <v>78</v>
      </c>
      <c r="B13" s="31">
        <v>6750</v>
      </c>
      <c r="C13" s="30"/>
    </row>
    <row r="14" spans="1:3" ht="24.95" customHeight="1" thickBot="1" x14ac:dyDescent="0.3">
      <c r="A14" s="29" t="s">
        <v>79</v>
      </c>
      <c r="B14" s="30"/>
      <c r="C14" s="31">
        <v>6000</v>
      </c>
    </row>
    <row r="15" spans="1:3" ht="24.95" customHeight="1" thickBot="1" x14ac:dyDescent="0.3">
      <c r="A15" s="29" t="s">
        <v>80</v>
      </c>
      <c r="B15" s="31">
        <v>2250</v>
      </c>
      <c r="C15" s="30"/>
    </row>
    <row r="16" spans="1:3" ht="24.95" customHeight="1" thickBot="1" x14ac:dyDescent="0.3">
      <c r="A16" s="29" t="s">
        <v>81</v>
      </c>
      <c r="B16" s="31">
        <v>3750</v>
      </c>
      <c r="C16" s="30"/>
    </row>
    <row r="17" spans="1:3" ht="24.95" customHeight="1" thickBot="1" x14ac:dyDescent="0.3">
      <c r="A17" s="29" t="s">
        <v>82</v>
      </c>
      <c r="B17" s="31">
        <v>7500</v>
      </c>
      <c r="C17" s="30"/>
    </row>
    <row r="18" spans="1:3" ht="24.95" customHeight="1" thickBot="1" x14ac:dyDescent="0.3">
      <c r="A18" s="29" t="s">
        <v>50</v>
      </c>
      <c r="B18" s="30"/>
      <c r="C18" s="31">
        <v>12000</v>
      </c>
    </row>
    <row r="19" spans="1:3" ht="24.95" customHeight="1" thickBot="1" x14ac:dyDescent="0.3">
      <c r="A19" s="29" t="s">
        <v>113</v>
      </c>
      <c r="B19" s="30"/>
      <c r="C19" s="30">
        <v>300</v>
      </c>
    </row>
    <row r="20" spans="1:3" ht="24.95" customHeight="1" thickBot="1" x14ac:dyDescent="0.3">
      <c r="A20" s="29" t="s">
        <v>83</v>
      </c>
      <c r="B20" s="31">
        <v>6750</v>
      </c>
      <c r="C20" s="30"/>
    </row>
    <row r="21" spans="1:3" ht="24.95" customHeight="1" thickBot="1" x14ac:dyDescent="0.3">
      <c r="A21" s="29" t="s">
        <v>84</v>
      </c>
      <c r="B21" s="30"/>
      <c r="C21" s="31">
        <v>25200</v>
      </c>
    </row>
    <row r="22" spans="1:3" ht="24.95" customHeight="1" thickBot="1" x14ac:dyDescent="0.3">
      <c r="A22" s="29" t="s">
        <v>85</v>
      </c>
      <c r="B22" s="30"/>
      <c r="C22" s="31">
        <v>75000</v>
      </c>
    </row>
    <row r="23" spans="1:3" ht="24.95" customHeight="1" thickBot="1" x14ac:dyDescent="0.3">
      <c r="A23" s="29" t="s">
        <v>114</v>
      </c>
      <c r="B23" s="31">
        <v>2250</v>
      </c>
      <c r="C23" s="30"/>
    </row>
    <row r="24" spans="1:3" ht="24.95" customHeight="1" thickBot="1" x14ac:dyDescent="0.3">
      <c r="A24" s="29" t="s">
        <v>19</v>
      </c>
      <c r="B24" s="30"/>
      <c r="C24" s="31">
        <v>15000</v>
      </c>
    </row>
    <row r="25" spans="1:3" ht="24.95" customHeight="1" thickBot="1" x14ac:dyDescent="0.3">
      <c r="A25" s="29"/>
      <c r="B25" s="32">
        <v>330000</v>
      </c>
      <c r="C25" s="32">
        <v>330000</v>
      </c>
    </row>
    <row r="27" spans="1:3" x14ac:dyDescent="0.25">
      <c r="A27" s="33" t="s">
        <v>86</v>
      </c>
      <c r="B27" s="34">
        <v>-1200</v>
      </c>
    </row>
    <row r="28" spans="1:3" x14ac:dyDescent="0.25">
      <c r="A28" s="33" t="s">
        <v>87</v>
      </c>
      <c r="B28" s="34">
        <v>70</v>
      </c>
    </row>
    <row r="29" spans="1:3" x14ac:dyDescent="0.25">
      <c r="A29" s="33" t="s">
        <v>88</v>
      </c>
      <c r="B29" s="34">
        <v>120</v>
      </c>
    </row>
    <row r="30" spans="1:3" x14ac:dyDescent="0.25">
      <c r="A30" s="33" t="s">
        <v>89</v>
      </c>
      <c r="B30" s="34">
        <v>80</v>
      </c>
    </row>
    <row r="31" spans="1:3" x14ac:dyDescent="0.25">
      <c r="A31" s="33" t="s">
        <v>90</v>
      </c>
      <c r="B31" s="34">
        <v>600</v>
      </c>
    </row>
    <row r="32" spans="1:3" x14ac:dyDescent="0.25">
      <c r="A32" s="33" t="s">
        <v>91</v>
      </c>
      <c r="B32" s="34">
        <v>0.2</v>
      </c>
    </row>
    <row r="33" spans="1:3" x14ac:dyDescent="0.25">
      <c r="A33" s="33" t="s">
        <v>28</v>
      </c>
      <c r="B33" s="34">
        <v>0.5</v>
      </c>
    </row>
    <row r="34" spans="1:3" x14ac:dyDescent="0.25">
      <c r="A34" s="33" t="s">
        <v>94</v>
      </c>
      <c r="B34" s="34">
        <v>0.5</v>
      </c>
    </row>
    <row r="35" spans="1:3" x14ac:dyDescent="0.25">
      <c r="A35" s="33" t="s">
        <v>92</v>
      </c>
      <c r="B35" s="34">
        <v>0.1</v>
      </c>
    </row>
    <row r="36" spans="1:3" x14ac:dyDescent="0.25">
      <c r="A36" s="33" t="s">
        <v>28</v>
      </c>
      <c r="B36" s="34">
        <v>0.2</v>
      </c>
    </row>
    <row r="37" spans="1:3" x14ac:dyDescent="0.25">
      <c r="A37" s="33" t="s">
        <v>93</v>
      </c>
      <c r="B37" s="34">
        <v>0.4</v>
      </c>
    </row>
    <row r="38" spans="1:3" x14ac:dyDescent="0.25">
      <c r="A38" s="33" t="s">
        <v>94</v>
      </c>
      <c r="B38" s="34">
        <v>0.4</v>
      </c>
    </row>
    <row r="39" spans="1:3" x14ac:dyDescent="0.25">
      <c r="A39" s="33" t="s">
        <v>95</v>
      </c>
      <c r="B39" s="35">
        <v>1000</v>
      </c>
    </row>
    <row r="40" spans="1:3" x14ac:dyDescent="0.25">
      <c r="A40" s="33" t="s">
        <v>96</v>
      </c>
      <c r="B40" s="35">
        <v>180000</v>
      </c>
      <c r="C40" s="35">
        <f>B40-B8</f>
        <v>30000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8108-8747-444F-B6FA-1AFBD5867117}">
  <dimension ref="A1:D25"/>
  <sheetViews>
    <sheetView zoomScale="150" zoomScaleNormal="150" workbookViewId="0">
      <selection activeCell="C26" sqref="C26"/>
    </sheetView>
  </sheetViews>
  <sheetFormatPr defaultColWidth="8.7109375" defaultRowHeight="15.75" x14ac:dyDescent="0.25"/>
  <cols>
    <col min="1" max="1" width="40" style="3" customWidth="1"/>
    <col min="2" max="2" width="17.140625" style="2" customWidth="1"/>
    <col min="3" max="3" width="36.42578125" style="3" customWidth="1"/>
    <col min="5" max="16384" width="8.7109375" style="3"/>
  </cols>
  <sheetData>
    <row r="1" spans="1:3" x14ac:dyDescent="0.25">
      <c r="A1" s="1" t="s">
        <v>46</v>
      </c>
      <c r="B1" s="7"/>
    </row>
    <row r="2" spans="1:3" x14ac:dyDescent="0.25">
      <c r="A2" s="1" t="s">
        <v>107</v>
      </c>
      <c r="B2" s="7"/>
    </row>
    <row r="3" spans="1:3" x14ac:dyDescent="0.25">
      <c r="A3" t="s">
        <v>0</v>
      </c>
      <c r="B3" s="9">
        <f>Question!$C$2</f>
        <v>180000</v>
      </c>
      <c r="C3" s="4"/>
    </row>
    <row r="4" spans="1:3" x14ac:dyDescent="0.25">
      <c r="A4" t="s">
        <v>97</v>
      </c>
      <c r="B4" s="9">
        <v>58950</v>
      </c>
      <c r="C4" s="4"/>
    </row>
    <row r="5" spans="1:3" x14ac:dyDescent="0.25">
      <c r="A5" t="s">
        <v>1</v>
      </c>
      <c r="B5" s="10">
        <f>B3-B4</f>
        <v>121050</v>
      </c>
      <c r="C5" s="4"/>
    </row>
    <row r="6" spans="1:3" x14ac:dyDescent="0.25">
      <c r="A6" t="s">
        <v>42</v>
      </c>
      <c r="B6" s="9">
        <v>13130</v>
      </c>
      <c r="C6" s="4"/>
    </row>
    <row r="7" spans="1:3" x14ac:dyDescent="0.25">
      <c r="A7" t="s">
        <v>43</v>
      </c>
      <c r="B7" s="9">
        <v>15040</v>
      </c>
      <c r="C7" s="4"/>
    </row>
    <row r="8" spans="1:3" x14ac:dyDescent="0.25">
      <c r="A8"/>
      <c r="B8" s="9"/>
      <c r="C8" s="4"/>
    </row>
    <row r="9" spans="1:3" x14ac:dyDescent="0.25">
      <c r="A9" t="s">
        <v>2</v>
      </c>
      <c r="B9" s="10">
        <f>B5-B6-B7</f>
        <v>92880</v>
      </c>
      <c r="C9" s="4"/>
    </row>
    <row r="10" spans="1:3" x14ac:dyDescent="0.25">
      <c r="A10" t="s">
        <v>44</v>
      </c>
      <c r="B10" s="9">
        <v>2400</v>
      </c>
      <c r="C10" s="4"/>
    </row>
    <row r="11" spans="1:3" x14ac:dyDescent="0.25">
      <c r="A11"/>
      <c r="B11" s="9"/>
      <c r="C11" s="4"/>
    </row>
    <row r="12" spans="1:3" x14ac:dyDescent="0.25">
      <c r="A12" t="s">
        <v>3</v>
      </c>
      <c r="B12" s="10">
        <f>B9-B10</f>
        <v>90480</v>
      </c>
      <c r="C12" s="4"/>
    </row>
    <row r="13" spans="1:3" x14ac:dyDescent="0.25">
      <c r="A13" t="s">
        <v>45</v>
      </c>
      <c r="B13" s="9">
        <v>1000</v>
      </c>
      <c r="C13" s="4"/>
    </row>
    <row r="14" spans="1:3" x14ac:dyDescent="0.25">
      <c r="A14"/>
      <c r="B14" s="9"/>
      <c r="C14" s="4"/>
    </row>
    <row r="15" spans="1:3" x14ac:dyDescent="0.25">
      <c r="A15" t="s">
        <v>4</v>
      </c>
      <c r="B15" s="10">
        <f>B12-B13</f>
        <v>89480</v>
      </c>
      <c r="C15" s="4"/>
    </row>
    <row r="16" spans="1:3" x14ac:dyDescent="0.25">
      <c r="A16"/>
      <c r="B16" s="9"/>
      <c r="C16" s="4"/>
    </row>
    <row r="17" spans="1:4" x14ac:dyDescent="0.25">
      <c r="A17" t="s">
        <v>5</v>
      </c>
      <c r="B17" s="9"/>
      <c r="C17" s="4"/>
    </row>
    <row r="18" spans="1:4" x14ac:dyDescent="0.25">
      <c r="A18" t="s">
        <v>6</v>
      </c>
      <c r="B18" s="9"/>
      <c r="C18" s="4"/>
    </row>
    <row r="19" spans="1:4" x14ac:dyDescent="0.25">
      <c r="A19"/>
      <c r="B19" s="9"/>
      <c r="C19" s="4"/>
    </row>
    <row r="20" spans="1:4" x14ac:dyDescent="0.25">
      <c r="A20" s="8" t="s">
        <v>7</v>
      </c>
      <c r="B20" s="9"/>
      <c r="C20" s="4"/>
    </row>
    <row r="21" spans="1:4" x14ac:dyDescent="0.25">
      <c r="A21"/>
      <c r="B21" s="9"/>
      <c r="C21" s="4"/>
      <c r="D21" s="3"/>
    </row>
    <row r="22" spans="1:4" x14ac:dyDescent="0.25">
      <c r="A22" t="s">
        <v>26</v>
      </c>
      <c r="B22" s="9">
        <v>30000</v>
      </c>
      <c r="C22" s="3" t="s">
        <v>120</v>
      </c>
      <c r="D22" s="3"/>
    </row>
    <row r="23" spans="1:4" x14ac:dyDescent="0.25">
      <c r="A23"/>
      <c r="B23" s="9"/>
      <c r="D23" s="3"/>
    </row>
    <row r="24" spans="1:4" x14ac:dyDescent="0.25">
      <c r="A24" t="s">
        <v>8</v>
      </c>
      <c r="B24" s="11">
        <f>B15+B22</f>
        <v>119480</v>
      </c>
      <c r="D24" s="3"/>
    </row>
    <row r="25" spans="1:4" x14ac:dyDescent="0.25">
      <c r="C25" s="5"/>
      <c r="D25"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6342-3531-4173-98BE-9B86C8AFB691}">
  <dimension ref="A1:F35"/>
  <sheetViews>
    <sheetView topLeftCell="A13" zoomScale="150" zoomScaleNormal="150" workbookViewId="0">
      <selection activeCell="J12" sqref="J12"/>
    </sheetView>
  </sheetViews>
  <sheetFormatPr defaultColWidth="8.7109375" defaultRowHeight="15.75" x14ac:dyDescent="0.25"/>
  <cols>
    <col min="1" max="1" width="8.7109375" style="3"/>
    <col min="2" max="2" width="16.140625" style="3" customWidth="1"/>
    <col min="3" max="4" width="8.7109375" style="3"/>
    <col min="5" max="5" width="11.140625" style="2" bestFit="1" customWidth="1"/>
    <col min="6" max="6" width="11.140625" style="2" customWidth="1"/>
    <col min="7" max="16384" width="8.7109375" style="3"/>
  </cols>
  <sheetData>
    <row r="1" spans="1:6" x14ac:dyDescent="0.25">
      <c r="A1" s="6" t="s">
        <v>52</v>
      </c>
    </row>
    <row r="2" spans="1:6" x14ac:dyDescent="0.25">
      <c r="A2" s="8" t="s">
        <v>108</v>
      </c>
      <c r="B2"/>
      <c r="C2"/>
      <c r="D2"/>
      <c r="E2" s="9"/>
      <c r="F2"/>
    </row>
    <row r="3" spans="1:6" x14ac:dyDescent="0.25">
      <c r="A3" s="12" t="s">
        <v>9</v>
      </c>
      <c r="B3" s="12"/>
      <c r="C3"/>
      <c r="D3"/>
      <c r="E3" s="9">
        <v>0</v>
      </c>
      <c r="F3"/>
    </row>
    <row r="4" spans="1:6" x14ac:dyDescent="0.25">
      <c r="A4" s="12" t="s">
        <v>10</v>
      </c>
      <c r="B4" s="12"/>
      <c r="C4"/>
      <c r="D4"/>
      <c r="E4" s="9"/>
      <c r="F4"/>
    </row>
    <row r="5" spans="1:6" x14ac:dyDescent="0.25">
      <c r="A5" t="s">
        <v>47</v>
      </c>
      <c r="B5" s="12"/>
      <c r="C5"/>
      <c r="D5"/>
      <c r="E5" s="9">
        <f>Question!$B$10</f>
        <v>7500</v>
      </c>
      <c r="F5"/>
    </row>
    <row r="6" spans="1:6" x14ac:dyDescent="0.25">
      <c r="A6" t="s">
        <v>11</v>
      </c>
      <c r="B6"/>
      <c r="C6"/>
      <c r="D6"/>
      <c r="E6" s="9">
        <f>'Q1 Workings'!$E$45</f>
        <v>234000</v>
      </c>
      <c r="F6"/>
    </row>
    <row r="7" spans="1:6" x14ac:dyDescent="0.25">
      <c r="A7" t="s">
        <v>105</v>
      </c>
      <c r="B7"/>
      <c r="C7"/>
      <c r="D7"/>
      <c r="E7" s="10">
        <f>SUM(E5:E6)</f>
        <v>241500</v>
      </c>
      <c r="F7"/>
    </row>
    <row r="8" spans="1:6" x14ac:dyDescent="0.25">
      <c r="A8" s="12" t="s">
        <v>12</v>
      </c>
      <c r="B8"/>
      <c r="C8"/>
      <c r="D8"/>
      <c r="E8" s="9"/>
      <c r="F8"/>
    </row>
    <row r="9" spans="1:6" x14ac:dyDescent="0.25">
      <c r="A9" t="s">
        <v>13</v>
      </c>
      <c r="B9"/>
      <c r="C9"/>
      <c r="D9"/>
      <c r="E9" s="9">
        <v>1200</v>
      </c>
      <c r="F9"/>
    </row>
    <row r="10" spans="1:6" x14ac:dyDescent="0.25">
      <c r="A10" t="s">
        <v>14</v>
      </c>
      <c r="B10"/>
      <c r="C10"/>
      <c r="D10"/>
      <c r="E10" s="9">
        <v>6150</v>
      </c>
      <c r="F10" s="13" t="s">
        <v>116</v>
      </c>
    </row>
    <row r="11" spans="1:6" x14ac:dyDescent="0.25">
      <c r="A11" t="s">
        <v>15</v>
      </c>
      <c r="B11"/>
      <c r="C11"/>
      <c r="D11"/>
      <c r="E11" s="9">
        <f>Question!$B$3</f>
        <v>7500</v>
      </c>
      <c r="F11"/>
    </row>
    <row r="12" spans="1:6" x14ac:dyDescent="0.25">
      <c r="A12"/>
      <c r="B12"/>
      <c r="C12"/>
      <c r="D12"/>
      <c r="E12" s="10">
        <f>SUM(E9:E11)</f>
        <v>14850</v>
      </c>
      <c r="F12"/>
    </row>
    <row r="13" spans="1:6" s="6" customFormat="1" x14ac:dyDescent="0.25">
      <c r="A13"/>
      <c r="B13"/>
      <c r="C13"/>
      <c r="D13"/>
      <c r="E13" s="9"/>
      <c r="F13"/>
    </row>
    <row r="14" spans="1:6" x14ac:dyDescent="0.25">
      <c r="A14" s="12" t="s">
        <v>16</v>
      </c>
      <c r="B14" s="12"/>
      <c r="C14" s="12"/>
      <c r="D14" s="12"/>
      <c r="E14" s="15">
        <f>E7+E12</f>
        <v>256350</v>
      </c>
      <c r="F14" s="12"/>
    </row>
    <row r="15" spans="1:6" x14ac:dyDescent="0.25">
      <c r="A15"/>
      <c r="B15"/>
      <c r="C15"/>
      <c r="D15"/>
      <c r="E15" s="9"/>
      <c r="F15"/>
    </row>
    <row r="16" spans="1:6" x14ac:dyDescent="0.25">
      <c r="A16" s="12" t="s">
        <v>17</v>
      </c>
      <c r="B16"/>
      <c r="C16"/>
      <c r="D16"/>
      <c r="E16" s="9"/>
      <c r="F16"/>
    </row>
    <row r="17" spans="1:6" x14ac:dyDescent="0.25">
      <c r="A17" s="12" t="s">
        <v>18</v>
      </c>
      <c r="B17"/>
      <c r="C17"/>
      <c r="D17"/>
      <c r="E17" s="9"/>
      <c r="F17"/>
    </row>
    <row r="18" spans="1:6" x14ac:dyDescent="0.25">
      <c r="A18" t="s">
        <v>48</v>
      </c>
      <c r="B18"/>
      <c r="C18"/>
      <c r="D18"/>
      <c r="E18" s="9">
        <f>Question!$C$22</f>
        <v>75000</v>
      </c>
      <c r="F18"/>
    </row>
    <row r="19" spans="1:6" x14ac:dyDescent="0.25">
      <c r="A19" t="s">
        <v>19</v>
      </c>
      <c r="B19"/>
      <c r="C19"/>
      <c r="D19"/>
      <c r="E19" s="9">
        <f>Question!$C$24</f>
        <v>15000</v>
      </c>
      <c r="F19"/>
    </row>
    <row r="20" spans="1:6" x14ac:dyDescent="0.25">
      <c r="A20" t="s">
        <v>49</v>
      </c>
      <c r="B20"/>
      <c r="C20"/>
      <c r="D20"/>
      <c r="E20" s="9">
        <f>Question!$C$40</f>
        <v>30000</v>
      </c>
      <c r="F20"/>
    </row>
    <row r="21" spans="1:6" x14ac:dyDescent="0.25">
      <c r="A21" t="s">
        <v>20</v>
      </c>
      <c r="B21"/>
      <c r="C21"/>
      <c r="D21"/>
      <c r="E21" s="9">
        <f>'Q1 Workings'!$B$53</f>
        <v>114680</v>
      </c>
      <c r="F21"/>
    </row>
    <row r="22" spans="1:6" x14ac:dyDescent="0.25">
      <c r="A22"/>
      <c r="B22"/>
      <c r="C22"/>
      <c r="D22"/>
      <c r="E22" s="10">
        <f>SUM(E18:E21)</f>
        <v>234680</v>
      </c>
      <c r="F22"/>
    </row>
    <row r="23" spans="1:6" x14ac:dyDescent="0.25">
      <c r="A23" s="12" t="s">
        <v>21</v>
      </c>
      <c r="B23"/>
      <c r="C23"/>
      <c r="D23"/>
      <c r="E23" s="9"/>
      <c r="F23"/>
    </row>
    <row r="24" spans="1:6" x14ac:dyDescent="0.25">
      <c r="A24" t="s">
        <v>121</v>
      </c>
      <c r="B24"/>
      <c r="C24"/>
      <c r="D24"/>
      <c r="E24" s="9">
        <f>Question!$C$18</f>
        <v>12000</v>
      </c>
      <c r="F24"/>
    </row>
    <row r="25" spans="1:6" x14ac:dyDescent="0.25">
      <c r="A25"/>
      <c r="B25"/>
      <c r="C25"/>
      <c r="D25"/>
      <c r="E25" s="10">
        <f>SUM(E24:E24)</f>
        <v>12000</v>
      </c>
      <c r="F25"/>
    </row>
    <row r="26" spans="1:6" x14ac:dyDescent="0.25">
      <c r="A26"/>
      <c r="B26"/>
      <c r="C26"/>
      <c r="D26"/>
      <c r="E26" s="9"/>
      <c r="F26"/>
    </row>
    <row r="27" spans="1:6" x14ac:dyDescent="0.25">
      <c r="A27" s="12" t="s">
        <v>22</v>
      </c>
      <c r="B27"/>
      <c r="C27"/>
      <c r="D27"/>
      <c r="E27" s="9"/>
      <c r="F27"/>
    </row>
    <row r="28" spans="1:6" x14ac:dyDescent="0.25">
      <c r="A28" t="s">
        <v>51</v>
      </c>
      <c r="B28"/>
      <c r="C28"/>
      <c r="D28"/>
      <c r="E28" s="9">
        <f>'Q1 Workings'!$B$59</f>
        <v>8670</v>
      </c>
      <c r="F28"/>
    </row>
    <row r="29" spans="1:6" x14ac:dyDescent="0.25">
      <c r="A29" t="s">
        <v>23</v>
      </c>
      <c r="B29"/>
      <c r="C29"/>
      <c r="D29"/>
      <c r="E29" s="9">
        <v>1000</v>
      </c>
      <c r="F29"/>
    </row>
    <row r="30" spans="1:6" x14ac:dyDescent="0.25">
      <c r="A30"/>
      <c r="B30"/>
      <c r="C30"/>
      <c r="D30"/>
      <c r="E30" s="10">
        <f>SUM(E28:E29)</f>
        <v>9670</v>
      </c>
      <c r="F30"/>
    </row>
    <row r="31" spans="1:6" x14ac:dyDescent="0.25">
      <c r="A31"/>
      <c r="B31"/>
      <c r="C31"/>
      <c r="D31"/>
      <c r="E31" s="9"/>
      <c r="F31"/>
    </row>
    <row r="32" spans="1:6" x14ac:dyDescent="0.25">
      <c r="A32" s="12" t="s">
        <v>24</v>
      </c>
      <c r="B32" s="12"/>
      <c r="C32" s="12"/>
      <c r="D32" s="12"/>
      <c r="E32" s="16">
        <f>E25+E30</f>
        <v>21670</v>
      </c>
      <c r="F32"/>
    </row>
    <row r="33" spans="1:6" x14ac:dyDescent="0.25">
      <c r="A33"/>
      <c r="B33"/>
      <c r="C33"/>
      <c r="D33"/>
      <c r="E33" s="9"/>
      <c r="F33"/>
    </row>
    <row r="34" spans="1:6" x14ac:dyDescent="0.25">
      <c r="A34" s="12" t="s">
        <v>25</v>
      </c>
      <c r="B34"/>
      <c r="C34"/>
      <c r="D34"/>
      <c r="E34" s="17">
        <f>E22+E32</f>
        <v>256350</v>
      </c>
      <c r="F34" s="14">
        <f>E14-E34</f>
        <v>0</v>
      </c>
    </row>
    <row r="35" spans="1:6" x14ac:dyDescent="0.25">
      <c r="F35" s="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834F7-2B6C-4721-A450-2BC349D13AF0}">
  <dimension ref="A2:E65"/>
  <sheetViews>
    <sheetView topLeftCell="A40" zoomScale="120" zoomScaleNormal="120" workbookViewId="0">
      <selection activeCell="E64" sqref="E64"/>
    </sheetView>
  </sheetViews>
  <sheetFormatPr defaultRowHeight="15" x14ac:dyDescent="0.25"/>
  <cols>
    <col min="1" max="1" width="26.7109375" customWidth="1"/>
    <col min="2" max="2" width="14.7109375" style="9" customWidth="1"/>
    <col min="3" max="3" width="12.140625" style="9" customWidth="1"/>
    <col min="4" max="4" width="20.42578125" style="9" customWidth="1"/>
    <col min="5" max="5" width="16.5703125" style="9" bestFit="1" customWidth="1"/>
    <col min="8" max="8" width="15.7109375" bestFit="1" customWidth="1"/>
    <col min="9" max="9" width="14.140625" bestFit="1" customWidth="1"/>
    <col min="10" max="10" width="18.5703125" bestFit="1" customWidth="1"/>
    <col min="11" max="11" width="16.5703125" bestFit="1" customWidth="1"/>
  </cols>
  <sheetData>
    <row r="2" spans="1:4" x14ac:dyDescent="0.25">
      <c r="A2" s="8" t="s">
        <v>41</v>
      </c>
    </row>
    <row r="4" spans="1:4" x14ac:dyDescent="0.25">
      <c r="B4" s="9" t="s">
        <v>28</v>
      </c>
      <c r="C4" s="9" t="s">
        <v>53</v>
      </c>
      <c r="D4" s="9" t="s">
        <v>54</v>
      </c>
    </row>
    <row r="5" spans="1:4" x14ac:dyDescent="0.25">
      <c r="A5" t="s">
        <v>29</v>
      </c>
      <c r="B5" s="9">
        <f>Question!$B$23</f>
        <v>2250</v>
      </c>
    </row>
    <row r="6" spans="1:4" x14ac:dyDescent="0.25">
      <c r="A6" t="s">
        <v>30</v>
      </c>
      <c r="B6" s="9">
        <f>Question!$B$9</f>
        <v>49500</v>
      </c>
    </row>
    <row r="7" spans="1:4" x14ac:dyDescent="0.25">
      <c r="A7" t="s">
        <v>31</v>
      </c>
      <c r="B7" s="9">
        <f>Question!$B$27</f>
        <v>-1200</v>
      </c>
    </row>
    <row r="8" spans="1:4" x14ac:dyDescent="0.25">
      <c r="A8" t="s">
        <v>55</v>
      </c>
      <c r="C8" s="9">
        <f>Question!$B$17</f>
        <v>7500</v>
      </c>
    </row>
    <row r="9" spans="1:4" x14ac:dyDescent="0.25">
      <c r="A9" t="s">
        <v>56</v>
      </c>
      <c r="D9" s="9">
        <f>Question!$B$20</f>
        <v>6750</v>
      </c>
    </row>
    <row r="10" spans="1:4" x14ac:dyDescent="0.25">
      <c r="A10" t="s">
        <v>57</v>
      </c>
      <c r="C10" s="9">
        <f>Question!$B$30</f>
        <v>80</v>
      </c>
      <c r="D10" s="9">
        <f>Question!$B$29</f>
        <v>120</v>
      </c>
    </row>
    <row r="11" spans="1:4" x14ac:dyDescent="0.25">
      <c r="A11" t="s">
        <v>58</v>
      </c>
      <c r="B11" s="9">
        <f>Question!$B$11</f>
        <v>1500</v>
      </c>
    </row>
    <row r="12" spans="1:4" x14ac:dyDescent="0.25">
      <c r="A12" t="s">
        <v>59</v>
      </c>
      <c r="D12" s="9">
        <f>Question!$B$16</f>
        <v>3750</v>
      </c>
    </row>
    <row r="13" spans="1:4" x14ac:dyDescent="0.25">
      <c r="A13" t="s">
        <v>60</v>
      </c>
      <c r="B13" s="9">
        <f>Question!$B$15</f>
        <v>2250</v>
      </c>
    </row>
    <row r="14" spans="1:4" x14ac:dyDescent="0.25">
      <c r="A14" t="s">
        <v>61</v>
      </c>
      <c r="D14" s="9">
        <f>Question!$B$12</f>
        <v>2250</v>
      </c>
    </row>
    <row r="15" spans="1:4" x14ac:dyDescent="0.25">
      <c r="A15" t="s">
        <v>62</v>
      </c>
      <c r="B15" s="9">
        <f t="shared" ref="B15:D15" si="0">B27</f>
        <v>900</v>
      </c>
      <c r="C15" s="9">
        <f t="shared" si="0"/>
        <v>1800</v>
      </c>
      <c r="D15" s="9">
        <f t="shared" si="0"/>
        <v>1800</v>
      </c>
    </row>
    <row r="16" spans="1:4" x14ac:dyDescent="0.25">
      <c r="A16" t="s">
        <v>63</v>
      </c>
      <c r="B16" s="9">
        <f>B33</f>
        <v>3750</v>
      </c>
      <c r="C16" s="9">
        <f t="shared" ref="C16:D16" si="1">C33</f>
        <v>3750</v>
      </c>
      <c r="D16" s="9">
        <f t="shared" si="1"/>
        <v>0</v>
      </c>
    </row>
    <row r="17" spans="1:5" x14ac:dyDescent="0.25">
      <c r="A17" t="s">
        <v>64</v>
      </c>
      <c r="D17" s="9">
        <f>Question!$B$28</f>
        <v>70</v>
      </c>
    </row>
    <row r="18" spans="1:5" x14ac:dyDescent="0.25">
      <c r="A18" t="s">
        <v>65</v>
      </c>
      <c r="D18" s="9">
        <v>300</v>
      </c>
    </row>
    <row r="19" spans="1:5" x14ac:dyDescent="0.25">
      <c r="B19" s="18">
        <f>SUM(B5:B18)</f>
        <v>58950</v>
      </c>
      <c r="C19" s="18">
        <f>SUM(C5:C18)</f>
        <v>13130</v>
      </c>
      <c r="D19" s="18">
        <f>SUM(D5:D18)</f>
        <v>15040</v>
      </c>
    </row>
    <row r="21" spans="1:5" x14ac:dyDescent="0.25">
      <c r="A21" s="8" t="s">
        <v>32</v>
      </c>
    </row>
    <row r="23" spans="1:5" x14ac:dyDescent="0.25">
      <c r="A23" t="s">
        <v>66</v>
      </c>
    </row>
    <row r="24" spans="1:5" x14ac:dyDescent="0.25">
      <c r="A24" t="s">
        <v>117</v>
      </c>
      <c r="B24" s="9">
        <v>4500</v>
      </c>
    </row>
    <row r="25" spans="1:5" x14ac:dyDescent="0.25">
      <c r="B25" s="9" t="s">
        <v>28</v>
      </c>
      <c r="C25" s="9" t="s">
        <v>53</v>
      </c>
      <c r="D25" s="9" t="s">
        <v>54</v>
      </c>
    </row>
    <row r="26" spans="1:5" s="21" customFormat="1" x14ac:dyDescent="0.25">
      <c r="B26" s="22">
        <f>Question!$B$36</f>
        <v>0.2</v>
      </c>
      <c r="C26" s="22">
        <v>0.4</v>
      </c>
      <c r="D26" s="22">
        <v>0.4</v>
      </c>
      <c r="E26" s="22"/>
    </row>
    <row r="27" spans="1:5" x14ac:dyDescent="0.25">
      <c r="B27" s="9">
        <f>B24*B26</f>
        <v>900</v>
      </c>
      <c r="C27" s="9">
        <f>B24*C26</f>
        <v>1800</v>
      </c>
      <c r="D27" s="9">
        <f t="shared" ref="D27" si="2">$B$24*D26</f>
        <v>1800</v>
      </c>
    </row>
    <row r="29" spans="1:5" x14ac:dyDescent="0.25">
      <c r="A29" t="s">
        <v>67</v>
      </c>
    </row>
    <row r="30" spans="1:5" x14ac:dyDescent="0.25">
      <c r="A30" s="23" t="s">
        <v>118</v>
      </c>
      <c r="B30" s="24">
        <v>7500</v>
      </c>
      <c r="C30" s="24"/>
      <c r="D30" s="24"/>
      <c r="E30" s="24"/>
    </row>
    <row r="31" spans="1:5" x14ac:dyDescent="0.25">
      <c r="B31" s="9" t="s">
        <v>28</v>
      </c>
      <c r="C31" s="9" t="s">
        <v>53</v>
      </c>
      <c r="D31" s="9" t="s">
        <v>54</v>
      </c>
    </row>
    <row r="32" spans="1:5" s="21" customFormat="1" x14ac:dyDescent="0.25">
      <c r="B32" s="22">
        <v>0.5</v>
      </c>
      <c r="C32" s="22">
        <v>0.5</v>
      </c>
      <c r="D32" s="22">
        <v>0</v>
      </c>
      <c r="E32" s="22"/>
    </row>
    <row r="33" spans="1:5" x14ac:dyDescent="0.25">
      <c r="B33" s="9">
        <f>$B$30*B32</f>
        <v>3750</v>
      </c>
      <c r="C33" s="9">
        <f t="shared" ref="C33:D33" si="3">$B$30*C32</f>
        <v>3750</v>
      </c>
      <c r="D33" s="9">
        <f t="shared" si="3"/>
        <v>0</v>
      </c>
    </row>
    <row r="35" spans="1:5" x14ac:dyDescent="0.25">
      <c r="A35" s="8" t="s">
        <v>33</v>
      </c>
    </row>
    <row r="37" spans="1:5" x14ac:dyDescent="0.25">
      <c r="B37" s="9" t="s">
        <v>34</v>
      </c>
      <c r="C37" s="9" t="s">
        <v>68</v>
      </c>
      <c r="D37" s="9" t="s">
        <v>67</v>
      </c>
      <c r="E37" s="9" t="s">
        <v>27</v>
      </c>
    </row>
    <row r="39" spans="1:5" x14ac:dyDescent="0.25">
      <c r="A39" t="s">
        <v>98</v>
      </c>
      <c r="B39" s="9">
        <f>Question!$B$8</f>
        <v>150000</v>
      </c>
      <c r="C39" s="9">
        <f>Question!$B$4</f>
        <v>45000</v>
      </c>
      <c r="D39" s="9">
        <f>Question!$B$6</f>
        <v>37500</v>
      </c>
      <c r="E39" s="9">
        <f>SUM(B39:D39)</f>
        <v>232500</v>
      </c>
    </row>
    <row r="40" spans="1:5" x14ac:dyDescent="0.25">
      <c r="A40" t="s">
        <v>26</v>
      </c>
      <c r="B40" s="9">
        <f>Question!$C$40</f>
        <v>30000</v>
      </c>
      <c r="C40" s="9">
        <v>0</v>
      </c>
      <c r="E40" s="9">
        <f>SUM(B40:D40)</f>
        <v>30000</v>
      </c>
    </row>
    <row r="41" spans="1:5" x14ac:dyDescent="0.25">
      <c r="B41" s="10">
        <f>SUM(B39:B40)</f>
        <v>180000</v>
      </c>
      <c r="C41" s="10">
        <f>SUM(C39:C40)</f>
        <v>45000</v>
      </c>
      <c r="D41" s="10">
        <f t="shared" ref="D41" si="4">SUM(D39:D40)</f>
        <v>37500</v>
      </c>
      <c r="E41" s="10">
        <f>SUM(E39:E40)</f>
        <v>262500</v>
      </c>
    </row>
    <row r="42" spans="1:5" x14ac:dyDescent="0.25">
      <c r="A42" t="s">
        <v>99</v>
      </c>
      <c r="B42" s="9">
        <v>0</v>
      </c>
      <c r="C42" s="9">
        <f>Question!$C$5</f>
        <v>9000</v>
      </c>
      <c r="D42" s="9">
        <f>Question!$C$7</f>
        <v>7500</v>
      </c>
      <c r="E42" s="9">
        <f>SUM(B42:D42)</f>
        <v>16500</v>
      </c>
    </row>
    <row r="43" spans="1:5" x14ac:dyDescent="0.25">
      <c r="A43" t="s">
        <v>100</v>
      </c>
      <c r="C43" s="9">
        <f>B24</f>
        <v>4500</v>
      </c>
      <c r="D43" s="9">
        <f>B30</f>
        <v>7500</v>
      </c>
      <c r="E43" s="9">
        <f>SUM(C43:D43)</f>
        <v>12000</v>
      </c>
    </row>
    <row r="45" spans="1:5" x14ac:dyDescent="0.25">
      <c r="A45" t="s">
        <v>101</v>
      </c>
      <c r="B45" s="10">
        <f>B41-B42-B43</f>
        <v>180000</v>
      </c>
      <c r="C45" s="10">
        <f t="shared" ref="C45:E45" si="5">C41-C42-C43</f>
        <v>31500</v>
      </c>
      <c r="D45" s="10">
        <f t="shared" si="5"/>
        <v>22500</v>
      </c>
      <c r="E45" s="10">
        <f t="shared" si="5"/>
        <v>234000</v>
      </c>
    </row>
    <row r="48" spans="1:5" x14ac:dyDescent="0.25">
      <c r="A48" s="8" t="s">
        <v>35</v>
      </c>
    </row>
    <row r="50" spans="1:3" x14ac:dyDescent="0.25">
      <c r="A50" t="s">
        <v>36</v>
      </c>
      <c r="B50" s="9">
        <f>Question!$C$21</f>
        <v>25200</v>
      </c>
    </row>
    <row r="51" spans="1:3" x14ac:dyDescent="0.25">
      <c r="A51" t="s">
        <v>37</v>
      </c>
      <c r="B51" s="9">
        <f>'Q1 SOPL'!$B$15</f>
        <v>89480</v>
      </c>
    </row>
    <row r="52" spans="1:3" x14ac:dyDescent="0.25">
      <c r="A52" t="s">
        <v>38</v>
      </c>
      <c r="B52" s="9">
        <v>0</v>
      </c>
    </row>
    <row r="53" spans="1:3" x14ac:dyDescent="0.25">
      <c r="A53" t="s">
        <v>39</v>
      </c>
      <c r="B53" s="18">
        <f>SUM(B50:B52)</f>
        <v>114680</v>
      </c>
    </row>
    <row r="56" spans="1:3" x14ac:dyDescent="0.25">
      <c r="A56" s="8" t="s">
        <v>69</v>
      </c>
    </row>
    <row r="57" spans="1:3" x14ac:dyDescent="0.25">
      <c r="A57" t="s">
        <v>70</v>
      </c>
      <c r="B57" s="9">
        <f>Question!$C$14</f>
        <v>6000</v>
      </c>
    </row>
    <row r="58" spans="1:3" x14ac:dyDescent="0.25">
      <c r="A58" t="s">
        <v>71</v>
      </c>
      <c r="B58" s="9">
        <f>$B$65</f>
        <v>2670</v>
      </c>
      <c r="C58" s="19"/>
    </row>
    <row r="59" spans="1:3" x14ac:dyDescent="0.25">
      <c r="B59" s="18">
        <f>SUM(B57:B58)</f>
        <v>8670</v>
      </c>
    </row>
    <row r="61" spans="1:3" x14ac:dyDescent="0.25">
      <c r="A61" t="s">
        <v>102</v>
      </c>
      <c r="B61" s="9">
        <v>2400</v>
      </c>
    </row>
    <row r="62" spans="1:3" x14ac:dyDescent="0.25">
      <c r="A62" t="s">
        <v>103</v>
      </c>
      <c r="B62" s="9">
        <v>70</v>
      </c>
    </row>
    <row r="63" spans="1:3" x14ac:dyDescent="0.25">
      <c r="A63" t="s">
        <v>104</v>
      </c>
      <c r="B63" s="9">
        <v>120</v>
      </c>
    </row>
    <row r="64" spans="1:3" x14ac:dyDescent="0.25">
      <c r="A64" t="s">
        <v>119</v>
      </c>
      <c r="B64" s="9">
        <v>80</v>
      </c>
    </row>
    <row r="65" spans="1:2" x14ac:dyDescent="0.25">
      <c r="A65" t="s">
        <v>27</v>
      </c>
      <c r="B65" s="9">
        <f>SUM(B61:B64)</f>
        <v>2670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40287-CF36-4FB6-92A4-B1EEBA97E18C}">
  <dimension ref="A1:J45"/>
  <sheetViews>
    <sheetView workbookViewId="0">
      <selection activeCell="E26" sqref="E26"/>
    </sheetView>
  </sheetViews>
  <sheetFormatPr defaultRowHeight="15" x14ac:dyDescent="0.25"/>
  <cols>
    <col min="1" max="1" width="32.85546875" customWidth="1"/>
    <col min="2" max="2" width="24.140625" customWidth="1"/>
    <col min="3" max="3" width="10.28515625" customWidth="1"/>
    <col min="4" max="4" width="35.5703125" customWidth="1"/>
  </cols>
  <sheetData>
    <row r="1" spans="1:10" x14ac:dyDescent="0.25">
      <c r="A1" t="s">
        <v>164</v>
      </c>
      <c r="D1" s="36"/>
    </row>
    <row r="2" spans="1:10" x14ac:dyDescent="0.25">
      <c r="A2" t="s">
        <v>122</v>
      </c>
      <c r="D2" s="36"/>
    </row>
    <row r="3" spans="1:10" x14ac:dyDescent="0.25">
      <c r="A3" t="s">
        <v>123</v>
      </c>
      <c r="D3" s="36"/>
    </row>
    <row r="4" spans="1:10" x14ac:dyDescent="0.25">
      <c r="D4" s="36" t="s">
        <v>115</v>
      </c>
    </row>
    <row r="5" spans="1:10" x14ac:dyDescent="0.25">
      <c r="A5" s="12" t="s">
        <v>124</v>
      </c>
      <c r="B5" s="12"/>
      <c r="C5" s="12"/>
      <c r="D5" s="39"/>
      <c r="E5" s="12"/>
      <c r="F5" s="12"/>
      <c r="G5" s="12"/>
      <c r="H5" s="12"/>
      <c r="I5" s="12"/>
      <c r="J5" s="12"/>
    </row>
    <row r="6" spans="1:10" x14ac:dyDescent="0.25">
      <c r="A6" t="s">
        <v>125</v>
      </c>
      <c r="D6" s="40">
        <v>2213</v>
      </c>
    </row>
    <row r="7" spans="1:10" x14ac:dyDescent="0.25">
      <c r="A7" t="s">
        <v>126</v>
      </c>
      <c r="D7" s="40">
        <v>2952</v>
      </c>
    </row>
    <row r="8" spans="1:10" x14ac:dyDescent="0.25">
      <c r="A8" t="s">
        <v>127</v>
      </c>
      <c r="D8" s="36">
        <v>-217</v>
      </c>
    </row>
    <row r="9" spans="1:10" x14ac:dyDescent="0.25">
      <c r="B9" s="41">
        <v>2025</v>
      </c>
      <c r="C9" s="41">
        <v>2024</v>
      </c>
      <c r="D9" s="36"/>
    </row>
    <row r="10" spans="1:10" x14ac:dyDescent="0.25">
      <c r="A10" t="s">
        <v>128</v>
      </c>
      <c r="B10" s="20">
        <v>2701</v>
      </c>
      <c r="C10" s="20">
        <v>2019</v>
      </c>
      <c r="D10" s="40">
        <f>C10-B10</f>
        <v>-682</v>
      </c>
    </row>
    <row r="11" spans="1:10" x14ac:dyDescent="0.25">
      <c r="A11" t="s">
        <v>129</v>
      </c>
      <c r="B11" s="20">
        <v>2456</v>
      </c>
      <c r="C11" s="20">
        <v>1009</v>
      </c>
      <c r="D11" s="40">
        <f>C11-B11</f>
        <v>-1447</v>
      </c>
    </row>
    <row r="12" spans="1:10" x14ac:dyDescent="0.25">
      <c r="A12" t="s">
        <v>130</v>
      </c>
      <c r="B12" s="20">
        <v>1140</v>
      </c>
      <c r="C12" s="20">
        <v>1113</v>
      </c>
      <c r="D12" s="40">
        <f>B12-C12</f>
        <v>27</v>
      </c>
    </row>
    <row r="13" spans="1:10" x14ac:dyDescent="0.25">
      <c r="A13" t="s">
        <v>131</v>
      </c>
      <c r="D13" s="36">
        <v>-210</v>
      </c>
    </row>
    <row r="14" spans="1:10" x14ac:dyDescent="0.25">
      <c r="A14" t="s">
        <v>132</v>
      </c>
      <c r="D14" s="36">
        <v>-466</v>
      </c>
    </row>
    <row r="15" spans="1:10" x14ac:dyDescent="0.25">
      <c r="A15" t="s">
        <v>133</v>
      </c>
      <c r="D15" s="40">
        <f>SUM(D6:D14)</f>
        <v>2170</v>
      </c>
    </row>
    <row r="16" spans="1:10" x14ac:dyDescent="0.25">
      <c r="A16" s="12" t="s">
        <v>134</v>
      </c>
      <c r="B16" s="12"/>
      <c r="C16" s="12"/>
      <c r="D16" s="39"/>
      <c r="E16" s="12"/>
      <c r="F16" s="12"/>
      <c r="G16" s="12"/>
      <c r="H16" s="12"/>
      <c r="I16" s="12"/>
      <c r="J16" s="12"/>
    </row>
    <row r="17" spans="1:10" x14ac:dyDescent="0.25">
      <c r="A17" t="s">
        <v>135</v>
      </c>
      <c r="D17" s="40">
        <v>1254</v>
      </c>
    </row>
    <row r="18" spans="1:10" x14ac:dyDescent="0.25">
      <c r="A18" t="s">
        <v>136</v>
      </c>
      <c r="D18" s="40">
        <v>-9900</v>
      </c>
    </row>
    <row r="19" spans="1:10" x14ac:dyDescent="0.25">
      <c r="A19" t="s">
        <v>137</v>
      </c>
      <c r="D19" s="40">
        <f>D17+D18</f>
        <v>-8646</v>
      </c>
    </row>
    <row r="20" spans="1:10" x14ac:dyDescent="0.25">
      <c r="A20" s="12" t="s">
        <v>138</v>
      </c>
      <c r="B20" s="12"/>
      <c r="C20" s="12"/>
      <c r="D20" s="39"/>
      <c r="E20" s="12"/>
      <c r="F20" s="12"/>
      <c r="G20" s="12"/>
      <c r="H20" s="12"/>
      <c r="I20" s="12"/>
      <c r="J20" s="12"/>
    </row>
    <row r="21" spans="1:10" x14ac:dyDescent="0.25">
      <c r="B21" s="41">
        <v>2025</v>
      </c>
      <c r="C21" s="41">
        <v>2024</v>
      </c>
      <c r="D21" s="36"/>
    </row>
    <row r="22" spans="1:10" x14ac:dyDescent="0.25">
      <c r="A22" t="s">
        <v>139</v>
      </c>
      <c r="B22" s="20">
        <v>6000</v>
      </c>
      <c r="C22" s="20">
        <v>4000</v>
      </c>
      <c r="D22" s="40">
        <v>2000</v>
      </c>
    </row>
    <row r="23" spans="1:10" x14ac:dyDescent="0.25">
      <c r="A23" t="s">
        <v>140</v>
      </c>
      <c r="B23" s="20">
        <v>4000</v>
      </c>
      <c r="C23" s="20">
        <v>1000</v>
      </c>
      <c r="D23" s="40">
        <v>3000</v>
      </c>
    </row>
    <row r="24" spans="1:10" x14ac:dyDescent="0.25">
      <c r="A24" t="s">
        <v>141</v>
      </c>
      <c r="B24" s="20">
        <v>3000</v>
      </c>
      <c r="C24" s="20">
        <v>2000</v>
      </c>
      <c r="D24" s="40">
        <v>1000</v>
      </c>
    </row>
    <row r="25" spans="1:10" x14ac:dyDescent="0.25">
      <c r="A25" t="s">
        <v>38</v>
      </c>
      <c r="D25" s="36">
        <v>-600</v>
      </c>
    </row>
    <row r="26" spans="1:10" x14ac:dyDescent="0.25">
      <c r="A26" t="s">
        <v>142</v>
      </c>
      <c r="D26" s="40">
        <f>SUM(D22:D25)</f>
        <v>5400</v>
      </c>
    </row>
    <row r="27" spans="1:10" x14ac:dyDescent="0.25">
      <c r="A27" s="12" t="s">
        <v>143</v>
      </c>
      <c r="B27" s="12"/>
      <c r="C27" s="12"/>
      <c r="D27" s="42">
        <f>D15+D19+D26</f>
        <v>-1076</v>
      </c>
      <c r="E27" s="12"/>
      <c r="F27" s="12"/>
      <c r="G27" s="12"/>
      <c r="H27" s="12"/>
      <c r="I27" s="12"/>
      <c r="J27" s="12"/>
    </row>
    <row r="28" spans="1:10" x14ac:dyDescent="0.25">
      <c r="A28" s="12" t="s">
        <v>144</v>
      </c>
      <c r="B28" s="12"/>
      <c r="C28" s="12"/>
      <c r="D28" s="39">
        <v>392</v>
      </c>
      <c r="E28" s="12"/>
      <c r="F28" s="12"/>
      <c r="G28" s="12"/>
      <c r="H28" s="12"/>
      <c r="I28" s="12"/>
      <c r="J28" s="12"/>
    </row>
    <row r="29" spans="1:10" x14ac:dyDescent="0.25">
      <c r="A29" s="12" t="s">
        <v>145</v>
      </c>
      <c r="B29" s="12"/>
      <c r="C29" s="12"/>
      <c r="D29" s="42">
        <f>D27+D28</f>
        <v>-684</v>
      </c>
      <c r="E29" s="12"/>
      <c r="F29" s="12"/>
      <c r="G29" s="12"/>
      <c r="H29" s="12"/>
      <c r="I29" s="12"/>
      <c r="J29" s="12"/>
    </row>
    <row r="30" spans="1:10" x14ac:dyDescent="0.25">
      <c r="A30" s="12" t="s">
        <v>146</v>
      </c>
      <c r="B30" s="12"/>
      <c r="C30" s="12"/>
      <c r="D30" s="39"/>
      <c r="E30" s="12"/>
      <c r="F30" s="12"/>
      <c r="G30" s="12"/>
      <c r="H30" s="12"/>
      <c r="I30" s="12"/>
      <c r="J30" s="12"/>
    </row>
    <row r="31" spans="1:10" x14ac:dyDescent="0.25">
      <c r="A31" t="s">
        <v>147</v>
      </c>
      <c r="B31" s="20">
        <v>2048</v>
      </c>
      <c r="D31" s="36"/>
    </row>
    <row r="32" spans="1:10" x14ac:dyDescent="0.25">
      <c r="A32" t="s">
        <v>148</v>
      </c>
      <c r="B32" s="20">
        <v>1011</v>
      </c>
      <c r="D32" s="36"/>
    </row>
    <row r="33" spans="1:10" x14ac:dyDescent="0.25">
      <c r="A33" t="s">
        <v>149</v>
      </c>
      <c r="B33" s="20">
        <f>B31-B32</f>
        <v>1037</v>
      </c>
      <c r="D33" s="36"/>
    </row>
    <row r="34" spans="1:10" x14ac:dyDescent="0.25">
      <c r="A34" t="s">
        <v>150</v>
      </c>
      <c r="B34">
        <v>217</v>
      </c>
      <c r="D34" s="36"/>
    </row>
    <row r="35" spans="1:10" x14ac:dyDescent="0.25">
      <c r="A35" t="s">
        <v>151</v>
      </c>
      <c r="B35" s="20">
        <f>B33+B34</f>
        <v>1254</v>
      </c>
      <c r="D35" s="36"/>
    </row>
    <row r="36" spans="1:10" x14ac:dyDescent="0.25">
      <c r="D36" s="36"/>
    </row>
    <row r="37" spans="1:10" x14ac:dyDescent="0.25">
      <c r="A37" s="12" t="s">
        <v>152</v>
      </c>
      <c r="B37" s="12"/>
      <c r="C37" s="12"/>
      <c r="D37" s="39"/>
      <c r="E37" s="12" t="s">
        <v>153</v>
      </c>
      <c r="F37" s="12"/>
      <c r="G37" s="12" t="s">
        <v>154</v>
      </c>
      <c r="H37" s="12"/>
      <c r="I37" s="12"/>
      <c r="J37" s="12" t="s">
        <v>155</v>
      </c>
    </row>
    <row r="38" spans="1:10" x14ac:dyDescent="0.25">
      <c r="A38" t="s">
        <v>156</v>
      </c>
      <c r="B38" s="20">
        <v>16797</v>
      </c>
      <c r="D38" s="36"/>
      <c r="E38" s="43"/>
      <c r="F38" s="44"/>
      <c r="G38" s="43"/>
      <c r="H38" s="45"/>
      <c r="I38" s="44"/>
      <c r="J38" s="43"/>
    </row>
    <row r="39" spans="1:10" x14ac:dyDescent="0.25">
      <c r="A39" t="s">
        <v>157</v>
      </c>
      <c r="B39" s="20">
        <v>-2952</v>
      </c>
      <c r="D39" s="36"/>
      <c r="E39" t="s">
        <v>156</v>
      </c>
      <c r="G39" s="46">
        <v>16797</v>
      </c>
      <c r="H39" t="s">
        <v>158</v>
      </c>
      <c r="J39" s="46">
        <v>2952</v>
      </c>
    </row>
    <row r="40" spans="1:10" x14ac:dyDescent="0.25">
      <c r="A40" t="s">
        <v>159</v>
      </c>
      <c r="B40" s="20">
        <v>-1037</v>
      </c>
      <c r="D40" s="36"/>
      <c r="G40" s="43"/>
      <c r="H40" t="s">
        <v>149</v>
      </c>
      <c r="J40" s="46">
        <v>1037</v>
      </c>
    </row>
    <row r="41" spans="1:10" x14ac:dyDescent="0.25">
      <c r="A41" t="s">
        <v>160</v>
      </c>
      <c r="B41" s="20">
        <v>-22708</v>
      </c>
      <c r="D41" s="36"/>
      <c r="E41" t="s">
        <v>161</v>
      </c>
      <c r="G41" s="46">
        <f>G44-G39</f>
        <v>9900</v>
      </c>
      <c r="J41" s="43"/>
    </row>
    <row r="42" spans="1:10" x14ac:dyDescent="0.25">
      <c r="A42" t="s">
        <v>162</v>
      </c>
      <c r="B42" s="20">
        <f>SUM(B38:B41)</f>
        <v>-9900</v>
      </c>
      <c r="D42" s="36"/>
      <c r="G42" s="43"/>
      <c r="H42" t="s">
        <v>163</v>
      </c>
      <c r="J42" s="46">
        <v>22708</v>
      </c>
    </row>
    <row r="43" spans="1:10" x14ac:dyDescent="0.25">
      <c r="D43" s="36"/>
      <c r="G43" s="43"/>
      <c r="J43" s="43"/>
    </row>
    <row r="44" spans="1:10" x14ac:dyDescent="0.25">
      <c r="D44" s="36"/>
      <c r="G44" s="46">
        <v>26697</v>
      </c>
      <c r="J44" s="46">
        <f>SUM(J39:J42)</f>
        <v>26697</v>
      </c>
    </row>
    <row r="45" spans="1:10" x14ac:dyDescent="0.25">
      <c r="D45" s="36"/>
      <c r="G45" s="43"/>
      <c r="J45" s="4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4C21-8E91-4D40-A856-6A0B31B67A01}">
  <dimension ref="A1:H69"/>
  <sheetViews>
    <sheetView topLeftCell="A10" zoomScale="140" zoomScaleNormal="140" workbookViewId="0">
      <selection activeCell="A69" sqref="A69"/>
    </sheetView>
  </sheetViews>
  <sheetFormatPr defaultRowHeight="15" x14ac:dyDescent="0.25"/>
  <cols>
    <col min="1" max="1" width="42.5703125" customWidth="1"/>
    <col min="2" max="2" width="16.28515625" customWidth="1"/>
    <col min="6" max="6" width="9.85546875" customWidth="1"/>
    <col min="7" max="7" width="10.85546875" customWidth="1"/>
  </cols>
  <sheetData>
    <row r="1" spans="1:8" x14ac:dyDescent="0.25">
      <c r="A1" s="12" t="s">
        <v>165</v>
      </c>
      <c r="B1" s="39"/>
      <c r="C1" s="39"/>
      <c r="D1" s="39"/>
      <c r="E1" s="39"/>
      <c r="F1" s="39"/>
      <c r="G1" s="39"/>
      <c r="H1" s="12"/>
    </row>
    <row r="2" spans="1:8" x14ac:dyDescent="0.25">
      <c r="A2" s="12" t="s">
        <v>166</v>
      </c>
      <c r="B2" s="39" t="s">
        <v>167</v>
      </c>
      <c r="C2" s="39" t="s">
        <v>168</v>
      </c>
      <c r="D2" s="39" t="s">
        <v>169</v>
      </c>
      <c r="E2" s="39" t="s">
        <v>170</v>
      </c>
      <c r="F2" s="39" t="s">
        <v>171</v>
      </c>
      <c r="G2" s="39" t="s">
        <v>172</v>
      </c>
      <c r="H2" s="12"/>
    </row>
    <row r="3" spans="1:8" x14ac:dyDescent="0.25">
      <c r="A3" t="s">
        <v>173</v>
      </c>
      <c r="B3" s="40">
        <v>500000</v>
      </c>
      <c r="C3" s="36"/>
      <c r="D3" s="36"/>
      <c r="E3" s="36"/>
      <c r="F3" s="36"/>
      <c r="G3" s="36"/>
    </row>
    <row r="4" spans="1:8" x14ac:dyDescent="0.25">
      <c r="A4" t="s">
        <v>174</v>
      </c>
      <c r="B4" s="40">
        <v>80000</v>
      </c>
      <c r="C4" s="36"/>
      <c r="D4" s="36"/>
      <c r="E4" s="36"/>
      <c r="F4" s="36"/>
      <c r="G4" s="40">
        <v>80000</v>
      </c>
    </row>
    <row r="5" spans="1:8" x14ac:dyDescent="0.25">
      <c r="A5" t="s">
        <v>175</v>
      </c>
      <c r="B5" s="36"/>
      <c r="C5" s="40">
        <v>300000</v>
      </c>
      <c r="D5" s="40">
        <v>300000</v>
      </c>
      <c r="E5" s="40">
        <v>300000</v>
      </c>
      <c r="F5" s="40">
        <v>300000</v>
      </c>
      <c r="G5" s="40">
        <v>300000</v>
      </c>
    </row>
    <row r="6" spans="1:8" x14ac:dyDescent="0.25">
      <c r="A6" t="s">
        <v>176</v>
      </c>
      <c r="B6" s="36"/>
      <c r="C6" s="40">
        <v>65000</v>
      </c>
      <c r="D6" s="40">
        <v>65000</v>
      </c>
      <c r="E6" s="40">
        <v>65000</v>
      </c>
      <c r="F6" s="40">
        <v>65000</v>
      </c>
      <c r="G6" s="40">
        <v>65000</v>
      </c>
    </row>
    <row r="7" spans="1:8" x14ac:dyDescent="0.25">
      <c r="A7" t="s">
        <v>177</v>
      </c>
      <c r="B7" s="36"/>
      <c r="C7" s="40">
        <v>-91000</v>
      </c>
      <c r="D7" s="40">
        <v>-91000</v>
      </c>
      <c r="E7" s="40">
        <v>-91000</v>
      </c>
      <c r="F7" s="40">
        <v>-91000</v>
      </c>
      <c r="G7" s="40">
        <v>-91000</v>
      </c>
    </row>
    <row r="8" spans="1:8" x14ac:dyDescent="0.25">
      <c r="A8" t="s">
        <v>178</v>
      </c>
      <c r="B8" s="36"/>
      <c r="C8" s="36"/>
      <c r="D8" s="36"/>
      <c r="E8" s="36"/>
      <c r="F8" s="36"/>
      <c r="G8" s="40">
        <v>15000</v>
      </c>
    </row>
    <row r="9" spans="1:8" x14ac:dyDescent="0.25">
      <c r="A9" t="s">
        <v>179</v>
      </c>
      <c r="B9" s="36"/>
      <c r="C9" s="40">
        <f>SUM(C5:C8)</f>
        <v>274000</v>
      </c>
      <c r="D9" s="40">
        <f t="shared" ref="D9:F9" si="0">SUM(D5:D8)</f>
        <v>274000</v>
      </c>
      <c r="E9" s="40">
        <f t="shared" si="0"/>
        <v>274000</v>
      </c>
      <c r="F9" s="40">
        <f t="shared" si="0"/>
        <v>274000</v>
      </c>
      <c r="G9" s="40">
        <f>SUM(G4:G8)</f>
        <v>369000</v>
      </c>
    </row>
    <row r="10" spans="1:8" x14ac:dyDescent="0.25">
      <c r="A10" t="s">
        <v>180</v>
      </c>
      <c r="B10" s="36"/>
      <c r="C10" s="36">
        <v>0.90910000000000002</v>
      </c>
      <c r="D10" s="36">
        <v>0.82640000000000002</v>
      </c>
      <c r="E10" s="36">
        <v>0.75129999999999997</v>
      </c>
      <c r="F10" s="36">
        <v>0.68300000000000005</v>
      </c>
      <c r="G10" s="36">
        <v>0.62090000000000001</v>
      </c>
    </row>
    <row r="11" spans="1:8" x14ac:dyDescent="0.25">
      <c r="A11" t="s">
        <v>181</v>
      </c>
      <c r="B11" s="37">
        <v>-580000</v>
      </c>
      <c r="C11" s="37">
        <f>C9*C10</f>
        <v>249093.4</v>
      </c>
      <c r="D11" s="37">
        <f t="shared" ref="D11:G11" si="1">D9*D10</f>
        <v>226433.6</v>
      </c>
      <c r="E11" s="37">
        <f t="shared" si="1"/>
        <v>205856.19999999998</v>
      </c>
      <c r="F11" s="37">
        <f t="shared" si="1"/>
        <v>187142</v>
      </c>
      <c r="G11" s="37">
        <f t="shared" si="1"/>
        <v>229112.1</v>
      </c>
    </row>
    <row r="12" spans="1:8" x14ac:dyDescent="0.25">
      <c r="A12" t="s">
        <v>182</v>
      </c>
      <c r="B12" s="47">
        <f>SUM(C11:G11)</f>
        <v>1097637.3</v>
      </c>
      <c r="C12" s="36"/>
      <c r="D12" s="36"/>
      <c r="E12" s="36"/>
      <c r="F12" s="36"/>
      <c r="G12" s="36"/>
    </row>
    <row r="13" spans="1:8" x14ac:dyDescent="0.25">
      <c r="A13" t="s">
        <v>106</v>
      </c>
      <c r="B13" s="37">
        <f>B12+B11</f>
        <v>517637.30000000005</v>
      </c>
      <c r="C13" s="36"/>
      <c r="D13" s="36"/>
      <c r="E13" s="36"/>
      <c r="F13" s="36"/>
      <c r="G13" s="36"/>
    </row>
    <row r="14" spans="1:8" x14ac:dyDescent="0.25">
      <c r="B14" s="36"/>
      <c r="C14" s="36"/>
      <c r="D14" s="36"/>
      <c r="E14" s="36"/>
      <c r="F14" s="36"/>
      <c r="G14" s="36"/>
    </row>
    <row r="15" spans="1:8" x14ac:dyDescent="0.25">
      <c r="A15" s="12" t="s">
        <v>183</v>
      </c>
      <c r="B15" s="39" t="s">
        <v>167</v>
      </c>
      <c r="C15" s="39" t="s">
        <v>168</v>
      </c>
      <c r="D15" s="39" t="s">
        <v>169</v>
      </c>
      <c r="E15" s="39" t="s">
        <v>170</v>
      </c>
      <c r="F15" s="39"/>
      <c r="G15" s="39"/>
      <c r="H15" s="12"/>
    </row>
    <row r="16" spans="1:8" x14ac:dyDescent="0.25">
      <c r="A16" t="s">
        <v>173</v>
      </c>
      <c r="B16" s="40">
        <v>290000</v>
      </c>
      <c r="C16" s="36"/>
      <c r="D16" s="36"/>
      <c r="E16" s="36"/>
      <c r="F16" s="36"/>
      <c r="G16" s="36"/>
    </row>
    <row r="17" spans="1:8" x14ac:dyDescent="0.25">
      <c r="A17" t="s">
        <v>174</v>
      </c>
      <c r="B17" s="40">
        <v>60500</v>
      </c>
      <c r="C17" s="36"/>
      <c r="D17" s="36"/>
      <c r="E17" s="40">
        <v>60500</v>
      </c>
      <c r="F17" s="36"/>
      <c r="G17" s="36"/>
    </row>
    <row r="18" spans="1:8" x14ac:dyDescent="0.25">
      <c r="A18" t="s">
        <v>175</v>
      </c>
      <c r="B18" s="36"/>
      <c r="C18" s="40">
        <v>190000</v>
      </c>
      <c r="D18" s="40">
        <v>190000</v>
      </c>
      <c r="E18" s="40">
        <v>190000</v>
      </c>
      <c r="F18" s="36"/>
      <c r="G18" s="36"/>
    </row>
    <row r="19" spans="1:8" x14ac:dyDescent="0.25">
      <c r="A19" t="s">
        <v>176</v>
      </c>
      <c r="B19" s="36"/>
      <c r="C19" s="40">
        <v>62000</v>
      </c>
      <c r="D19" s="40">
        <v>62000</v>
      </c>
      <c r="E19" s="40">
        <v>62000</v>
      </c>
      <c r="F19" s="36"/>
      <c r="G19" s="36"/>
    </row>
    <row r="20" spans="1:8" x14ac:dyDescent="0.25">
      <c r="A20" t="s">
        <v>177</v>
      </c>
      <c r="B20" s="36"/>
      <c r="C20" s="40">
        <v>-94000</v>
      </c>
      <c r="D20" s="40">
        <v>-94000</v>
      </c>
      <c r="E20" s="40">
        <v>-94000</v>
      </c>
      <c r="F20" s="36"/>
      <c r="G20" s="36"/>
    </row>
    <row r="21" spans="1:8" x14ac:dyDescent="0.25">
      <c r="A21" t="s">
        <v>179</v>
      </c>
      <c r="B21" s="36"/>
      <c r="C21" s="38">
        <f>SUM(C17:C20)</f>
        <v>158000</v>
      </c>
      <c r="D21" s="38">
        <f t="shared" ref="D21:E21" si="2">SUM(D17:D20)</f>
        <v>158000</v>
      </c>
      <c r="E21" s="38">
        <f t="shared" si="2"/>
        <v>218500</v>
      </c>
      <c r="F21" s="36"/>
      <c r="G21" s="36"/>
    </row>
    <row r="22" spans="1:8" x14ac:dyDescent="0.25">
      <c r="A22" t="s">
        <v>180</v>
      </c>
      <c r="B22" s="36"/>
      <c r="C22" s="36">
        <v>0.90910000000000002</v>
      </c>
      <c r="D22" s="36">
        <v>0.82640000000000002</v>
      </c>
      <c r="E22" s="36">
        <v>0.75129999999999997</v>
      </c>
      <c r="F22" s="36"/>
      <c r="G22" s="36"/>
    </row>
    <row r="23" spans="1:8" x14ac:dyDescent="0.25">
      <c r="A23" t="s">
        <v>181</v>
      </c>
      <c r="B23" s="40">
        <v>-350500</v>
      </c>
      <c r="C23" s="48">
        <f>C21*C22</f>
        <v>143637.80000000002</v>
      </c>
      <c r="D23" s="48">
        <f t="shared" ref="D23:E23" si="3">D21*D22</f>
        <v>130571.2</v>
      </c>
      <c r="E23" s="48">
        <f t="shared" si="3"/>
        <v>164159.04999999999</v>
      </c>
      <c r="F23" s="36"/>
      <c r="G23" s="36"/>
    </row>
    <row r="24" spans="1:8" x14ac:dyDescent="0.25">
      <c r="A24" t="s">
        <v>182</v>
      </c>
      <c r="B24" s="48">
        <f>SUM(C23:E23)</f>
        <v>438368.05</v>
      </c>
      <c r="C24" s="36"/>
      <c r="D24" s="36"/>
      <c r="E24" s="36"/>
      <c r="F24" s="36"/>
      <c r="G24" s="36"/>
    </row>
    <row r="25" spans="1:8" x14ac:dyDescent="0.25">
      <c r="A25" t="s">
        <v>106</v>
      </c>
      <c r="B25" s="48">
        <f>B24+B23</f>
        <v>87868.049999999988</v>
      </c>
      <c r="C25" s="36"/>
      <c r="D25" s="36"/>
      <c r="E25" s="36"/>
      <c r="F25" s="36"/>
      <c r="G25" s="36"/>
    </row>
    <row r="26" spans="1:8" x14ac:dyDescent="0.25">
      <c r="B26" s="36"/>
      <c r="C26" s="36"/>
      <c r="D26" s="36"/>
      <c r="E26" s="36"/>
      <c r="F26" s="36"/>
      <c r="G26" s="36"/>
    </row>
    <row r="27" spans="1:8" x14ac:dyDescent="0.25">
      <c r="A27" s="12" t="s">
        <v>184</v>
      </c>
      <c r="B27" s="39" t="s">
        <v>167</v>
      </c>
      <c r="C27" s="39" t="s">
        <v>168</v>
      </c>
      <c r="D27" s="39" t="s">
        <v>169</v>
      </c>
      <c r="E27" s="39" t="s">
        <v>170</v>
      </c>
      <c r="F27" s="39" t="s">
        <v>171</v>
      </c>
      <c r="G27" s="39" t="s">
        <v>172</v>
      </c>
      <c r="H27" s="12"/>
    </row>
    <row r="28" spans="1:8" x14ac:dyDescent="0.25">
      <c r="A28" t="s">
        <v>173</v>
      </c>
      <c r="B28" s="40">
        <v>330000</v>
      </c>
      <c r="C28" s="36"/>
      <c r="D28" s="36"/>
      <c r="E28" s="36"/>
      <c r="F28" s="36"/>
      <c r="G28" s="36"/>
    </row>
    <row r="29" spans="1:8" x14ac:dyDescent="0.25">
      <c r="A29" t="s">
        <v>174</v>
      </c>
      <c r="B29" s="40">
        <v>20000</v>
      </c>
      <c r="C29" s="36"/>
      <c r="D29" s="36"/>
      <c r="E29" s="36"/>
      <c r="F29" s="36"/>
      <c r="G29" s="40">
        <v>20000</v>
      </c>
    </row>
    <row r="30" spans="1:8" x14ac:dyDescent="0.25">
      <c r="A30" t="s">
        <v>175</v>
      </c>
      <c r="B30" s="36"/>
      <c r="C30" s="40">
        <v>120000</v>
      </c>
      <c r="D30" s="40">
        <v>120000</v>
      </c>
      <c r="E30" s="40">
        <v>120000</v>
      </c>
      <c r="F30" s="40">
        <v>120000</v>
      </c>
      <c r="G30" s="40">
        <v>120000</v>
      </c>
    </row>
    <row r="31" spans="1:8" x14ac:dyDescent="0.25">
      <c r="A31" t="s">
        <v>176</v>
      </c>
      <c r="B31" s="36"/>
      <c r="C31" s="40">
        <v>25000</v>
      </c>
      <c r="D31" s="40">
        <v>25000</v>
      </c>
      <c r="E31" s="40">
        <v>25000</v>
      </c>
      <c r="F31" s="40">
        <v>25000</v>
      </c>
      <c r="G31" s="40">
        <v>25000</v>
      </c>
    </row>
    <row r="32" spans="1:8" x14ac:dyDescent="0.25">
      <c r="A32" t="s">
        <v>177</v>
      </c>
      <c r="B32" s="36"/>
      <c r="C32" s="40">
        <v>-35000</v>
      </c>
      <c r="D32" s="40">
        <v>-35000</v>
      </c>
      <c r="E32" s="40">
        <v>-35000</v>
      </c>
      <c r="F32" s="40">
        <v>-35000</v>
      </c>
      <c r="G32" s="40">
        <v>-35000</v>
      </c>
    </row>
    <row r="33" spans="1:8" x14ac:dyDescent="0.25">
      <c r="A33" t="s">
        <v>179</v>
      </c>
      <c r="B33" s="36"/>
      <c r="C33" s="37">
        <f>SUM(C29:C32)</f>
        <v>110000</v>
      </c>
      <c r="D33" s="37">
        <f t="shared" ref="D33:G33" si="4">SUM(D29:D32)</f>
        <v>110000</v>
      </c>
      <c r="E33" s="37">
        <f t="shared" si="4"/>
        <v>110000</v>
      </c>
      <c r="F33" s="37">
        <f t="shared" si="4"/>
        <v>110000</v>
      </c>
      <c r="G33" s="37">
        <f t="shared" si="4"/>
        <v>130000</v>
      </c>
    </row>
    <row r="34" spans="1:8" x14ac:dyDescent="0.25">
      <c r="A34" t="s">
        <v>180</v>
      </c>
      <c r="B34" s="36"/>
      <c r="C34" s="36">
        <v>0.90910000000000002</v>
      </c>
      <c r="D34" s="36">
        <v>0.82640000000000002</v>
      </c>
      <c r="E34" s="36">
        <v>0.75129999999999997</v>
      </c>
      <c r="F34" s="36">
        <v>0.68300000000000005</v>
      </c>
      <c r="G34" s="36">
        <v>0.62090000000000001</v>
      </c>
    </row>
    <row r="35" spans="1:8" x14ac:dyDescent="0.25">
      <c r="A35" t="s">
        <v>181</v>
      </c>
      <c r="B35" s="40">
        <v>-350000</v>
      </c>
      <c r="C35" s="48">
        <f>C33*C34</f>
        <v>100001</v>
      </c>
      <c r="D35" s="48">
        <f t="shared" ref="D35:G35" si="5">D33*D34</f>
        <v>90904</v>
      </c>
      <c r="E35" s="48">
        <f t="shared" si="5"/>
        <v>82643</v>
      </c>
      <c r="F35" s="48">
        <f t="shared" si="5"/>
        <v>75130</v>
      </c>
      <c r="G35" s="48">
        <f t="shared" si="5"/>
        <v>80717</v>
      </c>
    </row>
    <row r="36" spans="1:8" x14ac:dyDescent="0.25">
      <c r="A36" t="s">
        <v>182</v>
      </c>
      <c r="B36" s="48">
        <f>SUM(C35:G35)</f>
        <v>429395</v>
      </c>
      <c r="C36" s="36"/>
      <c r="D36" s="36"/>
      <c r="E36" s="36"/>
      <c r="F36" s="36"/>
      <c r="G36" s="36"/>
    </row>
    <row r="37" spans="1:8" x14ac:dyDescent="0.25">
      <c r="A37" t="s">
        <v>106</v>
      </c>
      <c r="B37" s="48">
        <f>B36+B35</f>
        <v>79395</v>
      </c>
      <c r="C37" s="36"/>
      <c r="D37" s="36"/>
      <c r="E37" s="36"/>
      <c r="F37" s="36"/>
      <c r="G37" s="36"/>
    </row>
    <row r="38" spans="1:8" x14ac:dyDescent="0.25">
      <c r="B38" s="36"/>
      <c r="C38" s="36"/>
      <c r="D38" s="36"/>
      <c r="E38" s="36"/>
      <c r="F38" s="36"/>
      <c r="G38" s="36"/>
    </row>
    <row r="39" spans="1:8" x14ac:dyDescent="0.25">
      <c r="A39" s="12" t="s">
        <v>185</v>
      </c>
      <c r="B39" s="39"/>
      <c r="C39" s="39"/>
      <c r="D39" s="39"/>
      <c r="E39" s="39"/>
      <c r="F39" s="39"/>
      <c r="G39" s="39"/>
      <c r="H39" s="12"/>
    </row>
    <row r="40" spans="1:8" x14ac:dyDescent="0.25">
      <c r="B40" s="36" t="s">
        <v>167</v>
      </c>
      <c r="C40" s="36" t="s">
        <v>168</v>
      </c>
      <c r="D40" s="36" t="s">
        <v>169</v>
      </c>
      <c r="E40" s="36"/>
      <c r="F40" s="36"/>
      <c r="G40" s="36"/>
    </row>
    <row r="41" spans="1:8" x14ac:dyDescent="0.25">
      <c r="A41" t="s">
        <v>166</v>
      </c>
      <c r="B41" s="40">
        <v>580000</v>
      </c>
      <c r="C41" s="40">
        <v>274000</v>
      </c>
      <c r="D41" s="40">
        <v>274000</v>
      </c>
      <c r="E41" s="36"/>
      <c r="F41" s="36"/>
      <c r="G41" s="36"/>
    </row>
    <row r="42" spans="1:8" x14ac:dyDescent="0.25">
      <c r="B42" s="36" t="s">
        <v>186</v>
      </c>
      <c r="C42" s="36">
        <v>0.11700000000000001</v>
      </c>
      <c r="D42" s="36"/>
      <c r="E42" s="36"/>
      <c r="F42" s="36"/>
      <c r="G42" s="36"/>
    </row>
    <row r="43" spans="1:8" x14ac:dyDescent="0.25">
      <c r="A43" t="s">
        <v>187</v>
      </c>
      <c r="B43" s="36" t="s">
        <v>188</v>
      </c>
      <c r="C43" s="36"/>
      <c r="D43" s="36"/>
      <c r="E43" s="36"/>
      <c r="F43" s="36"/>
      <c r="G43" s="36"/>
    </row>
    <row r="44" spans="1:8" x14ac:dyDescent="0.25">
      <c r="B44" s="36"/>
      <c r="C44" s="36"/>
      <c r="D44" s="36"/>
      <c r="E44" s="36"/>
      <c r="F44" s="36"/>
      <c r="G44" s="36"/>
    </row>
    <row r="45" spans="1:8" x14ac:dyDescent="0.25">
      <c r="A45" t="s">
        <v>183</v>
      </c>
      <c r="B45" s="36" t="s">
        <v>167</v>
      </c>
      <c r="C45" s="36" t="s">
        <v>168</v>
      </c>
      <c r="D45" s="36" t="s">
        <v>169</v>
      </c>
      <c r="E45" s="36"/>
      <c r="F45" s="36"/>
      <c r="G45" s="36"/>
    </row>
    <row r="46" spans="1:8" x14ac:dyDescent="0.25">
      <c r="B46" s="40">
        <v>350500</v>
      </c>
      <c r="C46" s="40">
        <v>158000</v>
      </c>
      <c r="D46" s="40">
        <v>158000</v>
      </c>
      <c r="E46" s="36"/>
      <c r="F46" s="36"/>
      <c r="G46" s="36"/>
    </row>
    <row r="47" spans="1:8" x14ac:dyDescent="0.25">
      <c r="B47" s="36" t="s">
        <v>189</v>
      </c>
      <c r="C47" s="36">
        <v>0.22</v>
      </c>
      <c r="D47" s="36"/>
      <c r="E47" s="36"/>
      <c r="F47" s="36"/>
      <c r="G47" s="36"/>
    </row>
    <row r="48" spans="1:8" x14ac:dyDescent="0.25">
      <c r="A48" t="s">
        <v>190</v>
      </c>
      <c r="B48" s="36" t="s">
        <v>191</v>
      </c>
      <c r="C48" s="36"/>
      <c r="D48" s="36"/>
      <c r="E48" s="36"/>
      <c r="F48" s="36"/>
      <c r="G48" s="36"/>
    </row>
    <row r="49" spans="1:7" x14ac:dyDescent="0.25">
      <c r="A49" t="s">
        <v>184</v>
      </c>
      <c r="B49" s="36" t="s">
        <v>167</v>
      </c>
      <c r="C49" s="36" t="s">
        <v>168</v>
      </c>
      <c r="D49" s="36" t="s">
        <v>169</v>
      </c>
      <c r="E49" s="36" t="s">
        <v>170</v>
      </c>
      <c r="F49" s="36"/>
      <c r="G49" s="36"/>
    </row>
    <row r="50" spans="1:7" x14ac:dyDescent="0.25">
      <c r="B50" s="40">
        <v>350000</v>
      </c>
      <c r="C50" s="37">
        <v>110000</v>
      </c>
      <c r="D50" s="37">
        <v>110000</v>
      </c>
      <c r="E50" s="37">
        <v>110000</v>
      </c>
      <c r="F50" s="36"/>
      <c r="G50" s="36"/>
    </row>
    <row r="51" spans="1:7" x14ac:dyDescent="0.25">
      <c r="B51" s="36" t="s">
        <v>192</v>
      </c>
      <c r="C51" s="36">
        <v>0.182</v>
      </c>
      <c r="D51" s="36"/>
      <c r="E51" s="36"/>
      <c r="F51" s="36"/>
      <c r="G51" s="36"/>
    </row>
    <row r="52" spans="1:7" x14ac:dyDescent="0.25">
      <c r="A52" t="s">
        <v>190</v>
      </c>
      <c r="B52" s="36">
        <v>3.1819999999999999</v>
      </c>
      <c r="C52" s="36"/>
      <c r="D52" s="36"/>
      <c r="E52" s="36"/>
      <c r="F52" s="36"/>
      <c r="G52" s="36"/>
    </row>
    <row r="53" spans="1:7" x14ac:dyDescent="0.25">
      <c r="B53" s="36"/>
      <c r="C53" s="36"/>
      <c r="D53" s="36"/>
      <c r="E53" s="36"/>
      <c r="F53" s="36"/>
      <c r="G53" s="36"/>
    </row>
    <row r="54" spans="1:7" x14ac:dyDescent="0.25">
      <c r="A54" t="s">
        <v>193</v>
      </c>
      <c r="B54" s="36"/>
      <c r="C54" s="36"/>
      <c r="D54" s="36"/>
      <c r="E54" s="36"/>
      <c r="F54" s="36"/>
      <c r="G54" s="36"/>
    </row>
    <row r="55" spans="1:7" x14ac:dyDescent="0.25">
      <c r="A55" s="49" t="s">
        <v>194</v>
      </c>
      <c r="B55" s="36"/>
      <c r="C55" s="36"/>
      <c r="D55" s="36"/>
      <c r="E55" s="36"/>
      <c r="F55" s="36"/>
      <c r="G55" s="36"/>
    </row>
    <row r="56" spans="1:7" x14ac:dyDescent="0.25">
      <c r="A56" s="49" t="s">
        <v>195</v>
      </c>
      <c r="B56" s="36"/>
      <c r="C56" s="36"/>
      <c r="D56" s="36"/>
      <c r="E56" s="36"/>
      <c r="F56" s="36"/>
      <c r="G56" s="36"/>
    </row>
    <row r="57" spans="1:7" x14ac:dyDescent="0.25">
      <c r="A57" s="49" t="s">
        <v>196</v>
      </c>
      <c r="B57" s="36"/>
      <c r="C57" s="36"/>
      <c r="D57" s="36"/>
      <c r="E57" s="36"/>
      <c r="F57" s="36"/>
      <c r="G57" s="36"/>
    </row>
    <row r="58" spans="1:7" x14ac:dyDescent="0.25">
      <c r="A58" s="49" t="s">
        <v>197</v>
      </c>
      <c r="B58" s="36"/>
      <c r="C58" s="36"/>
      <c r="D58" s="36"/>
      <c r="E58" s="36"/>
      <c r="F58" s="36"/>
      <c r="G58" s="36"/>
    </row>
    <row r="59" spans="1:7" x14ac:dyDescent="0.25">
      <c r="A59" s="49" t="s">
        <v>198</v>
      </c>
      <c r="B59" s="36"/>
      <c r="C59" s="36"/>
      <c r="D59" s="36"/>
      <c r="E59" s="36"/>
      <c r="F59" s="36"/>
      <c r="G59" s="36"/>
    </row>
    <row r="60" spans="1:7" x14ac:dyDescent="0.25">
      <c r="A60" s="49" t="s">
        <v>199</v>
      </c>
      <c r="B60" s="36"/>
      <c r="C60" s="36"/>
      <c r="D60" s="36"/>
      <c r="E60" s="36"/>
      <c r="F60" s="36"/>
      <c r="G60" s="36"/>
    </row>
    <row r="61" spans="1:7" x14ac:dyDescent="0.25">
      <c r="A61" s="49" t="s">
        <v>200</v>
      </c>
      <c r="B61" s="36"/>
      <c r="C61" s="36"/>
      <c r="D61" s="36"/>
      <c r="E61" s="36"/>
      <c r="F61" s="36"/>
      <c r="G61" s="36"/>
    </row>
    <row r="62" spans="1:7" x14ac:dyDescent="0.25">
      <c r="A62" s="49" t="s">
        <v>201</v>
      </c>
      <c r="B62" s="36"/>
      <c r="C62" s="36"/>
      <c r="D62" s="36"/>
      <c r="E62" s="36"/>
      <c r="F62" s="36"/>
      <c r="G62" s="36"/>
    </row>
    <row r="63" spans="1:7" x14ac:dyDescent="0.25">
      <c r="A63" s="49" t="s">
        <v>202</v>
      </c>
      <c r="B63" s="36"/>
      <c r="C63" s="36"/>
      <c r="D63" s="36"/>
      <c r="E63" s="36"/>
      <c r="F63" s="36"/>
      <c r="G63" s="36"/>
    </row>
    <row r="64" spans="1:7" x14ac:dyDescent="0.25">
      <c r="A64" s="49" t="s">
        <v>203</v>
      </c>
      <c r="B64" s="36"/>
      <c r="C64" s="36"/>
      <c r="D64" s="36"/>
      <c r="E64" s="36"/>
      <c r="F64" s="36"/>
      <c r="G64" s="36"/>
    </row>
    <row r="65" spans="1:8" x14ac:dyDescent="0.25">
      <c r="A65" s="49" t="s">
        <v>204</v>
      </c>
      <c r="B65" s="36"/>
      <c r="C65" s="36"/>
      <c r="D65" s="36"/>
      <c r="E65" s="36"/>
      <c r="F65" s="36"/>
      <c r="G65" s="36"/>
    </row>
    <row r="66" spans="1:8" x14ac:dyDescent="0.25">
      <c r="A66" s="49" t="s">
        <v>205</v>
      </c>
      <c r="B66" s="36"/>
      <c r="C66" s="36"/>
      <c r="D66" s="36"/>
      <c r="E66" s="36"/>
      <c r="F66" s="36"/>
      <c r="G66" s="36"/>
    </row>
    <row r="67" spans="1:8" x14ac:dyDescent="0.25">
      <c r="B67" s="36"/>
      <c r="C67" s="36"/>
      <c r="D67" s="36"/>
      <c r="E67" s="36"/>
      <c r="F67" s="36"/>
      <c r="G67" s="36"/>
    </row>
    <row r="68" spans="1:8" x14ac:dyDescent="0.25">
      <c r="A68" s="50" t="s">
        <v>206</v>
      </c>
      <c r="B68" s="51"/>
      <c r="C68" s="51"/>
      <c r="D68" s="51"/>
      <c r="E68" s="51"/>
      <c r="F68" s="51"/>
      <c r="G68" s="51"/>
      <c r="H68" s="25"/>
    </row>
    <row r="69" spans="1:8" ht="409.5" x14ac:dyDescent="0.25">
      <c r="A69" s="26" t="s">
        <v>207</v>
      </c>
      <c r="B69" s="51"/>
      <c r="C69" s="51"/>
      <c r="D69" s="51"/>
      <c r="E69" s="51"/>
      <c r="F69" s="51"/>
      <c r="G69" s="51"/>
      <c r="H69" s="25"/>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DC5F1-33C7-4151-8847-B32F4EBAF612}">
  <dimension ref="A1:C31"/>
  <sheetViews>
    <sheetView workbookViewId="0">
      <selection activeCell="H32" sqref="H32"/>
    </sheetView>
  </sheetViews>
  <sheetFormatPr defaultRowHeight="15" x14ac:dyDescent="0.25"/>
  <cols>
    <col min="1" max="1" width="43.140625" customWidth="1"/>
    <col min="2" max="2" width="26.85546875" customWidth="1"/>
    <col min="3" max="3" width="33.5703125" customWidth="1"/>
  </cols>
  <sheetData>
    <row r="1" spans="1:3" x14ac:dyDescent="0.25">
      <c r="A1" s="12"/>
      <c r="B1" s="12" t="s">
        <v>269</v>
      </c>
      <c r="C1" s="12" t="s">
        <v>270</v>
      </c>
    </row>
    <row r="2" spans="1:3" x14ac:dyDescent="0.25">
      <c r="A2" t="s">
        <v>271</v>
      </c>
    </row>
    <row r="3" spans="1:3" x14ac:dyDescent="0.25">
      <c r="A3" t="s">
        <v>272</v>
      </c>
      <c r="B3" t="s">
        <v>273</v>
      </c>
      <c r="C3" t="s">
        <v>274</v>
      </c>
    </row>
    <row r="4" spans="1:3" x14ac:dyDescent="0.25">
      <c r="B4" s="78">
        <v>0.21049999999999999</v>
      </c>
      <c r="C4" s="78">
        <v>0.15160000000000001</v>
      </c>
    </row>
    <row r="5" spans="1:3" x14ac:dyDescent="0.25">
      <c r="A5" t="s">
        <v>275</v>
      </c>
    </row>
    <row r="6" spans="1:3" x14ac:dyDescent="0.25">
      <c r="A6" t="s">
        <v>276</v>
      </c>
      <c r="B6" t="s">
        <v>277</v>
      </c>
      <c r="C6" t="s">
        <v>278</v>
      </c>
    </row>
    <row r="7" spans="1:3" x14ac:dyDescent="0.25">
      <c r="B7" s="78">
        <v>0.15559999999999999</v>
      </c>
      <c r="C7" s="78">
        <v>0.1419</v>
      </c>
    </row>
    <row r="8" spans="1:3" x14ac:dyDescent="0.25">
      <c r="A8" t="s">
        <v>279</v>
      </c>
    </row>
    <row r="9" spans="1:3" x14ac:dyDescent="0.25">
      <c r="A9" t="s">
        <v>280</v>
      </c>
      <c r="B9" t="s">
        <v>281</v>
      </c>
      <c r="C9" t="s">
        <v>282</v>
      </c>
    </row>
    <row r="10" spans="1:3" x14ac:dyDescent="0.25">
      <c r="B10" s="78">
        <v>0.32869999999999999</v>
      </c>
      <c r="C10" s="78">
        <v>0.3281</v>
      </c>
    </row>
    <row r="11" spans="1:3" x14ac:dyDescent="0.25">
      <c r="A11" t="s">
        <v>283</v>
      </c>
    </row>
    <row r="12" spans="1:3" x14ac:dyDescent="0.25">
      <c r="A12" t="s">
        <v>284</v>
      </c>
      <c r="B12" t="s">
        <v>285</v>
      </c>
      <c r="C12" t="s">
        <v>286</v>
      </c>
    </row>
    <row r="13" spans="1:3" x14ac:dyDescent="0.25">
      <c r="B13" s="78">
        <v>0.18709999999999999</v>
      </c>
      <c r="C13" s="78">
        <v>0.1014</v>
      </c>
    </row>
    <row r="14" spans="1:3" x14ac:dyDescent="0.25">
      <c r="A14" t="s">
        <v>287</v>
      </c>
    </row>
    <row r="15" spans="1:3" x14ac:dyDescent="0.25">
      <c r="A15" t="s">
        <v>288</v>
      </c>
      <c r="B15" t="s">
        <v>289</v>
      </c>
      <c r="C15" t="s">
        <v>290</v>
      </c>
    </row>
    <row r="16" spans="1:3" x14ac:dyDescent="0.25">
      <c r="B16" s="36" t="s">
        <v>291</v>
      </c>
      <c r="C16" s="36" t="s">
        <v>292</v>
      </c>
    </row>
    <row r="17" spans="1:3" x14ac:dyDescent="0.25">
      <c r="A17" t="s">
        <v>293</v>
      </c>
    </row>
    <row r="18" spans="1:3" x14ac:dyDescent="0.25">
      <c r="A18" t="s">
        <v>294</v>
      </c>
      <c r="B18" t="s">
        <v>295</v>
      </c>
      <c r="C18" t="s">
        <v>296</v>
      </c>
    </row>
    <row r="19" spans="1:3" x14ac:dyDescent="0.25">
      <c r="B19" s="36" t="s">
        <v>297</v>
      </c>
      <c r="C19" s="36" t="s">
        <v>298</v>
      </c>
    </row>
    <row r="20" spans="1:3" x14ac:dyDescent="0.25">
      <c r="A20" t="s">
        <v>299</v>
      </c>
    </row>
    <row r="21" spans="1:3" x14ac:dyDescent="0.25">
      <c r="A21" t="s">
        <v>300</v>
      </c>
      <c r="B21" t="s">
        <v>301</v>
      </c>
      <c r="C21" t="s">
        <v>302</v>
      </c>
    </row>
    <row r="22" spans="1:3" x14ac:dyDescent="0.25">
      <c r="B22" s="36" t="s">
        <v>303</v>
      </c>
      <c r="C22" s="36" t="s">
        <v>304</v>
      </c>
    </row>
    <row r="23" spans="1:3" x14ac:dyDescent="0.25">
      <c r="A23" t="s">
        <v>305</v>
      </c>
    </row>
    <row r="24" spans="1:3" x14ac:dyDescent="0.25">
      <c r="A24" t="s">
        <v>306</v>
      </c>
      <c r="B24" t="s">
        <v>307</v>
      </c>
      <c r="C24" t="s">
        <v>308</v>
      </c>
    </row>
    <row r="25" spans="1:3" x14ac:dyDescent="0.25">
      <c r="B25" s="36" t="s">
        <v>309</v>
      </c>
      <c r="C25" s="36" t="s">
        <v>310</v>
      </c>
    </row>
    <row r="26" spans="1:3" x14ac:dyDescent="0.25">
      <c r="A26" t="s">
        <v>311</v>
      </c>
    </row>
    <row r="27" spans="1:3" x14ac:dyDescent="0.25">
      <c r="A27" t="s">
        <v>312</v>
      </c>
      <c r="B27" t="s">
        <v>313</v>
      </c>
      <c r="C27" t="s">
        <v>314</v>
      </c>
    </row>
    <row r="28" spans="1:3" x14ac:dyDescent="0.25">
      <c r="B28" s="36" t="s">
        <v>315</v>
      </c>
      <c r="C28" s="36" t="s">
        <v>316</v>
      </c>
    </row>
    <row r="29" spans="1:3" x14ac:dyDescent="0.25">
      <c r="A29" t="s">
        <v>317</v>
      </c>
    </row>
    <row r="30" spans="1:3" x14ac:dyDescent="0.25">
      <c r="A30" t="s">
        <v>318</v>
      </c>
      <c r="B30" t="s">
        <v>319</v>
      </c>
      <c r="C30" t="s">
        <v>320</v>
      </c>
    </row>
    <row r="31" spans="1:3" x14ac:dyDescent="0.25">
      <c r="B31" s="36" t="s">
        <v>321</v>
      </c>
      <c r="C31" s="36" t="s">
        <v>322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4F332-461B-4D33-AE19-CE879B3A9762}">
  <dimension ref="A1:C58"/>
  <sheetViews>
    <sheetView workbookViewId="0">
      <selection activeCell="C51" sqref="C51"/>
    </sheetView>
  </sheetViews>
  <sheetFormatPr defaultRowHeight="15" x14ac:dyDescent="0.25"/>
  <cols>
    <col min="2" max="2" width="103.7109375" customWidth="1"/>
    <col min="3" max="3" width="28.7109375" style="26" customWidth="1"/>
  </cols>
  <sheetData>
    <row r="1" spans="1:3" x14ac:dyDescent="0.25">
      <c r="A1" s="52">
        <v>1</v>
      </c>
      <c r="B1" s="53" t="s">
        <v>109</v>
      </c>
      <c r="C1"/>
    </row>
    <row r="2" spans="1:3" x14ac:dyDescent="0.25">
      <c r="A2" s="54"/>
      <c r="B2" s="55" t="s">
        <v>208</v>
      </c>
      <c r="C2"/>
    </row>
    <row r="3" spans="1:3" x14ac:dyDescent="0.25">
      <c r="A3" s="54"/>
      <c r="B3" s="55" t="s">
        <v>209</v>
      </c>
      <c r="C3"/>
    </row>
    <row r="4" spans="1:3" x14ac:dyDescent="0.25">
      <c r="A4" s="54"/>
      <c r="B4" s="56">
        <v>6880</v>
      </c>
      <c r="C4"/>
    </row>
    <row r="5" spans="1:3" x14ac:dyDescent="0.25">
      <c r="A5" s="54"/>
      <c r="B5" s="55" t="s">
        <v>210</v>
      </c>
      <c r="C5"/>
    </row>
    <row r="6" spans="1:3" x14ac:dyDescent="0.25">
      <c r="A6" s="54"/>
      <c r="B6" s="56">
        <v>5760</v>
      </c>
      <c r="C6"/>
    </row>
    <row r="7" spans="1:3" x14ac:dyDescent="0.25">
      <c r="A7" s="54"/>
      <c r="B7" s="55" t="s">
        <v>211</v>
      </c>
      <c r="C7"/>
    </row>
    <row r="8" spans="1:3" x14ac:dyDescent="0.25">
      <c r="A8" s="54"/>
      <c r="B8" s="56">
        <v>4640</v>
      </c>
      <c r="C8"/>
    </row>
    <row r="9" spans="1:3" x14ac:dyDescent="0.25">
      <c r="A9" s="54"/>
      <c r="B9" s="55" t="s">
        <v>212</v>
      </c>
      <c r="C9"/>
    </row>
    <row r="10" spans="1:3" x14ac:dyDescent="0.25">
      <c r="A10" s="54"/>
      <c r="B10" s="56">
        <v>3520</v>
      </c>
      <c r="C10"/>
    </row>
    <row r="11" spans="1:3" x14ac:dyDescent="0.25">
      <c r="A11" s="54"/>
      <c r="B11" s="55" t="s">
        <v>212</v>
      </c>
      <c r="C11"/>
    </row>
    <row r="12" spans="1:3" x14ac:dyDescent="0.25">
      <c r="A12" s="54"/>
      <c r="B12" s="57">
        <v>2400</v>
      </c>
      <c r="C12"/>
    </row>
    <row r="13" spans="1:3" x14ac:dyDescent="0.25">
      <c r="A13" s="54"/>
      <c r="B13" s="58" t="s">
        <v>213</v>
      </c>
      <c r="C13"/>
    </row>
    <row r="14" spans="1:3" x14ac:dyDescent="0.25">
      <c r="A14" s="54"/>
      <c r="B14" s="58" t="s">
        <v>110</v>
      </c>
      <c r="C14"/>
    </row>
    <row r="15" spans="1:3" x14ac:dyDescent="0.25">
      <c r="A15" s="54"/>
      <c r="B15" s="55" t="s">
        <v>214</v>
      </c>
      <c r="C15"/>
    </row>
    <row r="16" spans="1:3" x14ac:dyDescent="0.25">
      <c r="A16" s="54"/>
      <c r="B16" s="55" t="s">
        <v>215</v>
      </c>
      <c r="C16"/>
    </row>
    <row r="17" spans="1:3" x14ac:dyDescent="0.25">
      <c r="A17" s="54"/>
      <c r="B17" s="56">
        <v>6400</v>
      </c>
      <c r="C17"/>
    </row>
    <row r="18" spans="1:3" x14ac:dyDescent="0.25">
      <c r="A18" s="54"/>
      <c r="B18" s="55" t="s">
        <v>216</v>
      </c>
      <c r="C18"/>
    </row>
    <row r="19" spans="1:3" x14ac:dyDescent="0.25">
      <c r="A19" s="54"/>
      <c r="B19" s="55">
        <v>5120</v>
      </c>
      <c r="C19"/>
    </row>
    <row r="20" spans="1:3" x14ac:dyDescent="0.25">
      <c r="A20" s="54"/>
      <c r="B20" s="55" t="s">
        <v>217</v>
      </c>
      <c r="C20"/>
    </row>
    <row r="21" spans="1:3" x14ac:dyDescent="0.25">
      <c r="A21" s="54"/>
      <c r="B21" s="56">
        <v>4096</v>
      </c>
      <c r="C21"/>
    </row>
    <row r="22" spans="1:3" x14ac:dyDescent="0.25">
      <c r="A22" s="54"/>
      <c r="B22" s="55" t="s">
        <v>218</v>
      </c>
      <c r="C22"/>
    </row>
    <row r="23" spans="1:3" x14ac:dyDescent="0.25">
      <c r="A23" s="54"/>
      <c r="B23" s="56">
        <v>3277</v>
      </c>
      <c r="C23"/>
    </row>
    <row r="24" spans="1:3" x14ac:dyDescent="0.25">
      <c r="A24" s="54"/>
      <c r="B24" s="55" t="s">
        <v>219</v>
      </c>
      <c r="C24"/>
    </row>
    <row r="25" spans="1:3" x14ac:dyDescent="0.25">
      <c r="A25" s="54"/>
      <c r="B25" s="57">
        <v>2622</v>
      </c>
      <c r="C25"/>
    </row>
    <row r="26" spans="1:3" ht="15.75" thickBot="1" x14ac:dyDescent="0.3">
      <c r="A26" s="59"/>
      <c r="B26" s="60"/>
      <c r="C26"/>
    </row>
    <row r="27" spans="1:3" x14ac:dyDescent="0.25">
      <c r="C27"/>
    </row>
    <row r="28" spans="1:3" ht="15.75" thickBot="1" x14ac:dyDescent="0.3">
      <c r="C28"/>
    </row>
    <row r="29" spans="1:3" ht="42" x14ac:dyDescent="0.25">
      <c r="A29" s="61">
        <v>2</v>
      </c>
      <c r="B29" s="62" t="s">
        <v>220</v>
      </c>
      <c r="C29"/>
    </row>
    <row r="30" spans="1:3" x14ac:dyDescent="0.25">
      <c r="A30" s="63"/>
      <c r="B30" s="64"/>
      <c r="C30"/>
    </row>
    <row r="31" spans="1:3" ht="31.5" x14ac:dyDescent="0.25">
      <c r="A31" s="63"/>
      <c r="B31" s="65" t="s">
        <v>221</v>
      </c>
      <c r="C31"/>
    </row>
    <row r="32" spans="1:3" x14ac:dyDescent="0.25">
      <c r="A32" s="63"/>
      <c r="B32" s="66"/>
      <c r="C32"/>
    </row>
    <row r="33" spans="1:3" ht="63" x14ac:dyDescent="0.25">
      <c r="A33" s="63"/>
      <c r="B33" s="65" t="s">
        <v>222</v>
      </c>
      <c r="C33"/>
    </row>
    <row r="34" spans="1:3" ht="63.75" thickBot="1" x14ac:dyDescent="0.3">
      <c r="A34" s="67"/>
      <c r="B34" s="68" t="s">
        <v>223</v>
      </c>
      <c r="C34"/>
    </row>
    <row r="35" spans="1:3" ht="15.75" thickBot="1" x14ac:dyDescent="0.3">
      <c r="C35"/>
    </row>
    <row r="36" spans="1:3" ht="31.5" x14ac:dyDescent="0.25">
      <c r="A36" s="61">
        <v>3</v>
      </c>
      <c r="B36" s="69" t="s">
        <v>224</v>
      </c>
      <c r="C36"/>
    </row>
    <row r="37" spans="1:3" ht="31.5" x14ac:dyDescent="0.25">
      <c r="A37" s="63"/>
      <c r="B37" s="70" t="s">
        <v>225</v>
      </c>
      <c r="C37"/>
    </row>
    <row r="38" spans="1:3" x14ac:dyDescent="0.25">
      <c r="A38" s="63"/>
      <c r="B38" s="71" t="s">
        <v>226</v>
      </c>
      <c r="C38"/>
    </row>
    <row r="39" spans="1:3" ht="63" x14ac:dyDescent="0.25">
      <c r="A39" s="63"/>
      <c r="B39" s="72" t="s">
        <v>227</v>
      </c>
      <c r="C39"/>
    </row>
    <row r="40" spans="1:3" x14ac:dyDescent="0.25">
      <c r="A40" s="63"/>
      <c r="B40" s="71" t="s">
        <v>228</v>
      </c>
      <c r="C40"/>
    </row>
    <row r="41" spans="1:3" ht="116.25" thickBot="1" x14ac:dyDescent="0.3">
      <c r="A41" s="67"/>
      <c r="B41" s="73" t="s">
        <v>229</v>
      </c>
      <c r="C41"/>
    </row>
    <row r="42" spans="1:3" ht="15.75" thickBot="1" x14ac:dyDescent="0.3">
      <c r="C42"/>
    </row>
    <row r="43" spans="1:3" x14ac:dyDescent="0.25">
      <c r="A43" s="61">
        <v>4</v>
      </c>
      <c r="B43" s="74" t="s">
        <v>230</v>
      </c>
      <c r="C43"/>
    </row>
    <row r="44" spans="1:3" x14ac:dyDescent="0.25">
      <c r="A44" s="63"/>
      <c r="B44" s="71" t="s">
        <v>231</v>
      </c>
      <c r="C44"/>
    </row>
    <row r="45" spans="1:3" x14ac:dyDescent="0.25">
      <c r="A45" s="63"/>
      <c r="B45" s="75" t="s">
        <v>232</v>
      </c>
      <c r="C45"/>
    </row>
    <row r="46" spans="1:3" x14ac:dyDescent="0.25">
      <c r="A46" s="63"/>
      <c r="B46" s="76" t="s">
        <v>233</v>
      </c>
      <c r="C46"/>
    </row>
    <row r="47" spans="1:3" x14ac:dyDescent="0.25">
      <c r="A47" s="63"/>
      <c r="B47" s="75" t="s">
        <v>234</v>
      </c>
      <c r="C47"/>
    </row>
    <row r="48" spans="1:3" x14ac:dyDescent="0.25">
      <c r="A48" s="63"/>
      <c r="B48" s="76" t="s">
        <v>235</v>
      </c>
      <c r="C48"/>
    </row>
    <row r="49" spans="1:3" x14ac:dyDescent="0.25">
      <c r="A49" s="63"/>
      <c r="B49" s="76" t="s">
        <v>236</v>
      </c>
      <c r="C49"/>
    </row>
    <row r="50" spans="1:3" x14ac:dyDescent="0.25">
      <c r="A50" s="63"/>
      <c r="B50" s="76" t="s">
        <v>237</v>
      </c>
      <c r="C50"/>
    </row>
    <row r="51" spans="1:3" x14ac:dyDescent="0.25">
      <c r="A51" s="63"/>
      <c r="B51" s="71" t="s">
        <v>238</v>
      </c>
      <c r="C51"/>
    </row>
    <row r="52" spans="1:3" x14ac:dyDescent="0.25">
      <c r="A52" s="63"/>
      <c r="B52" s="70" t="s">
        <v>239</v>
      </c>
      <c r="C52"/>
    </row>
    <row r="53" spans="1:3" x14ac:dyDescent="0.25">
      <c r="A53" s="63"/>
      <c r="B53" s="71" t="s">
        <v>240</v>
      </c>
      <c r="C53"/>
    </row>
    <row r="54" spans="1:3" x14ac:dyDescent="0.25">
      <c r="A54" s="63"/>
      <c r="B54" s="70" t="s">
        <v>241</v>
      </c>
      <c r="C54"/>
    </row>
    <row r="55" spans="1:3" x14ac:dyDescent="0.25">
      <c r="A55" s="63"/>
      <c r="B55" s="70" t="s">
        <v>242</v>
      </c>
      <c r="C55"/>
    </row>
    <row r="56" spans="1:3" x14ac:dyDescent="0.25">
      <c r="A56" s="63"/>
      <c r="B56" s="71" t="s">
        <v>243</v>
      </c>
      <c r="C56"/>
    </row>
    <row r="57" spans="1:3" x14ac:dyDescent="0.25">
      <c r="A57" s="63"/>
      <c r="B57" s="70" t="s">
        <v>244</v>
      </c>
      <c r="C57"/>
    </row>
    <row r="58" spans="1:3" ht="15.75" thickBot="1" x14ac:dyDescent="0.3">
      <c r="A58" s="67"/>
      <c r="B58" s="77" t="s">
        <v>245</v>
      </c>
      <c r="C58"/>
    </row>
  </sheetData>
  <mergeCells count="4">
    <mergeCell ref="A1:A26"/>
    <mergeCell ref="A29:A34"/>
    <mergeCell ref="A36:A41"/>
    <mergeCell ref="A43:A5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F3F5-88C4-4151-9D8F-B2DEC0231C65}">
  <dimension ref="A1:E24"/>
  <sheetViews>
    <sheetView tabSelected="1" workbookViewId="0">
      <selection activeCell="P19" sqref="P19"/>
    </sheetView>
  </sheetViews>
  <sheetFormatPr defaultRowHeight="15" x14ac:dyDescent="0.25"/>
  <cols>
    <col min="1" max="1" width="26.5703125" customWidth="1"/>
    <col min="2" max="2" width="13.5703125" customWidth="1"/>
  </cols>
  <sheetData>
    <row r="1" spans="1:5" x14ac:dyDescent="0.25">
      <c r="B1" t="s">
        <v>246</v>
      </c>
      <c r="C1" t="s">
        <v>247</v>
      </c>
      <c r="D1" t="s">
        <v>248</v>
      </c>
      <c r="E1" t="s">
        <v>249</v>
      </c>
    </row>
    <row r="3" spans="1:5" x14ac:dyDescent="0.25">
      <c r="A3" t="s">
        <v>250</v>
      </c>
      <c r="C3" t="s">
        <v>251</v>
      </c>
      <c r="D3" t="s">
        <v>251</v>
      </c>
      <c r="E3" t="s">
        <v>251</v>
      </c>
    </row>
    <row r="5" spans="1:5" x14ac:dyDescent="0.25">
      <c r="A5" t="s">
        <v>252</v>
      </c>
      <c r="B5" s="20">
        <v>10000</v>
      </c>
      <c r="C5" s="20">
        <v>20000</v>
      </c>
      <c r="D5" s="20">
        <v>32500</v>
      </c>
      <c r="E5" s="20">
        <v>47500</v>
      </c>
    </row>
    <row r="6" spans="1:5" x14ac:dyDescent="0.25">
      <c r="A6" t="s">
        <v>253</v>
      </c>
      <c r="B6" t="s">
        <v>254</v>
      </c>
      <c r="C6" s="20">
        <v>6000</v>
      </c>
      <c r="D6" s="20">
        <v>12000</v>
      </c>
      <c r="E6" s="20">
        <v>19500</v>
      </c>
    </row>
    <row r="7" spans="1:5" x14ac:dyDescent="0.25">
      <c r="A7" t="s">
        <v>255</v>
      </c>
      <c r="B7" t="s">
        <v>254</v>
      </c>
      <c r="C7" t="s">
        <v>254</v>
      </c>
      <c r="D7" s="20">
        <v>3700</v>
      </c>
      <c r="E7" s="20">
        <v>7400</v>
      </c>
    </row>
    <row r="8" spans="1:5" x14ac:dyDescent="0.25">
      <c r="A8" t="s">
        <v>256</v>
      </c>
      <c r="B8">
        <v>10000</v>
      </c>
      <c r="C8">
        <v>26000</v>
      </c>
      <c r="D8">
        <v>48200</v>
      </c>
      <c r="E8">
        <v>74400</v>
      </c>
    </row>
    <row r="9" spans="1:5" x14ac:dyDescent="0.25">
      <c r="A9" t="s">
        <v>257</v>
      </c>
    </row>
    <row r="11" spans="1:5" x14ac:dyDescent="0.25">
      <c r="A11" t="s">
        <v>258</v>
      </c>
      <c r="B11" t="s">
        <v>254</v>
      </c>
      <c r="C11">
        <v>40000</v>
      </c>
      <c r="D11" s="20">
        <v>45000</v>
      </c>
      <c r="E11" s="20">
        <v>55000</v>
      </c>
    </row>
    <row r="12" spans="1:5" x14ac:dyDescent="0.25">
      <c r="A12" t="s">
        <v>259</v>
      </c>
      <c r="B12" t="s">
        <v>254</v>
      </c>
      <c r="C12" s="20">
        <v>5000</v>
      </c>
      <c r="D12" s="20">
        <v>5000</v>
      </c>
      <c r="E12" t="s">
        <v>254</v>
      </c>
    </row>
    <row r="13" spans="1:5" x14ac:dyDescent="0.25">
      <c r="A13" t="s">
        <v>260</v>
      </c>
      <c r="B13" t="s">
        <v>254</v>
      </c>
      <c r="C13" t="s">
        <v>254</v>
      </c>
      <c r="D13" s="20">
        <v>15000</v>
      </c>
      <c r="E13" t="s">
        <v>254</v>
      </c>
    </row>
    <row r="14" spans="1:5" x14ac:dyDescent="0.25">
      <c r="A14" t="s">
        <v>261</v>
      </c>
      <c r="B14" s="20">
        <v>4000</v>
      </c>
      <c r="C14" t="s">
        <v>254</v>
      </c>
      <c r="D14" t="s">
        <v>254</v>
      </c>
      <c r="E14" s="20">
        <v>4000</v>
      </c>
    </row>
    <row r="15" spans="1:5" x14ac:dyDescent="0.25">
      <c r="A15" t="s">
        <v>262</v>
      </c>
      <c r="B15">
        <v>800</v>
      </c>
      <c r="C15">
        <v>800</v>
      </c>
      <c r="D15">
        <v>800</v>
      </c>
      <c r="E15">
        <v>800</v>
      </c>
    </row>
    <row r="16" spans="1:5" x14ac:dyDescent="0.25">
      <c r="A16" t="s">
        <v>263</v>
      </c>
      <c r="B16" s="20">
        <v>2500</v>
      </c>
      <c r="C16" s="20">
        <v>2500</v>
      </c>
      <c r="D16" s="20">
        <v>2500</v>
      </c>
      <c r="E16" s="20">
        <v>2500</v>
      </c>
    </row>
    <row r="17" spans="1:5" x14ac:dyDescent="0.25">
      <c r="A17" t="s">
        <v>264</v>
      </c>
      <c r="B17" t="s">
        <v>254</v>
      </c>
      <c r="C17">
        <v>550</v>
      </c>
      <c r="D17">
        <v>550</v>
      </c>
      <c r="E17">
        <v>550</v>
      </c>
    </row>
    <row r="18" spans="1:5" x14ac:dyDescent="0.25">
      <c r="A18" t="s">
        <v>265</v>
      </c>
      <c r="B18">
        <v>7300</v>
      </c>
      <c r="C18">
        <v>48850</v>
      </c>
      <c r="D18">
        <v>68850</v>
      </c>
      <c r="E18">
        <v>62850</v>
      </c>
    </row>
    <row r="20" spans="1:5" x14ac:dyDescent="0.25">
      <c r="A20" t="s">
        <v>266</v>
      </c>
      <c r="B20">
        <v>2700</v>
      </c>
      <c r="C20">
        <v>-22850</v>
      </c>
      <c r="D20">
        <v>-20650</v>
      </c>
      <c r="E20">
        <v>11550</v>
      </c>
    </row>
    <row r="22" spans="1:5" x14ac:dyDescent="0.25">
      <c r="A22" t="s">
        <v>267</v>
      </c>
      <c r="B22" s="20">
        <v>30000</v>
      </c>
      <c r="C22">
        <v>32700</v>
      </c>
      <c r="D22">
        <v>9850</v>
      </c>
      <c r="E22">
        <v>-10800</v>
      </c>
    </row>
    <row r="23" spans="1:5" x14ac:dyDescent="0.25">
      <c r="A23" t="s">
        <v>266</v>
      </c>
      <c r="B23">
        <v>2700</v>
      </c>
      <c r="C23">
        <v>-22850</v>
      </c>
      <c r="D23">
        <v>-20650</v>
      </c>
      <c r="E23">
        <v>11550</v>
      </c>
    </row>
    <row r="24" spans="1:5" x14ac:dyDescent="0.25">
      <c r="A24" t="s">
        <v>268</v>
      </c>
      <c r="B24">
        <v>32700</v>
      </c>
      <c r="C24">
        <v>9850</v>
      </c>
      <c r="D24">
        <v>-10800</v>
      </c>
      <c r="E24">
        <v>750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Question</vt:lpstr>
      <vt:lpstr>Q1 SOPL</vt:lpstr>
      <vt:lpstr>Q1 SOFP</vt:lpstr>
      <vt:lpstr>Q1 Workings</vt:lpstr>
      <vt:lpstr>Q2 cashflow</vt:lpstr>
      <vt:lpstr>Q3 Capital Project</vt:lpstr>
      <vt:lpstr>Q4.Ratio</vt:lpstr>
      <vt:lpstr>Q5. Theory</vt:lpstr>
      <vt:lpstr>Q6. Cash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Dey, Sajal Kumar</cp:lastModifiedBy>
  <dcterms:created xsi:type="dcterms:W3CDTF">2015-06-05T18:17:20Z</dcterms:created>
  <dcterms:modified xsi:type="dcterms:W3CDTF">2026-02-20T16:05:31Z</dcterms:modified>
</cp:coreProperties>
</file>