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66925"/>
  <xr:revisionPtr revIDLastSave="1" documentId="13_ncr:1_{6170D51A-E6EC-4AC5-A0C4-597D81033B70}" xr6:coauthVersionLast="47" xr6:coauthVersionMax="47" xr10:uidLastSave="{7AF4CBF4-CC92-4B4F-AD8A-E1D1FE5C6AD1}"/>
  <bookViews>
    <workbookView xWindow="-98" yWindow="-98" windowWidth="21795" windowHeight="12975" activeTab="3" xr2:uid="{D54EA44E-5163-4FC8-BA93-F82081066612}"/>
  </bookViews>
  <sheets>
    <sheet name="Q1 Base" sheetId="5" r:id="rId1"/>
    <sheet name="Q1 Working" sheetId="1" r:id="rId2"/>
    <sheet name="Q1 Answers" sheetId="4" r:id="rId3"/>
    <sheet name="Q2 Base" sheetId="7" r:id="rId4"/>
    <sheet name="Q2 Working" sheetId="6" r:id="rId5"/>
    <sheet name="Q2 Working 2(IRR)" sheetId="9" r:id="rId6"/>
    <sheet name="Q2 Answers" sheetId="10" r:id="rId7"/>
    <sheet name="Part B mark scheme" sheetId="11" r:id="rId8"/>
    <sheet name="colour key" sheetId="2" r:id="rId9"/>
  </sheets>
  <definedNames>
    <definedName name="Expenses">'Q1 Working'!$E$9</definedName>
    <definedName name="FinalDecSA">'Q1 Working'!$E$12</definedName>
    <definedName name="interest">'Q1 Working'!$A$35</definedName>
    <definedName name="PremiumTA">'Q1 Working'!$E$6</definedName>
    <definedName name="ProfitTestTerm" localSheetId="5">'Q2 Working 2(IRR)'!$E$13</definedName>
    <definedName name="ProfitTestTerm">'Q2 Working'!$E$13</definedName>
    <definedName name="StartDecSA">'Q1 Working'!$E$11</definedName>
    <definedName name="StepSizeQ1">'Q1 Working'!$B$9</definedName>
    <definedName name="SumAssdTA">'Q1 Working'!$E$7</definedName>
    <definedName name="term" localSheetId="5">'Q2 Working 2(IRR)'!$E$13</definedName>
    <definedName name="term">'Q2 Working'!$E$13</definedName>
    <definedName name="TermOfDecSA">'Q1 Working'!$E$10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4" l="1"/>
  <c r="D13" i="4"/>
  <c r="E18" i="10"/>
  <c r="E16" i="10"/>
  <c r="E14" i="10"/>
  <c r="E13" i="10"/>
  <c r="E11" i="10"/>
  <c r="E10" i="10"/>
  <c r="L13" i="6"/>
  <c r="L12" i="6"/>
  <c r="L10" i="6"/>
  <c r="L9" i="6"/>
  <c r="D16" i="10" l="1"/>
  <c r="D10" i="10"/>
  <c r="D11" i="10"/>
  <c r="D13" i="10"/>
  <c r="D14" i="10"/>
  <c r="E12" i="9" l="1"/>
  <c r="S55" i="9"/>
  <c r="K55" i="9"/>
  <c r="J55" i="9"/>
  <c r="L55" i="9" s="1"/>
  <c r="M55" i="9" s="1"/>
  <c r="F55" i="9"/>
  <c r="E55" i="9"/>
  <c r="J54" i="9"/>
  <c r="L54" i="9" s="1"/>
  <c r="F54" i="9"/>
  <c r="E54" i="9"/>
  <c r="S54" i="9" s="1"/>
  <c r="S53" i="9"/>
  <c r="J53" i="9"/>
  <c r="L53" i="9" s="1"/>
  <c r="F53" i="9"/>
  <c r="R53" i="9" s="1"/>
  <c r="E53" i="9"/>
  <c r="J52" i="9"/>
  <c r="L52" i="9" s="1"/>
  <c r="F52" i="9"/>
  <c r="E52" i="9"/>
  <c r="S52" i="9" s="1"/>
  <c r="L51" i="9"/>
  <c r="J51" i="9"/>
  <c r="K51" i="9" s="1"/>
  <c r="F51" i="9"/>
  <c r="R51" i="9" s="1"/>
  <c r="E51" i="9"/>
  <c r="S51" i="9" s="1"/>
  <c r="S50" i="9"/>
  <c r="L50" i="9"/>
  <c r="M50" i="9" s="1"/>
  <c r="K50" i="9"/>
  <c r="J50" i="9"/>
  <c r="F50" i="9"/>
  <c r="R50" i="9" s="1"/>
  <c r="E50" i="9"/>
  <c r="J49" i="9"/>
  <c r="L49" i="9" s="1"/>
  <c r="F49" i="9"/>
  <c r="E49" i="9"/>
  <c r="S49" i="9" s="1"/>
  <c r="L48" i="9"/>
  <c r="J48" i="9"/>
  <c r="K48" i="9" s="1"/>
  <c r="F48" i="9"/>
  <c r="E48" i="9"/>
  <c r="S48" i="9" s="1"/>
  <c r="S47" i="9"/>
  <c r="L47" i="9"/>
  <c r="K47" i="9"/>
  <c r="J47" i="9"/>
  <c r="F47" i="9"/>
  <c r="R47" i="9" s="1"/>
  <c r="E47" i="9"/>
  <c r="S46" i="9"/>
  <c r="J46" i="9"/>
  <c r="L46" i="9" s="1"/>
  <c r="F46" i="9"/>
  <c r="E46" i="9"/>
  <c r="S45" i="9"/>
  <c r="J45" i="9"/>
  <c r="L45" i="9" s="1"/>
  <c r="F45" i="9"/>
  <c r="R45" i="9" s="1"/>
  <c r="E45" i="9"/>
  <c r="J44" i="9"/>
  <c r="L44" i="9" s="1"/>
  <c r="F44" i="9"/>
  <c r="E44" i="9"/>
  <c r="S44" i="9" s="1"/>
  <c r="L43" i="9"/>
  <c r="J43" i="9"/>
  <c r="K43" i="9" s="1"/>
  <c r="F43" i="9"/>
  <c r="E43" i="9"/>
  <c r="S43" i="9" s="1"/>
  <c r="S42" i="9"/>
  <c r="L42" i="9"/>
  <c r="M42" i="9" s="1"/>
  <c r="K42" i="9"/>
  <c r="J42" i="9"/>
  <c r="F42" i="9"/>
  <c r="R42" i="9" s="1"/>
  <c r="E42" i="9"/>
  <c r="J41" i="9"/>
  <c r="F41" i="9"/>
  <c r="E41" i="9"/>
  <c r="S41" i="9" s="1"/>
  <c r="L40" i="9"/>
  <c r="J40" i="9"/>
  <c r="K40" i="9" s="1"/>
  <c r="F40" i="9"/>
  <c r="E40" i="9"/>
  <c r="S40" i="9" s="1"/>
  <c r="S39" i="9"/>
  <c r="L39" i="9"/>
  <c r="K39" i="9"/>
  <c r="J39" i="9"/>
  <c r="F39" i="9"/>
  <c r="R39" i="9" s="1"/>
  <c r="E39" i="9"/>
  <c r="S38" i="9"/>
  <c r="J38" i="9"/>
  <c r="F38" i="9"/>
  <c r="E38" i="9"/>
  <c r="S37" i="9"/>
  <c r="J37" i="9"/>
  <c r="L37" i="9" s="1"/>
  <c r="M37" i="9" s="1"/>
  <c r="F37" i="9"/>
  <c r="E37" i="9"/>
  <c r="J36" i="9"/>
  <c r="L36" i="9" s="1"/>
  <c r="F36" i="9"/>
  <c r="E36" i="9"/>
  <c r="S36" i="9" s="1"/>
  <c r="L35" i="9"/>
  <c r="J35" i="9"/>
  <c r="K35" i="9" s="1"/>
  <c r="F35" i="9"/>
  <c r="E35" i="9"/>
  <c r="S35" i="9" s="1"/>
  <c r="S34" i="9"/>
  <c r="L34" i="9"/>
  <c r="M34" i="9" s="1"/>
  <c r="K34" i="9"/>
  <c r="J34" i="9"/>
  <c r="F34" i="9"/>
  <c r="R34" i="9" s="1"/>
  <c r="E34" i="9"/>
  <c r="J33" i="9"/>
  <c r="F33" i="9"/>
  <c r="E33" i="9"/>
  <c r="S33" i="9" s="1"/>
  <c r="L32" i="9"/>
  <c r="J32" i="9"/>
  <c r="K32" i="9" s="1"/>
  <c r="F32" i="9"/>
  <c r="E32" i="9"/>
  <c r="S32" i="9" s="1"/>
  <c r="S31" i="9"/>
  <c r="L31" i="9"/>
  <c r="K31" i="9"/>
  <c r="J31" i="9"/>
  <c r="F31" i="9"/>
  <c r="R31" i="9" s="1"/>
  <c r="E31" i="9"/>
  <c r="S30" i="9"/>
  <c r="J30" i="9"/>
  <c r="F30" i="9"/>
  <c r="E30" i="9"/>
  <c r="J29" i="9"/>
  <c r="L29" i="9" s="1"/>
  <c r="M29" i="9" s="1"/>
  <c r="F29" i="9"/>
  <c r="R29" i="9" s="1"/>
  <c r="E29" i="9"/>
  <c r="S29" i="9" s="1"/>
  <c r="A29" i="9"/>
  <c r="J28" i="9"/>
  <c r="L28" i="9" s="1"/>
  <c r="H28" i="9"/>
  <c r="F28" i="9"/>
  <c r="E28" i="9"/>
  <c r="S28" i="9" s="1"/>
  <c r="A28" i="9"/>
  <c r="B28" i="9" s="1"/>
  <c r="L27" i="9"/>
  <c r="J27" i="9"/>
  <c r="K27" i="9" s="1"/>
  <c r="H27" i="9"/>
  <c r="G27" i="9"/>
  <c r="F27" i="9"/>
  <c r="R27" i="9" s="1"/>
  <c r="E27" i="9"/>
  <c r="S27" i="9" s="1"/>
  <c r="D27" i="9"/>
  <c r="C27" i="9"/>
  <c r="C28" i="9" s="1"/>
  <c r="A27" i="9"/>
  <c r="B27" i="9" s="1"/>
  <c r="S26" i="9"/>
  <c r="J26" i="9"/>
  <c r="H26" i="9"/>
  <c r="G26" i="9"/>
  <c r="I26" i="9" s="1"/>
  <c r="F26" i="9"/>
  <c r="E26" i="9"/>
  <c r="D26" i="9"/>
  <c r="B26" i="9"/>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26" i="6"/>
  <c r="G26" i="6"/>
  <c r="A27" i="6"/>
  <c r="B27" i="6" s="1"/>
  <c r="B26" i="6"/>
  <c r="D26" i="6"/>
  <c r="J27" i="6"/>
  <c r="K27" i="6" s="1"/>
  <c r="J28" i="6"/>
  <c r="K28" i="6" s="1"/>
  <c r="J29" i="6"/>
  <c r="L29" i="6" s="1"/>
  <c r="M29" i="6" s="1"/>
  <c r="J30" i="6"/>
  <c r="L30" i="6" s="1"/>
  <c r="M30" i="6" s="1"/>
  <c r="J31" i="6"/>
  <c r="L31" i="6" s="1"/>
  <c r="M31" i="6" s="1"/>
  <c r="J32" i="6"/>
  <c r="L32" i="6" s="1"/>
  <c r="M32" i="6" s="1"/>
  <c r="J33" i="6"/>
  <c r="K33" i="6" s="1"/>
  <c r="J34" i="6"/>
  <c r="L34" i="6" s="1"/>
  <c r="M34" i="6" s="1"/>
  <c r="J35" i="6"/>
  <c r="K35" i="6" s="1"/>
  <c r="J36" i="6"/>
  <c r="K36" i="6" s="1"/>
  <c r="J37" i="6"/>
  <c r="L37" i="6" s="1"/>
  <c r="M37" i="6" s="1"/>
  <c r="J38" i="6"/>
  <c r="L38" i="6" s="1"/>
  <c r="M38" i="6" s="1"/>
  <c r="J39" i="6"/>
  <c r="K39" i="6" s="1"/>
  <c r="J40" i="6"/>
  <c r="K40" i="6" s="1"/>
  <c r="J41" i="6"/>
  <c r="K41" i="6" s="1"/>
  <c r="J42" i="6"/>
  <c r="L42" i="6" s="1"/>
  <c r="M42" i="6" s="1"/>
  <c r="J43" i="6"/>
  <c r="K43" i="6" s="1"/>
  <c r="J44" i="6"/>
  <c r="L44" i="6" s="1"/>
  <c r="M44" i="6" s="1"/>
  <c r="J45" i="6"/>
  <c r="K45" i="6" s="1"/>
  <c r="J46" i="6"/>
  <c r="J47" i="6"/>
  <c r="K47" i="6" s="1"/>
  <c r="J48" i="6"/>
  <c r="L48" i="6" s="1"/>
  <c r="M48" i="6" s="1"/>
  <c r="J49" i="6"/>
  <c r="L49" i="6" s="1"/>
  <c r="M49" i="6" s="1"/>
  <c r="J50" i="6"/>
  <c r="K50" i="6" s="1"/>
  <c r="J51" i="6"/>
  <c r="K51" i="6" s="1"/>
  <c r="J52" i="6"/>
  <c r="K52" i="6" s="1"/>
  <c r="J53" i="6"/>
  <c r="K53" i="6" s="1"/>
  <c r="J54" i="6"/>
  <c r="K54" i="6" s="1"/>
  <c r="J55" i="6"/>
  <c r="L55" i="6" s="1"/>
  <c r="M55" i="6" s="1"/>
  <c r="J26" i="6"/>
  <c r="L26" i="6" s="1"/>
  <c r="M26" i="6" s="1"/>
  <c r="E27" i="6"/>
  <c r="S27" i="6" s="1"/>
  <c r="F27" i="6"/>
  <c r="E28" i="6"/>
  <c r="S28" i="6" s="1"/>
  <c r="F28" i="6"/>
  <c r="E29" i="6"/>
  <c r="S29" i="6" s="1"/>
  <c r="F29" i="6"/>
  <c r="E30" i="6"/>
  <c r="S30" i="6" s="1"/>
  <c r="F30" i="6"/>
  <c r="E31" i="6"/>
  <c r="S31" i="6" s="1"/>
  <c r="F31" i="6"/>
  <c r="E32" i="6"/>
  <c r="S32" i="6" s="1"/>
  <c r="F32" i="6"/>
  <c r="E33" i="6"/>
  <c r="S33" i="6" s="1"/>
  <c r="F33" i="6"/>
  <c r="E34" i="6"/>
  <c r="S34" i="6" s="1"/>
  <c r="F34" i="6"/>
  <c r="E35" i="6"/>
  <c r="S35" i="6" s="1"/>
  <c r="F35" i="6"/>
  <c r="E36" i="6"/>
  <c r="S36" i="6" s="1"/>
  <c r="F36" i="6"/>
  <c r="E37" i="6"/>
  <c r="S37" i="6" s="1"/>
  <c r="F37" i="6"/>
  <c r="E38" i="6"/>
  <c r="S38" i="6" s="1"/>
  <c r="F38" i="6"/>
  <c r="E39" i="6"/>
  <c r="S39" i="6" s="1"/>
  <c r="F39" i="6"/>
  <c r="E40" i="6"/>
  <c r="S40" i="6" s="1"/>
  <c r="F40" i="6"/>
  <c r="E41" i="6"/>
  <c r="S41" i="6" s="1"/>
  <c r="F41" i="6"/>
  <c r="E42" i="6"/>
  <c r="S42" i="6" s="1"/>
  <c r="F42" i="6"/>
  <c r="E43" i="6"/>
  <c r="S43" i="6" s="1"/>
  <c r="F43" i="6"/>
  <c r="E44" i="6"/>
  <c r="S44" i="6" s="1"/>
  <c r="F44" i="6"/>
  <c r="E45" i="6"/>
  <c r="S45" i="6" s="1"/>
  <c r="F45" i="6"/>
  <c r="E46" i="6"/>
  <c r="S46" i="6" s="1"/>
  <c r="F46" i="6"/>
  <c r="E47" i="6"/>
  <c r="S47" i="6" s="1"/>
  <c r="F47" i="6"/>
  <c r="E48" i="6"/>
  <c r="S48" i="6" s="1"/>
  <c r="F48" i="6"/>
  <c r="E49" i="6"/>
  <c r="S49" i="6" s="1"/>
  <c r="F49" i="6"/>
  <c r="E50" i="6"/>
  <c r="S50" i="6" s="1"/>
  <c r="F50" i="6"/>
  <c r="E51" i="6"/>
  <c r="S51" i="6" s="1"/>
  <c r="F51" i="6"/>
  <c r="E52" i="6"/>
  <c r="S52" i="6" s="1"/>
  <c r="F52" i="6"/>
  <c r="E53" i="6"/>
  <c r="S53" i="6" s="1"/>
  <c r="F53" i="6"/>
  <c r="E54" i="6"/>
  <c r="S54" i="6" s="1"/>
  <c r="F54" i="6"/>
  <c r="E55" i="6"/>
  <c r="S55" i="6" s="1"/>
  <c r="F55" i="6"/>
  <c r="F26" i="6"/>
  <c r="E26" i="6"/>
  <c r="S26" i="6" s="1"/>
  <c r="K46" i="6"/>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8" i="7"/>
  <c r="G36" i="7"/>
  <c r="G37" i="7" s="1"/>
  <c r="G9" i="7"/>
  <c r="G10" i="7" s="1"/>
  <c r="G11" i="7" s="1"/>
  <c r="G12" i="7" s="1"/>
  <c r="G13" i="7" s="1"/>
  <c r="G14" i="7" s="1"/>
  <c r="G15" i="7" s="1"/>
  <c r="G16" i="7" s="1"/>
  <c r="G17" i="7" s="1"/>
  <c r="G18" i="7" s="1"/>
  <c r="G19" i="7" s="1"/>
  <c r="G20" i="7" s="1"/>
  <c r="G21" i="7" s="1"/>
  <c r="G22" i="7" s="1"/>
  <c r="G23" i="7" s="1"/>
  <c r="G24" i="7" s="1"/>
  <c r="G25" i="7" s="1"/>
  <c r="G26" i="7" s="1"/>
  <c r="G27" i="7" s="1"/>
  <c r="G28" i="7" s="1"/>
  <c r="G29" i="7" s="1"/>
  <c r="G30" i="7" s="1"/>
  <c r="G31" i="7" s="1"/>
  <c r="G32" i="7" s="1"/>
  <c r="G33" i="7" s="1"/>
  <c r="G34" i="7" s="1"/>
  <c r="G35" i="7" s="1"/>
  <c r="C27" i="6"/>
  <c r="D27" i="6" s="1"/>
  <c r="P26" i="9" l="1"/>
  <c r="P27" i="9"/>
  <c r="L33" i="9"/>
  <c r="K33" i="9"/>
  <c r="M44" i="9"/>
  <c r="L38" i="9"/>
  <c r="K38" i="9"/>
  <c r="M46" i="9"/>
  <c r="R46" i="9"/>
  <c r="L26" i="9"/>
  <c r="K26" i="9"/>
  <c r="B29" i="9"/>
  <c r="A30" i="9"/>
  <c r="M32" i="9"/>
  <c r="R35" i="9"/>
  <c r="M35" i="9"/>
  <c r="M36" i="9"/>
  <c r="R52" i="9"/>
  <c r="R54" i="9"/>
  <c r="M54" i="9"/>
  <c r="I27" i="9"/>
  <c r="N27" i="9"/>
  <c r="R28" i="9"/>
  <c r="R43" i="9"/>
  <c r="M43" i="9"/>
  <c r="M45" i="9"/>
  <c r="R55" i="9"/>
  <c r="M27" i="9"/>
  <c r="L30" i="9"/>
  <c r="K30" i="9"/>
  <c r="M49" i="9"/>
  <c r="R49" i="9"/>
  <c r="M53" i="9"/>
  <c r="M52" i="9"/>
  <c r="R26" i="9"/>
  <c r="D28" i="9"/>
  <c r="P28" i="9" s="1"/>
  <c r="C29" i="9"/>
  <c r="G28" i="9"/>
  <c r="M28" i="9"/>
  <c r="R32" i="9"/>
  <c r="R36" i="9"/>
  <c r="R37" i="9"/>
  <c r="L41" i="9"/>
  <c r="K41" i="9"/>
  <c r="R44" i="9"/>
  <c r="R40" i="9"/>
  <c r="R48" i="9"/>
  <c r="K49" i="9"/>
  <c r="M51" i="9"/>
  <c r="M40" i="9"/>
  <c r="K46" i="9"/>
  <c r="M48" i="9"/>
  <c r="K54" i="9"/>
  <c r="K29" i="9"/>
  <c r="M31" i="9"/>
  <c r="K37" i="9"/>
  <c r="M39" i="9"/>
  <c r="K45" i="9"/>
  <c r="M47" i="9"/>
  <c r="K53" i="9"/>
  <c r="K28" i="9"/>
  <c r="K36" i="9"/>
  <c r="K44" i="9"/>
  <c r="K52" i="9"/>
  <c r="I26" i="6"/>
  <c r="G27" i="6"/>
  <c r="K55" i="6"/>
  <c r="A28" i="6"/>
  <c r="B28" i="6" s="1"/>
  <c r="P27" i="6"/>
  <c r="R55" i="6"/>
  <c r="P26" i="6"/>
  <c r="L36" i="6"/>
  <c r="L43" i="6"/>
  <c r="K30" i="6"/>
  <c r="L27" i="6"/>
  <c r="L47" i="6"/>
  <c r="M47" i="6" s="1"/>
  <c r="L50" i="6"/>
  <c r="R47" i="6"/>
  <c r="K44" i="6"/>
  <c r="L51" i="6"/>
  <c r="R44" i="6"/>
  <c r="L35" i="6"/>
  <c r="K32" i="6"/>
  <c r="L28" i="6"/>
  <c r="L53" i="6"/>
  <c r="K38" i="6"/>
  <c r="L45" i="6"/>
  <c r="L40" i="6"/>
  <c r="K49" i="6"/>
  <c r="R48" i="6"/>
  <c r="R49" i="6"/>
  <c r="L52" i="6"/>
  <c r="M52" i="6" s="1"/>
  <c r="K48" i="6"/>
  <c r="L54" i="6"/>
  <c r="M54" i="6" s="1"/>
  <c r="L46" i="6"/>
  <c r="M46" i="6" s="1"/>
  <c r="R29" i="6"/>
  <c r="R42" i="6"/>
  <c r="R34" i="6"/>
  <c r="R37" i="6"/>
  <c r="R31" i="6"/>
  <c r="O27" i="6"/>
  <c r="R26" i="6"/>
  <c r="K26" i="6"/>
  <c r="C28" i="6"/>
  <c r="K29" i="6"/>
  <c r="L33" i="6"/>
  <c r="M33" i="6" s="1"/>
  <c r="K37" i="6"/>
  <c r="L41" i="6"/>
  <c r="M41" i="6" s="1"/>
  <c r="K34" i="6"/>
  <c r="R32" i="6"/>
  <c r="K31" i="6"/>
  <c r="K42" i="6"/>
  <c r="L39" i="6"/>
  <c r="M39" i="6" s="1"/>
  <c r="R30" i="6"/>
  <c r="R38" i="6"/>
  <c r="D29" i="9" l="1"/>
  <c r="P29" i="9" s="1"/>
  <c r="C30" i="9"/>
  <c r="H29" i="9"/>
  <c r="G29" i="9"/>
  <c r="M41" i="9"/>
  <c r="R41" i="9"/>
  <c r="O27" i="9"/>
  <c r="O28" i="9" s="1"/>
  <c r="O29" i="9" s="1"/>
  <c r="O30" i="9" s="1"/>
  <c r="M26" i="9"/>
  <c r="N26" i="9" s="1"/>
  <c r="O31" i="9"/>
  <c r="O32" i="9" s="1"/>
  <c r="O33" i="9" s="1"/>
  <c r="O34" i="9" s="1"/>
  <c r="O35" i="9" s="1"/>
  <c r="O36" i="9" s="1"/>
  <c r="O37" i="9" s="1"/>
  <c r="O38" i="9" s="1"/>
  <c r="O39" i="9" s="1"/>
  <c r="O40" i="9" s="1"/>
  <c r="O41" i="9" s="1"/>
  <c r="O42" i="9" s="1"/>
  <c r="O43" i="9" s="1"/>
  <c r="O44" i="9" s="1"/>
  <c r="O45" i="9" s="1"/>
  <c r="O46" i="9" s="1"/>
  <c r="O47" i="9" s="1"/>
  <c r="O48" i="9" s="1"/>
  <c r="O49" i="9" s="1"/>
  <c r="O50" i="9" s="1"/>
  <c r="O51" i="9" s="1"/>
  <c r="O52" i="9" s="1"/>
  <c r="O53" i="9" s="1"/>
  <c r="O54" i="9" s="1"/>
  <c r="O55" i="9" s="1"/>
  <c r="M30" i="9"/>
  <c r="R30" i="9"/>
  <c r="M38" i="9"/>
  <c r="R38" i="9"/>
  <c r="R33" i="9"/>
  <c r="M33" i="9"/>
  <c r="Q27" i="9"/>
  <c r="T27" i="9"/>
  <c r="U27" i="9" s="1"/>
  <c r="V27" i="9" s="1"/>
  <c r="I28" i="9"/>
  <c r="N28" i="9"/>
  <c r="A31" i="9"/>
  <c r="B30" i="9"/>
  <c r="N26" i="6"/>
  <c r="Q26" i="6" s="1"/>
  <c r="I27" i="6"/>
  <c r="R53" i="6"/>
  <c r="M53" i="6"/>
  <c r="R50" i="6"/>
  <c r="M50" i="6"/>
  <c r="R45" i="6"/>
  <c r="M45" i="6"/>
  <c r="R28" i="6"/>
  <c r="M28" i="6"/>
  <c r="R27" i="6"/>
  <c r="M27" i="6"/>
  <c r="R35" i="6"/>
  <c r="M35" i="6"/>
  <c r="D28" i="6"/>
  <c r="P28" i="6" s="1"/>
  <c r="G28" i="6"/>
  <c r="R43" i="6"/>
  <c r="M43" i="6"/>
  <c r="R40" i="6"/>
  <c r="M40" i="6"/>
  <c r="R51" i="6"/>
  <c r="M51" i="6"/>
  <c r="R36" i="6"/>
  <c r="M36" i="6"/>
  <c r="A29" i="6"/>
  <c r="A30" i="6" s="1"/>
  <c r="O28" i="6"/>
  <c r="O29" i="6" s="1"/>
  <c r="O30" i="6" s="1"/>
  <c r="O31" i="6" s="1"/>
  <c r="O32" i="6" s="1"/>
  <c r="O33" i="6" s="1"/>
  <c r="O34" i="6" s="1"/>
  <c r="O35" i="6" s="1"/>
  <c r="O36" i="6" s="1"/>
  <c r="O37" i="6" s="1"/>
  <c r="O38" i="6" s="1"/>
  <c r="O39" i="6" s="1"/>
  <c r="O40" i="6" s="1"/>
  <c r="O41" i="6" s="1"/>
  <c r="O42" i="6" s="1"/>
  <c r="O43" i="6" s="1"/>
  <c r="O44" i="6" s="1"/>
  <c r="O45" i="6" s="1"/>
  <c r="O46" i="6" s="1"/>
  <c r="R46" i="6"/>
  <c r="R52" i="6"/>
  <c r="R54" i="6"/>
  <c r="C29" i="6"/>
  <c r="R39" i="6"/>
  <c r="R33" i="6"/>
  <c r="R41" i="6"/>
  <c r="Q26" i="9" l="1"/>
  <c r="T26" i="9"/>
  <c r="U26" i="9" s="1"/>
  <c r="V26" i="9" s="1"/>
  <c r="T28" i="9"/>
  <c r="U28" i="9" s="1"/>
  <c r="V28" i="9" s="1"/>
  <c r="Q28" i="9"/>
  <c r="B31" i="9"/>
  <c r="A32" i="9"/>
  <c r="I29" i="9"/>
  <c r="N29" i="9" s="1"/>
  <c r="D30" i="9"/>
  <c r="P30" i="9" s="1"/>
  <c r="H30" i="9"/>
  <c r="C31" i="9"/>
  <c r="G30" i="9"/>
  <c r="N27" i="6"/>
  <c r="T27" i="6" s="1"/>
  <c r="U27" i="6" s="1"/>
  <c r="V27" i="6" s="1"/>
  <c r="I28" i="6"/>
  <c r="N28" i="6" s="1"/>
  <c r="B29" i="6"/>
  <c r="D29" i="6"/>
  <c r="P29" i="6" s="1"/>
  <c r="G29" i="6"/>
  <c r="A31" i="6"/>
  <c r="B30" i="6"/>
  <c r="T26" i="6"/>
  <c r="U26" i="6" s="1"/>
  <c r="V26" i="6" s="1"/>
  <c r="O47" i="6"/>
  <c r="O48" i="6" s="1"/>
  <c r="O49" i="6" s="1"/>
  <c r="O50" i="6" s="1"/>
  <c r="O51" i="6" s="1"/>
  <c r="O52" i="6" s="1"/>
  <c r="O53" i="6" s="1"/>
  <c r="O54" i="6" s="1"/>
  <c r="O55" i="6" s="1"/>
  <c r="C30" i="6"/>
  <c r="T29" i="9" l="1"/>
  <c r="U29" i="9" s="1"/>
  <c r="V29" i="9" s="1"/>
  <c r="W29" i="9" s="1"/>
  <c r="Q29" i="9"/>
  <c r="A33" i="9"/>
  <c r="B32" i="9"/>
  <c r="I30" i="9"/>
  <c r="N30" i="9" s="1"/>
  <c r="G31" i="9"/>
  <c r="D31" i="9"/>
  <c r="P31" i="9" s="1"/>
  <c r="C32" i="9"/>
  <c r="H31" i="9"/>
  <c r="W26" i="9"/>
  <c r="W28" i="9"/>
  <c r="W27" i="9"/>
  <c r="Q27" i="6"/>
  <c r="I29" i="6"/>
  <c r="N29" i="6" s="1"/>
  <c r="W27" i="6"/>
  <c r="W26" i="6"/>
  <c r="D30" i="6"/>
  <c r="G30" i="6"/>
  <c r="B31" i="6"/>
  <c r="A32" i="6"/>
  <c r="P30" i="6"/>
  <c r="Q28" i="6"/>
  <c r="T28" i="6"/>
  <c r="C31" i="6"/>
  <c r="T30" i="9" l="1"/>
  <c r="U30" i="9" s="1"/>
  <c r="V30" i="9" s="1"/>
  <c r="Q30" i="9"/>
  <c r="I31" i="9"/>
  <c r="N31" i="9" s="1"/>
  <c r="A34" i="9"/>
  <c r="B33" i="9"/>
  <c r="H32" i="9"/>
  <c r="G32" i="9"/>
  <c r="C33" i="9"/>
  <c r="D32" i="9"/>
  <c r="P32" i="9" s="1"/>
  <c r="I30" i="6"/>
  <c r="N30" i="6" s="1"/>
  <c r="U28" i="6"/>
  <c r="V28" i="6" s="1"/>
  <c r="W28" i="6" s="1"/>
  <c r="D31" i="6"/>
  <c r="G31" i="6"/>
  <c r="A33" i="6"/>
  <c r="B32" i="6"/>
  <c r="P31" i="6"/>
  <c r="T29" i="6"/>
  <c r="Q29" i="6"/>
  <c r="C32" i="6"/>
  <c r="T31" i="9" l="1"/>
  <c r="U31" i="9" s="1"/>
  <c r="V31" i="9" s="1"/>
  <c r="W31" i="9" s="1"/>
  <c r="Q31" i="9"/>
  <c r="H33" i="9"/>
  <c r="G33" i="9"/>
  <c r="D33" i="9"/>
  <c r="P33" i="9" s="1"/>
  <c r="C34" i="9"/>
  <c r="B34" i="9"/>
  <c r="A35" i="9"/>
  <c r="I32" i="9"/>
  <c r="N32" i="9" s="1"/>
  <c r="W30" i="9"/>
  <c r="I31" i="6"/>
  <c r="N31" i="6" s="1"/>
  <c r="U29" i="6"/>
  <c r="V29" i="6" s="1"/>
  <c r="W29" i="6" s="1"/>
  <c r="D32" i="6"/>
  <c r="P32" i="6" s="1"/>
  <c r="G32" i="6"/>
  <c r="A34" i="6"/>
  <c r="B33" i="6"/>
  <c r="Q30" i="6"/>
  <c r="T30" i="6"/>
  <c r="C33" i="6"/>
  <c r="Q32" i="9" l="1"/>
  <c r="T32" i="9"/>
  <c r="U32" i="9" s="1"/>
  <c r="V32" i="9" s="1"/>
  <c r="C35" i="9"/>
  <c r="H34" i="9"/>
  <c r="G34" i="9"/>
  <c r="D34" i="9"/>
  <c r="P34" i="9" s="1"/>
  <c r="I33" i="9"/>
  <c r="N33" i="9"/>
  <c r="B35" i="9"/>
  <c r="A36" i="9"/>
  <c r="I32" i="6"/>
  <c r="N32" i="6" s="1"/>
  <c r="U30" i="6"/>
  <c r="V30" i="6" s="1"/>
  <c r="W30" i="6" s="1"/>
  <c r="D33" i="6"/>
  <c r="P33" i="6" s="1"/>
  <c r="G33" i="6"/>
  <c r="A35" i="6"/>
  <c r="B34" i="6"/>
  <c r="Q31" i="6"/>
  <c r="T31" i="6"/>
  <c r="C34" i="6"/>
  <c r="I34" i="9" l="1"/>
  <c r="N34" i="9"/>
  <c r="B36" i="9"/>
  <c r="A37" i="9"/>
  <c r="C36" i="9"/>
  <c r="H35" i="9"/>
  <c r="D35" i="9"/>
  <c r="P35" i="9" s="1"/>
  <c r="G35" i="9"/>
  <c r="Q33" i="9"/>
  <c r="T33" i="9"/>
  <c r="U33" i="9" s="1"/>
  <c r="V33" i="9" s="1"/>
  <c r="W33" i="9" s="1"/>
  <c r="W32" i="9"/>
  <c r="I33" i="6"/>
  <c r="N33" i="6" s="1"/>
  <c r="U31" i="6"/>
  <c r="V31" i="6" s="1"/>
  <c r="W31" i="6" s="1"/>
  <c r="D34" i="6"/>
  <c r="P34" i="6" s="1"/>
  <c r="G34" i="6"/>
  <c r="B35" i="6"/>
  <c r="A36" i="6"/>
  <c r="T32" i="6"/>
  <c r="Q32" i="6"/>
  <c r="C35" i="6"/>
  <c r="I35" i="9" l="1"/>
  <c r="N35" i="9"/>
  <c r="B37" i="9"/>
  <c r="A38" i="9"/>
  <c r="Q34" i="9"/>
  <c r="T34" i="9"/>
  <c r="U34" i="9" s="1"/>
  <c r="V34" i="9" s="1"/>
  <c r="D36" i="9"/>
  <c r="P36" i="9" s="1"/>
  <c r="C37" i="9"/>
  <c r="G36" i="9"/>
  <c r="H36" i="9"/>
  <c r="I34" i="6"/>
  <c r="N34" i="6" s="1"/>
  <c r="U32" i="6"/>
  <c r="V32" i="6" s="1"/>
  <c r="W32" i="6" s="1"/>
  <c r="D35" i="6"/>
  <c r="P35" i="6" s="1"/>
  <c r="G35" i="6"/>
  <c r="B36" i="6"/>
  <c r="A37" i="6"/>
  <c r="Q33" i="6"/>
  <c r="T33" i="6"/>
  <c r="C36" i="6"/>
  <c r="Q35" i="9" l="1"/>
  <c r="T35" i="9"/>
  <c r="U35" i="9" s="1"/>
  <c r="V35" i="9" s="1"/>
  <c r="W35" i="9" s="1"/>
  <c r="D37" i="9"/>
  <c r="P37" i="9" s="1"/>
  <c r="C38" i="9"/>
  <c r="H37" i="9"/>
  <c r="G37" i="9"/>
  <c r="W34" i="9"/>
  <c r="B38" i="9"/>
  <c r="A39" i="9"/>
  <c r="I36" i="9"/>
  <c r="N36" i="9"/>
  <c r="I35" i="6"/>
  <c r="N35" i="6" s="1"/>
  <c r="U33" i="6"/>
  <c r="V33" i="6" s="1"/>
  <c r="W33" i="6" s="1"/>
  <c r="D36" i="6"/>
  <c r="P36" i="6" s="1"/>
  <c r="G36" i="6"/>
  <c r="A38" i="6"/>
  <c r="B37" i="6"/>
  <c r="T34" i="6"/>
  <c r="Q34" i="6"/>
  <c r="C37" i="6"/>
  <c r="T36" i="9" l="1"/>
  <c r="U36" i="9" s="1"/>
  <c r="V36" i="9" s="1"/>
  <c r="Q36" i="9"/>
  <c r="C39" i="9"/>
  <c r="D38" i="9"/>
  <c r="P38" i="9" s="1"/>
  <c r="H38" i="9"/>
  <c r="G38" i="9"/>
  <c r="B39" i="9"/>
  <c r="A40" i="9"/>
  <c r="I37" i="9"/>
  <c r="N37" i="9" s="1"/>
  <c r="I36" i="6"/>
  <c r="N36" i="6" s="1"/>
  <c r="U34" i="6"/>
  <c r="V34" i="6" s="1"/>
  <c r="W34" i="6" s="1"/>
  <c r="D37" i="6"/>
  <c r="G37" i="6"/>
  <c r="A39" i="6"/>
  <c r="B38" i="6"/>
  <c r="P37" i="6"/>
  <c r="T35" i="6"/>
  <c r="Q35" i="6"/>
  <c r="C38" i="6"/>
  <c r="T37" i="9" l="1"/>
  <c r="U37" i="9" s="1"/>
  <c r="V37" i="9" s="1"/>
  <c r="W37" i="9" s="1"/>
  <c r="Q37" i="9"/>
  <c r="A41" i="9"/>
  <c r="B40" i="9"/>
  <c r="I38" i="9"/>
  <c r="N38" i="9" s="1"/>
  <c r="G39" i="9"/>
  <c r="D39" i="9"/>
  <c r="P39" i="9" s="1"/>
  <c r="C40" i="9"/>
  <c r="H39" i="9"/>
  <c r="W36" i="9"/>
  <c r="I37" i="6"/>
  <c r="N37" i="6" s="1"/>
  <c r="U35" i="6"/>
  <c r="V35" i="6" s="1"/>
  <c r="W35" i="6" s="1"/>
  <c r="D38" i="6"/>
  <c r="G38" i="6"/>
  <c r="B39" i="6"/>
  <c r="A40" i="6"/>
  <c r="P38" i="6"/>
  <c r="Q36" i="6"/>
  <c r="T36" i="6"/>
  <c r="C39" i="6"/>
  <c r="T38" i="9" l="1"/>
  <c r="U38" i="9" s="1"/>
  <c r="V38" i="9" s="1"/>
  <c r="W38" i="9" s="1"/>
  <c r="Q38" i="9"/>
  <c r="H40" i="9"/>
  <c r="G40" i="9"/>
  <c r="D40" i="9"/>
  <c r="P40" i="9" s="1"/>
  <c r="C41" i="9"/>
  <c r="I39" i="9"/>
  <c r="N39" i="9" s="1"/>
  <c r="A42" i="9"/>
  <c r="B41" i="9"/>
  <c r="I38" i="6"/>
  <c r="N38" i="6" s="1"/>
  <c r="U36" i="6"/>
  <c r="V36" i="6" s="1"/>
  <c r="W36" i="6" s="1"/>
  <c r="D39" i="6"/>
  <c r="P39" i="6" s="1"/>
  <c r="G39" i="6"/>
  <c r="B40" i="6"/>
  <c r="A41" i="6"/>
  <c r="T37" i="6"/>
  <c r="Q37" i="6"/>
  <c r="C40" i="6"/>
  <c r="T39" i="9" l="1"/>
  <c r="U39" i="9" s="1"/>
  <c r="V39" i="9" s="1"/>
  <c r="W39" i="9" s="1"/>
  <c r="Q39" i="9"/>
  <c r="H41" i="9"/>
  <c r="G41" i="9"/>
  <c r="D41" i="9"/>
  <c r="P41" i="9" s="1"/>
  <c r="C42" i="9"/>
  <c r="B42" i="9"/>
  <c r="A43" i="9"/>
  <c r="I40" i="9"/>
  <c r="N40" i="9" s="1"/>
  <c r="I39" i="6"/>
  <c r="N39" i="6" s="1"/>
  <c r="U37" i="6"/>
  <c r="V37" i="6" s="1"/>
  <c r="W37" i="6" s="1"/>
  <c r="D40" i="6"/>
  <c r="P40" i="6" s="1"/>
  <c r="G40" i="6"/>
  <c r="A42" i="6"/>
  <c r="B41" i="6"/>
  <c r="Q38" i="6"/>
  <c r="T38" i="6"/>
  <c r="C41" i="6"/>
  <c r="T40" i="9" l="1"/>
  <c r="U40" i="9" s="1"/>
  <c r="V40" i="9" s="1"/>
  <c r="W40" i="9" s="1"/>
  <c r="Q40" i="9"/>
  <c r="B43" i="9"/>
  <c r="A44" i="9"/>
  <c r="C43" i="9"/>
  <c r="H42" i="9"/>
  <c r="G42" i="9"/>
  <c r="D42" i="9"/>
  <c r="P42" i="9" s="1"/>
  <c r="I41" i="9"/>
  <c r="N41" i="9" s="1"/>
  <c r="I40" i="6"/>
  <c r="N40" i="6" s="1"/>
  <c r="U38" i="6"/>
  <c r="V38" i="6" s="1"/>
  <c r="W38" i="6" s="1"/>
  <c r="D41" i="6"/>
  <c r="G41" i="6"/>
  <c r="A43" i="6"/>
  <c r="B42" i="6"/>
  <c r="P41" i="6"/>
  <c r="Q39" i="6"/>
  <c r="T39" i="6"/>
  <c r="C42" i="6"/>
  <c r="Q41" i="9" l="1"/>
  <c r="T41" i="9"/>
  <c r="U41" i="9" s="1"/>
  <c r="V41" i="9" s="1"/>
  <c r="W41" i="9" s="1"/>
  <c r="I42" i="9"/>
  <c r="N42" i="9" s="1"/>
  <c r="B44" i="9"/>
  <c r="A45" i="9"/>
  <c r="G43" i="9"/>
  <c r="C44" i="9"/>
  <c r="H43" i="9"/>
  <c r="D43" i="9"/>
  <c r="P43" i="9" s="1"/>
  <c r="I41" i="6"/>
  <c r="N41" i="6" s="1"/>
  <c r="U39" i="6"/>
  <c r="V39" i="6" s="1"/>
  <c r="W39" i="6" s="1"/>
  <c r="D42" i="6"/>
  <c r="G42" i="6"/>
  <c r="B43" i="6"/>
  <c r="A44" i="6"/>
  <c r="P42" i="6"/>
  <c r="C43" i="6"/>
  <c r="T40" i="6"/>
  <c r="Q40" i="6"/>
  <c r="Q42" i="9" l="1"/>
  <c r="T42" i="9"/>
  <c r="U42" i="9" s="1"/>
  <c r="V42" i="9" s="1"/>
  <c r="W42" i="9" s="1"/>
  <c r="B45" i="9"/>
  <c r="A46" i="9"/>
  <c r="I43" i="9"/>
  <c r="N43" i="9"/>
  <c r="D44" i="9"/>
  <c r="P44" i="9" s="1"/>
  <c r="H44" i="9"/>
  <c r="C45" i="9"/>
  <c r="G44" i="9"/>
  <c r="I42" i="6"/>
  <c r="N42" i="6" s="1"/>
  <c r="U40" i="6"/>
  <c r="V40" i="6" s="1"/>
  <c r="W40" i="6" s="1"/>
  <c r="D43" i="6"/>
  <c r="P43" i="6" s="1"/>
  <c r="G43" i="6"/>
  <c r="B44" i="6"/>
  <c r="A45" i="6"/>
  <c r="Q41" i="6"/>
  <c r="T41" i="6"/>
  <c r="C44" i="6"/>
  <c r="G44" i="6" s="1"/>
  <c r="D45" i="9" l="1"/>
  <c r="P45" i="9" s="1"/>
  <c r="C46" i="9"/>
  <c r="H45" i="9"/>
  <c r="G45" i="9"/>
  <c r="Q43" i="9"/>
  <c r="T43" i="9"/>
  <c r="U43" i="9" s="1"/>
  <c r="V43" i="9" s="1"/>
  <c r="W43" i="9" s="1"/>
  <c r="B46" i="9"/>
  <c r="A47" i="9"/>
  <c r="I44" i="9"/>
  <c r="N44" i="9" s="1"/>
  <c r="I43" i="6"/>
  <c r="N43" i="6" s="1"/>
  <c r="U41" i="6"/>
  <c r="V41" i="6" s="1"/>
  <c r="W41" i="6" s="1"/>
  <c r="A46" i="6"/>
  <c r="B45" i="6"/>
  <c r="C45" i="6"/>
  <c r="D44" i="6"/>
  <c r="T42" i="6"/>
  <c r="Q42" i="6"/>
  <c r="I44" i="6"/>
  <c r="N44" i="6" s="1"/>
  <c r="T44" i="9" l="1"/>
  <c r="U44" i="9" s="1"/>
  <c r="V44" i="9" s="1"/>
  <c r="W44" i="9" s="1"/>
  <c r="Q44" i="9"/>
  <c r="B47" i="9"/>
  <c r="A48" i="9"/>
  <c r="I45" i="9"/>
  <c r="N45" i="9"/>
  <c r="D46" i="9"/>
  <c r="P46" i="9" s="1"/>
  <c r="C47" i="9"/>
  <c r="H46" i="9"/>
  <c r="G46" i="9"/>
  <c r="U42" i="6"/>
  <c r="V42" i="6" s="1"/>
  <c r="W42" i="6" s="1"/>
  <c r="D45" i="6"/>
  <c r="G45" i="6"/>
  <c r="A47" i="6"/>
  <c r="B46" i="6"/>
  <c r="C46" i="6"/>
  <c r="P44" i="6"/>
  <c r="P45" i="6"/>
  <c r="T43" i="6"/>
  <c r="Q43" i="6"/>
  <c r="G47" i="9" l="1"/>
  <c r="D47" i="9"/>
  <c r="P47" i="9" s="1"/>
  <c r="C48" i="9"/>
  <c r="H47" i="9"/>
  <c r="T45" i="9"/>
  <c r="U45" i="9" s="1"/>
  <c r="V45" i="9" s="1"/>
  <c r="W45" i="9" s="1"/>
  <c r="Q45" i="9"/>
  <c r="A49" i="9"/>
  <c r="B48" i="9"/>
  <c r="N46" i="9"/>
  <c r="I46" i="9"/>
  <c r="I45" i="6"/>
  <c r="N45" i="6" s="1"/>
  <c r="U43" i="6"/>
  <c r="V43" i="6" s="1"/>
  <c r="W43" i="6" s="1"/>
  <c r="D46" i="6"/>
  <c r="P46" i="6" s="1"/>
  <c r="G46" i="6"/>
  <c r="C47" i="6"/>
  <c r="C48" i="6" s="1"/>
  <c r="B47" i="6"/>
  <c r="A48" i="6"/>
  <c r="Q44" i="6"/>
  <c r="I47" i="9" l="1"/>
  <c r="N47" i="9" s="1"/>
  <c r="T46" i="9"/>
  <c r="U46" i="9" s="1"/>
  <c r="V46" i="9" s="1"/>
  <c r="W46" i="9" s="1"/>
  <c r="Q46" i="9"/>
  <c r="A50" i="9"/>
  <c r="B49" i="9"/>
  <c r="H48" i="9"/>
  <c r="G48" i="9"/>
  <c r="D48" i="9"/>
  <c r="P48" i="9" s="1"/>
  <c r="C49" i="9"/>
  <c r="T45" i="6"/>
  <c r="U45" i="6" s="1"/>
  <c r="V45" i="6" s="1"/>
  <c r="I46" i="6"/>
  <c r="N46" i="6" s="1"/>
  <c r="D48" i="6"/>
  <c r="P48" i="6" s="1"/>
  <c r="G48" i="6"/>
  <c r="D47" i="6"/>
  <c r="P47" i="6" s="1"/>
  <c r="G47" i="6"/>
  <c r="Q45" i="6"/>
  <c r="B48" i="6"/>
  <c r="A49" i="6"/>
  <c r="T44" i="6"/>
  <c r="C49" i="6"/>
  <c r="T47" i="9" l="1"/>
  <c r="U47" i="9" s="1"/>
  <c r="V47" i="9" s="1"/>
  <c r="W47" i="9" s="1"/>
  <c r="Q47" i="9"/>
  <c r="I48" i="9"/>
  <c r="N48" i="9" s="1"/>
  <c r="H49" i="9"/>
  <c r="G49" i="9"/>
  <c r="D49" i="9"/>
  <c r="P49" i="9" s="1"/>
  <c r="C50" i="9"/>
  <c r="B50" i="9"/>
  <c r="A51" i="9"/>
  <c r="Q46" i="6"/>
  <c r="T46" i="6"/>
  <c r="U46" i="6" s="1"/>
  <c r="V46" i="6" s="1"/>
  <c r="I47" i="6"/>
  <c r="N47" i="6" s="1"/>
  <c r="I48" i="6"/>
  <c r="N48" i="6" s="1"/>
  <c r="U44" i="6"/>
  <c r="V44" i="6" s="1"/>
  <c r="D49" i="6"/>
  <c r="G49" i="6"/>
  <c r="A50" i="6"/>
  <c r="B49" i="6"/>
  <c r="P49" i="6"/>
  <c r="C50" i="6"/>
  <c r="T48" i="9" l="1"/>
  <c r="U48" i="9" s="1"/>
  <c r="V48" i="9" s="1"/>
  <c r="W48" i="9" s="1"/>
  <c r="Q48" i="9"/>
  <c r="B51" i="9"/>
  <c r="A52" i="9"/>
  <c r="I49" i="9"/>
  <c r="N49" i="9"/>
  <c r="C51" i="9"/>
  <c r="H50" i="9"/>
  <c r="G50" i="9"/>
  <c r="D50" i="9"/>
  <c r="P50" i="9" s="1"/>
  <c r="T47" i="6"/>
  <c r="Q48" i="6"/>
  <c r="I49" i="6"/>
  <c r="N49" i="6" s="1"/>
  <c r="Q47" i="6"/>
  <c r="W44" i="6"/>
  <c r="W46" i="6"/>
  <c r="W45" i="6"/>
  <c r="U47" i="6"/>
  <c r="V47" i="6" s="1"/>
  <c r="W47" i="6" s="1"/>
  <c r="D50" i="6"/>
  <c r="G50" i="6"/>
  <c r="A51" i="6"/>
  <c r="B50" i="6"/>
  <c r="T48" i="6"/>
  <c r="P50" i="6"/>
  <c r="C51" i="6"/>
  <c r="I50" i="9" l="1"/>
  <c r="N50" i="9" s="1"/>
  <c r="G51" i="9"/>
  <c r="C52" i="9"/>
  <c r="H51" i="9"/>
  <c r="D51" i="9"/>
  <c r="P51" i="9" s="1"/>
  <c r="Q49" i="9"/>
  <c r="T49" i="9"/>
  <c r="U49" i="9" s="1"/>
  <c r="V49" i="9" s="1"/>
  <c r="W49" i="9" s="1"/>
  <c r="B52" i="9"/>
  <c r="A53" i="9"/>
  <c r="I50" i="6"/>
  <c r="N50" i="6" s="1"/>
  <c r="T49" i="6"/>
  <c r="U49" i="6"/>
  <c r="V49" i="6" s="1"/>
  <c r="U48" i="6"/>
  <c r="V48" i="6" s="1"/>
  <c r="D51" i="6"/>
  <c r="G51" i="6"/>
  <c r="Q49" i="6"/>
  <c r="B51" i="6"/>
  <c r="A52" i="6"/>
  <c r="P51" i="6"/>
  <c r="C52" i="6"/>
  <c r="Q50" i="9" l="1"/>
  <c r="T50" i="9"/>
  <c r="U50" i="9" s="1"/>
  <c r="V50" i="9" s="1"/>
  <c r="W50" i="9" s="1"/>
  <c r="I51" i="9"/>
  <c r="N51" i="9"/>
  <c r="D52" i="9"/>
  <c r="P52" i="9" s="1"/>
  <c r="H52" i="9"/>
  <c r="C53" i="9"/>
  <c r="G52" i="9"/>
  <c r="B53" i="9"/>
  <c r="A54" i="9"/>
  <c r="Q50" i="6"/>
  <c r="I51" i="6"/>
  <c r="N51" i="6" s="1"/>
  <c r="W48" i="6"/>
  <c r="W49" i="6"/>
  <c r="D52" i="6"/>
  <c r="G52" i="6"/>
  <c r="T50" i="6"/>
  <c r="A53" i="6"/>
  <c r="B52" i="6"/>
  <c r="P52" i="6"/>
  <c r="C53" i="6"/>
  <c r="I52" i="9" l="1"/>
  <c r="N52" i="9" s="1"/>
  <c r="D53" i="9"/>
  <c r="P53" i="9" s="1"/>
  <c r="C54" i="9"/>
  <c r="H53" i="9"/>
  <c r="G53" i="9"/>
  <c r="Q51" i="9"/>
  <c r="T51" i="9"/>
  <c r="U51" i="9" s="1"/>
  <c r="V51" i="9" s="1"/>
  <c r="W51" i="9" s="1"/>
  <c r="B54" i="9"/>
  <c r="A55" i="9"/>
  <c r="B55" i="9" s="1"/>
  <c r="T51" i="6"/>
  <c r="U51" i="6" s="1"/>
  <c r="V51" i="6" s="1"/>
  <c r="I52" i="6"/>
  <c r="N52" i="6" s="1"/>
  <c r="U50" i="6"/>
  <c r="V50" i="6" s="1"/>
  <c r="W50" i="6" s="1"/>
  <c r="D53" i="6"/>
  <c r="G53" i="6"/>
  <c r="Q51" i="6"/>
  <c r="A54" i="6"/>
  <c r="B53" i="6"/>
  <c r="P53" i="6"/>
  <c r="C54" i="6"/>
  <c r="T52" i="9" l="1"/>
  <c r="U52" i="9" s="1"/>
  <c r="V52" i="9" s="1"/>
  <c r="W52" i="9" s="1"/>
  <c r="Q52" i="9"/>
  <c r="D54" i="9"/>
  <c r="P54" i="9" s="1"/>
  <c r="C55" i="9"/>
  <c r="G54" i="9"/>
  <c r="H54" i="9"/>
  <c r="I53" i="9"/>
  <c r="N53" i="9"/>
  <c r="T52" i="6"/>
  <c r="I53" i="6"/>
  <c r="N53" i="6" s="1"/>
  <c r="W51" i="6"/>
  <c r="U52" i="6"/>
  <c r="V52" i="6" s="1"/>
  <c r="W52" i="6" s="1"/>
  <c r="D54" i="6"/>
  <c r="G54" i="6"/>
  <c r="Q52" i="6"/>
  <c r="A55" i="6"/>
  <c r="B55" i="6" s="1"/>
  <c r="B54" i="6"/>
  <c r="P54" i="6"/>
  <c r="C55" i="6"/>
  <c r="Q53" i="9" l="1"/>
  <c r="T53" i="9"/>
  <c r="U53" i="9" s="1"/>
  <c r="V53" i="9" s="1"/>
  <c r="W53" i="9" s="1"/>
  <c r="I54" i="9"/>
  <c r="N54" i="9" s="1"/>
  <c r="G55" i="9"/>
  <c r="D55" i="9"/>
  <c r="P55" i="9" s="1"/>
  <c r="H55" i="9"/>
  <c r="T53" i="6"/>
  <c r="U53" i="6" s="1"/>
  <c r="V53" i="6" s="1"/>
  <c r="W53" i="6" s="1"/>
  <c r="I54" i="6"/>
  <c r="N54" i="6" s="1"/>
  <c r="T54" i="6" s="1"/>
  <c r="D55" i="6"/>
  <c r="G55" i="6"/>
  <c r="Q53" i="6"/>
  <c r="P55" i="6"/>
  <c r="T54" i="9" l="1"/>
  <c r="U54" i="9" s="1"/>
  <c r="V54" i="9" s="1"/>
  <c r="W54" i="9" s="1"/>
  <c r="Q54" i="9"/>
  <c r="I55" i="9"/>
  <c r="N55" i="9" s="1"/>
  <c r="I55" i="6"/>
  <c r="N55" i="6" s="1"/>
  <c r="U54" i="6"/>
  <c r="V54" i="6" s="1"/>
  <c r="W54" i="6" s="1"/>
  <c r="Q54" i="6"/>
  <c r="T55" i="9" l="1"/>
  <c r="U55" i="9" s="1"/>
  <c r="V55" i="9" s="1"/>
  <c r="Q55" i="9"/>
  <c r="Q55" i="6"/>
  <c r="T55" i="6"/>
  <c r="W55" i="9" l="1"/>
  <c r="J10" i="9"/>
  <c r="U55" i="6"/>
  <c r="V55" i="6" s="1"/>
  <c r="J9" i="6"/>
  <c r="J10" i="6" l="1"/>
  <c r="J12" i="6" s="1"/>
  <c r="W55" i="6"/>
  <c r="J13" i="6" s="1"/>
  <c r="AE27" i="1" l="1"/>
  <c r="E17" i="4"/>
  <c r="D10" i="4"/>
  <c r="Z27" i="1"/>
  <c r="AG27" i="1"/>
  <c r="W27" i="1"/>
  <c r="AF27" i="1"/>
  <c r="AB28" i="1"/>
  <c r="AC28" i="1" s="1"/>
  <c r="AC27" i="1"/>
  <c r="M28" i="1"/>
  <c r="M29" i="1" s="1"/>
  <c r="M30" i="1" s="1"/>
  <c r="N27" i="1"/>
  <c r="P27" i="1" s="1"/>
  <c r="Q27" i="1" s="1"/>
  <c r="S28" i="1"/>
  <c r="S29" i="1" s="1"/>
  <c r="W29" i="1" s="1"/>
  <c r="T27" i="1"/>
  <c r="V27" i="1" s="1"/>
  <c r="G28" i="1"/>
  <c r="H28" i="1" s="1"/>
  <c r="A28" i="1"/>
  <c r="B28" i="1" s="1"/>
  <c r="C28" i="1" s="1"/>
  <c r="AD28" i="1" s="1"/>
  <c r="H27" i="1"/>
  <c r="J27" i="1" s="1"/>
  <c r="K27" i="1" s="1" a="1"/>
  <c r="K27" i="1" s="1"/>
  <c r="B27" i="1"/>
  <c r="C27" i="1" s="1"/>
  <c r="AD27" i="1" s="1"/>
  <c r="AI27" i="1" l="1"/>
  <c r="AG28" i="1"/>
  <c r="W28" i="1"/>
  <c r="AF28" i="1"/>
  <c r="AB29" i="1"/>
  <c r="O28" i="1"/>
  <c r="N28" i="1"/>
  <c r="P28" i="1" s="1"/>
  <c r="N29" i="1"/>
  <c r="P29" i="1" s="1"/>
  <c r="N30" i="1"/>
  <c r="P30" i="1" s="1"/>
  <c r="M31" i="1"/>
  <c r="X27" i="1"/>
  <c r="U28" i="1" s="1"/>
  <c r="J28" i="1"/>
  <c r="T29" i="1"/>
  <c r="V29" i="1" s="1"/>
  <c r="S30" i="1"/>
  <c r="W30" i="1" s="1"/>
  <c r="T28" i="1"/>
  <c r="V28" i="1" s="1"/>
  <c r="I28" i="1"/>
  <c r="E27" i="1"/>
  <c r="D28" i="1" s="1"/>
  <c r="G29" i="1"/>
  <c r="H29" i="1" s="1"/>
  <c r="A29" i="1"/>
  <c r="E28" i="1" l="1"/>
  <c r="D29" i="1" s="1"/>
  <c r="AE29" i="1" s="1"/>
  <c r="AE28" i="1"/>
  <c r="AI28" i="1" s="1"/>
  <c r="Z28" i="1"/>
  <c r="K28" i="1" a="1"/>
  <c r="K28" i="1" s="1"/>
  <c r="I29" i="1" s="1"/>
  <c r="Y28" i="1"/>
  <c r="AF29" i="1"/>
  <c r="AG29" i="1"/>
  <c r="AH27" i="1"/>
  <c r="Q28" i="1"/>
  <c r="O29" i="1" s="1"/>
  <c r="Q29" i="1" s="1"/>
  <c r="AC29" i="1"/>
  <c r="AB30" i="1"/>
  <c r="X28" i="1"/>
  <c r="U29" i="1" s="1"/>
  <c r="M32" i="1"/>
  <c r="N31" i="1"/>
  <c r="P31" i="1" s="1"/>
  <c r="J29" i="1"/>
  <c r="T30" i="1"/>
  <c r="V30" i="1" s="1"/>
  <c r="S31" i="1"/>
  <c r="W31" i="1" s="1"/>
  <c r="G30" i="1"/>
  <c r="G31" i="1" s="1"/>
  <c r="A30" i="1"/>
  <c r="B29" i="1"/>
  <c r="Z29" i="1" l="1"/>
  <c r="K29" i="1" a="1"/>
  <c r="K29" i="1" s="1"/>
  <c r="I30" i="1" s="1"/>
  <c r="Y29" i="1"/>
  <c r="AH28" i="1"/>
  <c r="AF30" i="1"/>
  <c r="AG30" i="1"/>
  <c r="AI29" i="1"/>
  <c r="AB31" i="1"/>
  <c r="AC30" i="1"/>
  <c r="O30" i="1"/>
  <c r="Q30" i="1" s="1"/>
  <c r="N32" i="1"/>
  <c r="P32" i="1" s="1"/>
  <c r="M33" i="1"/>
  <c r="X29" i="1"/>
  <c r="U30" i="1" s="1"/>
  <c r="S32" i="1"/>
  <c r="W32" i="1" s="1"/>
  <c r="T31" i="1"/>
  <c r="V31" i="1" s="1"/>
  <c r="C29" i="1"/>
  <c r="H30" i="1"/>
  <c r="G32" i="1"/>
  <c r="H31" i="1"/>
  <c r="A31" i="1"/>
  <c r="B30" i="1"/>
  <c r="E29" i="1" l="1"/>
  <c r="D30" i="1" s="1"/>
  <c r="AE30" i="1" s="1"/>
  <c r="AI30" i="1" s="1"/>
  <c r="AD29" i="1"/>
  <c r="AH29" i="1" s="1"/>
  <c r="Z30" i="1"/>
  <c r="Y30" i="1"/>
  <c r="AF31" i="1"/>
  <c r="AG31" i="1"/>
  <c r="AC31" i="1"/>
  <c r="AB32" i="1"/>
  <c r="O31" i="1"/>
  <c r="Q31" i="1" s="1"/>
  <c r="N33" i="1"/>
  <c r="P33" i="1" s="1"/>
  <c r="M34" i="1"/>
  <c r="J30" i="1"/>
  <c r="K30" i="1" s="1" a="1"/>
  <c r="K30" i="1" s="1"/>
  <c r="J31" i="1"/>
  <c r="T32" i="1"/>
  <c r="V32" i="1" s="1"/>
  <c r="S33" i="1"/>
  <c r="W33" i="1" s="1"/>
  <c r="C30" i="1"/>
  <c r="B31" i="1"/>
  <c r="A32" i="1"/>
  <c r="H32" i="1"/>
  <c r="G33" i="1"/>
  <c r="E30" i="1" l="1"/>
  <c r="D31" i="1" s="1"/>
  <c r="AE31" i="1" s="1"/>
  <c r="AI31" i="1" s="1"/>
  <c r="AD30" i="1"/>
  <c r="AH30" i="1" s="1"/>
  <c r="AF32" i="1"/>
  <c r="AG32" i="1"/>
  <c r="I31" i="1"/>
  <c r="K31" i="1" s="1" a="1"/>
  <c r="K31" i="1" s="1"/>
  <c r="AB33" i="1"/>
  <c r="AC32" i="1"/>
  <c r="O32" i="1"/>
  <c r="Q32" i="1" s="1"/>
  <c r="N34" i="1"/>
  <c r="P34" i="1" s="1"/>
  <c r="M35" i="1"/>
  <c r="X30" i="1"/>
  <c r="U31" i="1" s="1"/>
  <c r="J32" i="1"/>
  <c r="S34" i="1"/>
  <c r="W34" i="1" s="1"/>
  <c r="T33" i="1"/>
  <c r="V33" i="1" s="1"/>
  <c r="C31" i="1"/>
  <c r="H33" i="1"/>
  <c r="G34" i="1"/>
  <c r="B32" i="1"/>
  <c r="A33" i="1"/>
  <c r="E31" i="1" l="1"/>
  <c r="D32" i="1" s="1"/>
  <c r="AE32" i="1" s="1"/>
  <c r="AI32" i="1" s="1"/>
  <c r="AD31" i="1"/>
  <c r="AH31" i="1" s="1"/>
  <c r="Z31" i="1"/>
  <c r="Y31" i="1"/>
  <c r="AF33" i="1"/>
  <c r="AG33" i="1"/>
  <c r="I32" i="1"/>
  <c r="K32" i="1" s="1" a="1"/>
  <c r="K32" i="1" s="1"/>
  <c r="AC33" i="1"/>
  <c r="AB34" i="1"/>
  <c r="O33" i="1"/>
  <c r="Q33" i="1" s="1"/>
  <c r="N35" i="1"/>
  <c r="P35" i="1" s="1"/>
  <c r="M36" i="1"/>
  <c r="X31" i="1"/>
  <c r="U32" i="1" s="1"/>
  <c r="J33" i="1"/>
  <c r="S35" i="1"/>
  <c r="W35" i="1" s="1"/>
  <c r="T34" i="1"/>
  <c r="V34" i="1" s="1"/>
  <c r="C32" i="1"/>
  <c r="G35" i="1"/>
  <c r="H34" i="1"/>
  <c r="A34" i="1"/>
  <c r="B33" i="1"/>
  <c r="E32" i="1" l="1"/>
  <c r="D33" i="1" s="1"/>
  <c r="AE33" i="1" s="1"/>
  <c r="AI33" i="1" s="1"/>
  <c r="AD32" i="1"/>
  <c r="AH32" i="1" s="1"/>
  <c r="Z32" i="1"/>
  <c r="X32" i="1"/>
  <c r="U33" i="1" s="1"/>
  <c r="Y32" i="1"/>
  <c r="AF34" i="1"/>
  <c r="AG34" i="1"/>
  <c r="I33" i="1"/>
  <c r="K33" i="1" s="1" a="1"/>
  <c r="K33" i="1" s="1"/>
  <c r="AC34" i="1"/>
  <c r="AB35" i="1"/>
  <c r="O34" i="1"/>
  <c r="Q34" i="1" s="1"/>
  <c r="M37" i="1"/>
  <c r="N36" i="1"/>
  <c r="P36" i="1" s="1"/>
  <c r="J34" i="1"/>
  <c r="T35" i="1"/>
  <c r="V35" i="1" s="1"/>
  <c r="S36" i="1"/>
  <c r="W36" i="1" s="1"/>
  <c r="C33" i="1"/>
  <c r="G36" i="1"/>
  <c r="H35" i="1"/>
  <c r="A35" i="1"/>
  <c r="B34" i="1"/>
  <c r="E33" i="1" l="1"/>
  <c r="D34" i="1" s="1"/>
  <c r="AE34" i="1" s="1"/>
  <c r="AI34" i="1" s="1"/>
  <c r="AD33" i="1"/>
  <c r="AH33" i="1" s="1"/>
  <c r="Z33" i="1"/>
  <c r="I34" i="1"/>
  <c r="K34" i="1" s="1" a="1"/>
  <c r="K34" i="1" s="1"/>
  <c r="X33" i="1"/>
  <c r="U34" i="1" s="1"/>
  <c r="Y33" i="1"/>
  <c r="AF35" i="1"/>
  <c r="AG35" i="1"/>
  <c r="AB36" i="1"/>
  <c r="AC35" i="1"/>
  <c r="O35" i="1"/>
  <c r="Q35" i="1" s="1"/>
  <c r="M38" i="1"/>
  <c r="N37" i="1"/>
  <c r="P37" i="1" s="1"/>
  <c r="J35" i="1"/>
  <c r="S37" i="1"/>
  <c r="W37" i="1" s="1"/>
  <c r="T36" i="1"/>
  <c r="V36" i="1" s="1"/>
  <c r="C34" i="1"/>
  <c r="A36" i="1"/>
  <c r="B35" i="1"/>
  <c r="H36" i="1"/>
  <c r="G37" i="1"/>
  <c r="E34" i="1" l="1"/>
  <c r="D35" i="1" s="1"/>
  <c r="AE35" i="1" s="1"/>
  <c r="AI35" i="1" s="1"/>
  <c r="AD34" i="1"/>
  <c r="AH34" i="1" s="1"/>
  <c r="X34" i="1"/>
  <c r="U35" i="1" s="1"/>
  <c r="X35" i="1" s="1"/>
  <c r="U36" i="1" s="1"/>
  <c r="Z34" i="1"/>
  <c r="I35" i="1"/>
  <c r="K35" i="1" s="1" a="1"/>
  <c r="K35" i="1" s="1"/>
  <c r="Y34" i="1"/>
  <c r="AF36" i="1"/>
  <c r="AG36" i="1"/>
  <c r="AC36" i="1"/>
  <c r="AB37" i="1"/>
  <c r="O36" i="1"/>
  <c r="Q36" i="1" s="1"/>
  <c r="M39" i="1"/>
  <c r="N38" i="1"/>
  <c r="P38" i="1" s="1"/>
  <c r="J36" i="1"/>
  <c r="T37" i="1"/>
  <c r="V37" i="1" s="1"/>
  <c r="S38" i="1"/>
  <c r="W38" i="1" s="1"/>
  <c r="C35" i="1"/>
  <c r="G38" i="1"/>
  <c r="H37" i="1"/>
  <c r="B36" i="1"/>
  <c r="A37" i="1"/>
  <c r="E35" i="1" l="1"/>
  <c r="D36" i="1" s="1"/>
  <c r="AE36" i="1" s="1"/>
  <c r="AI36" i="1" s="1"/>
  <c r="AD35" i="1"/>
  <c r="AH35" i="1" s="1"/>
  <c r="Z35" i="1"/>
  <c r="I36" i="1"/>
  <c r="K36" i="1" s="1" a="1"/>
  <c r="K36" i="1" s="1"/>
  <c r="Y35" i="1"/>
  <c r="X36" i="1"/>
  <c r="U37" i="1" s="1"/>
  <c r="AF37" i="1"/>
  <c r="AG37" i="1"/>
  <c r="AC37" i="1"/>
  <c r="AB38" i="1"/>
  <c r="O37" i="1"/>
  <c r="Q37" i="1" s="1"/>
  <c r="M40" i="1"/>
  <c r="N39" i="1"/>
  <c r="P39" i="1" s="1"/>
  <c r="J37" i="1"/>
  <c r="T38" i="1"/>
  <c r="V38" i="1" s="1"/>
  <c r="S39" i="1"/>
  <c r="W39" i="1" s="1"/>
  <c r="C36" i="1"/>
  <c r="A38" i="1"/>
  <c r="B37" i="1"/>
  <c r="G39" i="1"/>
  <c r="H38" i="1"/>
  <c r="E36" i="1" l="1"/>
  <c r="D37" i="1" s="1"/>
  <c r="AE37" i="1" s="1"/>
  <c r="AI37" i="1" s="1"/>
  <c r="AD36" i="1"/>
  <c r="AH36" i="1" s="1"/>
  <c r="Z36" i="1"/>
  <c r="I37" i="1"/>
  <c r="K37" i="1" s="1" a="1"/>
  <c r="K37" i="1" s="1"/>
  <c r="Y36" i="1"/>
  <c r="AF38" i="1"/>
  <c r="AG38" i="1"/>
  <c r="AB39" i="1"/>
  <c r="AC38" i="1"/>
  <c r="O38" i="1"/>
  <c r="Q38" i="1" s="1"/>
  <c r="N40" i="1"/>
  <c r="P40" i="1" s="1"/>
  <c r="M41" i="1"/>
  <c r="X37" i="1"/>
  <c r="U38" i="1" s="1"/>
  <c r="J38" i="1"/>
  <c r="T39" i="1"/>
  <c r="V39" i="1" s="1"/>
  <c r="S40" i="1"/>
  <c r="W40" i="1" s="1"/>
  <c r="C37" i="1"/>
  <c r="G40" i="1"/>
  <c r="H39" i="1"/>
  <c r="A39" i="1"/>
  <c r="B38" i="1"/>
  <c r="E37" i="1" l="1"/>
  <c r="D38" i="1" s="1"/>
  <c r="AE38" i="1" s="1"/>
  <c r="AI38" i="1" s="1"/>
  <c r="AD37" i="1"/>
  <c r="AH37" i="1" s="1"/>
  <c r="Z37" i="1"/>
  <c r="I38" i="1"/>
  <c r="K38" i="1" s="1" a="1"/>
  <c r="K38" i="1" s="1"/>
  <c r="Y37" i="1"/>
  <c r="AF39" i="1"/>
  <c r="AG39" i="1"/>
  <c r="AC39" i="1"/>
  <c r="AB40" i="1"/>
  <c r="O39" i="1"/>
  <c r="Q39" i="1" s="1"/>
  <c r="N41" i="1"/>
  <c r="P41" i="1" s="1"/>
  <c r="M42" i="1"/>
  <c r="X38" i="1"/>
  <c r="U39" i="1" s="1"/>
  <c r="J39" i="1"/>
  <c r="T40" i="1"/>
  <c r="V40" i="1" s="1"/>
  <c r="S41" i="1"/>
  <c r="W41" i="1" s="1"/>
  <c r="C38" i="1"/>
  <c r="A40" i="1"/>
  <c r="B39" i="1"/>
  <c r="H40" i="1"/>
  <c r="G41" i="1"/>
  <c r="E38" i="1" l="1"/>
  <c r="D39" i="1" s="1"/>
  <c r="AE39" i="1" s="1"/>
  <c r="AI39" i="1" s="1"/>
  <c r="AD38" i="1"/>
  <c r="AH38" i="1" s="1"/>
  <c r="Z38" i="1"/>
  <c r="I39" i="1"/>
  <c r="K39" i="1" s="1" a="1"/>
  <c r="K39" i="1" s="1"/>
  <c r="I40" i="1" s="1"/>
  <c r="Y38" i="1"/>
  <c r="AF40" i="1"/>
  <c r="AG40" i="1"/>
  <c r="AB41" i="1"/>
  <c r="AC40" i="1"/>
  <c r="O40" i="1"/>
  <c r="Q40" i="1" s="1"/>
  <c r="M43" i="1"/>
  <c r="N42" i="1"/>
  <c r="P42" i="1" s="1"/>
  <c r="X39" i="1"/>
  <c r="U40" i="1" s="1"/>
  <c r="J40" i="1"/>
  <c r="S42" i="1"/>
  <c r="W42" i="1" s="1"/>
  <c r="T41" i="1"/>
  <c r="V41" i="1" s="1"/>
  <c r="C39" i="1"/>
  <c r="G42" i="1"/>
  <c r="H41" i="1"/>
  <c r="B40" i="1"/>
  <c r="A41" i="1"/>
  <c r="E39" i="1" l="1"/>
  <c r="D40" i="1" s="1"/>
  <c r="AE40" i="1" s="1"/>
  <c r="AI40" i="1" s="1"/>
  <c r="AD39" i="1"/>
  <c r="AH39" i="1" s="1"/>
  <c r="Z40" i="1"/>
  <c r="Z39" i="1"/>
  <c r="K40" i="1" a="1"/>
  <c r="K40" i="1" s="1"/>
  <c r="I41" i="1" s="1"/>
  <c r="Y39" i="1"/>
  <c r="Y40" i="1"/>
  <c r="AF41" i="1"/>
  <c r="AG41" i="1"/>
  <c r="AB42" i="1"/>
  <c r="AC41" i="1"/>
  <c r="O41" i="1"/>
  <c r="Q41" i="1" s="1"/>
  <c r="N43" i="1"/>
  <c r="P43" i="1" s="1"/>
  <c r="M44" i="1"/>
  <c r="X40" i="1"/>
  <c r="U41" i="1" s="1"/>
  <c r="J41" i="1"/>
  <c r="S43" i="1"/>
  <c r="W43" i="1" s="1"/>
  <c r="T42" i="1"/>
  <c r="V42" i="1" s="1"/>
  <c r="C40" i="1"/>
  <c r="A42" i="1"/>
  <c r="B41" i="1"/>
  <c r="G43" i="1"/>
  <c r="H42" i="1"/>
  <c r="E40" i="1" l="1"/>
  <c r="D41" i="1" s="1"/>
  <c r="AE41" i="1" s="1"/>
  <c r="AI41" i="1" s="1"/>
  <c r="AD40" i="1"/>
  <c r="AH40" i="1" s="1"/>
  <c r="Z41" i="1"/>
  <c r="K41" i="1" a="1"/>
  <c r="K41" i="1" s="1"/>
  <c r="I42" i="1" s="1"/>
  <c r="Y41" i="1"/>
  <c r="AF42" i="1"/>
  <c r="AG42" i="1"/>
  <c r="AC42" i="1"/>
  <c r="AB43" i="1"/>
  <c r="O42" i="1"/>
  <c r="Q42" i="1" s="1"/>
  <c r="M45" i="1"/>
  <c r="N44" i="1"/>
  <c r="P44" i="1" s="1"/>
  <c r="X41" i="1"/>
  <c r="U42" i="1" s="1"/>
  <c r="J42" i="1"/>
  <c r="S44" i="1"/>
  <c r="W44" i="1" s="1"/>
  <c r="T43" i="1"/>
  <c r="V43" i="1" s="1"/>
  <c r="C41" i="1"/>
  <c r="G44" i="1"/>
  <c r="H43" i="1"/>
  <c r="A43" i="1"/>
  <c r="B42" i="1"/>
  <c r="E41" i="1" l="1"/>
  <c r="D42" i="1" s="1"/>
  <c r="AE42" i="1" s="1"/>
  <c r="AI42" i="1" s="1"/>
  <c r="AD41" i="1"/>
  <c r="AH41" i="1" s="1"/>
  <c r="Z42" i="1"/>
  <c r="K42" i="1" a="1"/>
  <c r="K42" i="1" s="1"/>
  <c r="I43" i="1" s="1"/>
  <c r="Y42" i="1"/>
  <c r="AF43" i="1"/>
  <c r="AG43" i="1"/>
  <c r="AB44" i="1"/>
  <c r="AC43" i="1"/>
  <c r="O43" i="1"/>
  <c r="Q43" i="1" s="1"/>
  <c r="M46" i="1"/>
  <c r="N45" i="1"/>
  <c r="P45" i="1" s="1"/>
  <c r="X42" i="1"/>
  <c r="U43" i="1" s="1"/>
  <c r="J43" i="1"/>
  <c r="S45" i="1"/>
  <c r="W45" i="1" s="1"/>
  <c r="T44" i="1"/>
  <c r="V44" i="1" s="1"/>
  <c r="C42" i="1"/>
  <c r="A44" i="1"/>
  <c r="B43" i="1"/>
  <c r="H44" i="1"/>
  <c r="G45" i="1"/>
  <c r="E42" i="1" l="1"/>
  <c r="D43" i="1" s="1"/>
  <c r="AE43" i="1" s="1"/>
  <c r="AI43" i="1" s="1"/>
  <c r="AD42" i="1"/>
  <c r="AH42" i="1" s="1"/>
  <c r="Z43" i="1"/>
  <c r="K43" i="1" a="1"/>
  <c r="K43" i="1" s="1"/>
  <c r="Y43" i="1"/>
  <c r="AF44" i="1"/>
  <c r="AG44" i="1"/>
  <c r="I44" i="1"/>
  <c r="AC44" i="1"/>
  <c r="AB45" i="1"/>
  <c r="O44" i="1"/>
  <c r="Q44" i="1" s="1"/>
  <c r="N46" i="1"/>
  <c r="P46" i="1" s="1"/>
  <c r="M47" i="1"/>
  <c r="X43" i="1"/>
  <c r="U44" i="1" s="1"/>
  <c r="J44" i="1"/>
  <c r="T45" i="1"/>
  <c r="V45" i="1" s="1"/>
  <c r="S46" i="1"/>
  <c r="W46" i="1" s="1"/>
  <c r="C43" i="1"/>
  <c r="G46" i="1"/>
  <c r="H45" i="1"/>
  <c r="A45" i="1"/>
  <c r="B44" i="1"/>
  <c r="Z44" i="1" l="1"/>
  <c r="E43" i="1"/>
  <c r="D44" i="1" s="1"/>
  <c r="AE44" i="1" s="1"/>
  <c r="AI44" i="1" s="1"/>
  <c r="AD43" i="1"/>
  <c r="AH43" i="1" s="1"/>
  <c r="K44" i="1" a="1"/>
  <c r="K44" i="1" s="1"/>
  <c r="Y44" i="1"/>
  <c r="AF45" i="1"/>
  <c r="AG45" i="1"/>
  <c r="I45" i="1"/>
  <c r="AC45" i="1"/>
  <c r="AB46" i="1"/>
  <c r="O45" i="1"/>
  <c r="Q45" i="1" s="1"/>
  <c r="M48" i="1"/>
  <c r="N47" i="1"/>
  <c r="P47" i="1" s="1"/>
  <c r="X44" i="1"/>
  <c r="U45" i="1" s="1"/>
  <c r="J45" i="1"/>
  <c r="T46" i="1"/>
  <c r="V46" i="1" s="1"/>
  <c r="S47" i="1"/>
  <c r="W47" i="1" s="1"/>
  <c r="C44" i="1"/>
  <c r="A46" i="1"/>
  <c r="B45" i="1"/>
  <c r="G47" i="1"/>
  <c r="H46" i="1"/>
  <c r="E44" i="1" l="1"/>
  <c r="D45" i="1" s="1"/>
  <c r="AE45" i="1" s="1"/>
  <c r="AI45" i="1" s="1"/>
  <c r="AD44" i="1"/>
  <c r="AH44" i="1" s="1"/>
  <c r="Z45" i="1"/>
  <c r="K45" i="1" a="1"/>
  <c r="K45" i="1" s="1"/>
  <c r="I46" i="1" s="1"/>
  <c r="Y45" i="1"/>
  <c r="AF46" i="1"/>
  <c r="AG46" i="1"/>
  <c r="AB47" i="1"/>
  <c r="AC46" i="1"/>
  <c r="O46" i="1"/>
  <c r="Q46" i="1" s="1"/>
  <c r="N48" i="1"/>
  <c r="P48" i="1" s="1"/>
  <c r="M49" i="1"/>
  <c r="X45" i="1"/>
  <c r="U46" i="1" s="1"/>
  <c r="J46" i="1"/>
  <c r="T47" i="1"/>
  <c r="V47" i="1" s="1"/>
  <c r="S48" i="1"/>
  <c r="W48" i="1" s="1"/>
  <c r="C45" i="1"/>
  <c r="G48" i="1"/>
  <c r="H47" i="1"/>
  <c r="A47" i="1"/>
  <c r="B46" i="1"/>
  <c r="Z46" i="1" l="1"/>
  <c r="E45" i="1"/>
  <c r="D46" i="1" s="1"/>
  <c r="AE46" i="1" s="1"/>
  <c r="AI46" i="1" s="1"/>
  <c r="AD45" i="1"/>
  <c r="AH45" i="1" s="1"/>
  <c r="K46" i="1" a="1"/>
  <c r="K46" i="1" s="1"/>
  <c r="I47" i="1" s="1"/>
  <c r="Y46" i="1"/>
  <c r="AF47" i="1"/>
  <c r="AG47" i="1"/>
  <c r="AC47" i="1"/>
  <c r="AB48" i="1"/>
  <c r="O47" i="1"/>
  <c r="Q47" i="1" s="1"/>
  <c r="N49" i="1"/>
  <c r="P49" i="1" s="1"/>
  <c r="M50" i="1"/>
  <c r="X46" i="1"/>
  <c r="U47" i="1" s="1"/>
  <c r="J47" i="1"/>
  <c r="T48" i="1"/>
  <c r="V48" i="1" s="1"/>
  <c r="S49" i="1"/>
  <c r="W49" i="1" s="1"/>
  <c r="C46" i="1"/>
  <c r="B47" i="1"/>
  <c r="A48" i="1"/>
  <c r="H48" i="1"/>
  <c r="G49" i="1"/>
  <c r="E46" i="1" l="1"/>
  <c r="D47" i="1" s="1"/>
  <c r="AE47" i="1" s="1"/>
  <c r="AD46" i="1"/>
  <c r="AH46" i="1" s="1"/>
  <c r="AI47" i="1"/>
  <c r="Z47" i="1"/>
  <c r="K47" i="1" a="1"/>
  <c r="K47" i="1" s="1"/>
  <c r="I48" i="1" s="1"/>
  <c r="Y47" i="1"/>
  <c r="AF48" i="1"/>
  <c r="AG48" i="1"/>
  <c r="AB49" i="1"/>
  <c r="AC48" i="1"/>
  <c r="O48" i="1"/>
  <c r="M51" i="1"/>
  <c r="N50" i="1"/>
  <c r="P50" i="1" s="1"/>
  <c r="X47" i="1"/>
  <c r="U48" i="1" s="1"/>
  <c r="J48" i="1"/>
  <c r="S50" i="1"/>
  <c r="W50" i="1" s="1"/>
  <c r="T49" i="1"/>
  <c r="V49" i="1" s="1"/>
  <c r="C47" i="1"/>
  <c r="B48" i="1"/>
  <c r="A49" i="1"/>
  <c r="H49" i="1"/>
  <c r="G50" i="1"/>
  <c r="E47" i="1" l="1"/>
  <c r="D48" i="1" s="1"/>
  <c r="AE48" i="1" s="1"/>
  <c r="AI48" i="1" s="1"/>
  <c r="AD47" i="1"/>
  <c r="AH47" i="1" s="1"/>
  <c r="Z48" i="1"/>
  <c r="K48" i="1" a="1"/>
  <c r="K48" i="1" s="1"/>
  <c r="I49" i="1" s="1"/>
  <c r="Y48" i="1"/>
  <c r="AF49" i="1"/>
  <c r="AG49" i="1"/>
  <c r="Q48" i="1"/>
  <c r="O49" i="1" s="1"/>
  <c r="AB50" i="1"/>
  <c r="AC49" i="1"/>
  <c r="N51" i="1"/>
  <c r="P51" i="1" s="1"/>
  <c r="M52" i="1"/>
  <c r="X48" i="1"/>
  <c r="U49" i="1" s="1"/>
  <c r="J49" i="1"/>
  <c r="S51" i="1"/>
  <c r="W51" i="1" s="1"/>
  <c r="T50" i="1"/>
  <c r="V50" i="1" s="1"/>
  <c r="C48" i="1"/>
  <c r="A50" i="1"/>
  <c r="B49" i="1"/>
  <c r="G51" i="1"/>
  <c r="H50" i="1"/>
  <c r="E48" i="1" l="1"/>
  <c r="D49" i="1" s="1"/>
  <c r="AE49" i="1" s="1"/>
  <c r="AI49" i="1" s="1"/>
  <c r="AD48" i="1"/>
  <c r="AH48" i="1" s="1"/>
  <c r="Z49" i="1"/>
  <c r="K49" i="1" a="1"/>
  <c r="K49" i="1" s="1"/>
  <c r="I50" i="1" s="1"/>
  <c r="Y49" i="1"/>
  <c r="AF50" i="1"/>
  <c r="AG50" i="1"/>
  <c r="Q49" i="1"/>
  <c r="O50" i="1" s="1"/>
  <c r="Q50" i="1" s="1"/>
  <c r="AC50" i="1"/>
  <c r="AB51" i="1"/>
  <c r="M53" i="1"/>
  <c r="N52" i="1"/>
  <c r="P52" i="1" s="1"/>
  <c r="X49" i="1"/>
  <c r="U50" i="1" s="1"/>
  <c r="J50" i="1"/>
  <c r="S52" i="1"/>
  <c r="W52" i="1" s="1"/>
  <c r="T51" i="1"/>
  <c r="V51" i="1" s="1"/>
  <c r="C49" i="1"/>
  <c r="A51" i="1"/>
  <c r="B50" i="1"/>
  <c r="G52" i="1"/>
  <c r="H51" i="1"/>
  <c r="E49" i="1" l="1"/>
  <c r="D50" i="1" s="1"/>
  <c r="AE50" i="1" s="1"/>
  <c r="AI50" i="1" s="1"/>
  <c r="AD49" i="1"/>
  <c r="AH49" i="1" s="1"/>
  <c r="Z50" i="1"/>
  <c r="K50" i="1" a="1"/>
  <c r="K50" i="1" s="1"/>
  <c r="I51" i="1" s="1"/>
  <c r="Y50" i="1"/>
  <c r="AF51" i="1"/>
  <c r="AG51" i="1"/>
  <c r="O51" i="1"/>
  <c r="Q51" i="1" s="1"/>
  <c r="AB52" i="1"/>
  <c r="AC51" i="1"/>
  <c r="M54" i="1"/>
  <c r="N53" i="1"/>
  <c r="P53" i="1" s="1"/>
  <c r="X50" i="1"/>
  <c r="U51" i="1" s="1"/>
  <c r="J51" i="1"/>
  <c r="T52" i="1"/>
  <c r="V52" i="1" s="1"/>
  <c r="S53" i="1"/>
  <c r="W53" i="1" s="1"/>
  <c r="C50" i="1"/>
  <c r="H52" i="1"/>
  <c r="G53" i="1"/>
  <c r="A52" i="1"/>
  <c r="B51" i="1"/>
  <c r="E50" i="1" l="1"/>
  <c r="D51" i="1" s="1"/>
  <c r="AE51" i="1" s="1"/>
  <c r="AI51" i="1" s="1"/>
  <c r="AD50" i="1"/>
  <c r="AH50" i="1" s="1"/>
  <c r="Z51" i="1"/>
  <c r="K51" i="1" a="1"/>
  <c r="K51" i="1" s="1"/>
  <c r="I52" i="1" s="1"/>
  <c r="Y51" i="1"/>
  <c r="AF52" i="1"/>
  <c r="AG52" i="1"/>
  <c r="O52" i="1"/>
  <c r="Q52" i="1" s="1"/>
  <c r="AC52" i="1"/>
  <c r="AB53" i="1"/>
  <c r="N54" i="1"/>
  <c r="P54" i="1" s="1"/>
  <c r="M55" i="1"/>
  <c r="X51" i="1"/>
  <c r="U52" i="1" s="1"/>
  <c r="J52" i="1"/>
  <c r="T53" i="1"/>
  <c r="V53" i="1" s="1"/>
  <c r="S54" i="1"/>
  <c r="W54" i="1" s="1"/>
  <c r="C51" i="1"/>
  <c r="B52" i="1"/>
  <c r="A53" i="1"/>
  <c r="H53" i="1"/>
  <c r="G54" i="1"/>
  <c r="E51" i="1" l="1"/>
  <c r="D52" i="1" s="1"/>
  <c r="AE52" i="1" s="1"/>
  <c r="AI52" i="1" s="1"/>
  <c r="AD51" i="1"/>
  <c r="AH51" i="1" s="1"/>
  <c r="Z52" i="1"/>
  <c r="K52" i="1" a="1"/>
  <c r="K52" i="1" s="1"/>
  <c r="I53" i="1" s="1"/>
  <c r="Y52" i="1"/>
  <c r="AF53" i="1"/>
  <c r="AG53" i="1"/>
  <c r="O53" i="1"/>
  <c r="Q53" i="1" s="1"/>
  <c r="AC53" i="1"/>
  <c r="AB54" i="1"/>
  <c r="M56" i="1"/>
  <c r="N55" i="1"/>
  <c r="P55" i="1" s="1"/>
  <c r="X52" i="1"/>
  <c r="U53" i="1" s="1"/>
  <c r="J53" i="1"/>
  <c r="T54" i="1"/>
  <c r="V54" i="1" s="1"/>
  <c r="S55" i="1"/>
  <c r="W55" i="1" s="1"/>
  <c r="C52" i="1"/>
  <c r="G55" i="1"/>
  <c r="H54" i="1"/>
  <c r="A54" i="1"/>
  <c r="B53" i="1"/>
  <c r="E52" i="1" l="1"/>
  <c r="D53" i="1" s="1"/>
  <c r="AE53" i="1" s="1"/>
  <c r="AI53" i="1" s="1"/>
  <c r="AD52" i="1"/>
  <c r="AH52" i="1" s="1"/>
  <c r="Z53" i="1"/>
  <c r="K53" i="1" a="1"/>
  <c r="K53" i="1" s="1"/>
  <c r="I54" i="1" s="1"/>
  <c r="Y53" i="1"/>
  <c r="AF54" i="1"/>
  <c r="AG54" i="1"/>
  <c r="O54" i="1"/>
  <c r="Q54" i="1" s="1"/>
  <c r="AB55" i="1"/>
  <c r="AC54" i="1"/>
  <c r="N56" i="1"/>
  <c r="P56" i="1" s="1"/>
  <c r="M57" i="1"/>
  <c r="X53" i="1"/>
  <c r="U54" i="1" s="1"/>
  <c r="J54" i="1"/>
  <c r="T55" i="1"/>
  <c r="V55" i="1" s="1"/>
  <c r="S56" i="1"/>
  <c r="W56" i="1" s="1"/>
  <c r="C53" i="1"/>
  <c r="A55" i="1"/>
  <c r="B54" i="1"/>
  <c r="G56" i="1"/>
  <c r="H55" i="1"/>
  <c r="E53" i="1" l="1"/>
  <c r="D54" i="1" s="1"/>
  <c r="AE54" i="1" s="1"/>
  <c r="AI54" i="1" s="1"/>
  <c r="AD53" i="1"/>
  <c r="AH53" i="1" s="1"/>
  <c r="Z54" i="1"/>
  <c r="K54" i="1" a="1"/>
  <c r="K54" i="1" s="1"/>
  <c r="I55" i="1" s="1"/>
  <c r="X54" i="1"/>
  <c r="U55" i="1" s="1"/>
  <c r="Y54" i="1"/>
  <c r="AF55" i="1"/>
  <c r="AG55" i="1"/>
  <c r="O55" i="1"/>
  <c r="Q55" i="1" s="1"/>
  <c r="AC55" i="1"/>
  <c r="AB56" i="1"/>
  <c r="M58" i="1"/>
  <c r="N57" i="1"/>
  <c r="P57" i="1" s="1"/>
  <c r="J55" i="1"/>
  <c r="S57" i="1"/>
  <c r="W57" i="1" s="1"/>
  <c r="T56" i="1"/>
  <c r="V56" i="1" s="1"/>
  <c r="C54" i="1"/>
  <c r="H56" i="1"/>
  <c r="G57" i="1"/>
  <c r="B55" i="1"/>
  <c r="A56" i="1"/>
  <c r="E54" i="1" l="1"/>
  <c r="D55" i="1" s="1"/>
  <c r="AE55" i="1" s="1"/>
  <c r="AI55" i="1" s="1"/>
  <c r="AD54" i="1"/>
  <c r="AH54" i="1" s="1"/>
  <c r="Z55" i="1"/>
  <c r="K55" i="1" a="1"/>
  <c r="K55" i="1" s="1"/>
  <c r="I56" i="1" s="1"/>
  <c r="Y55" i="1"/>
  <c r="AF56" i="1"/>
  <c r="AG56" i="1"/>
  <c r="O56" i="1"/>
  <c r="Q56" i="1" s="1"/>
  <c r="AB57" i="1"/>
  <c r="AC56" i="1"/>
  <c r="M59" i="1"/>
  <c r="N58" i="1"/>
  <c r="P58" i="1" s="1"/>
  <c r="X55" i="1"/>
  <c r="U56" i="1" s="1"/>
  <c r="J56" i="1"/>
  <c r="S58" i="1"/>
  <c r="W58" i="1" s="1"/>
  <c r="T57" i="1"/>
  <c r="V57" i="1" s="1"/>
  <c r="C55" i="1"/>
  <c r="G58" i="1"/>
  <c r="H57" i="1"/>
  <c r="B56" i="1"/>
  <c r="A57" i="1"/>
  <c r="E55" i="1" l="1"/>
  <c r="D56" i="1" s="1"/>
  <c r="AE56" i="1" s="1"/>
  <c r="AI56" i="1" s="1"/>
  <c r="AD55" i="1"/>
  <c r="AH55" i="1" s="1"/>
  <c r="Z56" i="1"/>
  <c r="K56" i="1" a="1"/>
  <c r="K56" i="1" s="1"/>
  <c r="I57" i="1" s="1"/>
  <c r="Y56" i="1"/>
  <c r="AF57" i="1"/>
  <c r="AG57" i="1"/>
  <c r="O57" i="1"/>
  <c r="Q57" i="1" s="1"/>
  <c r="AC57" i="1"/>
  <c r="AB58" i="1"/>
  <c r="N59" i="1"/>
  <c r="P59" i="1" s="1"/>
  <c r="M60" i="1"/>
  <c r="X56" i="1"/>
  <c r="U57" i="1" s="1"/>
  <c r="J57" i="1"/>
  <c r="S59" i="1"/>
  <c r="W59" i="1" s="1"/>
  <c r="T58" i="1"/>
  <c r="V58" i="1" s="1"/>
  <c r="C56" i="1"/>
  <c r="A58" i="1"/>
  <c r="B57" i="1"/>
  <c r="G59" i="1"/>
  <c r="H58" i="1"/>
  <c r="E56" i="1" l="1"/>
  <c r="D57" i="1" s="1"/>
  <c r="AE57" i="1" s="1"/>
  <c r="AI57" i="1" s="1"/>
  <c r="AD56" i="1"/>
  <c r="AH56" i="1" s="1"/>
  <c r="Z57" i="1"/>
  <c r="K57" i="1" a="1"/>
  <c r="K57" i="1" s="1"/>
  <c r="I58" i="1" s="1"/>
  <c r="Y57" i="1"/>
  <c r="AF58" i="1"/>
  <c r="AG58" i="1"/>
  <c r="O58" i="1"/>
  <c r="Q58" i="1" s="1"/>
  <c r="AB59" i="1"/>
  <c r="AC58" i="1"/>
  <c r="M61" i="1"/>
  <c r="N60" i="1"/>
  <c r="P60" i="1" s="1"/>
  <c r="X57" i="1"/>
  <c r="U58" i="1" s="1"/>
  <c r="J58" i="1"/>
  <c r="T59" i="1"/>
  <c r="V59" i="1" s="1"/>
  <c r="S60" i="1"/>
  <c r="W60" i="1" s="1"/>
  <c r="C57" i="1"/>
  <c r="G60" i="1"/>
  <c r="H59" i="1"/>
  <c r="A59" i="1"/>
  <c r="B58" i="1"/>
  <c r="E57" i="1" l="1"/>
  <c r="D58" i="1" s="1"/>
  <c r="AE58" i="1" s="1"/>
  <c r="AI58" i="1" s="1"/>
  <c r="AD57" i="1"/>
  <c r="AH57" i="1" s="1"/>
  <c r="Z58" i="1"/>
  <c r="K58" i="1" a="1"/>
  <c r="K58" i="1" s="1"/>
  <c r="I59" i="1" s="1"/>
  <c r="Y58" i="1"/>
  <c r="AF59" i="1"/>
  <c r="AG59" i="1"/>
  <c r="O59" i="1"/>
  <c r="Q59" i="1" s="1"/>
  <c r="AC59" i="1"/>
  <c r="AB60" i="1"/>
  <c r="N61" i="1"/>
  <c r="P61" i="1" s="1"/>
  <c r="M62" i="1"/>
  <c r="X58" i="1"/>
  <c r="U59" i="1" s="1"/>
  <c r="J59" i="1"/>
  <c r="S61" i="1"/>
  <c r="W61" i="1" s="1"/>
  <c r="T60" i="1"/>
  <c r="V60" i="1" s="1"/>
  <c r="C58" i="1"/>
  <c r="A60" i="1"/>
  <c r="B59" i="1"/>
  <c r="H60" i="1"/>
  <c r="G61" i="1"/>
  <c r="Z59" i="1" l="1"/>
  <c r="E58" i="1"/>
  <c r="D59" i="1" s="1"/>
  <c r="AE59" i="1" s="1"/>
  <c r="AI59" i="1" s="1"/>
  <c r="AD58" i="1"/>
  <c r="AH58" i="1" s="1"/>
  <c r="K59" i="1" a="1"/>
  <c r="K59" i="1" s="1"/>
  <c r="I60" i="1" s="1"/>
  <c r="Y59" i="1"/>
  <c r="AF60" i="1"/>
  <c r="AG60" i="1"/>
  <c r="O60" i="1"/>
  <c r="Q60" i="1" s="1"/>
  <c r="AB61" i="1"/>
  <c r="AC60" i="1"/>
  <c r="X59" i="1"/>
  <c r="U60" i="1" s="1"/>
  <c r="M63" i="1"/>
  <c r="N62" i="1"/>
  <c r="P62" i="1" s="1"/>
  <c r="J60" i="1"/>
  <c r="T61" i="1"/>
  <c r="V61" i="1" s="1"/>
  <c r="S62" i="1"/>
  <c r="W62" i="1" s="1"/>
  <c r="C59" i="1"/>
  <c r="B60" i="1"/>
  <c r="A61" i="1"/>
  <c r="G62" i="1"/>
  <c r="H61" i="1"/>
  <c r="E59" i="1" l="1"/>
  <c r="D60" i="1" s="1"/>
  <c r="AE60" i="1" s="1"/>
  <c r="AD59" i="1"/>
  <c r="AH59" i="1" s="1"/>
  <c r="Z60" i="1"/>
  <c r="K60" i="1" a="1"/>
  <c r="K60" i="1" s="1"/>
  <c r="I61" i="1" s="1"/>
  <c r="AI60" i="1"/>
  <c r="Y60" i="1"/>
  <c r="AF61" i="1"/>
  <c r="AG61" i="1"/>
  <c r="O61" i="1"/>
  <c r="Q61" i="1" s="1"/>
  <c r="AB62" i="1"/>
  <c r="AC61" i="1"/>
  <c r="X60" i="1"/>
  <c r="U61" i="1" s="1"/>
  <c r="M64" i="1"/>
  <c r="N63" i="1"/>
  <c r="P63" i="1" s="1"/>
  <c r="J61" i="1"/>
  <c r="S63" i="1"/>
  <c r="W63" i="1" s="1"/>
  <c r="T62" i="1"/>
  <c r="V62" i="1" s="1"/>
  <c r="C60" i="1"/>
  <c r="A62" i="1"/>
  <c r="B61" i="1"/>
  <c r="G63" i="1"/>
  <c r="H62" i="1"/>
  <c r="E60" i="1" l="1"/>
  <c r="D61" i="1" s="1"/>
  <c r="AE61" i="1" s="1"/>
  <c r="AD60" i="1"/>
  <c r="AH60" i="1" s="1"/>
  <c r="Z61" i="1"/>
  <c r="K61" i="1" a="1"/>
  <c r="K61" i="1" s="1"/>
  <c r="I62" i="1" s="1"/>
  <c r="Y61" i="1"/>
  <c r="AI61" i="1"/>
  <c r="O62" i="1"/>
  <c r="Q62" i="1" s="1"/>
  <c r="AF62" i="1"/>
  <c r="AG62" i="1"/>
  <c r="AB63" i="1"/>
  <c r="AC62" i="1"/>
  <c r="N64" i="1"/>
  <c r="P64" i="1" s="1"/>
  <c r="M65" i="1"/>
  <c r="X61" i="1"/>
  <c r="U62" i="1" s="1"/>
  <c r="J62" i="1"/>
  <c r="S64" i="1"/>
  <c r="W64" i="1" s="1"/>
  <c r="T63" i="1"/>
  <c r="V63" i="1" s="1"/>
  <c r="C61" i="1"/>
  <c r="G64" i="1"/>
  <c r="H63" i="1"/>
  <c r="A63" i="1"/>
  <c r="B62" i="1"/>
  <c r="Z62" i="1" l="1"/>
  <c r="E61" i="1"/>
  <c r="D62" i="1" s="1"/>
  <c r="AE62" i="1" s="1"/>
  <c r="AD61" i="1"/>
  <c r="AH61" i="1" s="1"/>
  <c r="O63" i="1"/>
  <c r="Q63" i="1" s="1"/>
  <c r="K62" i="1" a="1"/>
  <c r="K62" i="1" s="1"/>
  <c r="I63" i="1" s="1"/>
  <c r="AI62" i="1"/>
  <c r="Y62" i="1"/>
  <c r="AF63" i="1"/>
  <c r="AG63" i="1"/>
  <c r="AB64" i="1"/>
  <c r="AC63" i="1"/>
  <c r="M66" i="1"/>
  <c r="N65" i="1"/>
  <c r="P65" i="1" s="1"/>
  <c r="X62" i="1"/>
  <c r="U63" i="1" s="1"/>
  <c r="J63" i="1"/>
  <c r="T64" i="1"/>
  <c r="V64" i="1" s="1"/>
  <c r="S65" i="1"/>
  <c r="W65" i="1" s="1"/>
  <c r="C62" i="1"/>
  <c r="A64" i="1"/>
  <c r="B63" i="1"/>
  <c r="H64" i="1"/>
  <c r="G65" i="1"/>
  <c r="E62" i="1" l="1"/>
  <c r="D63" i="1" s="1"/>
  <c r="AE63" i="1" s="1"/>
  <c r="AD62" i="1"/>
  <c r="AH62" i="1" s="1"/>
  <c r="Z63" i="1"/>
  <c r="O64" i="1"/>
  <c r="Q64" i="1" s="1"/>
  <c r="K63" i="1" a="1"/>
  <c r="K63" i="1" s="1"/>
  <c r="I64" i="1" s="1"/>
  <c r="Y63" i="1"/>
  <c r="AI63" i="1"/>
  <c r="AF64" i="1"/>
  <c r="AG64" i="1"/>
  <c r="AC64" i="1"/>
  <c r="AB65" i="1"/>
  <c r="M67" i="1"/>
  <c r="N66" i="1"/>
  <c r="P66" i="1" s="1"/>
  <c r="X63" i="1"/>
  <c r="U64" i="1" s="1"/>
  <c r="J64" i="1"/>
  <c r="S66" i="1"/>
  <c r="W66" i="1" s="1"/>
  <c r="T65" i="1"/>
  <c r="V65" i="1" s="1"/>
  <c r="C63" i="1"/>
  <c r="G66" i="1"/>
  <c r="H65" i="1"/>
  <c r="B64" i="1"/>
  <c r="A65" i="1"/>
  <c r="E63" i="1" l="1"/>
  <c r="D64" i="1" s="1"/>
  <c r="AE64" i="1" s="1"/>
  <c r="AI64" i="1" s="1"/>
  <c r="AD63" i="1"/>
  <c r="AH63" i="1" s="1"/>
  <c r="O65" i="1"/>
  <c r="Q65" i="1" s="1"/>
  <c r="Z64" i="1"/>
  <c r="K64" i="1" a="1"/>
  <c r="K64" i="1" s="1"/>
  <c r="I65" i="1" s="1"/>
  <c r="Y64" i="1"/>
  <c r="AF65" i="1"/>
  <c r="AG65" i="1"/>
  <c r="AC65" i="1"/>
  <c r="AB66" i="1"/>
  <c r="N67" i="1"/>
  <c r="P67" i="1" s="1"/>
  <c r="M68" i="1"/>
  <c r="X64" i="1"/>
  <c r="U65" i="1" s="1"/>
  <c r="J65" i="1"/>
  <c r="T66" i="1"/>
  <c r="V66" i="1" s="1"/>
  <c r="S67" i="1"/>
  <c r="W67" i="1" s="1"/>
  <c r="C64" i="1"/>
  <c r="A66" i="1"/>
  <c r="B65" i="1"/>
  <c r="G67" i="1"/>
  <c r="H66" i="1"/>
  <c r="E64" i="1" l="1"/>
  <c r="D65" i="1" s="1"/>
  <c r="AE65" i="1" s="1"/>
  <c r="AD64" i="1"/>
  <c r="AH64" i="1" s="1"/>
  <c r="Z65" i="1"/>
  <c r="O66" i="1"/>
  <c r="Q66" i="1" s="1"/>
  <c r="AI65" i="1"/>
  <c r="K65" i="1" a="1"/>
  <c r="K65" i="1" s="1"/>
  <c r="I66" i="1" s="1"/>
  <c r="Y65" i="1"/>
  <c r="AF66" i="1"/>
  <c r="AG66" i="1"/>
  <c r="AB67" i="1"/>
  <c r="AC66" i="1"/>
  <c r="M69" i="1"/>
  <c r="N68" i="1"/>
  <c r="P68" i="1" s="1"/>
  <c r="X65" i="1"/>
  <c r="U66" i="1" s="1"/>
  <c r="J66" i="1"/>
  <c r="T67" i="1"/>
  <c r="V67" i="1" s="1"/>
  <c r="S68" i="1"/>
  <c r="W68" i="1" s="1"/>
  <c r="C65" i="1"/>
  <c r="G68" i="1"/>
  <c r="H67" i="1"/>
  <c r="A67" i="1"/>
  <c r="B66" i="1"/>
  <c r="E65" i="1" l="1"/>
  <c r="D66" i="1" s="1"/>
  <c r="AE66" i="1" s="1"/>
  <c r="AD65" i="1"/>
  <c r="AH65" i="1" s="1"/>
  <c r="AI66" i="1"/>
  <c r="O67" i="1"/>
  <c r="Q67" i="1" s="1"/>
  <c r="Z66" i="1"/>
  <c r="K66" i="1" a="1"/>
  <c r="K66" i="1" s="1"/>
  <c r="I67" i="1" s="1"/>
  <c r="Y66" i="1"/>
  <c r="AF67" i="1"/>
  <c r="AG67" i="1"/>
  <c r="AC67" i="1"/>
  <c r="AB68" i="1"/>
  <c r="N69" i="1"/>
  <c r="P69" i="1" s="1"/>
  <c r="M70" i="1"/>
  <c r="X66" i="1"/>
  <c r="U67" i="1" s="1"/>
  <c r="J67" i="1"/>
  <c r="S69" i="1"/>
  <c r="W69" i="1" s="1"/>
  <c r="T68" i="1"/>
  <c r="V68" i="1" s="1"/>
  <c r="C66" i="1"/>
  <c r="B67" i="1"/>
  <c r="A68" i="1"/>
  <c r="H68" i="1"/>
  <c r="G69" i="1"/>
  <c r="Z67" i="1" l="1"/>
  <c r="O68" i="1"/>
  <c r="Q68" i="1" s="1"/>
  <c r="E66" i="1"/>
  <c r="D67" i="1" s="1"/>
  <c r="AE67" i="1" s="1"/>
  <c r="AD66" i="1"/>
  <c r="AH66" i="1" s="1"/>
  <c r="AI67" i="1"/>
  <c r="K67" i="1" a="1"/>
  <c r="K67" i="1" s="1"/>
  <c r="I68" i="1" s="1"/>
  <c r="Y67" i="1"/>
  <c r="AF68" i="1"/>
  <c r="AG68" i="1"/>
  <c r="AB69" i="1"/>
  <c r="AC68" i="1"/>
  <c r="N70" i="1"/>
  <c r="P70" i="1" s="1"/>
  <c r="M71" i="1"/>
  <c r="X67" i="1"/>
  <c r="U68" i="1" s="1"/>
  <c r="J68" i="1"/>
  <c r="T69" i="1"/>
  <c r="V69" i="1" s="1"/>
  <c r="S70" i="1"/>
  <c r="W70" i="1" s="1"/>
  <c r="C67" i="1"/>
  <c r="B68" i="1"/>
  <c r="A69" i="1"/>
  <c r="H69" i="1"/>
  <c r="G70" i="1"/>
  <c r="O69" i="1" l="1"/>
  <c r="Q69" i="1" s="1"/>
  <c r="E67" i="1"/>
  <c r="D68" i="1" s="1"/>
  <c r="AE68" i="1" s="1"/>
  <c r="AI68" i="1" s="1"/>
  <c r="AD67" i="1"/>
  <c r="AH67" i="1" s="1"/>
  <c r="Z68" i="1"/>
  <c r="K68" i="1" a="1"/>
  <c r="K68" i="1" s="1"/>
  <c r="I69" i="1" s="1"/>
  <c r="Y68" i="1"/>
  <c r="AF69" i="1"/>
  <c r="AG69" i="1"/>
  <c r="AB70" i="1"/>
  <c r="AC69" i="1"/>
  <c r="X68" i="1"/>
  <c r="U69" i="1" s="1"/>
  <c r="M72" i="1"/>
  <c r="N71" i="1"/>
  <c r="P71" i="1" s="1"/>
  <c r="J69" i="1"/>
  <c r="S71" i="1"/>
  <c r="W71" i="1" s="1"/>
  <c r="T70" i="1"/>
  <c r="V70" i="1" s="1"/>
  <c r="C68" i="1"/>
  <c r="G71" i="1"/>
  <c r="H70" i="1"/>
  <c r="A70" i="1"/>
  <c r="B69" i="1"/>
  <c r="O70" i="1" l="1"/>
  <c r="Q70" i="1" s="1"/>
  <c r="E68" i="1"/>
  <c r="D69" i="1" s="1"/>
  <c r="AE69" i="1" s="1"/>
  <c r="AI69" i="1" s="1"/>
  <c r="AD68" i="1"/>
  <c r="AH68" i="1" s="1"/>
  <c r="Z69" i="1"/>
  <c r="K69" i="1" a="1"/>
  <c r="K69" i="1" s="1"/>
  <c r="I70" i="1" s="1"/>
  <c r="Y69" i="1"/>
  <c r="AF70" i="1"/>
  <c r="AG70" i="1"/>
  <c r="AB71" i="1"/>
  <c r="AC70" i="1"/>
  <c r="N72" i="1"/>
  <c r="P72" i="1" s="1"/>
  <c r="M73" i="1"/>
  <c r="X69" i="1"/>
  <c r="U70" i="1" s="1"/>
  <c r="J70" i="1"/>
  <c r="S72" i="1"/>
  <c r="W72" i="1" s="1"/>
  <c r="T71" i="1"/>
  <c r="V71" i="1" s="1"/>
  <c r="C69" i="1"/>
  <c r="A71" i="1"/>
  <c r="B70" i="1"/>
  <c r="G72" i="1"/>
  <c r="H71" i="1"/>
  <c r="O71" i="1" l="1"/>
  <c r="Q71" i="1" s="1"/>
  <c r="E69" i="1"/>
  <c r="D70" i="1" s="1"/>
  <c r="AE70" i="1" s="1"/>
  <c r="AD69" i="1"/>
  <c r="AH69" i="1" s="1"/>
  <c r="AI70" i="1"/>
  <c r="Z70" i="1"/>
  <c r="K70" i="1" a="1"/>
  <c r="K70" i="1" s="1"/>
  <c r="I71" i="1" s="1"/>
  <c r="Y70" i="1"/>
  <c r="AF71" i="1"/>
  <c r="AG71" i="1"/>
  <c r="AB72" i="1"/>
  <c r="AC71" i="1"/>
  <c r="M74" i="1"/>
  <c r="N73" i="1"/>
  <c r="P73" i="1" s="1"/>
  <c r="X70" i="1"/>
  <c r="U71" i="1" s="1"/>
  <c r="J71" i="1"/>
  <c r="T72" i="1"/>
  <c r="V72" i="1" s="1"/>
  <c r="S73" i="1"/>
  <c r="W73" i="1" s="1"/>
  <c r="C70" i="1"/>
  <c r="H72" i="1"/>
  <c r="G73" i="1"/>
  <c r="A72" i="1"/>
  <c r="B71" i="1"/>
  <c r="O72" i="1" l="1"/>
  <c r="Q72" i="1" s="1"/>
  <c r="Z71" i="1"/>
  <c r="E70" i="1"/>
  <c r="D71" i="1" s="1"/>
  <c r="AE71" i="1" s="1"/>
  <c r="AI71" i="1" s="1"/>
  <c r="AD70" i="1"/>
  <c r="AH70" i="1" s="1"/>
  <c r="K71" i="1" a="1"/>
  <c r="K71" i="1" s="1"/>
  <c r="I72" i="1" s="1"/>
  <c r="Y71" i="1"/>
  <c r="AF72" i="1"/>
  <c r="AG72" i="1"/>
  <c r="AC72" i="1"/>
  <c r="AB73" i="1"/>
  <c r="N74" i="1"/>
  <c r="P74" i="1" s="1"/>
  <c r="M75" i="1"/>
  <c r="X71" i="1"/>
  <c r="U72" i="1" s="1"/>
  <c r="J72" i="1"/>
  <c r="S74" i="1"/>
  <c r="W74" i="1" s="1"/>
  <c r="T73" i="1"/>
  <c r="V73" i="1" s="1"/>
  <c r="C71" i="1"/>
  <c r="B72" i="1"/>
  <c r="A73" i="1"/>
  <c r="G74" i="1"/>
  <c r="H73" i="1"/>
  <c r="Z72" i="1" l="1"/>
  <c r="O73" i="1"/>
  <c r="Q73" i="1" s="1"/>
  <c r="E71" i="1"/>
  <c r="D72" i="1" s="1"/>
  <c r="AE72" i="1" s="1"/>
  <c r="AD71" i="1"/>
  <c r="AH71" i="1" s="1"/>
  <c r="AI72" i="1"/>
  <c r="K72" i="1" a="1"/>
  <c r="K72" i="1" s="1"/>
  <c r="I73" i="1" s="1"/>
  <c r="Y72" i="1"/>
  <c r="AF73" i="1"/>
  <c r="AG73" i="1"/>
  <c r="AB74" i="1"/>
  <c r="AC73" i="1"/>
  <c r="N75" i="1"/>
  <c r="P75" i="1" s="1"/>
  <c r="M76" i="1"/>
  <c r="X72" i="1"/>
  <c r="U73" i="1" s="1"/>
  <c r="J73" i="1"/>
  <c r="T74" i="1"/>
  <c r="V74" i="1" s="1"/>
  <c r="S75" i="1"/>
  <c r="W75" i="1" s="1"/>
  <c r="C72" i="1"/>
  <c r="G75" i="1"/>
  <c r="H74" i="1"/>
  <c r="A74" i="1"/>
  <c r="B73" i="1"/>
  <c r="O74" i="1" l="1"/>
  <c r="Q74" i="1" s="1"/>
  <c r="Z73" i="1"/>
  <c r="E72" i="1"/>
  <c r="D73" i="1" s="1"/>
  <c r="AE73" i="1" s="1"/>
  <c r="AI73" i="1" s="1"/>
  <c r="AD72" i="1"/>
  <c r="AH72" i="1" s="1"/>
  <c r="K73" i="1" a="1"/>
  <c r="K73" i="1" s="1"/>
  <c r="I74" i="1" s="1"/>
  <c r="Y73" i="1"/>
  <c r="AF74" i="1"/>
  <c r="AG74" i="1"/>
  <c r="AB75" i="1"/>
  <c r="AC74" i="1"/>
  <c r="M77" i="1"/>
  <c r="N76" i="1"/>
  <c r="P76" i="1" s="1"/>
  <c r="X73" i="1"/>
  <c r="U74" i="1" s="1"/>
  <c r="J74" i="1"/>
  <c r="T75" i="1"/>
  <c r="V75" i="1" s="1"/>
  <c r="S76" i="1"/>
  <c r="W76" i="1" s="1"/>
  <c r="C73" i="1"/>
  <c r="G76" i="1"/>
  <c r="H75" i="1"/>
  <c r="A75" i="1"/>
  <c r="B74" i="1"/>
  <c r="O75" i="1" l="1"/>
  <c r="Q75" i="1" s="1"/>
  <c r="E73" i="1"/>
  <c r="D74" i="1" s="1"/>
  <c r="AE74" i="1" s="1"/>
  <c r="AD73" i="1"/>
  <c r="AH73" i="1" s="1"/>
  <c r="AI74" i="1"/>
  <c r="Z74" i="1"/>
  <c r="K74" i="1" a="1"/>
  <c r="K74" i="1" s="1"/>
  <c r="I75" i="1" s="1"/>
  <c r="Y74" i="1"/>
  <c r="AF75" i="1"/>
  <c r="AG75" i="1"/>
  <c r="AC75" i="1"/>
  <c r="AB76" i="1"/>
  <c r="N77" i="1"/>
  <c r="P77" i="1" s="1"/>
  <c r="M78" i="1"/>
  <c r="X74" i="1"/>
  <c r="U75" i="1" s="1"/>
  <c r="J75" i="1"/>
  <c r="S77" i="1"/>
  <c r="W77" i="1" s="1"/>
  <c r="T76" i="1"/>
  <c r="V76" i="1" s="1"/>
  <c r="C74" i="1"/>
  <c r="A76" i="1"/>
  <c r="B75" i="1"/>
  <c r="H76" i="1"/>
  <c r="G77" i="1"/>
  <c r="O76" i="1" l="1"/>
  <c r="Q76" i="1" s="1"/>
  <c r="E74" i="1"/>
  <c r="D75" i="1" s="1"/>
  <c r="AE75" i="1" s="1"/>
  <c r="AD74" i="1"/>
  <c r="AH74" i="1" s="1"/>
  <c r="Z75" i="1"/>
  <c r="AI75" i="1"/>
  <c r="K75" i="1" a="1"/>
  <c r="K75" i="1" s="1"/>
  <c r="I76" i="1" s="1"/>
  <c r="Y75" i="1"/>
  <c r="AF76" i="1"/>
  <c r="AG76" i="1"/>
  <c r="AB77" i="1"/>
  <c r="AC76" i="1"/>
  <c r="X75" i="1"/>
  <c r="U76" i="1" s="1"/>
  <c r="M79" i="1"/>
  <c r="N78" i="1"/>
  <c r="P78" i="1" s="1"/>
  <c r="O77" i="1"/>
  <c r="Q77" i="1" s="1"/>
  <c r="J76" i="1"/>
  <c r="T77" i="1"/>
  <c r="V77" i="1" s="1"/>
  <c r="S78" i="1"/>
  <c r="W78" i="1" s="1"/>
  <c r="C75" i="1"/>
  <c r="G78" i="1"/>
  <c r="H77" i="1"/>
  <c r="A77" i="1"/>
  <c r="B76" i="1"/>
  <c r="E75" i="1" l="1"/>
  <c r="D76" i="1" s="1"/>
  <c r="AE76" i="1" s="1"/>
  <c r="AI76" i="1" s="1"/>
  <c r="AD75" i="1"/>
  <c r="AH75" i="1" s="1"/>
  <c r="Z76" i="1"/>
  <c r="K76" i="1" a="1"/>
  <c r="K76" i="1" s="1"/>
  <c r="I77" i="1" s="1"/>
  <c r="Y76" i="1"/>
  <c r="AF77" i="1"/>
  <c r="AG77" i="1"/>
  <c r="AC77" i="1"/>
  <c r="AB78" i="1"/>
  <c r="X76" i="1"/>
  <c r="U77" i="1" s="1"/>
  <c r="O78" i="1"/>
  <c r="Q78" i="1" s="1"/>
  <c r="M80" i="1"/>
  <c r="N79" i="1"/>
  <c r="P79" i="1" s="1"/>
  <c r="J77" i="1"/>
  <c r="S79" i="1"/>
  <c r="W79" i="1" s="1"/>
  <c r="T78" i="1"/>
  <c r="V78" i="1" s="1"/>
  <c r="C76" i="1"/>
  <c r="G79" i="1"/>
  <c r="H78" i="1"/>
  <c r="A78" i="1"/>
  <c r="B77" i="1"/>
  <c r="E76" i="1" l="1"/>
  <c r="D77" i="1" s="1"/>
  <c r="AE77" i="1" s="1"/>
  <c r="AD76" i="1"/>
  <c r="AH76" i="1" s="1"/>
  <c r="Z77" i="1"/>
  <c r="K77" i="1" a="1"/>
  <c r="K77" i="1" s="1"/>
  <c r="I78" i="1" s="1"/>
  <c r="Y77" i="1"/>
  <c r="AI77" i="1"/>
  <c r="AF78" i="1"/>
  <c r="AG78" i="1"/>
  <c r="AC78" i="1"/>
  <c r="AB79" i="1"/>
  <c r="X77" i="1"/>
  <c r="U78" i="1" s="1"/>
  <c r="O79" i="1"/>
  <c r="Q79" i="1" s="1"/>
  <c r="N80" i="1"/>
  <c r="P80" i="1" s="1"/>
  <c r="M81" i="1"/>
  <c r="J78" i="1"/>
  <c r="S80" i="1"/>
  <c r="W80" i="1" s="1"/>
  <c r="T79" i="1"/>
  <c r="V79" i="1" s="1"/>
  <c r="C77" i="1"/>
  <c r="A79" i="1"/>
  <c r="B78" i="1"/>
  <c r="G80" i="1"/>
  <c r="H79" i="1"/>
  <c r="E77" i="1" l="1"/>
  <c r="D78" i="1" s="1"/>
  <c r="AE78" i="1" s="1"/>
  <c r="AI78" i="1" s="1"/>
  <c r="AD77" i="1"/>
  <c r="AH77" i="1" s="1"/>
  <c r="Z78" i="1"/>
  <c r="K78" i="1" a="1"/>
  <c r="K78" i="1" s="1"/>
  <c r="I79" i="1" s="1"/>
  <c r="Y78" i="1"/>
  <c r="AF79" i="1"/>
  <c r="AG79" i="1"/>
  <c r="AB80" i="1"/>
  <c r="AC79" i="1"/>
  <c r="M82" i="1"/>
  <c r="N81" i="1"/>
  <c r="P81" i="1" s="1"/>
  <c r="O80" i="1"/>
  <c r="Q80" i="1" s="1"/>
  <c r="X78" i="1"/>
  <c r="U79" i="1" s="1"/>
  <c r="J79" i="1"/>
  <c r="T80" i="1"/>
  <c r="V80" i="1" s="1"/>
  <c r="S81" i="1"/>
  <c r="W81" i="1" s="1"/>
  <c r="C78" i="1"/>
  <c r="B79" i="1"/>
  <c r="A80" i="1"/>
  <c r="H80" i="1"/>
  <c r="G81" i="1"/>
  <c r="E78" i="1" l="1"/>
  <c r="D79" i="1" s="1"/>
  <c r="AE79" i="1" s="1"/>
  <c r="AI79" i="1" s="1"/>
  <c r="AD78" i="1"/>
  <c r="AH78" i="1" s="1"/>
  <c r="Z79" i="1"/>
  <c r="K79" i="1" a="1"/>
  <c r="K79" i="1" s="1"/>
  <c r="I80" i="1" s="1"/>
  <c r="Y79" i="1"/>
  <c r="AF80" i="1"/>
  <c r="AG80" i="1"/>
  <c r="AC80" i="1"/>
  <c r="AB81" i="1"/>
  <c r="X79" i="1"/>
  <c r="U80" i="1" s="1"/>
  <c r="O81" i="1"/>
  <c r="Q81" i="1" s="1"/>
  <c r="N82" i="1"/>
  <c r="P82" i="1" s="1"/>
  <c r="M83" i="1"/>
  <c r="J80" i="1"/>
  <c r="S82" i="1"/>
  <c r="W82" i="1" s="1"/>
  <c r="T81" i="1"/>
  <c r="V81" i="1" s="1"/>
  <c r="C79" i="1"/>
  <c r="G82" i="1"/>
  <c r="H81" i="1"/>
  <c r="B80" i="1"/>
  <c r="A81" i="1"/>
  <c r="E79" i="1" l="1"/>
  <c r="D80" i="1" s="1"/>
  <c r="AE80" i="1" s="1"/>
  <c r="AD79" i="1"/>
  <c r="AH79" i="1" s="1"/>
  <c r="AI80" i="1"/>
  <c r="Z80" i="1"/>
  <c r="K80" i="1" a="1"/>
  <c r="K80" i="1" s="1"/>
  <c r="I81" i="1" s="1"/>
  <c r="Y80" i="1"/>
  <c r="AF81" i="1"/>
  <c r="AG81" i="1"/>
  <c r="AB82" i="1"/>
  <c r="AC81" i="1"/>
  <c r="O82" i="1"/>
  <c r="Q82" i="1" s="1"/>
  <c r="N83" i="1"/>
  <c r="P83" i="1" s="1"/>
  <c r="M84" i="1"/>
  <c r="X80" i="1"/>
  <c r="U81" i="1" s="1"/>
  <c r="J81" i="1"/>
  <c r="T82" i="1"/>
  <c r="V82" i="1" s="1"/>
  <c r="S83" i="1"/>
  <c r="W83" i="1" s="1"/>
  <c r="C80" i="1"/>
  <c r="A82" i="1"/>
  <c r="B81" i="1"/>
  <c r="G83" i="1"/>
  <c r="H82" i="1"/>
  <c r="E80" i="1" l="1"/>
  <c r="D81" i="1" s="1"/>
  <c r="AE81" i="1" s="1"/>
  <c r="AI81" i="1" s="1"/>
  <c r="AD80" i="1"/>
  <c r="AH80" i="1" s="1"/>
  <c r="Z81" i="1"/>
  <c r="K81" i="1" a="1"/>
  <c r="K81" i="1" s="1"/>
  <c r="I82" i="1" s="1"/>
  <c r="Y81" i="1"/>
  <c r="AF82" i="1"/>
  <c r="AG82" i="1"/>
  <c r="AB83" i="1"/>
  <c r="AC82" i="1"/>
  <c r="M85" i="1"/>
  <c r="N84" i="1"/>
  <c r="P84" i="1" s="1"/>
  <c r="O83" i="1"/>
  <c r="Q83" i="1" s="1"/>
  <c r="X81" i="1"/>
  <c r="U82" i="1" s="1"/>
  <c r="J82" i="1"/>
  <c r="T83" i="1"/>
  <c r="V83" i="1" s="1"/>
  <c r="S84" i="1"/>
  <c r="W84" i="1" s="1"/>
  <c r="C81" i="1"/>
  <c r="G84" i="1"/>
  <c r="H83" i="1"/>
  <c r="A83" i="1"/>
  <c r="B82" i="1"/>
  <c r="E81" i="1" l="1"/>
  <c r="D82" i="1" s="1"/>
  <c r="AE82" i="1" s="1"/>
  <c r="AD81" i="1"/>
  <c r="AH81" i="1" s="1"/>
  <c r="AI82" i="1"/>
  <c r="Z82" i="1"/>
  <c r="K82" i="1" a="1"/>
  <c r="K82" i="1" s="1"/>
  <c r="I83" i="1" s="1"/>
  <c r="Y82" i="1"/>
  <c r="AF83" i="1"/>
  <c r="AG83" i="1"/>
  <c r="AC83" i="1"/>
  <c r="AB84" i="1"/>
  <c r="X82" i="1"/>
  <c r="U83" i="1" s="1"/>
  <c r="O84" i="1"/>
  <c r="Q84" i="1" s="1"/>
  <c r="N85" i="1"/>
  <c r="P85" i="1" s="1"/>
  <c r="M86" i="1"/>
  <c r="J83" i="1"/>
  <c r="S85" i="1"/>
  <c r="W85" i="1" s="1"/>
  <c r="T84" i="1"/>
  <c r="V84" i="1" s="1"/>
  <c r="C82" i="1"/>
  <c r="H84" i="1"/>
  <c r="G85" i="1"/>
  <c r="A84" i="1"/>
  <c r="B83" i="1"/>
  <c r="E82" i="1" l="1"/>
  <c r="D83" i="1" s="1"/>
  <c r="AE83" i="1" s="1"/>
  <c r="AI83" i="1" s="1"/>
  <c r="AD82" i="1"/>
  <c r="AH82" i="1" s="1"/>
  <c r="Z83" i="1"/>
  <c r="K83" i="1" a="1"/>
  <c r="K83" i="1" s="1"/>
  <c r="I84" i="1" s="1"/>
  <c r="X83" i="1"/>
  <c r="U84" i="1" s="1"/>
  <c r="Y83" i="1"/>
  <c r="AF84" i="1"/>
  <c r="AG84" i="1"/>
  <c r="AB85" i="1"/>
  <c r="AC84" i="1"/>
  <c r="M87" i="1"/>
  <c r="N86" i="1"/>
  <c r="P86" i="1" s="1"/>
  <c r="O85" i="1"/>
  <c r="Q85" i="1" s="1"/>
  <c r="J84" i="1"/>
  <c r="T85" i="1"/>
  <c r="V85" i="1" s="1"/>
  <c r="S86" i="1"/>
  <c r="W86" i="1" s="1"/>
  <c r="C83" i="1"/>
  <c r="A85" i="1"/>
  <c r="B84" i="1"/>
  <c r="G86" i="1"/>
  <c r="H85" i="1"/>
  <c r="E83" i="1" l="1"/>
  <c r="D84" i="1" s="1"/>
  <c r="AE84" i="1" s="1"/>
  <c r="AD83" i="1"/>
  <c r="AH83" i="1" s="1"/>
  <c r="Z84" i="1"/>
  <c r="AI84" i="1"/>
  <c r="K84" i="1" a="1"/>
  <c r="K84" i="1" s="1"/>
  <c r="I85" i="1" s="1"/>
  <c r="Y84" i="1"/>
  <c r="AF85" i="1"/>
  <c r="AG85" i="1"/>
  <c r="AC85" i="1"/>
  <c r="AB86" i="1"/>
  <c r="O86" i="1"/>
  <c r="Q86" i="1" s="1"/>
  <c r="M88" i="1"/>
  <c r="N87" i="1"/>
  <c r="P87" i="1" s="1"/>
  <c r="X84" i="1"/>
  <c r="U85" i="1" s="1"/>
  <c r="J85" i="1"/>
  <c r="S87" i="1"/>
  <c r="W87" i="1" s="1"/>
  <c r="T86" i="1"/>
  <c r="V86" i="1" s="1"/>
  <c r="C84" i="1"/>
  <c r="G87" i="1"/>
  <c r="H86" i="1"/>
  <c r="A86" i="1"/>
  <c r="B85" i="1"/>
  <c r="E84" i="1" l="1"/>
  <c r="D85" i="1" s="1"/>
  <c r="AE85" i="1" s="1"/>
  <c r="AI85" i="1" s="1"/>
  <c r="AD84" i="1"/>
  <c r="AH84" i="1" s="1"/>
  <c r="Z85" i="1"/>
  <c r="K85" i="1" a="1"/>
  <c r="K85" i="1" s="1"/>
  <c r="I86" i="1" s="1"/>
  <c r="Y85" i="1"/>
  <c r="AF86" i="1"/>
  <c r="AG86" i="1"/>
  <c r="AB87" i="1"/>
  <c r="AC86" i="1"/>
  <c r="X85" i="1"/>
  <c r="U86" i="1" s="1"/>
  <c r="O87" i="1"/>
  <c r="Q87" i="1" s="1"/>
  <c r="N88" i="1"/>
  <c r="P88" i="1" s="1"/>
  <c r="M89" i="1"/>
  <c r="J86" i="1"/>
  <c r="S88" i="1"/>
  <c r="W88" i="1" s="1"/>
  <c r="T87" i="1"/>
  <c r="V87" i="1" s="1"/>
  <c r="C85" i="1"/>
  <c r="A87" i="1"/>
  <c r="B86" i="1"/>
  <c r="G88" i="1"/>
  <c r="H87" i="1"/>
  <c r="E85" i="1" l="1"/>
  <c r="D86" i="1" s="1"/>
  <c r="AE86" i="1" s="1"/>
  <c r="AI86" i="1" s="1"/>
  <c r="AD85" i="1"/>
  <c r="AH85" i="1" s="1"/>
  <c r="Z86" i="1"/>
  <c r="K86" i="1" a="1"/>
  <c r="K86" i="1" s="1"/>
  <c r="I87" i="1" s="1"/>
  <c r="Y86" i="1"/>
  <c r="AF87" i="1"/>
  <c r="AG87" i="1"/>
  <c r="AB88" i="1"/>
  <c r="AC87" i="1"/>
  <c r="X86" i="1"/>
  <c r="U87" i="1" s="1"/>
  <c r="M90" i="1"/>
  <c r="N89" i="1"/>
  <c r="P89" i="1" s="1"/>
  <c r="O88" i="1"/>
  <c r="Q88" i="1" s="1"/>
  <c r="J87" i="1"/>
  <c r="T88" i="1"/>
  <c r="V88" i="1" s="1"/>
  <c r="S89" i="1"/>
  <c r="W89" i="1" s="1"/>
  <c r="C86" i="1"/>
  <c r="H88" i="1"/>
  <c r="G89" i="1"/>
  <c r="B87" i="1"/>
  <c r="A88" i="1"/>
  <c r="E86" i="1" l="1"/>
  <c r="D87" i="1" s="1"/>
  <c r="AE87" i="1" s="1"/>
  <c r="AD86" i="1"/>
  <c r="AH86" i="1" s="1"/>
  <c r="Z87" i="1"/>
  <c r="AI87" i="1"/>
  <c r="K87" i="1" a="1"/>
  <c r="K87" i="1" s="1"/>
  <c r="I88" i="1" s="1"/>
  <c r="Y87" i="1"/>
  <c r="AF88" i="1"/>
  <c r="AG88" i="1"/>
  <c r="AC88" i="1"/>
  <c r="AB89" i="1"/>
  <c r="O89" i="1"/>
  <c r="Q89" i="1" s="1"/>
  <c r="N90" i="1"/>
  <c r="P90" i="1" s="1"/>
  <c r="M91" i="1"/>
  <c r="X87" i="1"/>
  <c r="U88" i="1" s="1"/>
  <c r="J88" i="1"/>
  <c r="S90" i="1"/>
  <c r="W90" i="1" s="1"/>
  <c r="T89" i="1"/>
  <c r="V89" i="1" s="1"/>
  <c r="C87" i="1"/>
  <c r="B88" i="1"/>
  <c r="A89" i="1"/>
  <c r="G90" i="1"/>
  <c r="H89" i="1"/>
  <c r="Z88" i="1" l="1"/>
  <c r="E87" i="1"/>
  <c r="D88" i="1" s="1"/>
  <c r="AE88" i="1" s="1"/>
  <c r="AD87" i="1"/>
  <c r="AH87" i="1" s="1"/>
  <c r="AI88" i="1"/>
  <c r="K88" i="1" a="1"/>
  <c r="K88" i="1" s="1"/>
  <c r="I89" i="1" s="1"/>
  <c r="Y88" i="1"/>
  <c r="AF89" i="1"/>
  <c r="AG89" i="1"/>
  <c r="AB90" i="1"/>
  <c r="AC89" i="1"/>
  <c r="O90" i="1"/>
  <c r="Q90" i="1" s="1"/>
  <c r="N91" i="1"/>
  <c r="P91" i="1" s="1"/>
  <c r="M92" i="1"/>
  <c r="X88" i="1"/>
  <c r="U89" i="1" s="1"/>
  <c r="J89" i="1"/>
  <c r="T90" i="1"/>
  <c r="V90" i="1" s="1"/>
  <c r="S91" i="1"/>
  <c r="W91" i="1" s="1"/>
  <c r="C88" i="1"/>
  <c r="G91" i="1"/>
  <c r="H90" i="1"/>
  <c r="A90" i="1"/>
  <c r="B89" i="1"/>
  <c r="E88" i="1" l="1"/>
  <c r="D89" i="1" s="1"/>
  <c r="AE89" i="1" s="1"/>
  <c r="AD88" i="1"/>
  <c r="AH88" i="1" s="1"/>
  <c r="AI89" i="1"/>
  <c r="Z89" i="1"/>
  <c r="K89" i="1" a="1"/>
  <c r="K89" i="1" s="1"/>
  <c r="I90" i="1" s="1"/>
  <c r="Y89" i="1"/>
  <c r="AF90" i="1"/>
  <c r="AG90" i="1"/>
  <c r="AB91" i="1"/>
  <c r="AC90" i="1"/>
  <c r="M93" i="1"/>
  <c r="N92" i="1"/>
  <c r="P92" i="1" s="1"/>
  <c r="O91" i="1"/>
  <c r="Q91" i="1" s="1"/>
  <c r="X89" i="1"/>
  <c r="U90" i="1" s="1"/>
  <c r="J90" i="1"/>
  <c r="T91" i="1"/>
  <c r="V91" i="1" s="1"/>
  <c r="S92" i="1"/>
  <c r="W92" i="1" s="1"/>
  <c r="C89" i="1"/>
  <c r="G92" i="1"/>
  <c r="H91" i="1"/>
  <c r="A91" i="1"/>
  <c r="B90" i="1"/>
  <c r="E89" i="1" l="1"/>
  <c r="D90" i="1" s="1"/>
  <c r="AE90" i="1" s="1"/>
  <c r="AD89" i="1"/>
  <c r="AH89" i="1" s="1"/>
  <c r="AI90" i="1"/>
  <c r="Z90" i="1"/>
  <c r="K90" i="1" a="1"/>
  <c r="K90" i="1" s="1"/>
  <c r="I91" i="1" s="1"/>
  <c r="Y90" i="1"/>
  <c r="AF91" i="1"/>
  <c r="AG91" i="1"/>
  <c r="AC91" i="1"/>
  <c r="AB92" i="1"/>
  <c r="O92" i="1"/>
  <c r="Q92" i="1" s="1"/>
  <c r="N93" i="1"/>
  <c r="P93" i="1" s="1"/>
  <c r="M94" i="1"/>
  <c r="X90" i="1"/>
  <c r="U91" i="1" s="1"/>
  <c r="J91" i="1"/>
  <c r="S93" i="1"/>
  <c r="W93" i="1" s="1"/>
  <c r="T92" i="1"/>
  <c r="V92" i="1" s="1"/>
  <c r="C90" i="1"/>
  <c r="B91" i="1"/>
  <c r="A92" i="1"/>
  <c r="H92" i="1"/>
  <c r="G93" i="1"/>
  <c r="E90" i="1" l="1"/>
  <c r="D91" i="1" s="1"/>
  <c r="AE91" i="1" s="1"/>
  <c r="AI91" i="1" s="1"/>
  <c r="AD90" i="1"/>
  <c r="AH90" i="1" s="1"/>
  <c r="Z91" i="1"/>
  <c r="K91" i="1" a="1"/>
  <c r="K91" i="1" s="1"/>
  <c r="I92" i="1" s="1"/>
  <c r="Y91" i="1"/>
  <c r="AF92" i="1"/>
  <c r="AG92" i="1"/>
  <c r="AB93" i="1"/>
  <c r="AC92" i="1"/>
  <c r="M95" i="1"/>
  <c r="N94" i="1"/>
  <c r="P94" i="1" s="1"/>
  <c r="O93" i="1"/>
  <c r="Q93" i="1" s="1"/>
  <c r="X91" i="1"/>
  <c r="U92" i="1" s="1"/>
  <c r="J92" i="1"/>
  <c r="T93" i="1"/>
  <c r="V93" i="1" s="1"/>
  <c r="S94" i="1"/>
  <c r="W94" i="1" s="1"/>
  <c r="C91" i="1"/>
  <c r="G94" i="1"/>
  <c r="H93" i="1"/>
  <c r="B92" i="1"/>
  <c r="A93" i="1"/>
  <c r="E91" i="1" l="1"/>
  <c r="D92" i="1" s="1"/>
  <c r="AE92" i="1" s="1"/>
  <c r="AD91" i="1"/>
  <c r="AH91" i="1" s="1"/>
  <c r="Z92" i="1"/>
  <c r="AI92" i="1"/>
  <c r="K92" i="1" a="1"/>
  <c r="K92" i="1" s="1"/>
  <c r="I93" i="1" s="1"/>
  <c r="X92" i="1"/>
  <c r="U93" i="1" s="1"/>
  <c r="Y92" i="1"/>
  <c r="AF93" i="1"/>
  <c r="AG93" i="1"/>
  <c r="AC93" i="1"/>
  <c r="AB94" i="1"/>
  <c r="O94" i="1"/>
  <c r="Q94" i="1" s="1"/>
  <c r="M96" i="1"/>
  <c r="N95" i="1"/>
  <c r="P95" i="1" s="1"/>
  <c r="J93" i="1"/>
  <c r="S95" i="1"/>
  <c r="W95" i="1" s="1"/>
  <c r="T94" i="1"/>
  <c r="V94" i="1" s="1"/>
  <c r="C92" i="1"/>
  <c r="A94" i="1"/>
  <c r="B93" i="1"/>
  <c r="G95" i="1"/>
  <c r="H94" i="1"/>
  <c r="E92" i="1" l="1"/>
  <c r="D93" i="1" s="1"/>
  <c r="AE93" i="1" s="1"/>
  <c r="AI93" i="1" s="1"/>
  <c r="AD92" i="1"/>
  <c r="AH92" i="1" s="1"/>
  <c r="Z93" i="1"/>
  <c r="K93" i="1" a="1"/>
  <c r="K93" i="1" s="1"/>
  <c r="I94" i="1" s="1"/>
  <c r="Y93" i="1"/>
  <c r="AF94" i="1"/>
  <c r="AG94" i="1"/>
  <c r="AC94" i="1"/>
  <c r="AB95" i="1"/>
  <c r="O95" i="1"/>
  <c r="Q95" i="1" s="1"/>
  <c r="N96" i="1"/>
  <c r="P96" i="1" s="1"/>
  <c r="M97" i="1"/>
  <c r="X93" i="1"/>
  <c r="U94" i="1" s="1"/>
  <c r="J94" i="1"/>
  <c r="S96" i="1"/>
  <c r="W96" i="1" s="1"/>
  <c r="T95" i="1"/>
  <c r="V95" i="1" s="1"/>
  <c r="C93" i="1"/>
  <c r="G96" i="1"/>
  <c r="H95" i="1"/>
  <c r="A95" i="1"/>
  <c r="B94" i="1"/>
  <c r="E93" i="1" l="1"/>
  <c r="D94" i="1" s="1"/>
  <c r="AE94" i="1" s="1"/>
  <c r="AD93" i="1"/>
  <c r="AH93" i="1" s="1"/>
  <c r="Z94" i="1"/>
  <c r="K94" i="1" a="1"/>
  <c r="K94" i="1" s="1"/>
  <c r="I95" i="1" s="1"/>
  <c r="Y94" i="1"/>
  <c r="AI94" i="1"/>
  <c r="AF95" i="1"/>
  <c r="AG95" i="1"/>
  <c r="AB96" i="1"/>
  <c r="AC95" i="1"/>
  <c r="X94" i="1"/>
  <c r="U95" i="1" s="1"/>
  <c r="M98" i="1"/>
  <c r="N97" i="1"/>
  <c r="P97" i="1" s="1"/>
  <c r="O96" i="1"/>
  <c r="Q96" i="1" s="1"/>
  <c r="J95" i="1"/>
  <c r="T96" i="1"/>
  <c r="V96" i="1" s="1"/>
  <c r="S97" i="1"/>
  <c r="W97" i="1" s="1"/>
  <c r="C94" i="1"/>
  <c r="A96" i="1"/>
  <c r="B95" i="1"/>
  <c r="H96" i="1"/>
  <c r="G97" i="1"/>
  <c r="E94" i="1" l="1"/>
  <c r="D95" i="1" s="1"/>
  <c r="AE95" i="1" s="1"/>
  <c r="AD94" i="1"/>
  <c r="AH94" i="1" s="1"/>
  <c r="Z95" i="1"/>
  <c r="AI95" i="1"/>
  <c r="K95" i="1" a="1"/>
  <c r="K95" i="1" s="1"/>
  <c r="I96" i="1" s="1"/>
  <c r="Y95" i="1"/>
  <c r="AF96" i="1"/>
  <c r="AG96" i="1"/>
  <c r="AC96" i="1"/>
  <c r="AB97" i="1"/>
  <c r="O97" i="1"/>
  <c r="Q97" i="1" s="1"/>
  <c r="N98" i="1"/>
  <c r="P98" i="1" s="1"/>
  <c r="M99" i="1"/>
  <c r="X95" i="1"/>
  <c r="U96" i="1" s="1"/>
  <c r="J96" i="1"/>
  <c r="S98" i="1"/>
  <c r="W98" i="1" s="1"/>
  <c r="T97" i="1"/>
  <c r="V97" i="1" s="1"/>
  <c r="C95" i="1"/>
  <c r="G98" i="1"/>
  <c r="H97" i="1"/>
  <c r="B96" i="1"/>
  <c r="A97" i="1"/>
  <c r="E95" i="1" l="1"/>
  <c r="D96" i="1" s="1"/>
  <c r="AE96" i="1" s="1"/>
  <c r="AD95" i="1"/>
  <c r="AH95" i="1" s="1"/>
  <c r="Z96" i="1"/>
  <c r="AI96" i="1"/>
  <c r="K96" i="1" a="1"/>
  <c r="K96" i="1" s="1"/>
  <c r="I97" i="1" s="1"/>
  <c r="Y96" i="1"/>
  <c r="AF97" i="1"/>
  <c r="AG97" i="1"/>
  <c r="AB98" i="1"/>
  <c r="AC97" i="1"/>
  <c r="X96" i="1"/>
  <c r="U97" i="1" s="1"/>
  <c r="O98" i="1"/>
  <c r="Q98" i="1" s="1"/>
  <c r="N99" i="1"/>
  <c r="P99" i="1" s="1"/>
  <c r="M100" i="1"/>
  <c r="J97" i="1"/>
  <c r="T98" i="1"/>
  <c r="V98" i="1" s="1"/>
  <c r="S99" i="1"/>
  <c r="W99" i="1" s="1"/>
  <c r="C96" i="1"/>
  <c r="A98" i="1"/>
  <c r="B97" i="1"/>
  <c r="G99" i="1"/>
  <c r="H98" i="1"/>
  <c r="E96" i="1" l="1"/>
  <c r="D97" i="1" s="1"/>
  <c r="AE97" i="1" s="1"/>
  <c r="AD96" i="1"/>
  <c r="AH96" i="1" s="1"/>
  <c r="AI97" i="1"/>
  <c r="Z97" i="1"/>
  <c r="K97" i="1" a="1"/>
  <c r="K97" i="1" s="1"/>
  <c r="I98" i="1" s="1"/>
  <c r="Y97" i="1"/>
  <c r="AF98" i="1"/>
  <c r="AG98" i="1"/>
  <c r="AB99" i="1"/>
  <c r="AC98" i="1"/>
  <c r="M101" i="1"/>
  <c r="N100" i="1"/>
  <c r="P100" i="1" s="1"/>
  <c r="O99" i="1"/>
  <c r="Q99" i="1" s="1"/>
  <c r="X97" i="1"/>
  <c r="U98" i="1" s="1"/>
  <c r="J98" i="1"/>
  <c r="T99" i="1"/>
  <c r="V99" i="1" s="1"/>
  <c r="S100" i="1"/>
  <c r="W100" i="1" s="1"/>
  <c r="C97" i="1"/>
  <c r="G100" i="1"/>
  <c r="H99" i="1"/>
  <c r="A99" i="1"/>
  <c r="B98" i="1"/>
  <c r="E97" i="1" l="1"/>
  <c r="D98" i="1" s="1"/>
  <c r="AE98" i="1" s="1"/>
  <c r="AD97" i="1"/>
  <c r="AH97" i="1" s="1"/>
  <c r="Z98" i="1"/>
  <c r="AI98" i="1"/>
  <c r="K98" i="1" a="1"/>
  <c r="K98" i="1" s="1"/>
  <c r="I99" i="1" s="1"/>
  <c r="Y98" i="1"/>
  <c r="AF99" i="1"/>
  <c r="AG99" i="1"/>
  <c r="AC99" i="1"/>
  <c r="AB100" i="1"/>
  <c r="X98" i="1"/>
  <c r="U99" i="1" s="1"/>
  <c r="O100" i="1"/>
  <c r="Q100" i="1" s="1"/>
  <c r="N101" i="1"/>
  <c r="P101" i="1" s="1"/>
  <c r="M102" i="1"/>
  <c r="J99" i="1"/>
  <c r="S101" i="1"/>
  <c r="W101" i="1" s="1"/>
  <c r="T100" i="1"/>
  <c r="V100" i="1" s="1"/>
  <c r="C98" i="1"/>
  <c r="B99" i="1"/>
  <c r="A100" i="1"/>
  <c r="H100" i="1"/>
  <c r="G101" i="1"/>
  <c r="E98" i="1" l="1"/>
  <c r="D99" i="1" s="1"/>
  <c r="AE99" i="1" s="1"/>
  <c r="AD98" i="1"/>
  <c r="AH98" i="1" s="1"/>
  <c r="AI99" i="1"/>
  <c r="Z99" i="1"/>
  <c r="K99" i="1" a="1"/>
  <c r="K99" i="1" s="1"/>
  <c r="I100" i="1" s="1"/>
  <c r="X99" i="1"/>
  <c r="U100" i="1" s="1"/>
  <c r="Y99" i="1"/>
  <c r="AF100" i="1"/>
  <c r="AG100" i="1"/>
  <c r="AB101" i="1"/>
  <c r="AC100" i="1"/>
  <c r="M103" i="1"/>
  <c r="N102" i="1"/>
  <c r="P102" i="1" s="1"/>
  <c r="O101" i="1"/>
  <c r="Q101" i="1" s="1"/>
  <c r="J100" i="1"/>
  <c r="T101" i="1"/>
  <c r="V101" i="1" s="1"/>
  <c r="S102" i="1"/>
  <c r="W102" i="1" s="1"/>
  <c r="C99" i="1"/>
  <c r="B100" i="1"/>
  <c r="A101" i="1"/>
  <c r="H101" i="1"/>
  <c r="G102" i="1"/>
  <c r="Z100" i="1" l="1"/>
  <c r="E99" i="1"/>
  <c r="D100" i="1" s="1"/>
  <c r="AE100" i="1" s="1"/>
  <c r="AI100" i="1" s="1"/>
  <c r="AD99" i="1"/>
  <c r="AH99" i="1" s="1"/>
  <c r="K100" i="1" a="1"/>
  <c r="K100" i="1" s="1"/>
  <c r="I101" i="1" s="1"/>
  <c r="X100" i="1"/>
  <c r="U101" i="1" s="1"/>
  <c r="Y100" i="1"/>
  <c r="AF101" i="1"/>
  <c r="AG101" i="1"/>
  <c r="AC101" i="1"/>
  <c r="AB102" i="1"/>
  <c r="O102" i="1"/>
  <c r="Q102" i="1" s="1"/>
  <c r="M104" i="1"/>
  <c r="N103" i="1"/>
  <c r="P103" i="1" s="1"/>
  <c r="J101" i="1"/>
  <c r="S103" i="1"/>
  <c r="W103" i="1" s="1"/>
  <c r="T102" i="1"/>
  <c r="V102" i="1" s="1"/>
  <c r="C100" i="1"/>
  <c r="A102" i="1"/>
  <c r="B101" i="1"/>
  <c r="G103" i="1"/>
  <c r="H102" i="1"/>
  <c r="E100" i="1" l="1"/>
  <c r="D101" i="1" s="1"/>
  <c r="AE101" i="1" s="1"/>
  <c r="AD100" i="1"/>
  <c r="AH100" i="1" s="1"/>
  <c r="Z101" i="1"/>
  <c r="AI101" i="1"/>
  <c r="K101" i="1" a="1"/>
  <c r="K101" i="1" s="1"/>
  <c r="I102" i="1" s="1"/>
  <c r="Y101" i="1"/>
  <c r="AF102" i="1"/>
  <c r="AG102" i="1"/>
  <c r="AB103" i="1"/>
  <c r="AC102" i="1"/>
  <c r="O103" i="1"/>
  <c r="Q103" i="1" s="1"/>
  <c r="N104" i="1"/>
  <c r="P104" i="1" s="1"/>
  <c r="M105" i="1"/>
  <c r="X101" i="1"/>
  <c r="U102" i="1" s="1"/>
  <c r="J102" i="1"/>
  <c r="S104" i="1"/>
  <c r="W104" i="1" s="1"/>
  <c r="T103" i="1"/>
  <c r="V103" i="1" s="1"/>
  <c r="C101" i="1"/>
  <c r="G104" i="1"/>
  <c r="H103" i="1"/>
  <c r="A103" i="1"/>
  <c r="B102" i="1"/>
  <c r="Z102" i="1" l="1"/>
  <c r="E101" i="1"/>
  <c r="D102" i="1" s="1"/>
  <c r="AE102" i="1" s="1"/>
  <c r="AD101" i="1"/>
  <c r="AH101" i="1" s="1"/>
  <c r="AI102" i="1"/>
  <c r="K102" i="1" a="1"/>
  <c r="K102" i="1" s="1"/>
  <c r="I103" i="1" s="1"/>
  <c r="Y102" i="1"/>
  <c r="AF103" i="1"/>
  <c r="AG103" i="1"/>
  <c r="AB104" i="1"/>
  <c r="AC103" i="1"/>
  <c r="X102" i="1"/>
  <c r="U103" i="1" s="1"/>
  <c r="O104" i="1"/>
  <c r="Q104" i="1" s="1"/>
  <c r="M106" i="1"/>
  <c r="N105" i="1"/>
  <c r="P105" i="1" s="1"/>
  <c r="J103" i="1"/>
  <c r="T104" i="1"/>
  <c r="V104" i="1" s="1"/>
  <c r="S105" i="1"/>
  <c r="W105" i="1" s="1"/>
  <c r="C102" i="1"/>
  <c r="A104" i="1"/>
  <c r="B103" i="1"/>
  <c r="H104" i="1"/>
  <c r="G105" i="1"/>
  <c r="E102" i="1" l="1"/>
  <c r="D103" i="1" s="1"/>
  <c r="AE103" i="1" s="1"/>
  <c r="AD102" i="1"/>
  <c r="AH102" i="1" s="1"/>
  <c r="Z103" i="1"/>
  <c r="AI103" i="1"/>
  <c r="K103" i="1" a="1"/>
  <c r="K103" i="1" s="1"/>
  <c r="I104" i="1" s="1"/>
  <c r="Y103" i="1"/>
  <c r="AF104" i="1"/>
  <c r="AG104" i="1"/>
  <c r="AC104" i="1"/>
  <c r="AB105" i="1"/>
  <c r="O105" i="1"/>
  <c r="Q105" i="1" s="1"/>
  <c r="N106" i="1"/>
  <c r="P106" i="1" s="1"/>
  <c r="M107" i="1"/>
  <c r="X103" i="1"/>
  <c r="U104" i="1" s="1"/>
  <c r="J104" i="1"/>
  <c r="S106" i="1"/>
  <c r="W106" i="1" s="1"/>
  <c r="T105" i="1"/>
  <c r="V105" i="1" s="1"/>
  <c r="C103" i="1"/>
  <c r="A105" i="1"/>
  <c r="B104" i="1"/>
  <c r="H105" i="1"/>
  <c r="G106" i="1"/>
  <c r="E103" i="1" l="1"/>
  <c r="D104" i="1" s="1"/>
  <c r="AE104" i="1" s="1"/>
  <c r="AD103" i="1"/>
  <c r="AH103" i="1" s="1"/>
  <c r="Y104" i="1"/>
  <c r="Z104" i="1"/>
  <c r="AI104" i="1"/>
  <c r="K104" i="1" a="1"/>
  <c r="K104" i="1" s="1"/>
  <c r="I105" i="1" s="1"/>
  <c r="AF105" i="1"/>
  <c r="AG105" i="1"/>
  <c r="AB106" i="1"/>
  <c r="AC105" i="1"/>
  <c r="O106" i="1"/>
  <c r="Q106" i="1" s="1"/>
  <c r="N107" i="1"/>
  <c r="P107" i="1" s="1"/>
  <c r="M108" i="1"/>
  <c r="X104" i="1"/>
  <c r="U105" i="1" s="1"/>
  <c r="J105" i="1"/>
  <c r="T106" i="1"/>
  <c r="V106" i="1" s="1"/>
  <c r="S107" i="1"/>
  <c r="W107" i="1" s="1"/>
  <c r="C104" i="1"/>
  <c r="G107" i="1"/>
  <c r="H106" i="1"/>
  <c r="A106" i="1"/>
  <c r="B105" i="1"/>
  <c r="Z105" i="1" l="1"/>
  <c r="E104" i="1"/>
  <c r="D105" i="1" s="1"/>
  <c r="AE105" i="1" s="1"/>
  <c r="AD104" i="1"/>
  <c r="AH104" i="1" s="1"/>
  <c r="AI105" i="1"/>
  <c r="K105" i="1" a="1"/>
  <c r="K105" i="1" s="1"/>
  <c r="I106" i="1" s="1"/>
  <c r="Y105" i="1"/>
  <c r="AF106" i="1"/>
  <c r="AG106" i="1"/>
  <c r="AC106" i="1"/>
  <c r="AB107" i="1"/>
  <c r="M109" i="1"/>
  <c r="N108" i="1"/>
  <c r="P108" i="1" s="1"/>
  <c r="O107" i="1"/>
  <c r="Q107" i="1" s="1"/>
  <c r="X105" i="1"/>
  <c r="U106" i="1" s="1"/>
  <c r="J106" i="1"/>
  <c r="T107" i="1"/>
  <c r="V107" i="1" s="1"/>
  <c r="S108" i="1"/>
  <c r="W108" i="1" s="1"/>
  <c r="C105" i="1"/>
  <c r="G108" i="1"/>
  <c r="H107" i="1"/>
  <c r="A107" i="1"/>
  <c r="B106" i="1"/>
  <c r="E105" i="1" l="1"/>
  <c r="D106" i="1" s="1"/>
  <c r="AE106" i="1" s="1"/>
  <c r="AI106" i="1" s="1"/>
  <c r="AD105" i="1"/>
  <c r="AH105" i="1" s="1"/>
  <c r="Z106" i="1"/>
  <c r="K106" i="1" a="1"/>
  <c r="K106" i="1" s="1"/>
  <c r="I107" i="1" s="1"/>
  <c r="Y106" i="1"/>
  <c r="AF107" i="1"/>
  <c r="AG107" i="1"/>
  <c r="AC107" i="1"/>
  <c r="AB108" i="1"/>
  <c r="O108" i="1"/>
  <c r="Q108" i="1" s="1"/>
  <c r="N109" i="1"/>
  <c r="P109" i="1" s="1"/>
  <c r="M110" i="1"/>
  <c r="X106" i="1"/>
  <c r="U107" i="1" s="1"/>
  <c r="J107" i="1"/>
  <c r="S109" i="1"/>
  <c r="W109" i="1" s="1"/>
  <c r="T108" i="1"/>
  <c r="V108" i="1" s="1"/>
  <c r="C106" i="1"/>
  <c r="B107" i="1"/>
  <c r="A108" i="1"/>
  <c r="H108" i="1"/>
  <c r="G109" i="1"/>
  <c r="E106" i="1" l="1"/>
  <c r="D107" i="1" s="1"/>
  <c r="AE107" i="1" s="1"/>
  <c r="AD106" i="1"/>
  <c r="AH106" i="1" s="1"/>
  <c r="Z107" i="1"/>
  <c r="AI107" i="1"/>
  <c r="K107" i="1" a="1"/>
  <c r="K107" i="1" s="1"/>
  <c r="I108" i="1" s="1"/>
  <c r="Y107" i="1"/>
  <c r="AF108" i="1"/>
  <c r="AG108" i="1"/>
  <c r="AB109" i="1"/>
  <c r="AC108" i="1"/>
  <c r="O109" i="1"/>
  <c r="Q109" i="1" s="1"/>
  <c r="M111" i="1"/>
  <c r="N110" i="1"/>
  <c r="P110" i="1" s="1"/>
  <c r="X107" i="1"/>
  <c r="U108" i="1" s="1"/>
  <c r="J108" i="1"/>
  <c r="T109" i="1"/>
  <c r="V109" i="1" s="1"/>
  <c r="S110" i="1"/>
  <c r="W110" i="1" s="1"/>
  <c r="C107" i="1"/>
  <c r="H109" i="1"/>
  <c r="G110" i="1"/>
  <c r="B108" i="1"/>
  <c r="A109" i="1"/>
  <c r="E107" i="1" l="1"/>
  <c r="D108" i="1" s="1"/>
  <c r="AE108" i="1" s="1"/>
  <c r="AD107" i="1"/>
  <c r="AH107" i="1" s="1"/>
  <c r="Z108" i="1"/>
  <c r="K108" i="1" a="1"/>
  <c r="K108" i="1" s="1"/>
  <c r="I109" i="1" s="1"/>
  <c r="Y108" i="1"/>
  <c r="AI108" i="1"/>
  <c r="AF109" i="1"/>
  <c r="AG109" i="1"/>
  <c r="AC109" i="1"/>
  <c r="AB110" i="1"/>
  <c r="O110" i="1"/>
  <c r="Q110" i="1" s="1"/>
  <c r="M112" i="1"/>
  <c r="N111" i="1"/>
  <c r="P111" i="1" s="1"/>
  <c r="X108" i="1"/>
  <c r="U109" i="1" s="1"/>
  <c r="J109" i="1"/>
  <c r="S111" i="1"/>
  <c r="W111" i="1" s="1"/>
  <c r="T110" i="1"/>
  <c r="V110" i="1" s="1"/>
  <c r="C108" i="1"/>
  <c r="A110" i="1"/>
  <c r="B109" i="1"/>
  <c r="G111" i="1"/>
  <c r="H110" i="1"/>
  <c r="E108" i="1" l="1"/>
  <c r="D109" i="1" s="1"/>
  <c r="AE109" i="1" s="1"/>
  <c r="AI109" i="1" s="1"/>
  <c r="AD108" i="1"/>
  <c r="AH108" i="1" s="1"/>
  <c r="Z109" i="1"/>
  <c r="K109" i="1" a="1"/>
  <c r="K109" i="1" s="1"/>
  <c r="I110" i="1" s="1"/>
  <c r="Y109" i="1"/>
  <c r="AF110" i="1"/>
  <c r="AG110" i="1"/>
  <c r="AB111" i="1"/>
  <c r="AC110" i="1"/>
  <c r="O111" i="1"/>
  <c r="Q111" i="1" s="1"/>
  <c r="N112" i="1"/>
  <c r="P112" i="1" s="1"/>
  <c r="M113" i="1"/>
  <c r="X109" i="1"/>
  <c r="U110" i="1" s="1"/>
  <c r="J110" i="1"/>
  <c r="S112" i="1"/>
  <c r="W112" i="1" s="1"/>
  <c r="T111" i="1"/>
  <c r="V111" i="1" s="1"/>
  <c r="C109" i="1"/>
  <c r="G112" i="1"/>
  <c r="H111" i="1"/>
  <c r="A111" i="1"/>
  <c r="B110" i="1"/>
  <c r="E109" i="1" l="1"/>
  <c r="D110" i="1" s="1"/>
  <c r="AE110" i="1" s="1"/>
  <c r="AI110" i="1" s="1"/>
  <c r="AD109" i="1"/>
  <c r="AH109" i="1" s="1"/>
  <c r="Z110" i="1"/>
  <c r="K110" i="1" a="1"/>
  <c r="K110" i="1" s="1"/>
  <c r="I111" i="1" s="1"/>
  <c r="Y110" i="1"/>
  <c r="AF111" i="1"/>
  <c r="AG111" i="1"/>
  <c r="AB112" i="1"/>
  <c r="AC111" i="1"/>
  <c r="M114" i="1"/>
  <c r="N113" i="1"/>
  <c r="P113" i="1" s="1"/>
  <c r="O112" i="1"/>
  <c r="Q112" i="1" s="1"/>
  <c r="X110" i="1"/>
  <c r="U111" i="1" s="1"/>
  <c r="J111" i="1"/>
  <c r="T112" i="1"/>
  <c r="V112" i="1" s="1"/>
  <c r="S113" i="1"/>
  <c r="W113" i="1" s="1"/>
  <c r="C110" i="1"/>
  <c r="B111" i="1"/>
  <c r="A112" i="1"/>
  <c r="H112" i="1"/>
  <c r="G113" i="1"/>
  <c r="E110" i="1" l="1"/>
  <c r="D111" i="1" s="1"/>
  <c r="AE111" i="1" s="1"/>
  <c r="AD110" i="1"/>
  <c r="AH110" i="1" s="1"/>
  <c r="AI111" i="1"/>
  <c r="Z111" i="1"/>
  <c r="K111" i="1" a="1"/>
  <c r="K111" i="1" s="1"/>
  <c r="I112" i="1" s="1"/>
  <c r="Y111" i="1"/>
  <c r="AF112" i="1"/>
  <c r="AG112" i="1"/>
  <c r="AC112" i="1"/>
  <c r="AB113" i="1"/>
  <c r="O113" i="1"/>
  <c r="Q113" i="1" s="1"/>
  <c r="N114" i="1"/>
  <c r="P114" i="1" s="1"/>
  <c r="M115" i="1"/>
  <c r="X111" i="1"/>
  <c r="U112" i="1" s="1"/>
  <c r="J112" i="1"/>
  <c r="S114" i="1"/>
  <c r="W114" i="1" s="1"/>
  <c r="T113" i="1"/>
  <c r="V113" i="1" s="1"/>
  <c r="C111" i="1"/>
  <c r="B112" i="1"/>
  <c r="A113" i="1"/>
  <c r="G114" i="1"/>
  <c r="H113" i="1"/>
  <c r="Z112" i="1" l="1"/>
  <c r="E111" i="1"/>
  <c r="D112" i="1" s="1"/>
  <c r="AE112" i="1" s="1"/>
  <c r="AD111" i="1"/>
  <c r="AH111" i="1" s="1"/>
  <c r="AI112" i="1"/>
  <c r="K112" i="1" a="1"/>
  <c r="K112" i="1" s="1"/>
  <c r="I113" i="1" s="1"/>
  <c r="Y112" i="1"/>
  <c r="AF113" i="1"/>
  <c r="AG113" i="1"/>
  <c r="AB114" i="1"/>
  <c r="AC113" i="1"/>
  <c r="O114" i="1"/>
  <c r="Q114" i="1" s="1"/>
  <c r="N115" i="1"/>
  <c r="P115" i="1" s="1"/>
  <c r="M116" i="1"/>
  <c r="X112" i="1"/>
  <c r="U113" i="1" s="1"/>
  <c r="J113" i="1"/>
  <c r="T114" i="1"/>
  <c r="V114" i="1" s="1"/>
  <c r="S115" i="1"/>
  <c r="W115" i="1" s="1"/>
  <c r="C112" i="1"/>
  <c r="A114" i="1"/>
  <c r="B113" i="1"/>
  <c r="G115" i="1"/>
  <c r="H114" i="1"/>
  <c r="E112" i="1" l="1"/>
  <c r="D113" i="1" s="1"/>
  <c r="AE113" i="1" s="1"/>
  <c r="AI113" i="1" s="1"/>
  <c r="AD112" i="1"/>
  <c r="AH112" i="1" s="1"/>
  <c r="Z113" i="1"/>
  <c r="K113" i="1" a="1"/>
  <c r="K113" i="1" s="1"/>
  <c r="I114" i="1" s="1"/>
  <c r="Y113" i="1"/>
  <c r="AF114" i="1"/>
  <c r="AG114" i="1"/>
  <c r="AC114" i="1"/>
  <c r="AB115" i="1"/>
  <c r="M117" i="1"/>
  <c r="N116" i="1"/>
  <c r="P116" i="1" s="1"/>
  <c r="O115" i="1"/>
  <c r="Q115" i="1" s="1"/>
  <c r="X113" i="1"/>
  <c r="U114" i="1" s="1"/>
  <c r="J114" i="1"/>
  <c r="T115" i="1"/>
  <c r="V115" i="1" s="1"/>
  <c r="S116" i="1"/>
  <c r="W116" i="1" s="1"/>
  <c r="C113" i="1"/>
  <c r="A115" i="1"/>
  <c r="B114" i="1"/>
  <c r="G116" i="1"/>
  <c r="H115" i="1"/>
  <c r="E113" i="1" l="1"/>
  <c r="D114" i="1" s="1"/>
  <c r="AE114" i="1" s="1"/>
  <c r="AI114" i="1" s="1"/>
  <c r="AD113" i="1"/>
  <c r="AH113" i="1" s="1"/>
  <c r="Z114" i="1"/>
  <c r="K114" i="1" a="1"/>
  <c r="K114" i="1" s="1"/>
  <c r="I115" i="1" s="1"/>
  <c r="Y114" i="1"/>
  <c r="AF115" i="1"/>
  <c r="AG115" i="1"/>
  <c r="AC115" i="1"/>
  <c r="AB116" i="1"/>
  <c r="O116" i="1"/>
  <c r="Q116" i="1" s="1"/>
  <c r="N117" i="1"/>
  <c r="P117" i="1" s="1"/>
  <c r="M118" i="1"/>
  <c r="X114" i="1"/>
  <c r="U115" i="1" s="1"/>
  <c r="J115" i="1"/>
  <c r="S117" i="1"/>
  <c r="W117" i="1" s="1"/>
  <c r="T116" i="1"/>
  <c r="V116" i="1" s="1"/>
  <c r="C114" i="1"/>
  <c r="B115" i="1"/>
  <c r="A116" i="1"/>
  <c r="G117" i="1"/>
  <c r="H116" i="1"/>
  <c r="E114" i="1" l="1"/>
  <c r="D115" i="1" s="1"/>
  <c r="AE115" i="1" s="1"/>
  <c r="AD114" i="1"/>
  <c r="AH114" i="1" s="1"/>
  <c r="AI115" i="1"/>
  <c r="Z115" i="1"/>
  <c r="K115" i="1" a="1"/>
  <c r="K115" i="1" s="1"/>
  <c r="I116" i="1" s="1"/>
  <c r="Y115" i="1"/>
  <c r="AF116" i="1"/>
  <c r="AG116" i="1"/>
  <c r="AB117" i="1"/>
  <c r="AC116" i="1"/>
  <c r="X115" i="1"/>
  <c r="U116" i="1" s="1"/>
  <c r="M119" i="1"/>
  <c r="N118" i="1"/>
  <c r="P118" i="1" s="1"/>
  <c r="O117" i="1"/>
  <c r="Q117" i="1" s="1"/>
  <c r="J116" i="1"/>
  <c r="T117" i="1"/>
  <c r="V117" i="1" s="1"/>
  <c r="S118" i="1"/>
  <c r="W118" i="1" s="1"/>
  <c r="C115" i="1"/>
  <c r="H117" i="1"/>
  <c r="G118" i="1"/>
  <c r="A117" i="1"/>
  <c r="B116" i="1"/>
  <c r="E115" i="1" l="1"/>
  <c r="D116" i="1" s="1"/>
  <c r="AE116" i="1" s="1"/>
  <c r="AI116" i="1" s="1"/>
  <c r="AD115" i="1"/>
  <c r="AH115" i="1" s="1"/>
  <c r="Z116" i="1"/>
  <c r="K116" i="1" a="1"/>
  <c r="K116" i="1" s="1"/>
  <c r="I117" i="1" s="1"/>
  <c r="Y116" i="1"/>
  <c r="AF117" i="1"/>
  <c r="AG117" i="1"/>
  <c r="AC117" i="1"/>
  <c r="AB118" i="1"/>
  <c r="X116" i="1"/>
  <c r="U117" i="1" s="1"/>
  <c r="O118" i="1"/>
  <c r="Q118" i="1" s="1"/>
  <c r="M120" i="1"/>
  <c r="N119" i="1"/>
  <c r="P119" i="1" s="1"/>
  <c r="J117" i="1"/>
  <c r="S119" i="1"/>
  <c r="W119" i="1" s="1"/>
  <c r="T118" i="1"/>
  <c r="V118" i="1" s="1"/>
  <c r="C116" i="1"/>
  <c r="H118" i="1"/>
  <c r="G119" i="1"/>
  <c r="B117" i="1"/>
  <c r="A118" i="1"/>
  <c r="E116" i="1" l="1"/>
  <c r="D117" i="1" s="1"/>
  <c r="AE117" i="1" s="1"/>
  <c r="AI117" i="1" s="1"/>
  <c r="AD116" i="1"/>
  <c r="AH116" i="1" s="1"/>
  <c r="Z117" i="1"/>
  <c r="K117" i="1" a="1"/>
  <c r="K117" i="1" s="1"/>
  <c r="I118" i="1" s="1"/>
  <c r="Y117" i="1"/>
  <c r="AF118" i="1"/>
  <c r="AG118" i="1"/>
  <c r="AB119" i="1"/>
  <c r="AC118" i="1"/>
  <c r="O119" i="1"/>
  <c r="Q119" i="1" s="1"/>
  <c r="N120" i="1"/>
  <c r="P120" i="1" s="1"/>
  <c r="M121" i="1"/>
  <c r="X117" i="1"/>
  <c r="U118" i="1" s="1"/>
  <c r="J118" i="1"/>
  <c r="S120" i="1"/>
  <c r="W120" i="1" s="1"/>
  <c r="T119" i="1"/>
  <c r="V119" i="1" s="1"/>
  <c r="C117" i="1"/>
  <c r="G120" i="1"/>
  <c r="H119" i="1"/>
  <c r="B118" i="1"/>
  <c r="A119" i="1"/>
  <c r="E117" i="1" l="1"/>
  <c r="D118" i="1" s="1"/>
  <c r="AE118" i="1" s="1"/>
  <c r="AI118" i="1" s="1"/>
  <c r="AD117" i="1"/>
  <c r="AH117" i="1" s="1"/>
  <c r="Z118" i="1"/>
  <c r="K118" i="1" a="1"/>
  <c r="K118" i="1" s="1"/>
  <c r="I119" i="1" s="1"/>
  <c r="Y118" i="1"/>
  <c r="AF119" i="1"/>
  <c r="AG119" i="1"/>
  <c r="AB120" i="1"/>
  <c r="AC119" i="1"/>
  <c r="M122" i="1"/>
  <c r="N121" i="1"/>
  <c r="P121" i="1" s="1"/>
  <c r="O120" i="1"/>
  <c r="Q120" i="1" s="1"/>
  <c r="X118" i="1"/>
  <c r="U119" i="1" s="1"/>
  <c r="J119" i="1"/>
  <c r="T120" i="1"/>
  <c r="V120" i="1" s="1"/>
  <c r="S121" i="1"/>
  <c r="W121" i="1" s="1"/>
  <c r="C118" i="1"/>
  <c r="G121" i="1"/>
  <c r="H120" i="1"/>
  <c r="B119" i="1"/>
  <c r="A120" i="1"/>
  <c r="E118" i="1" l="1"/>
  <c r="D119" i="1" s="1"/>
  <c r="AE119" i="1" s="1"/>
  <c r="AI119" i="1" s="1"/>
  <c r="AD118" i="1"/>
  <c r="AH118" i="1" s="1"/>
  <c r="Z119" i="1"/>
  <c r="K119" i="1" a="1"/>
  <c r="K119" i="1" s="1"/>
  <c r="I120" i="1" s="1"/>
  <c r="Y119" i="1"/>
  <c r="AF120" i="1"/>
  <c r="AG120" i="1"/>
  <c r="AC120" i="1"/>
  <c r="AB121" i="1"/>
  <c r="O121" i="1"/>
  <c r="Q121" i="1" s="1"/>
  <c r="N122" i="1"/>
  <c r="P122" i="1" s="1"/>
  <c r="M123" i="1"/>
  <c r="X119" i="1"/>
  <c r="U120" i="1" s="1"/>
  <c r="J120" i="1"/>
  <c r="S122" i="1"/>
  <c r="W122" i="1" s="1"/>
  <c r="T121" i="1"/>
  <c r="V121" i="1" s="1"/>
  <c r="C119" i="1"/>
  <c r="A121" i="1"/>
  <c r="B120" i="1"/>
  <c r="G122" i="1"/>
  <c r="H121" i="1"/>
  <c r="E119" i="1" l="1"/>
  <c r="D120" i="1" s="1"/>
  <c r="AE120" i="1" s="1"/>
  <c r="AI120" i="1" s="1"/>
  <c r="AD119" i="1"/>
  <c r="AH119" i="1" s="1"/>
  <c r="Z120" i="1"/>
  <c r="K120" i="1" a="1"/>
  <c r="K120" i="1" s="1"/>
  <c r="I121" i="1" s="1"/>
  <c r="Y120" i="1"/>
  <c r="AF121" i="1"/>
  <c r="AG121" i="1"/>
  <c r="AB122" i="1"/>
  <c r="AC121" i="1"/>
  <c r="O122" i="1"/>
  <c r="Q122" i="1" s="1"/>
  <c r="N123" i="1"/>
  <c r="P123" i="1" s="1"/>
  <c r="M124" i="1"/>
  <c r="X120" i="1"/>
  <c r="U121" i="1" s="1"/>
  <c r="J121" i="1"/>
  <c r="T122" i="1"/>
  <c r="V122" i="1" s="1"/>
  <c r="S123" i="1"/>
  <c r="W123" i="1" s="1"/>
  <c r="C120" i="1"/>
  <c r="A122" i="1"/>
  <c r="B121" i="1"/>
  <c r="H122" i="1"/>
  <c r="G123" i="1"/>
  <c r="E120" i="1" l="1"/>
  <c r="D121" i="1" s="1"/>
  <c r="AE121" i="1" s="1"/>
  <c r="AD120" i="1"/>
  <c r="AH120" i="1" s="1"/>
  <c r="Z121" i="1"/>
  <c r="K121" i="1" a="1"/>
  <c r="K121" i="1" s="1"/>
  <c r="I122" i="1" s="1"/>
  <c r="Y121" i="1"/>
  <c r="AI121" i="1"/>
  <c r="AF122" i="1"/>
  <c r="AG122" i="1"/>
  <c r="AC122" i="1"/>
  <c r="AB123" i="1"/>
  <c r="M125" i="1"/>
  <c r="N124" i="1"/>
  <c r="P124" i="1" s="1"/>
  <c r="O123" i="1"/>
  <c r="Q123" i="1" s="1"/>
  <c r="X121" i="1"/>
  <c r="U122" i="1" s="1"/>
  <c r="J122" i="1"/>
  <c r="T123" i="1"/>
  <c r="V123" i="1" s="1"/>
  <c r="S124" i="1"/>
  <c r="W124" i="1" s="1"/>
  <c r="C121" i="1"/>
  <c r="G124" i="1"/>
  <c r="H123" i="1"/>
  <c r="B122" i="1"/>
  <c r="A123" i="1"/>
  <c r="E121" i="1" l="1"/>
  <c r="D122" i="1" s="1"/>
  <c r="AE122" i="1" s="1"/>
  <c r="AD121" i="1"/>
  <c r="AH121" i="1" s="1"/>
  <c r="Z122" i="1"/>
  <c r="AI122" i="1"/>
  <c r="K122" i="1" a="1"/>
  <c r="K122" i="1" s="1"/>
  <c r="I123" i="1" s="1"/>
  <c r="Y122" i="1"/>
  <c r="AF123" i="1"/>
  <c r="AG123" i="1"/>
  <c r="AC123" i="1"/>
  <c r="AB124" i="1"/>
  <c r="O124" i="1"/>
  <c r="Q124" i="1" s="1"/>
  <c r="N125" i="1"/>
  <c r="P125" i="1" s="1"/>
  <c r="M126" i="1"/>
  <c r="X122" i="1"/>
  <c r="U123" i="1" s="1"/>
  <c r="J123" i="1"/>
  <c r="S125" i="1"/>
  <c r="W125" i="1" s="1"/>
  <c r="T124" i="1"/>
  <c r="V124" i="1" s="1"/>
  <c r="C122" i="1"/>
  <c r="B123" i="1"/>
  <c r="A124" i="1"/>
  <c r="G125" i="1"/>
  <c r="H124" i="1"/>
  <c r="Z123" i="1" l="1"/>
  <c r="E122" i="1"/>
  <c r="D123" i="1" s="1"/>
  <c r="AE123" i="1" s="1"/>
  <c r="AD122" i="1"/>
  <c r="AH122" i="1" s="1"/>
  <c r="K123" i="1" a="1"/>
  <c r="K123" i="1" s="1"/>
  <c r="I124" i="1" s="1"/>
  <c r="Y123" i="1"/>
  <c r="AI123" i="1"/>
  <c r="AF124" i="1"/>
  <c r="AG124" i="1"/>
  <c r="AB125" i="1"/>
  <c r="AC124" i="1"/>
  <c r="X123" i="1"/>
  <c r="U124" i="1" s="1"/>
  <c r="M127" i="1"/>
  <c r="N126" i="1"/>
  <c r="P126" i="1" s="1"/>
  <c r="O125" i="1"/>
  <c r="Q125" i="1" s="1"/>
  <c r="J124" i="1"/>
  <c r="T125" i="1"/>
  <c r="V125" i="1" s="1"/>
  <c r="S126" i="1"/>
  <c r="W126" i="1" s="1"/>
  <c r="C123" i="1"/>
  <c r="G126" i="1"/>
  <c r="H125" i="1"/>
  <c r="B124" i="1"/>
  <c r="A125" i="1"/>
  <c r="E123" i="1" l="1"/>
  <c r="D124" i="1" s="1"/>
  <c r="AE124" i="1" s="1"/>
  <c r="AI124" i="1" s="1"/>
  <c r="AD123" i="1"/>
  <c r="AH123" i="1" s="1"/>
  <c r="Z124" i="1"/>
  <c r="K124" i="1" a="1"/>
  <c r="K124" i="1" s="1"/>
  <c r="Y124" i="1"/>
  <c r="AF125" i="1"/>
  <c r="AG125" i="1"/>
  <c r="I125" i="1"/>
  <c r="AC125" i="1"/>
  <c r="AB126" i="1"/>
  <c r="O126" i="1"/>
  <c r="Q126" i="1" s="1"/>
  <c r="M128" i="1"/>
  <c r="N127" i="1"/>
  <c r="P127" i="1" s="1"/>
  <c r="X124" i="1"/>
  <c r="U125" i="1" s="1"/>
  <c r="J125" i="1"/>
  <c r="S127" i="1"/>
  <c r="W127" i="1" s="1"/>
  <c r="T126" i="1"/>
  <c r="V126" i="1" s="1"/>
  <c r="C124" i="1"/>
  <c r="B125" i="1"/>
  <c r="A126" i="1"/>
  <c r="H126" i="1"/>
  <c r="G127" i="1"/>
  <c r="Z125" i="1" l="1"/>
  <c r="E124" i="1"/>
  <c r="D125" i="1" s="1"/>
  <c r="AE125" i="1" s="1"/>
  <c r="AD124" i="1"/>
  <c r="AH124" i="1" s="1"/>
  <c r="AI125" i="1"/>
  <c r="K125" i="1" a="1"/>
  <c r="K125" i="1" s="1"/>
  <c r="I126" i="1" s="1"/>
  <c r="Y125" i="1"/>
  <c r="AF126" i="1"/>
  <c r="AG126" i="1"/>
  <c r="AB127" i="1"/>
  <c r="AC126" i="1"/>
  <c r="O127" i="1"/>
  <c r="Q127" i="1" s="1"/>
  <c r="N128" i="1"/>
  <c r="P128" i="1" s="1"/>
  <c r="M129" i="1"/>
  <c r="X125" i="1"/>
  <c r="U126" i="1" s="1"/>
  <c r="J126" i="1"/>
  <c r="S128" i="1"/>
  <c r="W128" i="1" s="1"/>
  <c r="T127" i="1"/>
  <c r="V127" i="1" s="1"/>
  <c r="C125" i="1"/>
  <c r="B126" i="1"/>
  <c r="A127" i="1"/>
  <c r="G128" i="1"/>
  <c r="H127" i="1"/>
  <c r="E125" i="1" l="1"/>
  <c r="D126" i="1" s="1"/>
  <c r="AE126" i="1" s="1"/>
  <c r="AI126" i="1" s="1"/>
  <c r="AD125" i="1"/>
  <c r="AH125" i="1" s="1"/>
  <c r="Z126" i="1"/>
  <c r="K126" i="1" a="1"/>
  <c r="K126" i="1" s="1"/>
  <c r="I127" i="1" s="1"/>
  <c r="Y126" i="1"/>
  <c r="AF127" i="1"/>
  <c r="AG127" i="1"/>
  <c r="AB128" i="1"/>
  <c r="AC127" i="1"/>
  <c r="X126" i="1"/>
  <c r="U127" i="1" s="1"/>
  <c r="M130" i="1"/>
  <c r="N129" i="1"/>
  <c r="P129" i="1" s="1"/>
  <c r="O128" i="1"/>
  <c r="Q128" i="1" s="1"/>
  <c r="J127" i="1"/>
  <c r="T128" i="1"/>
  <c r="V128" i="1" s="1"/>
  <c r="S129" i="1"/>
  <c r="W129" i="1" s="1"/>
  <c r="C126" i="1"/>
  <c r="G129" i="1"/>
  <c r="H128" i="1"/>
  <c r="B127" i="1"/>
  <c r="A128" i="1"/>
  <c r="E126" i="1" l="1"/>
  <c r="D127" i="1" s="1"/>
  <c r="AE127" i="1" s="1"/>
  <c r="AD126" i="1"/>
  <c r="AH126" i="1" s="1"/>
  <c r="AI127" i="1"/>
  <c r="Z127" i="1"/>
  <c r="K127" i="1" a="1"/>
  <c r="K127" i="1" s="1"/>
  <c r="I128" i="1" s="1"/>
  <c r="Y127" i="1"/>
  <c r="AF128" i="1"/>
  <c r="AG128" i="1"/>
  <c r="AC128" i="1"/>
  <c r="AB129" i="1"/>
  <c r="O129" i="1"/>
  <c r="Q129" i="1" s="1"/>
  <c r="N130" i="1"/>
  <c r="P130" i="1" s="1"/>
  <c r="M131" i="1"/>
  <c r="X127" i="1"/>
  <c r="U128" i="1" s="1"/>
  <c r="J128" i="1"/>
  <c r="S130" i="1"/>
  <c r="W130" i="1" s="1"/>
  <c r="T129" i="1"/>
  <c r="V129" i="1" s="1"/>
  <c r="C127" i="1"/>
  <c r="B128" i="1"/>
  <c r="A129" i="1"/>
  <c r="H129" i="1"/>
  <c r="G130" i="1"/>
  <c r="E127" i="1" l="1"/>
  <c r="D128" i="1" s="1"/>
  <c r="AE128" i="1" s="1"/>
  <c r="AI128" i="1" s="1"/>
  <c r="AD127" i="1"/>
  <c r="AH127" i="1" s="1"/>
  <c r="Z128" i="1"/>
  <c r="K128" i="1" a="1"/>
  <c r="K128" i="1" s="1"/>
  <c r="I129" i="1" s="1"/>
  <c r="Y128" i="1"/>
  <c r="AF129" i="1"/>
  <c r="AG129" i="1"/>
  <c r="AB130" i="1"/>
  <c r="AC129" i="1"/>
  <c r="O130" i="1"/>
  <c r="Q130" i="1" s="1"/>
  <c r="N131" i="1"/>
  <c r="P131" i="1" s="1"/>
  <c r="M132" i="1"/>
  <c r="X128" i="1"/>
  <c r="U129" i="1" s="1"/>
  <c r="J129" i="1"/>
  <c r="T130" i="1"/>
  <c r="V130" i="1" s="1"/>
  <c r="S131" i="1"/>
  <c r="W131" i="1" s="1"/>
  <c r="C128" i="1"/>
  <c r="H130" i="1"/>
  <c r="G131" i="1"/>
  <c r="B129" i="1"/>
  <c r="A130" i="1"/>
  <c r="E128" i="1" l="1"/>
  <c r="D129" i="1" s="1"/>
  <c r="AE129" i="1" s="1"/>
  <c r="AD128" i="1"/>
  <c r="AH128" i="1" s="1"/>
  <c r="AI129" i="1"/>
  <c r="Z129" i="1"/>
  <c r="K129" i="1" a="1"/>
  <c r="K129" i="1" s="1"/>
  <c r="I130" i="1" s="1"/>
  <c r="X129" i="1"/>
  <c r="U130" i="1" s="1"/>
  <c r="Y129" i="1"/>
  <c r="AF130" i="1"/>
  <c r="AG130" i="1"/>
  <c r="AC130" i="1"/>
  <c r="AB131" i="1"/>
  <c r="M133" i="1"/>
  <c r="N132" i="1"/>
  <c r="P132" i="1" s="1"/>
  <c r="O131" i="1"/>
  <c r="Q131" i="1" s="1"/>
  <c r="J130" i="1"/>
  <c r="T131" i="1"/>
  <c r="V131" i="1" s="1"/>
  <c r="S132" i="1"/>
  <c r="W132" i="1" s="1"/>
  <c r="C129" i="1"/>
  <c r="B130" i="1"/>
  <c r="A131" i="1"/>
  <c r="G132" i="1"/>
  <c r="H131" i="1"/>
  <c r="E129" i="1" l="1"/>
  <c r="D130" i="1" s="1"/>
  <c r="AE130" i="1" s="1"/>
  <c r="AD129" i="1"/>
  <c r="AH129" i="1" s="1"/>
  <c r="Z130" i="1"/>
  <c r="AI130" i="1"/>
  <c r="K130" i="1" a="1"/>
  <c r="K130" i="1" s="1"/>
  <c r="I131" i="1" s="1"/>
  <c r="Y130" i="1"/>
  <c r="AF131" i="1"/>
  <c r="AG131" i="1"/>
  <c r="AC131" i="1"/>
  <c r="AB132" i="1"/>
  <c r="O132" i="1"/>
  <c r="Q132" i="1" s="1"/>
  <c r="N133" i="1"/>
  <c r="P133" i="1" s="1"/>
  <c r="M134" i="1"/>
  <c r="X130" i="1"/>
  <c r="U131" i="1" s="1"/>
  <c r="J131" i="1"/>
  <c r="S133" i="1"/>
  <c r="W133" i="1" s="1"/>
  <c r="T132" i="1"/>
  <c r="V132" i="1" s="1"/>
  <c r="C130" i="1"/>
  <c r="B131" i="1"/>
  <c r="A132" i="1"/>
  <c r="G133" i="1"/>
  <c r="H132" i="1"/>
  <c r="E130" i="1" l="1"/>
  <c r="D131" i="1" s="1"/>
  <c r="AE131" i="1" s="1"/>
  <c r="AI131" i="1" s="1"/>
  <c r="AD130" i="1"/>
  <c r="AH130" i="1" s="1"/>
  <c r="Z131" i="1"/>
  <c r="K131" i="1" a="1"/>
  <c r="K131" i="1" s="1"/>
  <c r="I132" i="1" s="1"/>
  <c r="X131" i="1"/>
  <c r="U132" i="1" s="1"/>
  <c r="Y131" i="1"/>
  <c r="AF132" i="1"/>
  <c r="AG132" i="1"/>
  <c r="AB133" i="1"/>
  <c r="AC132" i="1"/>
  <c r="M135" i="1"/>
  <c r="N134" i="1"/>
  <c r="P134" i="1" s="1"/>
  <c r="O133" i="1"/>
  <c r="Q133" i="1" s="1"/>
  <c r="J132" i="1"/>
  <c r="T133" i="1"/>
  <c r="V133" i="1" s="1"/>
  <c r="S134" i="1"/>
  <c r="W134" i="1" s="1"/>
  <c r="C131" i="1"/>
  <c r="G134" i="1"/>
  <c r="H133" i="1"/>
  <c r="B132" i="1"/>
  <c r="A133" i="1"/>
  <c r="E131" i="1" l="1"/>
  <c r="D132" i="1" s="1"/>
  <c r="AE132" i="1" s="1"/>
  <c r="AI132" i="1" s="1"/>
  <c r="AD131" i="1"/>
  <c r="AH131" i="1" s="1"/>
  <c r="Z132" i="1"/>
  <c r="K132" i="1" a="1"/>
  <c r="K132" i="1" s="1"/>
  <c r="I133" i="1" s="1"/>
  <c r="Y132" i="1"/>
  <c r="AF133" i="1"/>
  <c r="AG133" i="1"/>
  <c r="AC133" i="1"/>
  <c r="AB134" i="1"/>
  <c r="O134" i="1"/>
  <c r="Q134" i="1" s="1"/>
  <c r="M136" i="1"/>
  <c r="N135" i="1"/>
  <c r="P135" i="1" s="1"/>
  <c r="X132" i="1"/>
  <c r="U133" i="1" s="1"/>
  <c r="J133" i="1"/>
  <c r="S135" i="1"/>
  <c r="W135" i="1" s="1"/>
  <c r="T134" i="1"/>
  <c r="V134" i="1" s="1"/>
  <c r="C132" i="1"/>
  <c r="B133" i="1"/>
  <c r="A134" i="1"/>
  <c r="H134" i="1"/>
  <c r="G135" i="1"/>
  <c r="E132" i="1" l="1"/>
  <c r="D133" i="1" s="1"/>
  <c r="AE133" i="1" s="1"/>
  <c r="AD132" i="1"/>
  <c r="AH132" i="1" s="1"/>
  <c r="Z133" i="1"/>
  <c r="AI133" i="1"/>
  <c r="K133" i="1" a="1"/>
  <c r="K133" i="1" s="1"/>
  <c r="I134" i="1" s="1"/>
  <c r="Y133" i="1"/>
  <c r="AF134" i="1"/>
  <c r="AG134" i="1"/>
  <c r="AB135" i="1"/>
  <c r="AC134" i="1"/>
  <c r="O135" i="1"/>
  <c r="Q135" i="1" s="1"/>
  <c r="N136" i="1"/>
  <c r="P136" i="1" s="1"/>
  <c r="M137" i="1"/>
  <c r="X133" i="1"/>
  <c r="U134" i="1" s="1"/>
  <c r="J134" i="1"/>
  <c r="S136" i="1"/>
  <c r="W136" i="1" s="1"/>
  <c r="T135" i="1"/>
  <c r="V135" i="1" s="1"/>
  <c r="C133" i="1"/>
  <c r="G136" i="1"/>
  <c r="H135" i="1"/>
  <c r="B134" i="1"/>
  <c r="A135" i="1"/>
  <c r="E133" i="1" l="1"/>
  <c r="D134" i="1" s="1"/>
  <c r="AE134" i="1" s="1"/>
  <c r="AD133" i="1"/>
  <c r="AH133" i="1" s="1"/>
  <c r="Z134" i="1"/>
  <c r="AI134" i="1"/>
  <c r="K134" i="1" a="1"/>
  <c r="K134" i="1" s="1"/>
  <c r="I135" i="1" s="1"/>
  <c r="Y134" i="1"/>
  <c r="AF135" i="1"/>
  <c r="AG135" i="1"/>
  <c r="AB136" i="1"/>
  <c r="AC135" i="1"/>
  <c r="M138" i="1"/>
  <c r="N137" i="1"/>
  <c r="P137" i="1" s="1"/>
  <c r="O136" i="1"/>
  <c r="Q136" i="1" s="1"/>
  <c r="X134" i="1"/>
  <c r="U135" i="1" s="1"/>
  <c r="J135" i="1"/>
  <c r="T136" i="1"/>
  <c r="V136" i="1" s="1"/>
  <c r="S137" i="1"/>
  <c r="W137" i="1" s="1"/>
  <c r="C134" i="1"/>
  <c r="B135" i="1"/>
  <c r="A136" i="1"/>
  <c r="G137" i="1"/>
  <c r="H136" i="1"/>
  <c r="Z135" i="1" l="1"/>
  <c r="E134" i="1"/>
  <c r="D135" i="1" s="1"/>
  <c r="AE135" i="1" s="1"/>
  <c r="AD134" i="1"/>
  <c r="AH134" i="1" s="1"/>
  <c r="AI135" i="1"/>
  <c r="K135" i="1" a="1"/>
  <c r="K135" i="1" s="1"/>
  <c r="I136" i="1" s="1"/>
  <c r="Y135" i="1"/>
  <c r="AF136" i="1"/>
  <c r="AG136" i="1"/>
  <c r="AC136" i="1"/>
  <c r="AB137" i="1"/>
  <c r="O137" i="1"/>
  <c r="Q137" i="1" s="1"/>
  <c r="N138" i="1"/>
  <c r="P138" i="1" s="1"/>
  <c r="M139" i="1"/>
  <c r="X135" i="1"/>
  <c r="U136" i="1" s="1"/>
  <c r="J136" i="1"/>
  <c r="S138" i="1"/>
  <c r="W138" i="1" s="1"/>
  <c r="T137" i="1"/>
  <c r="V137" i="1" s="1"/>
  <c r="C135" i="1"/>
  <c r="G138" i="1"/>
  <c r="H137" i="1"/>
  <c r="B136" i="1"/>
  <c r="A137" i="1"/>
  <c r="E135" i="1" l="1"/>
  <c r="D136" i="1" s="1"/>
  <c r="AE136" i="1" s="1"/>
  <c r="AI136" i="1" s="1"/>
  <c r="AD135" i="1"/>
  <c r="AH135" i="1" s="1"/>
  <c r="Z136" i="1"/>
  <c r="K136" i="1" a="1"/>
  <c r="K136" i="1" s="1"/>
  <c r="I137" i="1" s="1"/>
  <c r="Y136" i="1"/>
  <c r="AF137" i="1"/>
  <c r="AG137" i="1"/>
  <c r="AB138" i="1"/>
  <c r="AC137" i="1"/>
  <c r="O138" i="1"/>
  <c r="Q138" i="1" s="1"/>
  <c r="N139" i="1"/>
  <c r="P139" i="1" s="1"/>
  <c r="M140" i="1"/>
  <c r="X136" i="1"/>
  <c r="U137" i="1" s="1"/>
  <c r="J137" i="1"/>
  <c r="T138" i="1"/>
  <c r="V138" i="1" s="1"/>
  <c r="S139" i="1"/>
  <c r="W139" i="1" s="1"/>
  <c r="C136" i="1"/>
  <c r="B137" i="1"/>
  <c r="A138" i="1"/>
  <c r="H138" i="1"/>
  <c r="G139" i="1"/>
  <c r="Z137" i="1" l="1"/>
  <c r="E136" i="1"/>
  <c r="D137" i="1" s="1"/>
  <c r="AE137" i="1" s="1"/>
  <c r="AD136" i="1"/>
  <c r="AH136" i="1" s="1"/>
  <c r="AI137" i="1"/>
  <c r="K137" i="1" a="1"/>
  <c r="K137" i="1" s="1"/>
  <c r="I138" i="1" s="1"/>
  <c r="Y137" i="1"/>
  <c r="AF138" i="1"/>
  <c r="AG138" i="1"/>
  <c r="AC138" i="1"/>
  <c r="AB139" i="1"/>
  <c r="M141" i="1"/>
  <c r="N140" i="1"/>
  <c r="P140" i="1" s="1"/>
  <c r="O139" i="1"/>
  <c r="Q139" i="1" s="1"/>
  <c r="X137" i="1"/>
  <c r="U138" i="1" s="1"/>
  <c r="J138" i="1"/>
  <c r="T139" i="1"/>
  <c r="V139" i="1" s="1"/>
  <c r="S140" i="1"/>
  <c r="W140" i="1" s="1"/>
  <c r="C137" i="1"/>
  <c r="G140" i="1"/>
  <c r="H139" i="1"/>
  <c r="B138" i="1"/>
  <c r="A139" i="1"/>
  <c r="E137" i="1" l="1"/>
  <c r="D138" i="1" s="1"/>
  <c r="AE138" i="1" s="1"/>
  <c r="AI138" i="1" s="1"/>
  <c r="AD137" i="1"/>
  <c r="AH137" i="1" s="1"/>
  <c r="Z138" i="1"/>
  <c r="K138" i="1" a="1"/>
  <c r="K138" i="1" s="1"/>
  <c r="I139" i="1" s="1"/>
  <c r="Y138" i="1"/>
  <c r="AF139" i="1"/>
  <c r="AG139" i="1"/>
  <c r="AC139" i="1"/>
  <c r="AB140" i="1"/>
  <c r="X138" i="1"/>
  <c r="U139" i="1" s="1"/>
  <c r="O140" i="1"/>
  <c r="Q140" i="1" s="1"/>
  <c r="N141" i="1"/>
  <c r="P141" i="1" s="1"/>
  <c r="M142" i="1"/>
  <c r="J139" i="1"/>
  <c r="S141" i="1"/>
  <c r="W141" i="1" s="1"/>
  <c r="T140" i="1"/>
  <c r="V140" i="1" s="1"/>
  <c r="C138" i="1"/>
  <c r="B139" i="1"/>
  <c r="A140" i="1"/>
  <c r="G141" i="1"/>
  <c r="H140" i="1"/>
  <c r="Z139" i="1" l="1"/>
  <c r="E138" i="1"/>
  <c r="D139" i="1" s="1"/>
  <c r="AE139" i="1" s="1"/>
  <c r="AD138" i="1"/>
  <c r="AH138" i="1" s="1"/>
  <c r="AI139" i="1"/>
  <c r="K139" i="1" a="1"/>
  <c r="K139" i="1" s="1"/>
  <c r="I140" i="1" s="1"/>
  <c r="Y139" i="1"/>
  <c r="AF140" i="1"/>
  <c r="AG140" i="1"/>
  <c r="AB141" i="1"/>
  <c r="AC140" i="1"/>
  <c r="M143" i="1"/>
  <c r="N142" i="1"/>
  <c r="P142" i="1" s="1"/>
  <c r="O141" i="1"/>
  <c r="Q141" i="1" s="1"/>
  <c r="X139" i="1"/>
  <c r="U140" i="1" s="1"/>
  <c r="J140" i="1"/>
  <c r="T141" i="1"/>
  <c r="V141" i="1" s="1"/>
  <c r="S142" i="1"/>
  <c r="W142" i="1" s="1"/>
  <c r="C139" i="1"/>
  <c r="G142" i="1"/>
  <c r="H141" i="1"/>
  <c r="B140" i="1"/>
  <c r="A141" i="1"/>
  <c r="E139" i="1" l="1"/>
  <c r="D140" i="1" s="1"/>
  <c r="AE140" i="1" s="1"/>
  <c r="AI140" i="1" s="1"/>
  <c r="AD139" i="1"/>
  <c r="AH139" i="1" s="1"/>
  <c r="Z140" i="1"/>
  <c r="K140" i="1" a="1"/>
  <c r="K140" i="1" s="1"/>
  <c r="I141" i="1" s="1"/>
  <c r="Y140" i="1"/>
  <c r="AF141" i="1"/>
  <c r="AG141" i="1"/>
  <c r="AC141" i="1"/>
  <c r="AB142" i="1"/>
  <c r="X140" i="1"/>
  <c r="U141" i="1" s="1"/>
  <c r="O142" i="1"/>
  <c r="Q142" i="1" s="1"/>
  <c r="M144" i="1"/>
  <c r="N143" i="1"/>
  <c r="P143" i="1" s="1"/>
  <c r="J141" i="1"/>
  <c r="S143" i="1"/>
  <c r="W143" i="1" s="1"/>
  <c r="T142" i="1"/>
  <c r="V142" i="1" s="1"/>
  <c r="C140" i="1"/>
  <c r="A142" i="1"/>
  <c r="B141" i="1"/>
  <c r="G143" i="1"/>
  <c r="H142" i="1"/>
  <c r="E140" i="1" l="1"/>
  <c r="D141" i="1" s="1"/>
  <c r="AE141" i="1" s="1"/>
  <c r="AI141" i="1" s="1"/>
  <c r="AD140" i="1"/>
  <c r="AH140" i="1" s="1"/>
  <c r="Z141" i="1"/>
  <c r="K141" i="1" a="1"/>
  <c r="K141" i="1" s="1"/>
  <c r="I142" i="1" s="1"/>
  <c r="Y141" i="1"/>
  <c r="AF142" i="1"/>
  <c r="AG142" i="1"/>
  <c r="AB143" i="1"/>
  <c r="AC142" i="1"/>
  <c r="O143" i="1"/>
  <c r="Q143" i="1" s="1"/>
  <c r="N144" i="1"/>
  <c r="P144" i="1" s="1"/>
  <c r="M145" i="1"/>
  <c r="X141" i="1"/>
  <c r="U142" i="1" s="1"/>
  <c r="J142" i="1"/>
  <c r="S144" i="1"/>
  <c r="W144" i="1" s="1"/>
  <c r="T143" i="1"/>
  <c r="V143" i="1" s="1"/>
  <c r="C141" i="1"/>
  <c r="G144" i="1"/>
  <c r="H143" i="1"/>
  <c r="B142" i="1"/>
  <c r="A143" i="1"/>
  <c r="E141" i="1" l="1"/>
  <c r="D142" i="1" s="1"/>
  <c r="AE142" i="1" s="1"/>
  <c r="AI142" i="1" s="1"/>
  <c r="AD141" i="1"/>
  <c r="AH141" i="1" s="1"/>
  <c r="Z142" i="1"/>
  <c r="K142" i="1" a="1"/>
  <c r="K142" i="1" s="1"/>
  <c r="I143" i="1" s="1"/>
  <c r="Y142" i="1"/>
  <c r="AF143" i="1"/>
  <c r="AG143" i="1"/>
  <c r="AB144" i="1"/>
  <c r="AC143" i="1"/>
  <c r="M146" i="1"/>
  <c r="N145" i="1"/>
  <c r="P145" i="1" s="1"/>
  <c r="O144" i="1"/>
  <c r="Q144" i="1" s="1"/>
  <c r="X142" i="1"/>
  <c r="U143" i="1" s="1"/>
  <c r="J143" i="1"/>
  <c r="T144" i="1"/>
  <c r="V144" i="1" s="1"/>
  <c r="S145" i="1"/>
  <c r="W145" i="1" s="1"/>
  <c r="C142" i="1"/>
  <c r="B143" i="1"/>
  <c r="A144" i="1"/>
  <c r="G145" i="1"/>
  <c r="H144" i="1"/>
  <c r="E142" i="1" l="1"/>
  <c r="D143" i="1" s="1"/>
  <c r="AE143" i="1" s="1"/>
  <c r="AD142" i="1"/>
  <c r="AH142" i="1" s="1"/>
  <c r="Z143" i="1"/>
  <c r="AI143" i="1"/>
  <c r="K143" i="1" a="1"/>
  <c r="K143" i="1" s="1"/>
  <c r="I144" i="1" s="1"/>
  <c r="Y143" i="1"/>
  <c r="AF144" i="1"/>
  <c r="AG144" i="1"/>
  <c r="AC144" i="1"/>
  <c r="AB145" i="1"/>
  <c r="O145" i="1"/>
  <c r="Q145" i="1" s="1"/>
  <c r="N146" i="1"/>
  <c r="P146" i="1" s="1"/>
  <c r="M147" i="1"/>
  <c r="X143" i="1"/>
  <c r="U144" i="1" s="1"/>
  <c r="J144" i="1"/>
  <c r="S146" i="1"/>
  <c r="W146" i="1" s="1"/>
  <c r="T145" i="1"/>
  <c r="V145" i="1" s="1"/>
  <c r="C143" i="1"/>
  <c r="G146" i="1"/>
  <c r="H145" i="1"/>
  <c r="B144" i="1"/>
  <c r="A145" i="1"/>
  <c r="E143" i="1" l="1"/>
  <c r="D144" i="1" s="1"/>
  <c r="AE144" i="1" s="1"/>
  <c r="AD143" i="1"/>
  <c r="AH143" i="1" s="1"/>
  <c r="Z144" i="1"/>
  <c r="AI144" i="1"/>
  <c r="K144" i="1" a="1"/>
  <c r="K144" i="1" s="1"/>
  <c r="I145" i="1" s="1"/>
  <c r="Y144" i="1"/>
  <c r="AF145" i="1"/>
  <c r="AG145" i="1"/>
  <c r="AB146" i="1"/>
  <c r="AC145" i="1"/>
  <c r="O146" i="1"/>
  <c r="Q146" i="1" s="1"/>
  <c r="N147" i="1"/>
  <c r="P147" i="1" s="1"/>
  <c r="M148" i="1"/>
  <c r="X144" i="1"/>
  <c r="U145" i="1" s="1"/>
  <c r="J145" i="1"/>
  <c r="T146" i="1"/>
  <c r="V146" i="1" s="1"/>
  <c r="S147" i="1"/>
  <c r="W147" i="1" s="1"/>
  <c r="C144" i="1"/>
  <c r="A146" i="1"/>
  <c r="B145" i="1"/>
  <c r="G147" i="1"/>
  <c r="H146" i="1"/>
  <c r="E144" i="1" l="1"/>
  <c r="D145" i="1" s="1"/>
  <c r="AE145" i="1" s="1"/>
  <c r="AD144" i="1"/>
  <c r="AH144" i="1" s="1"/>
  <c r="AI145" i="1"/>
  <c r="Z145" i="1"/>
  <c r="K145" i="1" a="1"/>
  <c r="K145" i="1" s="1"/>
  <c r="I146" i="1" s="1"/>
  <c r="Y145" i="1"/>
  <c r="AF146" i="1"/>
  <c r="AG146" i="1"/>
  <c r="AC146" i="1"/>
  <c r="AB147" i="1"/>
  <c r="M149" i="1"/>
  <c r="N148" i="1"/>
  <c r="P148" i="1" s="1"/>
  <c r="O147" i="1"/>
  <c r="Q147" i="1" s="1"/>
  <c r="X145" i="1"/>
  <c r="U146" i="1" s="1"/>
  <c r="J146" i="1"/>
  <c r="T147" i="1"/>
  <c r="V147" i="1" s="1"/>
  <c r="S148" i="1"/>
  <c r="W148" i="1" s="1"/>
  <c r="C145" i="1"/>
  <c r="G148" i="1"/>
  <c r="H147" i="1"/>
  <c r="B146" i="1"/>
  <c r="A147" i="1"/>
  <c r="E145" i="1" l="1"/>
  <c r="D146" i="1" s="1"/>
  <c r="AE146" i="1" s="1"/>
  <c r="AD145" i="1"/>
  <c r="AH145" i="1" s="1"/>
  <c r="Z146" i="1"/>
  <c r="AI146" i="1"/>
  <c r="K146" i="1" a="1"/>
  <c r="K146" i="1" s="1"/>
  <c r="I147" i="1" s="1"/>
  <c r="X146" i="1"/>
  <c r="U147" i="1" s="1"/>
  <c r="Y146" i="1"/>
  <c r="AF147" i="1"/>
  <c r="AG147" i="1"/>
  <c r="AC147" i="1"/>
  <c r="AB148" i="1"/>
  <c r="O148" i="1"/>
  <c r="Q148" i="1" s="1"/>
  <c r="N149" i="1"/>
  <c r="P149" i="1" s="1"/>
  <c r="M150" i="1"/>
  <c r="J147" i="1"/>
  <c r="S149" i="1"/>
  <c r="W149" i="1" s="1"/>
  <c r="T148" i="1"/>
  <c r="V148" i="1" s="1"/>
  <c r="C146" i="1"/>
  <c r="B147" i="1"/>
  <c r="A148" i="1"/>
  <c r="G149" i="1"/>
  <c r="H148" i="1"/>
  <c r="E146" i="1" l="1"/>
  <c r="D147" i="1" s="1"/>
  <c r="AE147" i="1" s="1"/>
  <c r="AD146" i="1"/>
  <c r="AH146" i="1" s="1"/>
  <c r="Z147" i="1"/>
  <c r="AI147" i="1"/>
  <c r="K147" i="1" a="1"/>
  <c r="K147" i="1" s="1"/>
  <c r="I148" i="1" s="1"/>
  <c r="X147" i="1"/>
  <c r="U148" i="1" s="1"/>
  <c r="Y147" i="1"/>
  <c r="AF148" i="1"/>
  <c r="AG148" i="1"/>
  <c r="AB149" i="1"/>
  <c r="AC148" i="1"/>
  <c r="M151" i="1"/>
  <c r="N150" i="1"/>
  <c r="P150" i="1" s="1"/>
  <c r="O149" i="1"/>
  <c r="Q149" i="1" s="1"/>
  <c r="J148" i="1"/>
  <c r="T149" i="1"/>
  <c r="V149" i="1" s="1"/>
  <c r="S150" i="1"/>
  <c r="W150" i="1" s="1"/>
  <c r="C147" i="1"/>
  <c r="G150" i="1"/>
  <c r="H149" i="1"/>
  <c r="B148" i="1"/>
  <c r="A149" i="1"/>
  <c r="Z148" i="1" l="1"/>
  <c r="E147" i="1"/>
  <c r="D148" i="1" s="1"/>
  <c r="AE148" i="1" s="1"/>
  <c r="AI148" i="1" s="1"/>
  <c r="AD147" i="1"/>
  <c r="AH147" i="1" s="1"/>
  <c r="K148" i="1" a="1"/>
  <c r="K148" i="1" s="1"/>
  <c r="I149" i="1" s="1"/>
  <c r="Y148" i="1"/>
  <c r="AF149" i="1"/>
  <c r="AG149" i="1"/>
  <c r="AC149" i="1"/>
  <c r="AB150" i="1"/>
  <c r="X148" i="1"/>
  <c r="U149" i="1" s="1"/>
  <c r="O150" i="1"/>
  <c r="Q150" i="1" s="1"/>
  <c r="M152" i="1"/>
  <c r="N151" i="1"/>
  <c r="P151" i="1" s="1"/>
  <c r="J149" i="1"/>
  <c r="S151" i="1"/>
  <c r="W151" i="1" s="1"/>
  <c r="T150" i="1"/>
  <c r="V150" i="1" s="1"/>
  <c r="C148" i="1"/>
  <c r="G151" i="1"/>
  <c r="H150" i="1"/>
  <c r="A150" i="1"/>
  <c r="B149" i="1"/>
  <c r="Z149" i="1" l="1"/>
  <c r="E148" i="1"/>
  <c r="D149" i="1" s="1"/>
  <c r="AE149" i="1" s="1"/>
  <c r="AD148" i="1"/>
  <c r="AH148" i="1" s="1"/>
  <c r="AI149" i="1"/>
  <c r="K149" i="1" a="1"/>
  <c r="K149" i="1" s="1"/>
  <c r="I150" i="1" s="1"/>
  <c r="Y149" i="1"/>
  <c r="AF150" i="1"/>
  <c r="AG150" i="1"/>
  <c r="AB151" i="1"/>
  <c r="AC150" i="1"/>
  <c r="O151" i="1"/>
  <c r="Q151" i="1" s="1"/>
  <c r="N152" i="1"/>
  <c r="P152" i="1" s="1"/>
  <c r="M153" i="1"/>
  <c r="X149" i="1"/>
  <c r="U150" i="1" s="1"/>
  <c r="J150" i="1"/>
  <c r="S152" i="1"/>
  <c r="W152" i="1" s="1"/>
  <c r="T151" i="1"/>
  <c r="V151" i="1" s="1"/>
  <c r="C149" i="1"/>
  <c r="B150" i="1"/>
  <c r="A151" i="1"/>
  <c r="G152" i="1"/>
  <c r="H151" i="1"/>
  <c r="Z150" i="1" l="1"/>
  <c r="E149" i="1"/>
  <c r="D150" i="1" s="1"/>
  <c r="AE150" i="1" s="1"/>
  <c r="AD149" i="1"/>
  <c r="AH149" i="1" s="1"/>
  <c r="K150" i="1" a="1"/>
  <c r="K150" i="1" s="1"/>
  <c r="I151" i="1" s="1"/>
  <c r="X150" i="1"/>
  <c r="U151" i="1" s="1"/>
  <c r="Y150" i="1"/>
  <c r="AI150" i="1"/>
  <c r="AF151" i="1"/>
  <c r="AG151" i="1"/>
  <c r="AB152" i="1"/>
  <c r="AC151" i="1"/>
  <c r="M154" i="1"/>
  <c r="N153" i="1"/>
  <c r="P153" i="1" s="1"/>
  <c r="O152" i="1"/>
  <c r="Q152" i="1" s="1"/>
  <c r="J151" i="1"/>
  <c r="T152" i="1"/>
  <c r="V152" i="1" s="1"/>
  <c r="S153" i="1"/>
  <c r="W153" i="1" s="1"/>
  <c r="C150" i="1"/>
  <c r="G153" i="1"/>
  <c r="H152" i="1"/>
  <c r="A152" i="1"/>
  <c r="B151" i="1"/>
  <c r="E150" i="1" l="1"/>
  <c r="D151" i="1" s="1"/>
  <c r="AE151" i="1" s="1"/>
  <c r="AD150" i="1"/>
  <c r="AH150" i="1" s="1"/>
  <c r="Z151" i="1"/>
  <c r="K151" i="1" a="1"/>
  <c r="K151" i="1" s="1"/>
  <c r="I152" i="1" s="1"/>
  <c r="AI151" i="1"/>
  <c r="Y151" i="1"/>
  <c r="AF152" i="1"/>
  <c r="AG152" i="1"/>
  <c r="AC152" i="1"/>
  <c r="AB153" i="1"/>
  <c r="X151" i="1"/>
  <c r="U152" i="1" s="1"/>
  <c r="O153" i="1"/>
  <c r="Q153" i="1" s="1"/>
  <c r="N154" i="1"/>
  <c r="P154" i="1" s="1"/>
  <c r="M155" i="1"/>
  <c r="J152" i="1"/>
  <c r="S154" i="1"/>
  <c r="W154" i="1" s="1"/>
  <c r="T153" i="1"/>
  <c r="V153" i="1" s="1"/>
  <c r="C151" i="1"/>
  <c r="B152" i="1"/>
  <c r="A153" i="1"/>
  <c r="G154" i="1"/>
  <c r="H153" i="1"/>
  <c r="Z152" i="1" l="1"/>
  <c r="E151" i="1"/>
  <c r="D152" i="1" s="1"/>
  <c r="AE152" i="1" s="1"/>
  <c r="AD151" i="1"/>
  <c r="AH151" i="1" s="1"/>
  <c r="AI152" i="1"/>
  <c r="K152" i="1" a="1"/>
  <c r="K152" i="1" s="1"/>
  <c r="I153" i="1" s="1"/>
  <c r="Y152" i="1"/>
  <c r="AF153" i="1"/>
  <c r="AG153" i="1"/>
  <c r="AB154" i="1"/>
  <c r="AC153" i="1"/>
  <c r="O154" i="1"/>
  <c r="Q154" i="1" s="1"/>
  <c r="N155" i="1"/>
  <c r="P155" i="1" s="1"/>
  <c r="M156" i="1"/>
  <c r="X152" i="1"/>
  <c r="U153" i="1" s="1"/>
  <c r="Z153" i="1" s="1"/>
  <c r="J153" i="1"/>
  <c r="T154" i="1"/>
  <c r="V154" i="1" s="1"/>
  <c r="S155" i="1"/>
  <c r="W155" i="1" s="1"/>
  <c r="C152" i="1"/>
  <c r="H154" i="1"/>
  <c r="G155" i="1"/>
  <c r="A154" i="1"/>
  <c r="B153" i="1"/>
  <c r="E152" i="1" l="1"/>
  <c r="D153" i="1" s="1"/>
  <c r="AE153" i="1" s="1"/>
  <c r="AD152" i="1"/>
  <c r="AH152" i="1" s="1"/>
  <c r="AI153" i="1"/>
  <c r="K153" i="1" a="1"/>
  <c r="K153" i="1" s="1"/>
  <c r="I154" i="1" s="1"/>
  <c r="Y153" i="1"/>
  <c r="AF154" i="1"/>
  <c r="AG154" i="1"/>
  <c r="AC154" i="1"/>
  <c r="AB155" i="1"/>
  <c r="M157" i="1"/>
  <c r="N156" i="1"/>
  <c r="P156" i="1" s="1"/>
  <c r="O155" i="1"/>
  <c r="Q155" i="1" s="1"/>
  <c r="X153" i="1"/>
  <c r="U154" i="1" s="1"/>
  <c r="J154" i="1"/>
  <c r="T155" i="1"/>
  <c r="V155" i="1" s="1"/>
  <c r="S156" i="1"/>
  <c r="W156" i="1" s="1"/>
  <c r="C153" i="1"/>
  <c r="B154" i="1"/>
  <c r="A155" i="1"/>
  <c r="G156" i="1"/>
  <c r="H155" i="1"/>
  <c r="Z154" i="1" l="1"/>
  <c r="E153" i="1"/>
  <c r="D154" i="1" s="1"/>
  <c r="AE154" i="1" s="1"/>
  <c r="AD153" i="1"/>
  <c r="AH153" i="1" s="1"/>
  <c r="AI154" i="1"/>
  <c r="K154" i="1" a="1"/>
  <c r="K154" i="1" s="1"/>
  <c r="I155" i="1" s="1"/>
  <c r="X154" i="1"/>
  <c r="U155" i="1" s="1"/>
  <c r="Y154" i="1"/>
  <c r="AF155" i="1"/>
  <c r="AG155" i="1"/>
  <c r="AC155" i="1"/>
  <c r="AB156" i="1"/>
  <c r="O156" i="1"/>
  <c r="Q156" i="1" s="1"/>
  <c r="N157" i="1"/>
  <c r="P157" i="1" s="1"/>
  <c r="M158" i="1"/>
  <c r="J155" i="1"/>
  <c r="S157" i="1"/>
  <c r="W157" i="1" s="1"/>
  <c r="T156" i="1"/>
  <c r="V156" i="1" s="1"/>
  <c r="C154" i="1"/>
  <c r="G157" i="1"/>
  <c r="H156" i="1"/>
  <c r="A156" i="1"/>
  <c r="B155" i="1"/>
  <c r="Z155" i="1" l="1"/>
  <c r="E154" i="1"/>
  <c r="D155" i="1" s="1"/>
  <c r="AE155" i="1" s="1"/>
  <c r="AD154" i="1"/>
  <c r="AH154" i="1" s="1"/>
  <c r="AI155" i="1"/>
  <c r="K155" i="1" a="1"/>
  <c r="K155" i="1" s="1"/>
  <c r="I156" i="1" s="1"/>
  <c r="Y155" i="1"/>
  <c r="AF156" i="1"/>
  <c r="AG156" i="1"/>
  <c r="AB157" i="1"/>
  <c r="AC156" i="1"/>
  <c r="X155" i="1"/>
  <c r="U156" i="1" s="1"/>
  <c r="M159" i="1"/>
  <c r="N158" i="1"/>
  <c r="P158" i="1" s="1"/>
  <c r="O157" i="1"/>
  <c r="Q157" i="1" s="1"/>
  <c r="J156" i="1"/>
  <c r="T157" i="1"/>
  <c r="V157" i="1" s="1"/>
  <c r="S158" i="1"/>
  <c r="W158" i="1" s="1"/>
  <c r="C155" i="1"/>
  <c r="B156" i="1"/>
  <c r="A157" i="1"/>
  <c r="G158" i="1"/>
  <c r="H157" i="1"/>
  <c r="E155" i="1" l="1"/>
  <c r="D156" i="1" s="1"/>
  <c r="AE156" i="1" s="1"/>
  <c r="AI156" i="1" s="1"/>
  <c r="AD155" i="1"/>
  <c r="AH155" i="1" s="1"/>
  <c r="Z156" i="1"/>
  <c r="K156" i="1" a="1"/>
  <c r="K156" i="1" s="1"/>
  <c r="I157" i="1" s="1"/>
  <c r="Y156" i="1"/>
  <c r="AF157" i="1"/>
  <c r="AG157" i="1"/>
  <c r="AC157" i="1"/>
  <c r="AB158" i="1"/>
  <c r="O158" i="1"/>
  <c r="Q158" i="1" s="1"/>
  <c r="M160" i="1"/>
  <c r="N159" i="1"/>
  <c r="P159" i="1" s="1"/>
  <c r="X156" i="1"/>
  <c r="U157" i="1" s="1"/>
  <c r="J157" i="1"/>
  <c r="S159" i="1"/>
  <c r="W159" i="1" s="1"/>
  <c r="T158" i="1"/>
  <c r="V158" i="1" s="1"/>
  <c r="C156" i="1"/>
  <c r="H158" i="1"/>
  <c r="G159" i="1"/>
  <c r="B157" i="1"/>
  <c r="A158" i="1"/>
  <c r="E156" i="1" l="1"/>
  <c r="D157" i="1" s="1"/>
  <c r="AE157" i="1" s="1"/>
  <c r="AD156" i="1"/>
  <c r="AH156" i="1" s="1"/>
  <c r="AI157" i="1"/>
  <c r="Z157" i="1"/>
  <c r="K157" i="1" a="1"/>
  <c r="K157" i="1" s="1"/>
  <c r="I158" i="1" s="1"/>
  <c r="Y157" i="1"/>
  <c r="AF158" i="1"/>
  <c r="AG158" i="1"/>
  <c r="AB159" i="1"/>
  <c r="AC158" i="1"/>
  <c r="O159" i="1"/>
  <c r="Q159" i="1" s="1"/>
  <c r="N160" i="1"/>
  <c r="P160" i="1" s="1"/>
  <c r="M161" i="1"/>
  <c r="X157" i="1"/>
  <c r="U158" i="1" s="1"/>
  <c r="J158" i="1"/>
  <c r="S160" i="1"/>
  <c r="W160" i="1" s="1"/>
  <c r="T159" i="1"/>
  <c r="V159" i="1" s="1"/>
  <c r="C157" i="1"/>
  <c r="B158" i="1"/>
  <c r="A159" i="1"/>
  <c r="G160" i="1"/>
  <c r="H159" i="1"/>
  <c r="Z158" i="1" l="1"/>
  <c r="E157" i="1"/>
  <c r="D158" i="1" s="1"/>
  <c r="AE158" i="1" s="1"/>
  <c r="AI158" i="1" s="1"/>
  <c r="AD157" i="1"/>
  <c r="AH157" i="1" s="1"/>
  <c r="K158" i="1" a="1"/>
  <c r="K158" i="1" s="1"/>
  <c r="I159" i="1" s="1"/>
  <c r="X158" i="1"/>
  <c r="U159" i="1" s="1"/>
  <c r="Z159" i="1" s="1"/>
  <c r="Y158" i="1"/>
  <c r="AF159" i="1"/>
  <c r="AG159" i="1"/>
  <c r="AB160" i="1"/>
  <c r="AC159" i="1"/>
  <c r="M162" i="1"/>
  <c r="N161" i="1"/>
  <c r="P161" i="1" s="1"/>
  <c r="O160" i="1"/>
  <c r="Q160" i="1" s="1"/>
  <c r="J159" i="1"/>
  <c r="T160" i="1"/>
  <c r="V160" i="1" s="1"/>
  <c r="S161" i="1"/>
  <c r="W161" i="1" s="1"/>
  <c r="C158" i="1"/>
  <c r="G161" i="1"/>
  <c r="H160" i="1"/>
  <c r="A160" i="1"/>
  <c r="B159" i="1"/>
  <c r="E158" i="1" l="1"/>
  <c r="D159" i="1" s="1"/>
  <c r="AE159" i="1" s="1"/>
  <c r="AD158" i="1"/>
  <c r="AH158" i="1" s="1"/>
  <c r="AI159" i="1"/>
  <c r="K159" i="1" a="1"/>
  <c r="K159" i="1" s="1"/>
  <c r="I160" i="1" s="1"/>
  <c r="Y159" i="1"/>
  <c r="AF160" i="1"/>
  <c r="AG160" i="1"/>
  <c r="AC160" i="1"/>
  <c r="AB161" i="1"/>
  <c r="O161" i="1"/>
  <c r="Q161" i="1" s="1"/>
  <c r="N162" i="1"/>
  <c r="P162" i="1" s="1"/>
  <c r="M163" i="1"/>
  <c r="X159" i="1"/>
  <c r="U160" i="1" s="1"/>
  <c r="J160" i="1"/>
  <c r="S162" i="1"/>
  <c r="W162" i="1" s="1"/>
  <c r="T161" i="1"/>
  <c r="V161" i="1" s="1"/>
  <c r="C159" i="1"/>
  <c r="G162" i="1"/>
  <c r="H161" i="1"/>
  <c r="B160" i="1"/>
  <c r="A161" i="1"/>
  <c r="Z160" i="1" l="1"/>
  <c r="E159" i="1"/>
  <c r="D160" i="1" s="1"/>
  <c r="AE160" i="1" s="1"/>
  <c r="AI160" i="1" s="1"/>
  <c r="AD159" i="1"/>
  <c r="AH159" i="1" s="1"/>
  <c r="K160" i="1" a="1"/>
  <c r="K160" i="1" s="1"/>
  <c r="I161" i="1" s="1"/>
  <c r="Y160" i="1"/>
  <c r="AF161" i="1"/>
  <c r="AG161" i="1"/>
  <c r="AB162" i="1"/>
  <c r="AC161" i="1"/>
  <c r="O162" i="1"/>
  <c r="Q162" i="1" s="1"/>
  <c r="N163" i="1"/>
  <c r="P163" i="1" s="1"/>
  <c r="M164" i="1"/>
  <c r="X160" i="1"/>
  <c r="U161" i="1" s="1"/>
  <c r="J161" i="1"/>
  <c r="T162" i="1"/>
  <c r="V162" i="1" s="1"/>
  <c r="S163" i="1"/>
  <c r="W163" i="1" s="1"/>
  <c r="C160" i="1"/>
  <c r="H162" i="1"/>
  <c r="G163" i="1"/>
  <c r="B161" i="1"/>
  <c r="A162" i="1"/>
  <c r="Z161" i="1" l="1"/>
  <c r="E160" i="1"/>
  <c r="D161" i="1" s="1"/>
  <c r="AE161" i="1" s="1"/>
  <c r="AD160" i="1"/>
  <c r="AH160" i="1" s="1"/>
  <c r="AI161" i="1"/>
  <c r="K161" i="1" a="1"/>
  <c r="K161" i="1" s="1"/>
  <c r="I162" i="1" s="1"/>
  <c r="Y161" i="1"/>
  <c r="AF162" i="1"/>
  <c r="AG162" i="1"/>
  <c r="AC162" i="1"/>
  <c r="AB163" i="1"/>
  <c r="M165" i="1"/>
  <c r="N164" i="1"/>
  <c r="P164" i="1" s="1"/>
  <c r="O163" i="1"/>
  <c r="Q163" i="1" s="1"/>
  <c r="X161" i="1"/>
  <c r="U162" i="1" s="1"/>
  <c r="J162" i="1"/>
  <c r="T163" i="1"/>
  <c r="V163" i="1" s="1"/>
  <c r="S164" i="1"/>
  <c r="W164" i="1" s="1"/>
  <c r="C161" i="1"/>
  <c r="B162" i="1"/>
  <c r="A163" i="1"/>
  <c r="G164" i="1"/>
  <c r="H163" i="1"/>
  <c r="Z162" i="1" l="1"/>
  <c r="E161" i="1"/>
  <c r="D162" i="1" s="1"/>
  <c r="AE162" i="1" s="1"/>
  <c r="AD161" i="1"/>
  <c r="AH161" i="1" s="1"/>
  <c r="AI162" i="1"/>
  <c r="K162" i="1" a="1"/>
  <c r="K162" i="1" s="1"/>
  <c r="I163" i="1" s="1"/>
  <c r="X162" i="1"/>
  <c r="U163" i="1" s="1"/>
  <c r="Y162" i="1"/>
  <c r="AF163" i="1"/>
  <c r="AG163" i="1"/>
  <c r="AC163" i="1"/>
  <c r="AB164" i="1"/>
  <c r="O164" i="1"/>
  <c r="Q164" i="1" s="1"/>
  <c r="N165" i="1"/>
  <c r="P165" i="1" s="1"/>
  <c r="M166" i="1"/>
  <c r="J163" i="1"/>
  <c r="S165" i="1"/>
  <c r="W165" i="1" s="1"/>
  <c r="T164" i="1"/>
  <c r="V164" i="1" s="1"/>
  <c r="C162" i="1"/>
  <c r="G165" i="1"/>
  <c r="H164" i="1"/>
  <c r="A164" i="1"/>
  <c r="B163" i="1"/>
  <c r="E162" i="1" l="1"/>
  <c r="D163" i="1" s="1"/>
  <c r="AE163" i="1" s="1"/>
  <c r="AI163" i="1" s="1"/>
  <c r="AD162" i="1"/>
  <c r="AH162" i="1" s="1"/>
  <c r="Z163" i="1"/>
  <c r="K163" i="1" a="1"/>
  <c r="K163" i="1" s="1"/>
  <c r="I164" i="1" s="1"/>
  <c r="Y163" i="1"/>
  <c r="AF164" i="1"/>
  <c r="AG164" i="1"/>
  <c r="AB165" i="1"/>
  <c r="AC164" i="1"/>
  <c r="X163" i="1"/>
  <c r="U164" i="1" s="1"/>
  <c r="M167" i="1"/>
  <c r="N166" i="1"/>
  <c r="P166" i="1" s="1"/>
  <c r="O165" i="1"/>
  <c r="Q165" i="1" s="1"/>
  <c r="J164" i="1"/>
  <c r="T165" i="1"/>
  <c r="V165" i="1" s="1"/>
  <c r="S166" i="1"/>
  <c r="W166" i="1" s="1"/>
  <c r="C163" i="1"/>
  <c r="G166" i="1"/>
  <c r="H165" i="1"/>
  <c r="B164" i="1"/>
  <c r="A165" i="1"/>
  <c r="E163" i="1" l="1"/>
  <c r="D164" i="1" s="1"/>
  <c r="AE164" i="1" s="1"/>
  <c r="AI164" i="1" s="1"/>
  <c r="AD163" i="1"/>
  <c r="AH163" i="1" s="1"/>
  <c r="Z164" i="1"/>
  <c r="K164" i="1" a="1"/>
  <c r="K164" i="1" s="1"/>
  <c r="I165" i="1" s="1"/>
  <c r="Y164" i="1"/>
  <c r="AF165" i="1"/>
  <c r="AG165" i="1"/>
  <c r="AC165" i="1"/>
  <c r="AB166" i="1"/>
  <c r="O166" i="1"/>
  <c r="Q166" i="1" s="1"/>
  <c r="M168" i="1"/>
  <c r="N167" i="1"/>
  <c r="P167" i="1" s="1"/>
  <c r="X164" i="1"/>
  <c r="U165" i="1" s="1"/>
  <c r="J165" i="1"/>
  <c r="S167" i="1"/>
  <c r="W167" i="1" s="1"/>
  <c r="T166" i="1"/>
  <c r="V166" i="1" s="1"/>
  <c r="C164" i="1"/>
  <c r="B165" i="1"/>
  <c r="A166" i="1"/>
  <c r="H166" i="1"/>
  <c r="G167" i="1"/>
  <c r="E164" i="1" l="1"/>
  <c r="D165" i="1" s="1"/>
  <c r="AE165" i="1" s="1"/>
  <c r="AD164" i="1"/>
  <c r="AH164" i="1" s="1"/>
  <c r="Z165" i="1"/>
  <c r="K165" i="1" a="1"/>
  <c r="K165" i="1" s="1"/>
  <c r="I166" i="1" s="1"/>
  <c r="Y165" i="1"/>
  <c r="AI165" i="1"/>
  <c r="AF166" i="1"/>
  <c r="AG166" i="1"/>
  <c r="AB167" i="1"/>
  <c r="AC166" i="1"/>
  <c r="O167" i="1"/>
  <c r="Q167" i="1" s="1"/>
  <c r="N168" i="1"/>
  <c r="P168" i="1" s="1"/>
  <c r="M169" i="1"/>
  <c r="X165" i="1"/>
  <c r="U166" i="1" s="1"/>
  <c r="J166" i="1"/>
  <c r="S168" i="1"/>
  <c r="W168" i="1" s="1"/>
  <c r="T167" i="1"/>
  <c r="V167" i="1" s="1"/>
  <c r="C165" i="1"/>
  <c r="B166" i="1"/>
  <c r="A167" i="1"/>
  <c r="G168" i="1"/>
  <c r="H167" i="1"/>
  <c r="E165" i="1" l="1"/>
  <c r="D166" i="1" s="1"/>
  <c r="AE166" i="1" s="1"/>
  <c r="AD165" i="1"/>
  <c r="AH165" i="1" s="1"/>
  <c r="Z166" i="1"/>
  <c r="AI166" i="1"/>
  <c r="K166" i="1" a="1"/>
  <c r="K166" i="1" s="1"/>
  <c r="I167" i="1" s="1"/>
  <c r="Y166" i="1"/>
  <c r="AF167" i="1"/>
  <c r="AG167" i="1"/>
  <c r="AB168" i="1"/>
  <c r="AC167" i="1"/>
  <c r="M170" i="1"/>
  <c r="N169" i="1"/>
  <c r="P169" i="1" s="1"/>
  <c r="O168" i="1"/>
  <c r="Q168" i="1" s="1"/>
  <c r="X166" i="1"/>
  <c r="U167" i="1" s="1"/>
  <c r="J167" i="1"/>
  <c r="T168" i="1"/>
  <c r="V168" i="1" s="1"/>
  <c r="S169" i="1"/>
  <c r="W169" i="1" s="1"/>
  <c r="C166" i="1"/>
  <c r="A168" i="1"/>
  <c r="B167" i="1"/>
  <c r="G169" i="1"/>
  <c r="H168" i="1"/>
  <c r="Z167" i="1" l="1"/>
  <c r="E166" i="1"/>
  <c r="D167" i="1" s="1"/>
  <c r="AE167" i="1" s="1"/>
  <c r="AD166" i="1"/>
  <c r="AH166" i="1" s="1"/>
  <c r="AI167" i="1"/>
  <c r="K167" i="1" a="1"/>
  <c r="K167" i="1" s="1"/>
  <c r="I168" i="1" s="1"/>
  <c r="Y167" i="1"/>
  <c r="AF168" i="1"/>
  <c r="AG168" i="1"/>
  <c r="AC168" i="1"/>
  <c r="AB169" i="1"/>
  <c r="O169" i="1"/>
  <c r="Q169" i="1" s="1"/>
  <c r="N170" i="1"/>
  <c r="P170" i="1" s="1"/>
  <c r="M171" i="1"/>
  <c r="X167" i="1"/>
  <c r="U168" i="1" s="1"/>
  <c r="J168" i="1"/>
  <c r="S170" i="1"/>
  <c r="W170" i="1" s="1"/>
  <c r="T169" i="1"/>
  <c r="V169" i="1" s="1"/>
  <c r="C167" i="1"/>
  <c r="B168" i="1"/>
  <c r="A169" i="1"/>
  <c r="G170" i="1"/>
  <c r="H169" i="1"/>
  <c r="E167" i="1" l="1"/>
  <c r="D168" i="1" s="1"/>
  <c r="AE168" i="1" s="1"/>
  <c r="AD167" i="1"/>
  <c r="AH167" i="1" s="1"/>
  <c r="Z168" i="1"/>
  <c r="K168" i="1" a="1"/>
  <c r="K168" i="1" s="1"/>
  <c r="I169" i="1" s="1"/>
  <c r="AI168" i="1"/>
  <c r="Y168" i="1"/>
  <c r="AF169" i="1"/>
  <c r="AG169" i="1"/>
  <c r="AB170" i="1"/>
  <c r="AC169" i="1"/>
  <c r="O170" i="1"/>
  <c r="Q170" i="1" s="1"/>
  <c r="N171" i="1"/>
  <c r="P171" i="1" s="1"/>
  <c r="M172" i="1"/>
  <c r="X168" i="1"/>
  <c r="U169" i="1" s="1"/>
  <c r="J169" i="1"/>
  <c r="T170" i="1"/>
  <c r="V170" i="1" s="1"/>
  <c r="S171" i="1"/>
  <c r="W171" i="1" s="1"/>
  <c r="C168" i="1"/>
  <c r="A170" i="1"/>
  <c r="B169" i="1"/>
  <c r="H170" i="1"/>
  <c r="G171" i="1"/>
  <c r="E168" i="1" l="1"/>
  <c r="D169" i="1" s="1"/>
  <c r="AE169" i="1" s="1"/>
  <c r="AD168" i="1"/>
  <c r="AH168" i="1" s="1"/>
  <c r="AI169" i="1"/>
  <c r="Z169" i="1"/>
  <c r="K169" i="1" a="1"/>
  <c r="K169" i="1" s="1"/>
  <c r="I170" i="1" s="1"/>
  <c r="Y169" i="1"/>
  <c r="AF170" i="1"/>
  <c r="AG170" i="1"/>
  <c r="AC170" i="1"/>
  <c r="AB171" i="1"/>
  <c r="M173" i="1"/>
  <c r="N172" i="1"/>
  <c r="P172" i="1" s="1"/>
  <c r="O171" i="1"/>
  <c r="Q171" i="1" s="1"/>
  <c r="X169" i="1"/>
  <c r="U170" i="1" s="1"/>
  <c r="J170" i="1"/>
  <c r="T171" i="1"/>
  <c r="V171" i="1" s="1"/>
  <c r="S172" i="1"/>
  <c r="W172" i="1" s="1"/>
  <c r="C169" i="1"/>
  <c r="G172" i="1"/>
  <c r="H171" i="1"/>
  <c r="A171" i="1"/>
  <c r="B170" i="1"/>
  <c r="E169" i="1" l="1"/>
  <c r="D170" i="1" s="1"/>
  <c r="AE170" i="1" s="1"/>
  <c r="AD169" i="1"/>
  <c r="AH169" i="1" s="1"/>
  <c r="AI170" i="1"/>
  <c r="Z170" i="1"/>
  <c r="K170" i="1" a="1"/>
  <c r="K170" i="1" s="1"/>
  <c r="I171" i="1" s="1"/>
  <c r="X170" i="1"/>
  <c r="U171" i="1" s="1"/>
  <c r="Y170" i="1"/>
  <c r="AF171" i="1"/>
  <c r="AG171" i="1"/>
  <c r="AC171" i="1"/>
  <c r="AB172" i="1"/>
  <c r="O172" i="1"/>
  <c r="Q172" i="1" s="1"/>
  <c r="N173" i="1"/>
  <c r="P173" i="1" s="1"/>
  <c r="M174" i="1"/>
  <c r="J171" i="1"/>
  <c r="S173" i="1"/>
  <c r="W173" i="1" s="1"/>
  <c r="T172" i="1"/>
  <c r="V172" i="1" s="1"/>
  <c r="C170" i="1"/>
  <c r="A172" i="1"/>
  <c r="B171" i="1"/>
  <c r="G173" i="1"/>
  <c r="H172" i="1"/>
  <c r="Z171" i="1" l="1"/>
  <c r="E170" i="1"/>
  <c r="D171" i="1" s="1"/>
  <c r="AE171" i="1" s="1"/>
  <c r="AD170" i="1"/>
  <c r="AH170" i="1" s="1"/>
  <c r="AI171" i="1"/>
  <c r="K171" i="1" a="1"/>
  <c r="K171" i="1" s="1"/>
  <c r="I172" i="1" s="1"/>
  <c r="X171" i="1"/>
  <c r="U172" i="1" s="1"/>
  <c r="Y171" i="1"/>
  <c r="AF172" i="1"/>
  <c r="AG172" i="1"/>
  <c r="AB173" i="1"/>
  <c r="AC172" i="1"/>
  <c r="M175" i="1"/>
  <c r="N174" i="1"/>
  <c r="P174" i="1" s="1"/>
  <c r="O173" i="1"/>
  <c r="Q173" i="1" s="1"/>
  <c r="J172" i="1"/>
  <c r="T173" i="1"/>
  <c r="V173" i="1" s="1"/>
  <c r="S174" i="1"/>
  <c r="W174" i="1" s="1"/>
  <c r="C171" i="1"/>
  <c r="B172" i="1"/>
  <c r="A173" i="1"/>
  <c r="G174" i="1"/>
  <c r="H173" i="1"/>
  <c r="Z172" i="1" l="1"/>
  <c r="E171" i="1"/>
  <c r="D172" i="1" s="1"/>
  <c r="AE172" i="1" s="1"/>
  <c r="AD171" i="1"/>
  <c r="AH171" i="1" s="1"/>
  <c r="AI172" i="1"/>
  <c r="K172" i="1" a="1"/>
  <c r="K172" i="1" s="1"/>
  <c r="I173" i="1" s="1"/>
  <c r="X172" i="1"/>
  <c r="U173" i="1" s="1"/>
  <c r="Y172" i="1"/>
  <c r="AF173" i="1"/>
  <c r="AG173" i="1"/>
  <c r="AC173" i="1"/>
  <c r="AB174" i="1"/>
  <c r="O174" i="1"/>
  <c r="Q174" i="1" s="1"/>
  <c r="M176" i="1"/>
  <c r="N175" i="1"/>
  <c r="P175" i="1" s="1"/>
  <c r="J173" i="1"/>
  <c r="S175" i="1"/>
  <c r="W175" i="1" s="1"/>
  <c r="T174" i="1"/>
  <c r="V174" i="1" s="1"/>
  <c r="C172" i="1"/>
  <c r="A174" i="1"/>
  <c r="B173" i="1"/>
  <c r="G175" i="1"/>
  <c r="H174" i="1"/>
  <c r="E172" i="1" l="1"/>
  <c r="D173" i="1" s="1"/>
  <c r="AE173" i="1" s="1"/>
  <c r="AD172" i="1"/>
  <c r="AH172" i="1" s="1"/>
  <c r="Y173" i="1"/>
  <c r="Z173" i="1"/>
  <c r="AI173" i="1"/>
  <c r="K173" i="1" a="1"/>
  <c r="K173" i="1" s="1"/>
  <c r="I174" i="1" s="1"/>
  <c r="AF174" i="1"/>
  <c r="AG174" i="1"/>
  <c r="AB175" i="1"/>
  <c r="AC174" i="1"/>
  <c r="O175" i="1"/>
  <c r="Q175" i="1" s="1"/>
  <c r="N176" i="1"/>
  <c r="P176" i="1" s="1"/>
  <c r="M177" i="1"/>
  <c r="X173" i="1"/>
  <c r="U174" i="1" s="1"/>
  <c r="J174" i="1"/>
  <c r="S176" i="1"/>
  <c r="W176" i="1" s="1"/>
  <c r="T175" i="1"/>
  <c r="V175" i="1" s="1"/>
  <c r="C173" i="1"/>
  <c r="G176" i="1"/>
  <c r="H175" i="1"/>
  <c r="A175" i="1"/>
  <c r="B174" i="1"/>
  <c r="E173" i="1" l="1"/>
  <c r="D174" i="1" s="1"/>
  <c r="AE174" i="1" s="1"/>
  <c r="AD173" i="1"/>
  <c r="AH173" i="1" s="1"/>
  <c r="Z174" i="1"/>
  <c r="AI174" i="1"/>
  <c r="K174" i="1" a="1"/>
  <c r="K174" i="1" s="1"/>
  <c r="I175" i="1" s="1"/>
  <c r="Y174" i="1"/>
  <c r="AF175" i="1"/>
  <c r="AG175" i="1"/>
  <c r="AB176" i="1"/>
  <c r="AC175" i="1"/>
  <c r="X174" i="1"/>
  <c r="U175" i="1" s="1"/>
  <c r="M178" i="1"/>
  <c r="N177" i="1"/>
  <c r="P177" i="1" s="1"/>
  <c r="O176" i="1"/>
  <c r="Q176" i="1" s="1"/>
  <c r="J175" i="1"/>
  <c r="T176" i="1"/>
  <c r="V176" i="1" s="1"/>
  <c r="S177" i="1"/>
  <c r="W177" i="1" s="1"/>
  <c r="C174" i="1"/>
  <c r="A176" i="1"/>
  <c r="B175" i="1"/>
  <c r="G177" i="1"/>
  <c r="H176" i="1"/>
  <c r="E174" i="1" l="1"/>
  <c r="D175" i="1" s="1"/>
  <c r="AE175" i="1" s="1"/>
  <c r="AD174" i="1"/>
  <c r="AH174" i="1" s="1"/>
  <c r="AI175" i="1"/>
  <c r="Z175" i="1"/>
  <c r="K175" i="1" a="1"/>
  <c r="K175" i="1" s="1"/>
  <c r="I176" i="1" s="1"/>
  <c r="Y175" i="1"/>
  <c r="AF176" i="1"/>
  <c r="AG176" i="1"/>
  <c r="AC176" i="1"/>
  <c r="AB177" i="1"/>
  <c r="O177" i="1"/>
  <c r="Q177" i="1" s="1"/>
  <c r="N178" i="1"/>
  <c r="P178" i="1" s="1"/>
  <c r="M179" i="1"/>
  <c r="X175" i="1"/>
  <c r="U176" i="1" s="1"/>
  <c r="J176" i="1"/>
  <c r="S178" i="1"/>
  <c r="W178" i="1" s="1"/>
  <c r="T177" i="1"/>
  <c r="V177" i="1" s="1"/>
  <c r="C175" i="1"/>
  <c r="G178" i="1"/>
  <c r="H177" i="1"/>
  <c r="B176" i="1"/>
  <c r="A177" i="1"/>
  <c r="E175" i="1" l="1"/>
  <c r="D176" i="1" s="1"/>
  <c r="AE176" i="1" s="1"/>
  <c r="AD175" i="1"/>
  <c r="AH175" i="1" s="1"/>
  <c r="Z176" i="1"/>
  <c r="AI176" i="1"/>
  <c r="K176" i="1" a="1"/>
  <c r="K176" i="1" s="1"/>
  <c r="I177" i="1" s="1"/>
  <c r="Y176" i="1"/>
  <c r="AF177" i="1"/>
  <c r="AG177" i="1"/>
  <c r="AB178" i="1"/>
  <c r="AC177" i="1"/>
  <c r="O178" i="1"/>
  <c r="Q178" i="1" s="1"/>
  <c r="N179" i="1"/>
  <c r="P179" i="1" s="1"/>
  <c r="M180" i="1"/>
  <c r="X176" i="1"/>
  <c r="U177" i="1" s="1"/>
  <c r="J177" i="1"/>
  <c r="T178" i="1"/>
  <c r="V178" i="1" s="1"/>
  <c r="S179" i="1"/>
  <c r="W179" i="1" s="1"/>
  <c r="C176" i="1"/>
  <c r="B177" i="1"/>
  <c r="A178" i="1"/>
  <c r="H178" i="1"/>
  <c r="G179" i="1"/>
  <c r="E176" i="1" l="1"/>
  <c r="D177" i="1" s="1"/>
  <c r="AE177" i="1" s="1"/>
  <c r="AD176" i="1"/>
  <c r="AH176" i="1" s="1"/>
  <c r="Z177" i="1"/>
  <c r="K177" i="1" a="1"/>
  <c r="K177" i="1" s="1"/>
  <c r="I178" i="1" s="1"/>
  <c r="Y177" i="1"/>
  <c r="AF178" i="1"/>
  <c r="AG178" i="1"/>
  <c r="AI177" i="1"/>
  <c r="AC178" i="1"/>
  <c r="AB179" i="1"/>
  <c r="O179" i="1"/>
  <c r="Q179" i="1" s="1"/>
  <c r="M181" i="1"/>
  <c r="N180" i="1"/>
  <c r="P180" i="1" s="1"/>
  <c r="X177" i="1"/>
  <c r="U178" i="1" s="1"/>
  <c r="J178" i="1"/>
  <c r="T179" i="1"/>
  <c r="V179" i="1" s="1"/>
  <c r="S180" i="1"/>
  <c r="W180" i="1" s="1"/>
  <c r="C177" i="1"/>
  <c r="G180" i="1"/>
  <c r="H179" i="1"/>
  <c r="A179" i="1"/>
  <c r="B178" i="1"/>
  <c r="E177" i="1" l="1"/>
  <c r="D178" i="1" s="1"/>
  <c r="AE178" i="1" s="1"/>
  <c r="AD177" i="1"/>
  <c r="AH177" i="1" s="1"/>
  <c r="Z178" i="1"/>
  <c r="AI178" i="1"/>
  <c r="K178" i="1" a="1"/>
  <c r="K178" i="1" s="1"/>
  <c r="I179" i="1" s="1"/>
  <c r="X178" i="1"/>
  <c r="U179" i="1" s="1"/>
  <c r="Y178" i="1"/>
  <c r="AF179" i="1"/>
  <c r="AG179" i="1"/>
  <c r="AC179" i="1"/>
  <c r="AB180" i="1"/>
  <c r="O180" i="1"/>
  <c r="Q180" i="1" s="1"/>
  <c r="N181" i="1"/>
  <c r="P181" i="1" s="1"/>
  <c r="M182" i="1"/>
  <c r="J179" i="1"/>
  <c r="S181" i="1"/>
  <c r="W181" i="1" s="1"/>
  <c r="T180" i="1"/>
  <c r="V180" i="1" s="1"/>
  <c r="C178" i="1"/>
  <c r="A180" i="1"/>
  <c r="B179" i="1"/>
  <c r="G181" i="1"/>
  <c r="H180" i="1"/>
  <c r="E178" i="1" l="1"/>
  <c r="D179" i="1" s="1"/>
  <c r="AE179" i="1" s="1"/>
  <c r="AD178" i="1"/>
  <c r="AH178" i="1" s="1"/>
  <c r="Z179" i="1"/>
  <c r="K179" i="1" a="1"/>
  <c r="K179" i="1" s="1"/>
  <c r="I180" i="1" s="1"/>
  <c r="Y179" i="1"/>
  <c r="AI179" i="1"/>
  <c r="AF180" i="1"/>
  <c r="AG180" i="1"/>
  <c r="AB181" i="1"/>
  <c r="AC180" i="1"/>
  <c r="M183" i="1"/>
  <c r="N182" i="1"/>
  <c r="P182" i="1" s="1"/>
  <c r="O181" i="1"/>
  <c r="Q181" i="1" s="1"/>
  <c r="X179" i="1"/>
  <c r="U180" i="1" s="1"/>
  <c r="J180" i="1"/>
  <c r="T181" i="1"/>
  <c r="V181" i="1" s="1"/>
  <c r="S182" i="1"/>
  <c r="W182" i="1" s="1"/>
  <c r="C179" i="1"/>
  <c r="G182" i="1"/>
  <c r="H181" i="1"/>
  <c r="B180" i="1"/>
  <c r="A181" i="1"/>
  <c r="E179" i="1" l="1"/>
  <c r="D180" i="1" s="1"/>
  <c r="AE180" i="1" s="1"/>
  <c r="AD179" i="1"/>
  <c r="AH179" i="1" s="1"/>
  <c r="Z180" i="1"/>
  <c r="AI180" i="1"/>
  <c r="K180" i="1" a="1"/>
  <c r="K180" i="1" s="1"/>
  <c r="I181" i="1" s="1"/>
  <c r="Y180" i="1"/>
  <c r="AF181" i="1"/>
  <c r="AG181" i="1"/>
  <c r="AC181" i="1"/>
  <c r="AB182" i="1"/>
  <c r="O182" i="1"/>
  <c r="Q182" i="1" s="1"/>
  <c r="M184" i="1"/>
  <c r="N183" i="1"/>
  <c r="P183" i="1" s="1"/>
  <c r="X180" i="1"/>
  <c r="U181" i="1" s="1"/>
  <c r="J181" i="1"/>
  <c r="S183" i="1"/>
  <c r="W183" i="1" s="1"/>
  <c r="T182" i="1"/>
  <c r="V182" i="1" s="1"/>
  <c r="C180" i="1"/>
  <c r="B181" i="1"/>
  <c r="A182" i="1"/>
  <c r="G183" i="1"/>
  <c r="H182" i="1"/>
  <c r="E180" i="1" l="1"/>
  <c r="D181" i="1" s="1"/>
  <c r="AE181" i="1" s="1"/>
  <c r="AD180" i="1"/>
  <c r="AH180" i="1" s="1"/>
  <c r="Z181" i="1"/>
  <c r="AI181" i="1"/>
  <c r="K181" i="1" a="1"/>
  <c r="K181" i="1" s="1"/>
  <c r="I182" i="1" s="1"/>
  <c r="Y181" i="1"/>
  <c r="AF182" i="1"/>
  <c r="AG182" i="1"/>
  <c r="AB183" i="1"/>
  <c r="AC182" i="1"/>
  <c r="X181" i="1"/>
  <c r="U182" i="1" s="1"/>
  <c r="O183" i="1"/>
  <c r="Q183" i="1" s="1"/>
  <c r="N184" i="1"/>
  <c r="P184" i="1" s="1"/>
  <c r="M185" i="1"/>
  <c r="J182" i="1"/>
  <c r="S184" i="1"/>
  <c r="W184" i="1" s="1"/>
  <c r="T183" i="1"/>
  <c r="V183" i="1" s="1"/>
  <c r="C181" i="1"/>
  <c r="A183" i="1"/>
  <c r="B182" i="1"/>
  <c r="G184" i="1"/>
  <c r="H183" i="1"/>
  <c r="E181" i="1" l="1"/>
  <c r="D182" i="1" s="1"/>
  <c r="AE182" i="1" s="1"/>
  <c r="AD181" i="1"/>
  <c r="AH181" i="1" s="1"/>
  <c r="AI182" i="1"/>
  <c r="Z182" i="1"/>
  <c r="K182" i="1" a="1"/>
  <c r="K182" i="1" s="1"/>
  <c r="I183" i="1" s="1"/>
  <c r="Y182" i="1"/>
  <c r="AF183" i="1"/>
  <c r="AG183" i="1"/>
  <c r="AB184" i="1"/>
  <c r="AC183" i="1"/>
  <c r="M186" i="1"/>
  <c r="N185" i="1"/>
  <c r="P185" i="1" s="1"/>
  <c r="O184" i="1"/>
  <c r="Q184" i="1" s="1"/>
  <c r="X182" i="1"/>
  <c r="U183" i="1" s="1"/>
  <c r="J183" i="1"/>
  <c r="T184" i="1"/>
  <c r="V184" i="1" s="1"/>
  <c r="S185" i="1"/>
  <c r="W185" i="1" s="1"/>
  <c r="C182" i="1"/>
  <c r="G185" i="1"/>
  <c r="H184" i="1"/>
  <c r="A184" i="1"/>
  <c r="B183" i="1"/>
  <c r="E182" i="1" l="1"/>
  <c r="D183" i="1" s="1"/>
  <c r="AE183" i="1" s="1"/>
  <c r="AI183" i="1" s="1"/>
  <c r="AD182" i="1"/>
  <c r="AH182" i="1" s="1"/>
  <c r="Z183" i="1"/>
  <c r="K183" i="1" a="1"/>
  <c r="K183" i="1" s="1"/>
  <c r="I184" i="1" s="1"/>
  <c r="Y183" i="1"/>
  <c r="AF184" i="1"/>
  <c r="AG184" i="1"/>
  <c r="AC184" i="1"/>
  <c r="AB185" i="1"/>
  <c r="O185" i="1"/>
  <c r="Q185" i="1" s="1"/>
  <c r="N186" i="1"/>
  <c r="P186" i="1" s="1"/>
  <c r="M187" i="1"/>
  <c r="X183" i="1"/>
  <c r="U184" i="1" s="1"/>
  <c r="J184" i="1"/>
  <c r="S186" i="1"/>
  <c r="W186" i="1" s="1"/>
  <c r="T185" i="1"/>
  <c r="V185" i="1" s="1"/>
  <c r="C183" i="1"/>
  <c r="G186" i="1"/>
  <c r="H185" i="1"/>
  <c r="B184" i="1"/>
  <c r="A185" i="1"/>
  <c r="E183" i="1" l="1"/>
  <c r="D184" i="1" s="1"/>
  <c r="AE184" i="1" s="1"/>
  <c r="AD183" i="1"/>
  <c r="AH183" i="1" s="1"/>
  <c r="AI184" i="1"/>
  <c r="Z184" i="1"/>
  <c r="K184" i="1" a="1"/>
  <c r="K184" i="1" s="1"/>
  <c r="I185" i="1" s="1"/>
  <c r="Y184" i="1"/>
  <c r="AF185" i="1"/>
  <c r="AG185" i="1"/>
  <c r="AB186" i="1"/>
  <c r="AC185" i="1"/>
  <c r="O186" i="1"/>
  <c r="Q186" i="1" s="1"/>
  <c r="N187" i="1"/>
  <c r="P187" i="1" s="1"/>
  <c r="M188" i="1"/>
  <c r="X184" i="1"/>
  <c r="U185" i="1" s="1"/>
  <c r="J185" i="1"/>
  <c r="T186" i="1"/>
  <c r="V186" i="1" s="1"/>
  <c r="S187" i="1"/>
  <c r="W187" i="1" s="1"/>
  <c r="C184" i="1"/>
  <c r="G187" i="1"/>
  <c r="H186" i="1"/>
  <c r="A186" i="1"/>
  <c r="B185" i="1"/>
  <c r="Z185" i="1" l="1"/>
  <c r="E184" i="1"/>
  <c r="D185" i="1" s="1"/>
  <c r="AE185" i="1" s="1"/>
  <c r="AD184" i="1"/>
  <c r="AH184" i="1" s="1"/>
  <c r="AI185" i="1"/>
  <c r="K185" i="1" a="1"/>
  <c r="K185" i="1" s="1"/>
  <c r="I186" i="1" s="1"/>
  <c r="Y185" i="1"/>
  <c r="AF186" i="1"/>
  <c r="AG186" i="1"/>
  <c r="AC186" i="1"/>
  <c r="AB187" i="1"/>
  <c r="M189" i="1"/>
  <c r="N188" i="1"/>
  <c r="P188" i="1" s="1"/>
  <c r="O187" i="1"/>
  <c r="Q187" i="1" s="1"/>
  <c r="X185" i="1"/>
  <c r="U186" i="1" s="1"/>
  <c r="J186" i="1"/>
  <c r="T187" i="1"/>
  <c r="V187" i="1" s="1"/>
  <c r="S188" i="1"/>
  <c r="W188" i="1" s="1"/>
  <c r="C185" i="1"/>
  <c r="G188" i="1"/>
  <c r="H187" i="1"/>
  <c r="A187" i="1"/>
  <c r="B186" i="1"/>
  <c r="E185" i="1" l="1"/>
  <c r="D186" i="1" s="1"/>
  <c r="AE186" i="1" s="1"/>
  <c r="AI186" i="1" s="1"/>
  <c r="AD185" i="1"/>
  <c r="AH185" i="1" s="1"/>
  <c r="Z186" i="1"/>
  <c r="K186" i="1" a="1"/>
  <c r="K186" i="1" s="1"/>
  <c r="I187" i="1" s="1"/>
  <c r="Y186" i="1"/>
  <c r="AF187" i="1"/>
  <c r="AG187" i="1"/>
  <c r="AC187" i="1"/>
  <c r="AB188" i="1"/>
  <c r="X186" i="1"/>
  <c r="U187" i="1" s="1"/>
  <c r="O188" i="1"/>
  <c r="Q188" i="1" s="1"/>
  <c r="N189" i="1"/>
  <c r="P189" i="1" s="1"/>
  <c r="M190" i="1"/>
  <c r="J187" i="1"/>
  <c r="S189" i="1"/>
  <c r="W189" i="1" s="1"/>
  <c r="T188" i="1"/>
  <c r="V188" i="1" s="1"/>
  <c r="C186" i="1"/>
  <c r="A188" i="1"/>
  <c r="B187" i="1"/>
  <c r="G189" i="1"/>
  <c r="H188" i="1"/>
  <c r="E186" i="1" l="1"/>
  <c r="D187" i="1" s="1"/>
  <c r="AE187" i="1" s="1"/>
  <c r="AI187" i="1" s="1"/>
  <c r="AD186" i="1"/>
  <c r="AH186" i="1" s="1"/>
  <c r="Z187" i="1"/>
  <c r="K187" i="1" a="1"/>
  <c r="K187" i="1" s="1"/>
  <c r="I188" i="1" s="1"/>
  <c r="X187" i="1"/>
  <c r="U188" i="1" s="1"/>
  <c r="Y187" i="1"/>
  <c r="AF188" i="1"/>
  <c r="AG188" i="1"/>
  <c r="AB189" i="1"/>
  <c r="AC188" i="1"/>
  <c r="M191" i="1"/>
  <c r="N190" i="1"/>
  <c r="P190" i="1" s="1"/>
  <c r="O189" i="1"/>
  <c r="Q189" i="1" s="1"/>
  <c r="J188" i="1"/>
  <c r="T189" i="1"/>
  <c r="V189" i="1" s="1"/>
  <c r="S190" i="1"/>
  <c r="W190" i="1" s="1"/>
  <c r="C187" i="1"/>
  <c r="G190" i="1"/>
  <c r="H189" i="1"/>
  <c r="B188" i="1"/>
  <c r="A189" i="1"/>
  <c r="E187" i="1" l="1"/>
  <c r="D188" i="1" s="1"/>
  <c r="AE188" i="1" s="1"/>
  <c r="AD187" i="1"/>
  <c r="AH187" i="1" s="1"/>
  <c r="Z188" i="1"/>
  <c r="AI188" i="1"/>
  <c r="K188" i="1" a="1"/>
  <c r="K188" i="1" s="1"/>
  <c r="I189" i="1" s="1"/>
  <c r="X188" i="1"/>
  <c r="U189" i="1" s="1"/>
  <c r="Y188" i="1"/>
  <c r="AF189" i="1"/>
  <c r="AG189" i="1"/>
  <c r="AC189" i="1"/>
  <c r="AB190" i="1"/>
  <c r="O190" i="1"/>
  <c r="Q190" i="1" s="1"/>
  <c r="M192" i="1"/>
  <c r="N191" i="1"/>
  <c r="P191" i="1" s="1"/>
  <c r="J189" i="1"/>
  <c r="S191" i="1"/>
  <c r="W191" i="1" s="1"/>
  <c r="T190" i="1"/>
  <c r="V190" i="1" s="1"/>
  <c r="C188" i="1"/>
  <c r="G191" i="1"/>
  <c r="H190" i="1"/>
  <c r="B189" i="1"/>
  <c r="A190" i="1"/>
  <c r="Z189" i="1" l="1"/>
  <c r="E188" i="1"/>
  <c r="D189" i="1" s="1"/>
  <c r="AE189" i="1" s="1"/>
  <c r="AD188" i="1"/>
  <c r="AH188" i="1" s="1"/>
  <c r="AI189" i="1"/>
  <c r="K189" i="1" a="1"/>
  <c r="K189" i="1" s="1"/>
  <c r="I190" i="1" s="1"/>
  <c r="X189" i="1"/>
  <c r="U190" i="1" s="1"/>
  <c r="Y189" i="1"/>
  <c r="AF190" i="1"/>
  <c r="AG190" i="1"/>
  <c r="AB191" i="1"/>
  <c r="AC190" i="1"/>
  <c r="O191" i="1"/>
  <c r="Q191" i="1" s="1"/>
  <c r="N192" i="1"/>
  <c r="P192" i="1" s="1"/>
  <c r="M193" i="1"/>
  <c r="J190" i="1"/>
  <c r="S192" i="1"/>
  <c r="W192" i="1" s="1"/>
  <c r="T191" i="1"/>
  <c r="V191" i="1" s="1"/>
  <c r="C189" i="1"/>
  <c r="G192" i="1"/>
  <c r="H191" i="1"/>
  <c r="A191" i="1"/>
  <c r="B190" i="1"/>
  <c r="E189" i="1" l="1"/>
  <c r="D190" i="1" s="1"/>
  <c r="AE190" i="1" s="1"/>
  <c r="AD189" i="1"/>
  <c r="AH189" i="1" s="1"/>
  <c r="Z190" i="1"/>
  <c r="K190" i="1" a="1"/>
  <c r="K190" i="1" s="1"/>
  <c r="I191" i="1" s="1"/>
  <c r="Y190" i="1"/>
  <c r="AF191" i="1"/>
  <c r="AG191" i="1"/>
  <c r="AI190" i="1"/>
  <c r="AB192" i="1"/>
  <c r="AC191" i="1"/>
  <c r="M194" i="1"/>
  <c r="N193" i="1"/>
  <c r="P193" i="1" s="1"/>
  <c r="O192" i="1"/>
  <c r="Q192" i="1" s="1"/>
  <c r="X190" i="1"/>
  <c r="U191" i="1" s="1"/>
  <c r="J191" i="1"/>
  <c r="T192" i="1"/>
  <c r="V192" i="1" s="1"/>
  <c r="S193" i="1"/>
  <c r="W193" i="1" s="1"/>
  <c r="C190" i="1"/>
  <c r="A192" i="1"/>
  <c r="B191" i="1"/>
  <c r="G193" i="1"/>
  <c r="H192" i="1"/>
  <c r="E190" i="1" l="1"/>
  <c r="D191" i="1" s="1"/>
  <c r="AE191" i="1" s="1"/>
  <c r="AD190" i="1"/>
  <c r="AH190" i="1" s="1"/>
  <c r="Z191" i="1"/>
  <c r="AI191" i="1"/>
  <c r="K191" i="1" a="1"/>
  <c r="K191" i="1" s="1"/>
  <c r="I192" i="1" s="1"/>
  <c r="Y191" i="1"/>
  <c r="AF192" i="1"/>
  <c r="AG192" i="1"/>
  <c r="AC192" i="1"/>
  <c r="AB193" i="1"/>
  <c r="O193" i="1"/>
  <c r="Q193" i="1" s="1"/>
  <c r="N194" i="1"/>
  <c r="P194" i="1" s="1"/>
  <c r="M195" i="1"/>
  <c r="X191" i="1"/>
  <c r="U192" i="1" s="1"/>
  <c r="J192" i="1"/>
  <c r="S194" i="1"/>
  <c r="W194" i="1" s="1"/>
  <c r="T193" i="1"/>
  <c r="V193" i="1" s="1"/>
  <c r="C191" i="1"/>
  <c r="G194" i="1"/>
  <c r="H193" i="1"/>
  <c r="B192" i="1"/>
  <c r="A193" i="1"/>
  <c r="Z192" i="1" l="1"/>
  <c r="E191" i="1"/>
  <c r="D192" i="1" s="1"/>
  <c r="AE192" i="1" s="1"/>
  <c r="AD191" i="1"/>
  <c r="AH191" i="1" s="1"/>
  <c r="AI192" i="1"/>
  <c r="K192" i="1" a="1"/>
  <c r="K192" i="1" s="1"/>
  <c r="I193" i="1" s="1"/>
  <c r="Y192" i="1"/>
  <c r="AF193" i="1"/>
  <c r="AG193" i="1"/>
  <c r="AB194" i="1"/>
  <c r="AC193" i="1"/>
  <c r="O194" i="1"/>
  <c r="Q194" i="1" s="1"/>
  <c r="N195" i="1"/>
  <c r="P195" i="1" s="1"/>
  <c r="M196" i="1"/>
  <c r="X192" i="1"/>
  <c r="U193" i="1" s="1"/>
  <c r="J193" i="1"/>
  <c r="T194" i="1"/>
  <c r="V194" i="1" s="1"/>
  <c r="S195" i="1"/>
  <c r="W195" i="1" s="1"/>
  <c r="C192" i="1"/>
  <c r="G195" i="1"/>
  <c r="H194" i="1"/>
  <c r="A194" i="1"/>
  <c r="B193" i="1"/>
  <c r="E192" i="1" l="1"/>
  <c r="D193" i="1" s="1"/>
  <c r="AE193" i="1" s="1"/>
  <c r="AI193" i="1" s="1"/>
  <c r="AD192" i="1"/>
  <c r="AH192" i="1" s="1"/>
  <c r="Z193" i="1"/>
  <c r="K193" i="1" a="1"/>
  <c r="K193" i="1" s="1"/>
  <c r="I194" i="1" s="1"/>
  <c r="Y193" i="1"/>
  <c r="AF194" i="1"/>
  <c r="AG194" i="1"/>
  <c r="AC194" i="1"/>
  <c r="AB195" i="1"/>
  <c r="M197" i="1"/>
  <c r="N196" i="1"/>
  <c r="P196" i="1" s="1"/>
  <c r="O195" i="1"/>
  <c r="Q195" i="1" s="1"/>
  <c r="X193" i="1"/>
  <c r="U194" i="1" s="1"/>
  <c r="J194" i="1"/>
  <c r="T195" i="1"/>
  <c r="V195" i="1" s="1"/>
  <c r="S196" i="1"/>
  <c r="W196" i="1" s="1"/>
  <c r="C193" i="1"/>
  <c r="G196" i="1"/>
  <c r="H195" i="1"/>
  <c r="A195" i="1"/>
  <c r="B194" i="1"/>
  <c r="Z194" i="1" l="1"/>
  <c r="E193" i="1"/>
  <c r="D194" i="1" s="1"/>
  <c r="AE194" i="1" s="1"/>
  <c r="AD193" i="1"/>
  <c r="AH193" i="1" s="1"/>
  <c r="AI194" i="1"/>
  <c r="K194" i="1" a="1"/>
  <c r="K194" i="1" s="1"/>
  <c r="I195" i="1" s="1"/>
  <c r="Y194" i="1"/>
  <c r="AF195" i="1"/>
  <c r="AG195" i="1"/>
  <c r="AC195" i="1"/>
  <c r="AB196" i="1"/>
  <c r="O196" i="1"/>
  <c r="Q196" i="1" s="1"/>
  <c r="N197" i="1"/>
  <c r="P197" i="1" s="1"/>
  <c r="M198" i="1"/>
  <c r="X194" i="1"/>
  <c r="U195" i="1" s="1"/>
  <c r="J195" i="1"/>
  <c r="S197" i="1"/>
  <c r="W197" i="1" s="1"/>
  <c r="T196" i="1"/>
  <c r="V196" i="1" s="1"/>
  <c r="C194" i="1"/>
  <c r="A196" i="1"/>
  <c r="B195" i="1"/>
  <c r="G197" i="1"/>
  <c r="H196" i="1"/>
  <c r="E194" i="1" l="1"/>
  <c r="D195" i="1" s="1"/>
  <c r="AE195" i="1" s="1"/>
  <c r="AI195" i="1" s="1"/>
  <c r="AD194" i="1"/>
  <c r="AH194" i="1" s="1"/>
  <c r="Z195" i="1"/>
  <c r="K195" i="1" a="1"/>
  <c r="K195" i="1" s="1"/>
  <c r="I196" i="1" s="1"/>
  <c r="X195" i="1"/>
  <c r="U196" i="1" s="1"/>
  <c r="Z196" i="1" s="1"/>
  <c r="Y195" i="1"/>
  <c r="AF196" i="1"/>
  <c r="AG196" i="1"/>
  <c r="AB197" i="1"/>
  <c r="AC196" i="1"/>
  <c r="M199" i="1"/>
  <c r="N198" i="1"/>
  <c r="P198" i="1" s="1"/>
  <c r="O197" i="1"/>
  <c r="Q197" i="1" s="1"/>
  <c r="J196" i="1"/>
  <c r="T197" i="1"/>
  <c r="V197" i="1" s="1"/>
  <c r="S198" i="1"/>
  <c r="W198" i="1" s="1"/>
  <c r="C195" i="1"/>
  <c r="G198" i="1"/>
  <c r="H197" i="1"/>
  <c r="B196" i="1"/>
  <c r="A197" i="1"/>
  <c r="E195" i="1" l="1"/>
  <c r="D196" i="1" s="1"/>
  <c r="AE196" i="1" s="1"/>
  <c r="AI196" i="1" s="1"/>
  <c r="AD195" i="1"/>
  <c r="AH195" i="1" s="1"/>
  <c r="K196" i="1" a="1"/>
  <c r="K196" i="1" s="1"/>
  <c r="I197" i="1" s="1"/>
  <c r="X196" i="1"/>
  <c r="U197" i="1" s="1"/>
  <c r="Y196" i="1"/>
  <c r="AF197" i="1"/>
  <c r="AG197" i="1"/>
  <c r="AC197" i="1"/>
  <c r="AB198" i="1"/>
  <c r="O198" i="1"/>
  <c r="Q198" i="1" s="1"/>
  <c r="M200" i="1"/>
  <c r="N199" i="1"/>
  <c r="P199" i="1" s="1"/>
  <c r="J197" i="1"/>
  <c r="S199" i="1"/>
  <c r="W199" i="1" s="1"/>
  <c r="T198" i="1"/>
  <c r="V198" i="1" s="1"/>
  <c r="C196" i="1"/>
  <c r="A198" i="1"/>
  <c r="B197" i="1"/>
  <c r="H198" i="1"/>
  <c r="G199" i="1"/>
  <c r="E196" i="1" l="1"/>
  <c r="D197" i="1" s="1"/>
  <c r="AE197" i="1" s="1"/>
  <c r="AD196" i="1"/>
  <c r="AH196" i="1" s="1"/>
  <c r="AI197" i="1"/>
  <c r="Z197" i="1"/>
  <c r="K197" i="1" a="1"/>
  <c r="K197" i="1" s="1"/>
  <c r="I198" i="1" s="1"/>
  <c r="Y197" i="1"/>
  <c r="AF198" i="1"/>
  <c r="AG198" i="1"/>
  <c r="AB199" i="1"/>
  <c r="AC198" i="1"/>
  <c r="O199" i="1"/>
  <c r="Q199" i="1" s="1"/>
  <c r="N200" i="1"/>
  <c r="P200" i="1" s="1"/>
  <c r="M201" i="1"/>
  <c r="X197" i="1"/>
  <c r="U198" i="1" s="1"/>
  <c r="J198" i="1"/>
  <c r="S200" i="1"/>
  <c r="W200" i="1" s="1"/>
  <c r="T199" i="1"/>
  <c r="V199" i="1" s="1"/>
  <c r="C197" i="1"/>
  <c r="G200" i="1"/>
  <c r="H199" i="1"/>
  <c r="A199" i="1"/>
  <c r="B198" i="1"/>
  <c r="E197" i="1" l="1"/>
  <c r="D198" i="1" s="1"/>
  <c r="AE198" i="1" s="1"/>
  <c r="AD197" i="1"/>
  <c r="AH197" i="1" s="1"/>
  <c r="AI198" i="1"/>
  <c r="Z198" i="1"/>
  <c r="K198" i="1" a="1"/>
  <c r="K198" i="1" s="1"/>
  <c r="I199" i="1" s="1"/>
  <c r="Y198" i="1"/>
  <c r="AF199" i="1"/>
  <c r="AG199" i="1"/>
  <c r="AB200" i="1"/>
  <c r="AC199" i="1"/>
  <c r="M202" i="1"/>
  <c r="N201" i="1"/>
  <c r="P201" i="1" s="1"/>
  <c r="O200" i="1"/>
  <c r="Q200" i="1" s="1"/>
  <c r="X198" i="1"/>
  <c r="U199" i="1" s="1"/>
  <c r="J199" i="1"/>
  <c r="T200" i="1"/>
  <c r="V200" i="1" s="1"/>
  <c r="S201" i="1"/>
  <c r="W201" i="1" s="1"/>
  <c r="C198" i="1"/>
  <c r="A200" i="1"/>
  <c r="B199" i="1"/>
  <c r="G201" i="1"/>
  <c r="H200" i="1"/>
  <c r="E198" i="1" l="1"/>
  <c r="D199" i="1" s="1"/>
  <c r="AE199" i="1" s="1"/>
  <c r="AD198" i="1"/>
  <c r="AH198" i="1" s="1"/>
  <c r="Z199" i="1"/>
  <c r="AI199" i="1"/>
  <c r="K199" i="1" a="1"/>
  <c r="K199" i="1" s="1"/>
  <c r="I200" i="1" s="1"/>
  <c r="X199" i="1"/>
  <c r="U200" i="1" s="1"/>
  <c r="Y199" i="1"/>
  <c r="AF200" i="1"/>
  <c r="AG200" i="1"/>
  <c r="AC200" i="1"/>
  <c r="AB201" i="1"/>
  <c r="O201" i="1"/>
  <c r="Q201" i="1" s="1"/>
  <c r="N202" i="1"/>
  <c r="P202" i="1" s="1"/>
  <c r="M203" i="1"/>
  <c r="J200" i="1"/>
  <c r="S202" i="1"/>
  <c r="W202" i="1" s="1"/>
  <c r="T201" i="1"/>
  <c r="V201" i="1" s="1"/>
  <c r="C199" i="1"/>
  <c r="G202" i="1"/>
  <c r="H201" i="1"/>
  <c r="B200" i="1"/>
  <c r="A201" i="1"/>
  <c r="E199" i="1" l="1"/>
  <c r="D200" i="1" s="1"/>
  <c r="AE200" i="1" s="1"/>
  <c r="AD199" i="1"/>
  <c r="AH199" i="1" s="1"/>
  <c r="AI200" i="1"/>
  <c r="Z200" i="1"/>
  <c r="K200" i="1" a="1"/>
  <c r="K200" i="1" s="1"/>
  <c r="I201" i="1" s="1"/>
  <c r="Y200" i="1"/>
  <c r="AF201" i="1"/>
  <c r="AG201" i="1"/>
  <c r="AB202" i="1"/>
  <c r="AC201" i="1"/>
  <c r="O202" i="1"/>
  <c r="Q202" i="1" s="1"/>
  <c r="N203" i="1"/>
  <c r="P203" i="1" s="1"/>
  <c r="M204" i="1"/>
  <c r="X200" i="1"/>
  <c r="U201" i="1" s="1"/>
  <c r="J201" i="1"/>
  <c r="T202" i="1"/>
  <c r="V202" i="1" s="1"/>
  <c r="S203" i="1"/>
  <c r="W203" i="1" s="1"/>
  <c r="C200" i="1"/>
  <c r="B201" i="1"/>
  <c r="A202" i="1"/>
  <c r="H202" i="1"/>
  <c r="G203" i="1"/>
  <c r="E200" i="1" l="1"/>
  <c r="D201" i="1" s="1"/>
  <c r="AE201" i="1" s="1"/>
  <c r="AD200" i="1"/>
  <c r="AH200" i="1" s="1"/>
  <c r="AI201" i="1"/>
  <c r="Z201" i="1"/>
  <c r="K201" i="1" a="1"/>
  <c r="K201" i="1" s="1"/>
  <c r="I202" i="1" s="1"/>
  <c r="X201" i="1"/>
  <c r="U202" i="1" s="1"/>
  <c r="Y201" i="1"/>
  <c r="AF202" i="1"/>
  <c r="AG202" i="1"/>
  <c r="AC202" i="1"/>
  <c r="AB203" i="1"/>
  <c r="M205" i="1"/>
  <c r="N204" i="1"/>
  <c r="P204" i="1" s="1"/>
  <c r="O203" i="1"/>
  <c r="Q203" i="1" s="1"/>
  <c r="J202" i="1"/>
  <c r="T203" i="1"/>
  <c r="V203" i="1" s="1"/>
  <c r="S204" i="1"/>
  <c r="W204" i="1" s="1"/>
  <c r="C201" i="1"/>
  <c r="G204" i="1"/>
  <c r="H203" i="1"/>
  <c r="A203" i="1"/>
  <c r="B202" i="1"/>
  <c r="E201" i="1" l="1"/>
  <c r="D202" i="1" s="1"/>
  <c r="AE202" i="1" s="1"/>
  <c r="AD201" i="1"/>
  <c r="AH201" i="1" s="1"/>
  <c r="Z202" i="1"/>
  <c r="AI202" i="1"/>
  <c r="K202" i="1" a="1"/>
  <c r="K202" i="1" s="1"/>
  <c r="I203" i="1" s="1"/>
  <c r="X202" i="1"/>
  <c r="U203" i="1" s="1"/>
  <c r="Y202" i="1"/>
  <c r="AF203" i="1"/>
  <c r="AG203" i="1"/>
  <c r="AC203" i="1"/>
  <c r="AB204" i="1"/>
  <c r="O204" i="1"/>
  <c r="Q204" i="1" s="1"/>
  <c r="N205" i="1"/>
  <c r="P205" i="1" s="1"/>
  <c r="M206" i="1"/>
  <c r="J203" i="1"/>
  <c r="S205" i="1"/>
  <c r="W205" i="1" s="1"/>
  <c r="T204" i="1"/>
  <c r="V204" i="1" s="1"/>
  <c r="C202" i="1"/>
  <c r="A204" i="1"/>
  <c r="B203" i="1"/>
  <c r="G205" i="1"/>
  <c r="H204" i="1"/>
  <c r="E202" i="1" l="1"/>
  <c r="D203" i="1" s="1"/>
  <c r="AE203" i="1" s="1"/>
  <c r="AD202" i="1"/>
  <c r="AH202" i="1" s="1"/>
  <c r="Z203" i="1"/>
  <c r="AI203" i="1"/>
  <c r="K203" i="1" a="1"/>
  <c r="K203" i="1" s="1"/>
  <c r="I204" i="1" s="1"/>
  <c r="Y203" i="1"/>
  <c r="AF204" i="1"/>
  <c r="AG204" i="1"/>
  <c r="AB205" i="1"/>
  <c r="AC204" i="1"/>
  <c r="M207" i="1"/>
  <c r="N206" i="1"/>
  <c r="P206" i="1" s="1"/>
  <c r="O205" i="1"/>
  <c r="Q205" i="1" s="1"/>
  <c r="X203" i="1"/>
  <c r="U204" i="1" s="1"/>
  <c r="J204" i="1"/>
  <c r="T205" i="1"/>
  <c r="V205" i="1" s="1"/>
  <c r="S206" i="1"/>
  <c r="W206" i="1" s="1"/>
  <c r="C203" i="1"/>
  <c r="B204" i="1"/>
  <c r="A205" i="1"/>
  <c r="G206" i="1"/>
  <c r="H205" i="1"/>
  <c r="Z204" i="1" l="1"/>
  <c r="E203" i="1"/>
  <c r="D204" i="1" s="1"/>
  <c r="AE204" i="1" s="1"/>
  <c r="AD203" i="1"/>
  <c r="AH203" i="1" s="1"/>
  <c r="AI204" i="1"/>
  <c r="K204" i="1" a="1"/>
  <c r="K204" i="1" s="1"/>
  <c r="I205" i="1" s="1"/>
  <c r="X204" i="1"/>
  <c r="U205" i="1" s="1"/>
  <c r="Y204" i="1"/>
  <c r="AF205" i="1"/>
  <c r="AG205" i="1"/>
  <c r="AC205" i="1"/>
  <c r="AB206" i="1"/>
  <c r="O206" i="1"/>
  <c r="Q206" i="1" s="1"/>
  <c r="M208" i="1"/>
  <c r="N207" i="1"/>
  <c r="P207" i="1" s="1"/>
  <c r="J205" i="1"/>
  <c r="S207" i="1"/>
  <c r="W207" i="1" s="1"/>
  <c r="T206" i="1"/>
  <c r="V206" i="1" s="1"/>
  <c r="C204" i="1"/>
  <c r="H206" i="1"/>
  <c r="G207" i="1"/>
  <c r="A206" i="1"/>
  <c r="B205" i="1"/>
  <c r="Z205" i="1" l="1"/>
  <c r="E204" i="1"/>
  <c r="D205" i="1" s="1"/>
  <c r="AE205" i="1" s="1"/>
  <c r="AD204" i="1"/>
  <c r="AH204" i="1" s="1"/>
  <c r="AI205" i="1"/>
  <c r="K205" i="1" a="1"/>
  <c r="K205" i="1" s="1"/>
  <c r="I206" i="1" s="1"/>
  <c r="X205" i="1"/>
  <c r="U206" i="1" s="1"/>
  <c r="Y205" i="1"/>
  <c r="AF206" i="1"/>
  <c r="AG206" i="1"/>
  <c r="AB207" i="1"/>
  <c r="AC206" i="1"/>
  <c r="O207" i="1"/>
  <c r="Q207" i="1" s="1"/>
  <c r="N208" i="1"/>
  <c r="P208" i="1" s="1"/>
  <c r="M209" i="1"/>
  <c r="J206" i="1"/>
  <c r="S208" i="1"/>
  <c r="W208" i="1" s="1"/>
  <c r="T207" i="1"/>
  <c r="V207" i="1" s="1"/>
  <c r="C205" i="1"/>
  <c r="A207" i="1"/>
  <c r="B206" i="1"/>
  <c r="G208" i="1"/>
  <c r="H207" i="1"/>
  <c r="E205" i="1" l="1"/>
  <c r="D206" i="1" s="1"/>
  <c r="AE206" i="1" s="1"/>
  <c r="AD205" i="1"/>
  <c r="AH205" i="1" s="1"/>
  <c r="Z206" i="1"/>
  <c r="K206" i="1" a="1"/>
  <c r="K206" i="1" s="1"/>
  <c r="I207" i="1" s="1"/>
  <c r="Y206" i="1"/>
  <c r="AI206" i="1"/>
  <c r="AF207" i="1"/>
  <c r="AG207" i="1"/>
  <c r="AB208" i="1"/>
  <c r="AC207" i="1"/>
  <c r="M210" i="1"/>
  <c r="N209" i="1"/>
  <c r="P209" i="1" s="1"/>
  <c r="O208" i="1"/>
  <c r="Q208" i="1" s="1"/>
  <c r="X206" i="1"/>
  <c r="U207" i="1" s="1"/>
  <c r="J207" i="1"/>
  <c r="T208" i="1"/>
  <c r="V208" i="1" s="1"/>
  <c r="S209" i="1"/>
  <c r="W209" i="1" s="1"/>
  <c r="C206" i="1"/>
  <c r="A208" i="1"/>
  <c r="B207" i="1"/>
  <c r="G209" i="1"/>
  <c r="H208" i="1"/>
  <c r="Z207" i="1" l="1"/>
  <c r="E206" i="1"/>
  <c r="D207" i="1" s="1"/>
  <c r="AE207" i="1" s="1"/>
  <c r="AI207" i="1" s="1"/>
  <c r="AD206" i="1"/>
  <c r="AH206" i="1" s="1"/>
  <c r="Y207" i="1"/>
  <c r="K207" i="1" a="1"/>
  <c r="K207" i="1" s="1"/>
  <c r="I208" i="1" s="1"/>
  <c r="AF208" i="1"/>
  <c r="AG208" i="1"/>
  <c r="AC208" i="1"/>
  <c r="AB209" i="1"/>
  <c r="O209" i="1"/>
  <c r="Q209" i="1" s="1"/>
  <c r="N210" i="1"/>
  <c r="P210" i="1" s="1"/>
  <c r="M211" i="1"/>
  <c r="X207" i="1"/>
  <c r="U208" i="1" s="1"/>
  <c r="J208" i="1"/>
  <c r="S210" i="1"/>
  <c r="W210" i="1" s="1"/>
  <c r="T209" i="1"/>
  <c r="V209" i="1" s="1"/>
  <c r="C207" i="1"/>
  <c r="G210" i="1"/>
  <c r="H209" i="1"/>
  <c r="B208" i="1"/>
  <c r="A209" i="1"/>
  <c r="E207" i="1" l="1"/>
  <c r="D208" i="1" s="1"/>
  <c r="AE208" i="1" s="1"/>
  <c r="AD207" i="1"/>
  <c r="AH207" i="1" s="1"/>
  <c r="AI208" i="1"/>
  <c r="Z208" i="1"/>
  <c r="K208" i="1" a="1"/>
  <c r="K208" i="1" s="1"/>
  <c r="I209" i="1" s="1"/>
  <c r="X208" i="1"/>
  <c r="U209" i="1" s="1"/>
  <c r="Y208" i="1"/>
  <c r="AF209" i="1"/>
  <c r="AG209" i="1"/>
  <c r="AB210" i="1"/>
  <c r="AC209" i="1"/>
  <c r="O210" i="1"/>
  <c r="Q210" i="1" s="1"/>
  <c r="N211" i="1"/>
  <c r="P211" i="1" s="1"/>
  <c r="M212" i="1"/>
  <c r="J209" i="1"/>
  <c r="T210" i="1"/>
  <c r="V210" i="1" s="1"/>
  <c r="S211" i="1"/>
  <c r="W211" i="1" s="1"/>
  <c r="C208" i="1"/>
  <c r="B209" i="1"/>
  <c r="A210" i="1"/>
  <c r="H210" i="1"/>
  <c r="G211" i="1"/>
  <c r="E208" i="1" l="1"/>
  <c r="D209" i="1" s="1"/>
  <c r="AE209" i="1" s="1"/>
  <c r="AD208" i="1"/>
  <c r="AH208" i="1" s="1"/>
  <c r="Z209" i="1"/>
  <c r="K209" i="1" a="1"/>
  <c r="K209" i="1" s="1"/>
  <c r="I210" i="1" s="1"/>
  <c r="Y209" i="1"/>
  <c r="AI209" i="1"/>
  <c r="AF210" i="1"/>
  <c r="AG210" i="1"/>
  <c r="AC210" i="1"/>
  <c r="AB211" i="1"/>
  <c r="M213" i="1"/>
  <c r="N212" i="1"/>
  <c r="P212" i="1" s="1"/>
  <c r="O211" i="1"/>
  <c r="Q211" i="1" s="1"/>
  <c r="X209" i="1"/>
  <c r="U210" i="1" s="1"/>
  <c r="J210" i="1"/>
  <c r="T211" i="1"/>
  <c r="V211" i="1" s="1"/>
  <c r="S212" i="1"/>
  <c r="W212" i="1" s="1"/>
  <c r="C209" i="1"/>
  <c r="G212" i="1"/>
  <c r="H211" i="1"/>
  <c r="A211" i="1"/>
  <c r="B210" i="1"/>
  <c r="E209" i="1" l="1"/>
  <c r="D210" i="1" s="1"/>
  <c r="AE210" i="1" s="1"/>
  <c r="AD209" i="1"/>
  <c r="AH209" i="1" s="1"/>
  <c r="Z210" i="1"/>
  <c r="AI210" i="1"/>
  <c r="K210" i="1" a="1"/>
  <c r="K210" i="1" s="1"/>
  <c r="I211" i="1" s="1"/>
  <c r="Y210" i="1"/>
  <c r="AF211" i="1"/>
  <c r="AG211" i="1"/>
  <c r="AC211" i="1"/>
  <c r="AB212" i="1"/>
  <c r="X210" i="1"/>
  <c r="U211" i="1" s="1"/>
  <c r="O212" i="1"/>
  <c r="Q212" i="1" s="1"/>
  <c r="N213" i="1"/>
  <c r="P213" i="1" s="1"/>
  <c r="M214" i="1"/>
  <c r="J211" i="1"/>
  <c r="S213" i="1"/>
  <c r="W213" i="1" s="1"/>
  <c r="T212" i="1"/>
  <c r="V212" i="1" s="1"/>
  <c r="C210" i="1"/>
  <c r="A212" i="1"/>
  <c r="B211" i="1"/>
  <c r="G213" i="1"/>
  <c r="H212" i="1"/>
  <c r="E210" i="1" l="1"/>
  <c r="D211" i="1" s="1"/>
  <c r="AE211" i="1" s="1"/>
  <c r="AD210" i="1"/>
  <c r="AH210" i="1" s="1"/>
  <c r="AI211" i="1"/>
  <c r="Z211" i="1"/>
  <c r="K211" i="1" a="1"/>
  <c r="K211" i="1" s="1"/>
  <c r="I212" i="1" s="1"/>
  <c r="Y211" i="1"/>
  <c r="AF212" i="1"/>
  <c r="AG212" i="1"/>
  <c r="AB213" i="1"/>
  <c r="AC212" i="1"/>
  <c r="M215" i="1"/>
  <c r="N214" i="1"/>
  <c r="P214" i="1" s="1"/>
  <c r="O213" i="1"/>
  <c r="Q213" i="1" s="1"/>
  <c r="X211" i="1"/>
  <c r="U212" i="1" s="1"/>
  <c r="J212" i="1"/>
  <c r="T213" i="1"/>
  <c r="V213" i="1" s="1"/>
  <c r="S214" i="1"/>
  <c r="W214" i="1" s="1"/>
  <c r="C211" i="1"/>
  <c r="G214" i="1"/>
  <c r="H213" i="1"/>
  <c r="B212" i="1"/>
  <c r="A213" i="1"/>
  <c r="E211" i="1" l="1"/>
  <c r="D212" i="1" s="1"/>
  <c r="AE212" i="1" s="1"/>
  <c r="AD211" i="1"/>
  <c r="AH211" i="1" s="1"/>
  <c r="Z212" i="1"/>
  <c r="AI212" i="1"/>
  <c r="K212" i="1" a="1"/>
  <c r="K212" i="1" s="1"/>
  <c r="I213" i="1" s="1"/>
  <c r="X212" i="1"/>
  <c r="U213" i="1" s="1"/>
  <c r="Y212" i="1"/>
  <c r="AF213" i="1"/>
  <c r="AG213" i="1"/>
  <c r="AC213" i="1"/>
  <c r="AB214" i="1"/>
  <c r="O214" i="1"/>
  <c r="Q214" i="1" s="1"/>
  <c r="M216" i="1"/>
  <c r="N215" i="1"/>
  <c r="P215" i="1" s="1"/>
  <c r="J213" i="1"/>
  <c r="S215" i="1"/>
  <c r="W215" i="1" s="1"/>
  <c r="T214" i="1"/>
  <c r="V214" i="1" s="1"/>
  <c r="C212" i="1"/>
  <c r="B213" i="1"/>
  <c r="A214" i="1"/>
  <c r="G215" i="1"/>
  <c r="H214" i="1"/>
  <c r="E212" i="1" l="1"/>
  <c r="D213" i="1" s="1"/>
  <c r="AE213" i="1" s="1"/>
  <c r="AD212" i="1"/>
  <c r="AH212" i="1" s="1"/>
  <c r="Z213" i="1"/>
  <c r="AI213" i="1"/>
  <c r="K213" i="1" a="1"/>
  <c r="K213" i="1" s="1"/>
  <c r="I214" i="1" s="1"/>
  <c r="Y213" i="1"/>
  <c r="AF214" i="1"/>
  <c r="AG214" i="1"/>
  <c r="AB215" i="1"/>
  <c r="AC214" i="1"/>
  <c r="O215" i="1"/>
  <c r="Q215" i="1" s="1"/>
  <c r="N216" i="1"/>
  <c r="P216" i="1" s="1"/>
  <c r="M217" i="1"/>
  <c r="X213" i="1"/>
  <c r="U214" i="1" s="1"/>
  <c r="J214" i="1"/>
  <c r="S216" i="1"/>
  <c r="W216" i="1" s="1"/>
  <c r="T215" i="1"/>
  <c r="V215" i="1" s="1"/>
  <c r="C213" i="1"/>
  <c r="A215" i="1"/>
  <c r="B214" i="1"/>
  <c r="G216" i="1"/>
  <c r="H215" i="1"/>
  <c r="E213" i="1" l="1"/>
  <c r="D214" i="1" s="1"/>
  <c r="AE214" i="1" s="1"/>
  <c r="AD213" i="1"/>
  <c r="AH213" i="1" s="1"/>
  <c r="Z214" i="1"/>
  <c r="AI214" i="1"/>
  <c r="K214" i="1" a="1"/>
  <c r="K214" i="1" s="1"/>
  <c r="I215" i="1" s="1"/>
  <c r="X214" i="1"/>
  <c r="U215" i="1" s="1"/>
  <c r="Y214" i="1"/>
  <c r="AF215" i="1"/>
  <c r="AG215" i="1"/>
  <c r="AB216" i="1"/>
  <c r="AC215" i="1"/>
  <c r="M218" i="1"/>
  <c r="N217" i="1"/>
  <c r="P217" i="1" s="1"/>
  <c r="O216" i="1"/>
  <c r="Q216" i="1" s="1"/>
  <c r="J215" i="1"/>
  <c r="T216" i="1"/>
  <c r="V216" i="1" s="1"/>
  <c r="S217" i="1"/>
  <c r="W217" i="1" s="1"/>
  <c r="C214" i="1"/>
  <c r="G217" i="1"/>
  <c r="H216" i="1"/>
  <c r="A216" i="1"/>
  <c r="B215" i="1"/>
  <c r="Z215" i="1" l="1"/>
  <c r="E214" i="1"/>
  <c r="D215" i="1" s="1"/>
  <c r="AE215" i="1" s="1"/>
  <c r="AD214" i="1"/>
  <c r="AH214" i="1" s="1"/>
  <c r="K215" i="1" a="1"/>
  <c r="K215" i="1" s="1"/>
  <c r="I216" i="1" s="1"/>
  <c r="AI215" i="1"/>
  <c r="X215" i="1"/>
  <c r="U216" i="1" s="1"/>
  <c r="Y215" i="1"/>
  <c r="AF216" i="1"/>
  <c r="AG216" i="1"/>
  <c r="AC216" i="1"/>
  <c r="AB217" i="1"/>
  <c r="O217" i="1"/>
  <c r="Q217" i="1" s="1"/>
  <c r="N218" i="1"/>
  <c r="P218" i="1" s="1"/>
  <c r="M219" i="1"/>
  <c r="J216" i="1"/>
  <c r="S218" i="1"/>
  <c r="W218" i="1" s="1"/>
  <c r="T217" i="1"/>
  <c r="V217" i="1" s="1"/>
  <c r="C215" i="1"/>
  <c r="G218" i="1"/>
  <c r="H217" i="1"/>
  <c r="B216" i="1"/>
  <c r="A217" i="1"/>
  <c r="E215" i="1" l="1"/>
  <c r="D216" i="1" s="1"/>
  <c r="AE216" i="1" s="1"/>
  <c r="AD215" i="1"/>
  <c r="AH215" i="1" s="1"/>
  <c r="Z216" i="1"/>
  <c r="K216" i="1" a="1"/>
  <c r="K216" i="1" s="1"/>
  <c r="I217" i="1" s="1"/>
  <c r="AI216" i="1"/>
  <c r="Y216" i="1"/>
  <c r="AF217" i="1"/>
  <c r="AG217" i="1"/>
  <c r="AB218" i="1"/>
  <c r="AC217" i="1"/>
  <c r="O218" i="1"/>
  <c r="Q218" i="1" s="1"/>
  <c r="N219" i="1"/>
  <c r="P219" i="1" s="1"/>
  <c r="M220" i="1"/>
  <c r="X216" i="1"/>
  <c r="U217" i="1" s="1"/>
  <c r="J217" i="1"/>
  <c r="T218" i="1"/>
  <c r="V218" i="1" s="1"/>
  <c r="S219" i="1"/>
  <c r="W219" i="1" s="1"/>
  <c r="C216" i="1"/>
  <c r="A218" i="1"/>
  <c r="B217" i="1"/>
  <c r="G219" i="1"/>
  <c r="H218" i="1"/>
  <c r="E216" i="1" l="1"/>
  <c r="D217" i="1" s="1"/>
  <c r="AE217" i="1" s="1"/>
  <c r="AD216" i="1"/>
  <c r="AH216" i="1" s="1"/>
  <c r="Z217" i="1"/>
  <c r="K217" i="1" a="1"/>
  <c r="K217" i="1" s="1"/>
  <c r="I218" i="1" s="1"/>
  <c r="X217" i="1"/>
  <c r="U218" i="1" s="1"/>
  <c r="Y217" i="1"/>
  <c r="AI217" i="1"/>
  <c r="AF218" i="1"/>
  <c r="AG218" i="1"/>
  <c r="AC218" i="1"/>
  <c r="AB219" i="1"/>
  <c r="M221" i="1"/>
  <c r="N220" i="1"/>
  <c r="P220" i="1" s="1"/>
  <c r="O219" i="1"/>
  <c r="Q219" i="1" s="1"/>
  <c r="J218" i="1"/>
  <c r="T219" i="1"/>
  <c r="V219" i="1" s="1"/>
  <c r="S220" i="1"/>
  <c r="W220" i="1" s="1"/>
  <c r="C217" i="1"/>
  <c r="G220" i="1"/>
  <c r="H219" i="1"/>
  <c r="A219" i="1"/>
  <c r="B218" i="1"/>
  <c r="Z218" i="1" l="1"/>
  <c r="E217" i="1"/>
  <c r="D218" i="1" s="1"/>
  <c r="AE218" i="1" s="1"/>
  <c r="AD217" i="1"/>
  <c r="AH217" i="1" s="1"/>
  <c r="K218" i="1" a="1"/>
  <c r="K218" i="1" s="1"/>
  <c r="I219" i="1" s="1"/>
  <c r="AI218" i="1"/>
  <c r="X218" i="1"/>
  <c r="U219" i="1" s="1"/>
  <c r="Y218" i="1"/>
  <c r="AF219" i="1"/>
  <c r="AG219" i="1"/>
  <c r="AC219" i="1"/>
  <c r="AB220" i="1"/>
  <c r="O220" i="1"/>
  <c r="Q220" i="1" s="1"/>
  <c r="N221" i="1"/>
  <c r="P221" i="1" s="1"/>
  <c r="M222" i="1"/>
  <c r="J219" i="1"/>
  <c r="S221" i="1"/>
  <c r="W221" i="1" s="1"/>
  <c r="T220" i="1"/>
  <c r="V220" i="1" s="1"/>
  <c r="C218" i="1"/>
  <c r="A220" i="1"/>
  <c r="B219" i="1"/>
  <c r="G221" i="1"/>
  <c r="H220" i="1"/>
  <c r="E218" i="1" l="1"/>
  <c r="D219" i="1" s="1"/>
  <c r="AE219" i="1" s="1"/>
  <c r="AD218" i="1"/>
  <c r="AH218" i="1" s="1"/>
  <c r="K219" i="1" a="1"/>
  <c r="K219" i="1" s="1"/>
  <c r="I220" i="1" s="1"/>
  <c r="Y219" i="1"/>
  <c r="Z219" i="1"/>
  <c r="AI219" i="1"/>
  <c r="AF220" i="1"/>
  <c r="AG220" i="1"/>
  <c r="AB221" i="1"/>
  <c r="AC220" i="1"/>
  <c r="M223" i="1"/>
  <c r="N222" i="1"/>
  <c r="P222" i="1" s="1"/>
  <c r="O221" i="1"/>
  <c r="Q221" i="1" s="1"/>
  <c r="X219" i="1"/>
  <c r="U220" i="1" s="1"/>
  <c r="J220" i="1"/>
  <c r="T221" i="1"/>
  <c r="V221" i="1" s="1"/>
  <c r="S222" i="1"/>
  <c r="W222" i="1" s="1"/>
  <c r="C219" i="1"/>
  <c r="B220" i="1"/>
  <c r="A221" i="1"/>
  <c r="G222" i="1"/>
  <c r="H221" i="1"/>
  <c r="E219" i="1" l="1"/>
  <c r="D220" i="1" s="1"/>
  <c r="AE220" i="1" s="1"/>
  <c r="AD219" i="1"/>
  <c r="AH219" i="1" s="1"/>
  <c r="Z220" i="1"/>
  <c r="K220" i="1" a="1"/>
  <c r="K220" i="1" s="1"/>
  <c r="I221" i="1" s="1"/>
  <c r="X220" i="1"/>
  <c r="U221" i="1" s="1"/>
  <c r="Y220" i="1"/>
  <c r="AI220" i="1"/>
  <c r="AF221" i="1"/>
  <c r="AG221" i="1"/>
  <c r="AC221" i="1"/>
  <c r="AB222" i="1"/>
  <c r="O222" i="1"/>
  <c r="Q222" i="1" s="1"/>
  <c r="M224" i="1"/>
  <c r="N223" i="1"/>
  <c r="P223" i="1" s="1"/>
  <c r="J221" i="1"/>
  <c r="S223" i="1"/>
  <c r="W223" i="1" s="1"/>
  <c r="T222" i="1"/>
  <c r="V222" i="1" s="1"/>
  <c r="C220" i="1"/>
  <c r="B221" i="1"/>
  <c r="A222" i="1"/>
  <c r="H222" i="1"/>
  <c r="G223" i="1"/>
  <c r="Z221" i="1" l="1"/>
  <c r="E220" i="1"/>
  <c r="D221" i="1" s="1"/>
  <c r="AE221" i="1" s="1"/>
  <c r="AD220" i="1"/>
  <c r="AH220" i="1" s="1"/>
  <c r="K221" i="1" a="1"/>
  <c r="K221" i="1" s="1"/>
  <c r="I222" i="1" s="1"/>
  <c r="X221" i="1"/>
  <c r="U222" i="1" s="1"/>
  <c r="Y221" i="1"/>
  <c r="AI221" i="1"/>
  <c r="AF222" i="1"/>
  <c r="AG222" i="1"/>
  <c r="AB223" i="1"/>
  <c r="AC222" i="1"/>
  <c r="O223" i="1"/>
  <c r="Q223" i="1" s="1"/>
  <c r="N224" i="1"/>
  <c r="P224" i="1" s="1"/>
  <c r="M225" i="1"/>
  <c r="J222" i="1"/>
  <c r="S224" i="1"/>
  <c r="W224" i="1" s="1"/>
  <c r="T223" i="1"/>
  <c r="V223" i="1" s="1"/>
  <c r="C221" i="1"/>
  <c r="G224" i="1"/>
  <c r="H223" i="1"/>
  <c r="A223" i="1"/>
  <c r="B222" i="1"/>
  <c r="Z222" i="1" l="1"/>
  <c r="E221" i="1"/>
  <c r="D222" i="1" s="1"/>
  <c r="AE222" i="1" s="1"/>
  <c r="AD221" i="1"/>
  <c r="AH221" i="1" s="1"/>
  <c r="K222" i="1" a="1"/>
  <c r="K222" i="1" s="1"/>
  <c r="I223" i="1" s="1"/>
  <c r="AI222" i="1"/>
  <c r="X222" i="1"/>
  <c r="U223" i="1" s="1"/>
  <c r="Y222" i="1"/>
  <c r="AF223" i="1"/>
  <c r="AG223" i="1"/>
  <c r="AB224" i="1"/>
  <c r="AC223" i="1"/>
  <c r="M226" i="1"/>
  <c r="N225" i="1"/>
  <c r="P225" i="1" s="1"/>
  <c r="O224" i="1"/>
  <c r="Q224" i="1" s="1"/>
  <c r="J223" i="1"/>
  <c r="T224" i="1"/>
  <c r="V224" i="1" s="1"/>
  <c r="S225" i="1"/>
  <c r="W225" i="1" s="1"/>
  <c r="C222" i="1"/>
  <c r="A224" i="1"/>
  <c r="B223" i="1"/>
  <c r="G225" i="1"/>
  <c r="H224" i="1"/>
  <c r="E222" i="1" l="1"/>
  <c r="D223" i="1" s="1"/>
  <c r="AE223" i="1" s="1"/>
  <c r="AD222" i="1"/>
  <c r="AH222" i="1" s="1"/>
  <c r="Z223" i="1"/>
  <c r="K223" i="1" a="1"/>
  <c r="K223" i="1" s="1"/>
  <c r="I224" i="1" s="1"/>
  <c r="AI223" i="1"/>
  <c r="Y223" i="1"/>
  <c r="AF224" i="1"/>
  <c r="AG224" i="1"/>
  <c r="AC224" i="1"/>
  <c r="AB225" i="1"/>
  <c r="O225" i="1"/>
  <c r="Q225" i="1" s="1"/>
  <c r="N226" i="1"/>
  <c r="P226" i="1" s="1"/>
  <c r="M227" i="1"/>
  <c r="N227" i="1" s="1"/>
  <c r="P227" i="1" s="1"/>
  <c r="X223" i="1"/>
  <c r="U224" i="1" s="1"/>
  <c r="J224" i="1"/>
  <c r="S226" i="1"/>
  <c r="W226" i="1" s="1"/>
  <c r="T225" i="1"/>
  <c r="V225" i="1" s="1"/>
  <c r="C223" i="1"/>
  <c r="G226" i="1"/>
  <c r="H225" i="1"/>
  <c r="B224" i="1"/>
  <c r="A225" i="1"/>
  <c r="E223" i="1" l="1"/>
  <c r="D224" i="1" s="1"/>
  <c r="AE224" i="1" s="1"/>
  <c r="AD223" i="1"/>
  <c r="AH223" i="1" s="1"/>
  <c r="Z224" i="1"/>
  <c r="AI224" i="1"/>
  <c r="K224" i="1" a="1"/>
  <c r="K224" i="1" s="1"/>
  <c r="I225" i="1" s="1"/>
  <c r="Y224" i="1"/>
  <c r="AF225" i="1"/>
  <c r="AG225" i="1"/>
  <c r="AB226" i="1"/>
  <c r="AC225" i="1"/>
  <c r="X224" i="1"/>
  <c r="U225" i="1" s="1"/>
  <c r="O226" i="1"/>
  <c r="Q226" i="1" s="1"/>
  <c r="J225" i="1"/>
  <c r="T226" i="1"/>
  <c r="V226" i="1" s="1"/>
  <c r="S227" i="1"/>
  <c r="W227" i="1" s="1"/>
  <c r="C224" i="1"/>
  <c r="G227" i="1"/>
  <c r="H226" i="1"/>
  <c r="A226" i="1"/>
  <c r="B225" i="1"/>
  <c r="E224" i="1" l="1"/>
  <c r="D225" i="1" s="1"/>
  <c r="AE225" i="1" s="1"/>
  <c r="AD224" i="1"/>
  <c r="AH224" i="1" s="1"/>
  <c r="AI225" i="1"/>
  <c r="Z225" i="1"/>
  <c r="K225" i="1" a="1"/>
  <c r="K225" i="1" s="1"/>
  <c r="I226" i="1" s="1"/>
  <c r="X225" i="1"/>
  <c r="U226" i="1" s="1"/>
  <c r="Y225" i="1"/>
  <c r="AF226" i="1"/>
  <c r="AG226" i="1"/>
  <c r="AC226" i="1"/>
  <c r="AB227" i="1"/>
  <c r="AG227" i="1" s="1"/>
  <c r="O227" i="1"/>
  <c r="Q227" i="1" s="1"/>
  <c r="T227" i="1"/>
  <c r="V227" i="1" s="1"/>
  <c r="J226" i="1"/>
  <c r="C225" i="1"/>
  <c r="H227" i="1"/>
  <c r="A227" i="1"/>
  <c r="B226" i="1"/>
  <c r="E225" i="1" l="1"/>
  <c r="D226" i="1" s="1"/>
  <c r="AE226" i="1" s="1"/>
  <c r="AD225" i="1"/>
  <c r="AH225" i="1" s="1"/>
  <c r="K226" i="1" a="1"/>
  <c r="K226" i="1" s="1"/>
  <c r="I227" i="1" s="1"/>
  <c r="Z226" i="1"/>
  <c r="AI226" i="1"/>
  <c r="X226" i="1"/>
  <c r="U227" i="1" s="1"/>
  <c r="Y226" i="1"/>
  <c r="AC227" i="1"/>
  <c r="AF227" i="1"/>
  <c r="N17" i="1"/>
  <c r="J227" i="1"/>
  <c r="C226" i="1"/>
  <c r="B227" i="1"/>
  <c r="K227" i="1" l="1" a="1"/>
  <c r="K227" i="1" s="1"/>
  <c r="E226" i="1"/>
  <c r="D227" i="1" s="1"/>
  <c r="AD226" i="1"/>
  <c r="AH226" i="1" s="1"/>
  <c r="B18" i="1"/>
  <c r="D8" i="4" s="1"/>
  <c r="AE227" i="1"/>
  <c r="Z227" i="1"/>
  <c r="Y227" i="1"/>
  <c r="AI227" i="1"/>
  <c r="H17" i="1"/>
  <c r="D9" i="4" s="1"/>
  <c r="X227" i="1"/>
  <c r="T17" i="1"/>
  <c r="D11" i="4" s="1"/>
  <c r="C227" i="1"/>
  <c r="AD227" i="1" s="1"/>
  <c r="AH227" i="1" l="1"/>
  <c r="AB18" i="1" s="1"/>
  <c r="E227" i="1"/>
  <c r="AB21" i="1"/>
  <c r="AC23" i="1" l="1" a="1"/>
  <c r="AC23" i="1" s="1"/>
  <c r="D15" i="4" s="1"/>
  <c r="AD2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27" authorId="0" shapeId="0" xr:uid="{5537FA07-C206-461A-BBB3-A3C134FAFEA7}">
      <text>
        <r>
          <rPr>
            <b/>
            <sz val="9"/>
            <color indexed="81"/>
            <rFont val="Tahoma"/>
            <family val="2"/>
          </rPr>
          <t>Author:</t>
        </r>
        <r>
          <rPr>
            <sz val="9"/>
            <color indexed="81"/>
            <rFont val="Tahoma"/>
            <family val="2"/>
          </rPr>
          <t xml:space="preserve">
Discontinuous formula</t>
        </r>
      </text>
    </comment>
    <comment ref="I27" authorId="0" shapeId="0" xr:uid="{53DFD202-1750-45FF-B03F-66D37503E587}">
      <text>
        <r>
          <rPr>
            <b/>
            <sz val="9"/>
            <color indexed="81"/>
            <rFont val="Tahoma"/>
            <family val="2"/>
          </rPr>
          <t>Author:</t>
        </r>
        <r>
          <rPr>
            <sz val="9"/>
            <color indexed="81"/>
            <rFont val="Tahoma"/>
            <family val="2"/>
          </rPr>
          <t xml:space="preserve">
Discontinuous formula</t>
        </r>
      </text>
    </comment>
    <comment ref="O27" authorId="0" shapeId="0" xr:uid="{F1A77A44-5587-4810-B61F-BBC4A1C10A87}">
      <text>
        <r>
          <rPr>
            <b/>
            <sz val="9"/>
            <color indexed="81"/>
            <rFont val="Tahoma"/>
            <family val="2"/>
          </rPr>
          <t>Author:</t>
        </r>
        <r>
          <rPr>
            <sz val="9"/>
            <color indexed="81"/>
            <rFont val="Tahoma"/>
            <family val="2"/>
          </rPr>
          <t xml:space="preserve">
Discontinuous formula</t>
        </r>
      </text>
    </comment>
    <comment ref="U27" authorId="0" shapeId="0" xr:uid="{042132D0-4972-4FA6-A1D4-343A2ECB013E}">
      <text>
        <r>
          <rPr>
            <b/>
            <sz val="9"/>
            <color indexed="81"/>
            <rFont val="Tahoma"/>
            <family val="2"/>
          </rPr>
          <t>Author:</t>
        </r>
        <r>
          <rPr>
            <sz val="9"/>
            <color indexed="81"/>
            <rFont val="Tahoma"/>
            <family val="2"/>
          </rPr>
          <t xml:space="preserve">
Discontinuous formula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O27" authorId="0" shapeId="0" xr:uid="{5BC4B1D6-60BB-43CE-809C-03B2A7A3547E}">
      <text>
        <r>
          <rPr>
            <sz val="9"/>
            <color indexed="81"/>
            <rFont val="Tahoma"/>
            <family val="2"/>
          </rPr>
          <t xml:space="preserve">Discontinuous formula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O27" authorId="0" shapeId="0" xr:uid="{11B317CE-B965-4DFA-9C96-03CCF9A56957}">
      <text>
        <r>
          <rPr>
            <sz val="9"/>
            <color indexed="81"/>
            <rFont val="Tahoma"/>
            <family val="2"/>
          </rPr>
          <t xml:space="preserve">Discontinuous formula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 authorId="0" shapeId="0" xr:uid="{AE8C9DF3-BF1A-471B-BCAD-F0B17368FF4B}">
      <text>
        <r>
          <rPr>
            <b/>
            <sz val="9"/>
            <color indexed="81"/>
            <rFont val="Tahoma"/>
            <family val="2"/>
          </rPr>
          <t>Author:</t>
        </r>
        <r>
          <rPr>
            <sz val="9"/>
            <color indexed="81"/>
            <rFont val="Tahoma"/>
            <family val="2"/>
          </rPr>
          <t xml:space="preserve">
Discontinuous formula</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<sst xmlns="http://schemas.openxmlformats.org/spreadsheetml/2006/main" count="264" uniqueCount="149">
  <si>
    <t>Interest</t>
  </si>
  <si>
    <t>Colour key</t>
  </si>
  <si>
    <t>Parameters</t>
  </si>
  <si>
    <t>Data/values</t>
  </si>
  <si>
    <t>Calculations</t>
  </si>
  <si>
    <t>Discontinuous formulas</t>
  </si>
  <si>
    <t>V(0)</t>
  </si>
  <si>
    <t>PremiumTA</t>
  </si>
  <si>
    <t>V(t)</t>
  </si>
  <si>
    <t>q(x+t-1)</t>
  </si>
  <si>
    <t>p(x+t-1)</t>
  </si>
  <si>
    <t>Result</t>
  </si>
  <si>
    <t>Value looked up from data</t>
  </si>
  <si>
    <t>Results</t>
  </si>
  <si>
    <t>q(x+t)</t>
  </si>
  <si>
    <t>x</t>
  </si>
  <si>
    <t>Premium</t>
  </si>
  <si>
    <t>delta</t>
  </si>
  <si>
    <t>Use</t>
  </si>
  <si>
    <t>time</t>
  </si>
  <si>
    <t>age</t>
  </si>
  <si>
    <t>(t)p(x)</t>
  </si>
  <si>
    <t>mu(x+t)</t>
  </si>
  <si>
    <t>(d/dt)(tpx)</t>
  </si>
  <si>
    <t>V'(t)</t>
  </si>
  <si>
    <t>Question 1: Assumptions</t>
  </si>
  <si>
    <t>Please do your calculations in the Q1 Working sheet</t>
  </si>
  <si>
    <t>Please put your answers in the Q1 Answers sheet, so that they are clearly identifiable</t>
  </si>
  <si>
    <t>Expenses</t>
  </si>
  <si>
    <t>V'(t) = V(t)delta + P -mu*(100000-V(t))</t>
  </si>
  <si>
    <t>V'(t) = V(t)delta + P -mu*(SA-V(t)) + expenses</t>
  </si>
  <si>
    <t>Sum assured</t>
  </si>
  <si>
    <t>Net premium</t>
  </si>
  <si>
    <t>(Net premium was found using Goal Seek)</t>
  </si>
  <si>
    <t>Weight</t>
  </si>
  <si>
    <t>Weighted integrand term assurance</t>
  </si>
  <si>
    <t>Weighted integrand annuity</t>
  </si>
  <si>
    <t>EPV TA at time zero</t>
  </si>
  <si>
    <t>EPV annuity at time zero</t>
  </si>
  <si>
    <t>SumAssdTA</t>
  </si>
  <si>
    <t>TermOfIncTA</t>
  </si>
  <si>
    <t>FinalDecSA</t>
  </si>
  <si>
    <t>StartDecSA</t>
  </si>
  <si>
    <t>stepsize h</t>
  </si>
  <si>
    <t>(20)p(x)</t>
  </si>
  <si>
    <t>Summary results</t>
  </si>
  <si>
    <t>check</t>
  </si>
  <si>
    <t>V'(t) = V(t)delta + P -mu*(100000-V(t))-Expenses</t>
  </si>
  <si>
    <t>(a) Probablities</t>
  </si>
  <si>
    <t>(b) Gross premium, flat SA</t>
  </si>
  <si>
    <t>(c) Net premium</t>
  </si>
  <si>
    <t>Question</t>
  </si>
  <si>
    <t>Value</t>
  </si>
  <si>
    <t>(d) Gross premium, decreasing SA</t>
  </si>
  <si>
    <t>(Where students have got incorrect answers, credit will be given for reasonable explanations provided answers are stated.)</t>
  </si>
  <si>
    <t>The net premium is lower than the gross premium (for a flat SA), which makes sense since the gross premium will be set to allow us to make a profit (and cover expenses.)</t>
  </si>
  <si>
    <t>…This is reassuring because it provides a check that the calculation is approximately correct.</t>
  </si>
  <si>
    <t>Results Part (a)</t>
  </si>
  <si>
    <t>Results Part (b)</t>
  </si>
  <si>
    <t xml:space="preserve">Results Part (c) </t>
  </si>
  <si>
    <t>Results Part (d)</t>
  </si>
  <si>
    <t>Results Part (e)</t>
  </si>
  <si>
    <t>V(0) is negative for the gross premium policy values calculations, which we expect since we're assuming no expenses and it is higher than the net premium, ie more income reduces the policy value.</t>
  </si>
  <si>
    <t>…There is a lapse risk during that period</t>
  </si>
  <si>
    <t>The decreasing sum assured is the same value on average as the flat sum assured</t>
  </si>
  <si>
    <t>…This makes sense because the sum assured is low at the higher ages where deaths are more likely</t>
  </si>
  <si>
    <t>Marks</t>
  </si>
  <si>
    <t>Mark scheme for written comments about Q1</t>
  </si>
  <si>
    <t>Initial exp (fixed amount)</t>
  </si>
  <si>
    <t>Total EPV of profit</t>
  </si>
  <si>
    <t>Renewal exp (fixed amount)</t>
  </si>
  <si>
    <t>RDR</t>
  </si>
  <si>
    <t>Term</t>
  </si>
  <si>
    <t>Calculate EPV profit without allowance for reserves</t>
  </si>
  <si>
    <t>Calculations which allow for reserves</t>
  </si>
  <si>
    <t>Time at year</t>
  </si>
  <si>
    <t>end (t)</t>
  </si>
  <si>
    <t>Start of yr</t>
  </si>
  <si>
    <t>End of yr</t>
  </si>
  <si>
    <t>Death</t>
  </si>
  <si>
    <t>Survival</t>
  </si>
  <si>
    <t>Expected</t>
  </si>
  <si>
    <t>(t-1)_px</t>
  </si>
  <si>
    <t>Discount</t>
  </si>
  <si>
    <t>EPV of</t>
  </si>
  <si>
    <t>Inc in</t>
  </si>
  <si>
    <t>Interest on</t>
  </si>
  <si>
    <t xml:space="preserve">Profit </t>
  </si>
  <si>
    <t>Profit</t>
  </si>
  <si>
    <t>Sum of EPV(Profit)</t>
  </si>
  <si>
    <t>Reserve</t>
  </si>
  <si>
    <t>Benefit</t>
  </si>
  <si>
    <t>Cashflow</t>
  </si>
  <si>
    <t>v^t @RDR</t>
  </si>
  <si>
    <t>Vector</t>
  </si>
  <si>
    <t>Signature</t>
  </si>
  <si>
    <t>to find DPP</t>
  </si>
  <si>
    <t>start (t-1)</t>
  </si>
  <si>
    <t>Question 1: Working</t>
  </si>
  <si>
    <t>Question 1: Answers</t>
  </si>
  <si>
    <t>x+t</t>
  </si>
  <si>
    <t>Question 2: Assumptions</t>
  </si>
  <si>
    <t>Please do your calculations in the Q2 Working sheet</t>
  </si>
  <si>
    <t>Please put your answers in the Q2 Answers sheet, so that they are clearly identifiable</t>
  </si>
  <si>
    <t>Question 5: Working</t>
  </si>
  <si>
    <t>Annuity benefit</t>
  </si>
  <si>
    <t>Age at year</t>
  </si>
  <si>
    <t>v^t</t>
  </si>
  <si>
    <t>Single premium</t>
  </si>
  <si>
    <t>Interest earned on reserves and cashflows</t>
  </si>
  <si>
    <t>(a) …with no reserves</t>
  </si>
  <si>
    <t>(b) …with reserves</t>
  </si>
  <si>
    <t>(c) Profit margin with reserves</t>
  </si>
  <si>
    <t>(d) DPP with reserves</t>
  </si>
  <si>
    <t xml:space="preserve"> …with reserves</t>
  </si>
  <si>
    <t>IRR</t>
  </si>
  <si>
    <t>(e) IRR</t>
  </si>
  <si>
    <t>..But it will have been at partly offset by having less discounting on average on the lump sum payments (because they are bigger earlier)</t>
  </si>
  <si>
    <t>Question 2: Answers</t>
  </si>
  <si>
    <t>B) "Tell Alex your results for Q1 (b),(c) , (d) and (e) and explain, with reasons, how they compare to each other and whether they seem reasonable."</t>
  </si>
  <si>
    <t>(Capped at 12)</t>
  </si>
  <si>
    <t xml:space="preserve">Credit will be given for sensible comments about limitations, errors, etc. 2 marks per idea. </t>
  </si>
  <si>
    <t>22+</t>
  </si>
  <si>
    <t>Mark scheme for style of writing:</t>
  </si>
  <si>
    <t>Marks available for written content:</t>
  </si>
  <si>
    <t>No attempt made to write as a sensible email. It is written like an exam answer.</t>
  </si>
  <si>
    <t>Written in a broadly appropriate format, but does not meet the criteria for 2 marks.</t>
  </si>
  <si>
    <t>Written in a broadly appropriate format and at tone, writing or structure is suitable but only one.</t>
  </si>
  <si>
    <t>Meets the criteria above and is excellent in some respects</t>
  </si>
  <si>
    <t>Meets the criteria above and is excellent in most respects</t>
  </si>
  <si>
    <t>A suitable tone is friendly but professional</t>
  </si>
  <si>
    <t>A suitable format is email with salutation, paragraphs, a sign-off, etc</t>
  </si>
  <si>
    <t>Suitable structure includes use of paragraphs, perhaps bullets and subheadings, and signposting. Eg, tell Alex what the email is for.</t>
  </si>
  <si>
    <t>Written in an appropriate format and at least two out of tone, writing or structure are suitable.</t>
  </si>
  <si>
    <t>Written in an appropriate format and tone, writing or structure are all broadly suitable.</t>
  </si>
  <si>
    <t>Suitable writing includes correct spelling and punctuation, each sentence has a purpose and its meaning is clear</t>
  </si>
  <si>
    <t>(i)</t>
  </si>
  <si>
    <t>(ii)</t>
  </si>
  <si>
    <t>(iii)</t>
  </si>
  <si>
    <t>(iii) policy value</t>
  </si>
  <si>
    <t>(e)  Trapezium rule method</t>
  </si>
  <si>
    <t>EPV TA</t>
  </si>
  <si>
    <t>EPV annuity</t>
  </si>
  <si>
    <t>(i) EPV term assurance £1</t>
  </si>
  <si>
    <t>(ii) EPV annuity £1</t>
  </si>
  <si>
    <t>…But V(0) is lower (more negative) than for the flat SA so the benefits must have a lower value (the income is unchanged)</t>
  </si>
  <si>
    <t>Statement of results, ie. All four results are stated or it is explained where they are incomplete.</t>
  </si>
  <si>
    <t xml:space="preserve">Our trapezium rule calculation gives approximately the same answer as Thiele's equation (2% different). </t>
  </si>
  <si>
    <t>…This means the policy has to continue for a couple of years before we achieve the profit we are expecting.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</si>
</sst>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quot;£&quot;#,##0;[Red]\-&quot;£&quot;#,##0"/>
    <numFmt numFmtId="165" formatCode="&quot;£&quot;#,##0.00;[Red]\-&quot;£&quot;#,##0.00"/>
    <numFmt numFmtId="166" formatCode="#,##0.00000"/>
    <numFmt numFmtId="167" formatCode="0.00000"/>
    <numFmt numFmtId="168" formatCode="0.0000"/>
    <numFmt numFmtId="169" formatCode="#,##0.00000_ ;\-#,##0.00000\ "/>
    <numFmt numFmtId="170" formatCode="#,##0.0000"/>
  </numFmts>
  <fonts count="22" x14ac:knownFonts="1">
    <font>
      <sz val="11"/>
      <color theme="1"/>
      <name val="Calibri"/>
      <family val="2"/>
      <scheme val="minor"/>
    </font>
    <font>
      <sz val="11"/>
      <color rgb="FF0070C0"/>
      <name val="Calibri"/>
      <family val="2"/>
      <scheme val="minor"/>
    </font>
    <font>
      <sz val="11"/>
      <color rgb="FFFF0000"/>
      <name val="Calibri"/>
      <family val="2"/>
      <scheme val="minor"/>
    </font>
    <font>
      <b/>
      <sz val="11"/>
      <color theme="1"/>
      <name val="Calibri"/>
      <family val="2"/>
      <scheme val="minor"/>
    </font>
    <font>
      <sz val="11"/>
      <color rgb="FFFF00FF"/>
      <name val="Calibri"/>
      <family val="2"/>
      <scheme val="minor"/>
    </font>
    <font>
      <sz val="11"/>
      <name val="Calibri"/>
      <family val="2"/>
      <scheme val="minor"/>
    </font>
    <font>
      <b/>
      <sz val="9"/>
      <color indexed="81"/>
      <name val="Tahoma"/>
      <family val="2"/>
    </font>
    <font>
      <sz val="9"/>
      <color indexed="81"/>
      <name val="Tahoma"/>
      <family val="2"/>
    </font>
    <font>
      <sz val="11"/>
      <color rgb="FF00B050"/>
      <name val="Calibri"/>
      <family val="2"/>
      <scheme val="minor"/>
    </font>
    <font>
      <sz val="11"/>
      <color theme="1"/>
      <name val="Calibri"/>
      <family val="2"/>
      <scheme val="minor"/>
    </font>
    <font>
      <b/>
      <u/>
      <sz val="11"/>
      <color theme="1"/>
      <name val="Calibri"/>
      <family val="2"/>
      <scheme val="minor"/>
    </font>
    <font>
      <sz val="11"/>
      <color theme="0" tint="-0.34998626667073579"/>
      <name val="Calibri"/>
      <family val="2"/>
      <scheme val="minor"/>
    </font>
    <font>
      <i/>
      <sz val="11"/>
      <color theme="1"/>
      <name val="Calibri"/>
      <family val="2"/>
      <scheme val="minor"/>
    </font>
    <font>
      <sz val="10"/>
      <name val="Arial"/>
      <family val="2"/>
    </font>
    <font>
      <b/>
      <u/>
      <sz val="16"/>
      <color theme="1"/>
      <name val="Calibri"/>
      <family val="2"/>
      <scheme val="minor"/>
    </font>
    <font>
      <b/>
      <u/>
      <sz val="10"/>
      <name val="Arial"/>
      <family val="2"/>
    </font>
    <font>
      <b/>
      <sz val="10"/>
      <name val="Arial"/>
      <family val="2"/>
    </font>
    <font>
      <i/>
      <sz val="10"/>
      <name val="Arial"/>
      <family val="2"/>
    </font>
    <font>
      <sz val="10"/>
      <color rgb="FF0070C0"/>
      <name val="Arial"/>
      <family val="2"/>
    </font>
    <font>
      <sz val="10"/>
      <color rgb="FF00B050"/>
      <name val="Arial"/>
      <family val="2"/>
    </font>
    <font>
      <sz val="10"/>
      <color rgb="FFFF33CC"/>
      <name val="Arial"/>
      <family val="2"/>
    </font>
    <font>
      <sz val="10"/>
      <color rgb="FFFF0000"/>
      <name val="Arial"/>
      <family val="2"/>
    </font>
  </fonts>
  <fills count="6">
    <fill>
      <patternFill patternType="none"/>
    </fill>
    <fill>
      <patternFill patternType="gray125"/>
    </fill>
    <fill>
      <patternFill patternType="solid">
        <fgColor theme="5" tint="0.39997558519241921"/>
        <bgColor indexed="64"/>
      </patternFill>
    </fill>
    <fill>
      <patternFill patternType="solid">
        <fgColor theme="9" tint="0.39997558519241921"/>
        <bgColor indexed="64"/>
      </patternFill>
    </fill>
    <fill>
      <patternFill patternType="solid">
        <fgColor rgb="FFFFFF00"/>
        <bgColor indexed="64"/>
      </patternFill>
    </fill>
    <fill>
      <patternFill patternType="solid">
        <fgColor theme="5" tint="0.59999389629810485"/>
        <bgColor indexed="64"/>
      </patternFill>
    </fill>
  </fills>
  <borders count="1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theme="0"/>
      </left>
      <right/>
      <top style="thin">
        <color theme="0"/>
      </top>
      <bottom style="thin">
        <color theme="0"/>
      </bottom>
      <diagonal/>
    </border>
  </borders>
  <cellStyleXfs count="4">
    <xf numFmtId="0" fontId="0" fillId="0" borderId="0"/>
    <xf numFmtId="43" fontId="9" fillId="0" borderId="0" applyFont="0" applyFill="0" applyBorder="0" applyAlignment="0" applyProtection="0"/>
    <xf numFmtId="0" fontId="13" fillId="0" borderId="0"/>
    <xf numFmtId="9" fontId="13" fillId="0" borderId="0" applyFont="0" applyFill="0" applyBorder="0" applyAlignment="0" applyProtection="0"/>
  </cellStyleXfs>
  <cellXfs count="143">
    <xf numFmtId="0" fontId="0" fillId="0" borderId="0" xfId="0"/>
    <xf numFmtId="0" fontId="3" fillId="0" borderId="1" xfId="0" applyFont="1" applyBorder="1"/>
    <xf numFmtId="0" fontId="0" fillId="0" borderId="2" xfId="0" applyBorder="1"/>
    <xf numFmtId="0" fontId="0" fillId="0" borderId="3" xfId="0" applyBorder="1"/>
    <xf numFmtId="0" fontId="0" fillId="0" borderId="4" xfId="0" applyBorder="1"/>
    <xf numFmtId="0" fontId="0" fillId="0" borderId="5" xfId="0" applyBorder="1"/>
    <xf numFmtId="0" fontId="1" fillId="0" borderId="4" xfId="0" applyFont="1" applyBorder="1" applyProtection="1">
      <protection locked="0"/>
    </xf>
    <xf numFmtId="0" fontId="5" fillId="0" borderId="4" xfId="0" applyFont="1" applyBorder="1"/>
    <xf numFmtId="0" fontId="5" fillId="2" borderId="4" xfId="0" applyFont="1" applyFill="1" applyBorder="1"/>
    <xf numFmtId="0" fontId="0" fillId="0" borderId="6" xfId="0" applyBorder="1"/>
    <xf numFmtId="0" fontId="0" fillId="0" borderId="7" xfId="0" applyBorder="1"/>
    <xf numFmtId="0" fontId="0" fillId="0" borderId="8" xfId="0" applyBorder="1"/>
    <xf numFmtId="0" fontId="2" fillId="0" borderId="0" xfId="0" applyFont="1"/>
    <xf numFmtId="0" fontId="8" fillId="0" borderId="4" xfId="0" applyFont="1" applyBorder="1"/>
    <xf numFmtId="0" fontId="8" fillId="0" borderId="0" xfId="0" applyFont="1"/>
    <xf numFmtId="0" fontId="8" fillId="0" borderId="7" xfId="0" applyFont="1" applyBorder="1"/>
    <xf numFmtId="0" fontId="0" fillId="3" borderId="4" xfId="0" applyFill="1" applyBorder="1"/>
    <xf numFmtId="0" fontId="4" fillId="4" borderId="4" xfId="0" applyFont="1" applyFill="1" applyBorder="1"/>
    <xf numFmtId="0" fontId="4" fillId="4" borderId="5" xfId="0" applyFont="1" applyFill="1" applyBorder="1"/>
    <xf numFmtId="0" fontId="3" fillId="0" borderId="0" xfId="0" applyFont="1"/>
    <xf numFmtId="166" fontId="0" fillId="0" borderId="0" xfId="0" applyNumberFormat="1"/>
    <xf numFmtId="0" fontId="0" fillId="0" borderId="9" xfId="0" applyBorder="1"/>
    <xf numFmtId="0" fontId="0" fillId="0" borderId="10" xfId="0" applyBorder="1"/>
    <xf numFmtId="0" fontId="0" fillId="0" borderId="11" xfId="0" applyBorder="1"/>
    <xf numFmtId="0" fontId="5" fillId="2" borderId="0" xfId="0" applyFont="1" applyFill="1"/>
    <xf numFmtId="0" fontId="2" fillId="0" borderId="8" xfId="0" applyFont="1" applyBorder="1"/>
    <xf numFmtId="0" fontId="1" fillId="0" borderId="5" xfId="0" applyFont="1" applyBorder="1"/>
    <xf numFmtId="0" fontId="1" fillId="0" borderId="8" xfId="0" applyFont="1" applyBorder="1"/>
    <xf numFmtId="0" fontId="4" fillId="4" borderId="0" xfId="0" applyFont="1" applyFill="1"/>
    <xf numFmtId="4" fontId="0" fillId="0" borderId="5" xfId="0" applyNumberFormat="1" applyBorder="1"/>
    <xf numFmtId="4" fontId="0" fillId="0" borderId="0" xfId="0" applyNumberFormat="1"/>
    <xf numFmtId="0" fontId="3" fillId="0" borderId="4" xfId="0" applyFont="1" applyBorder="1"/>
    <xf numFmtId="164" fontId="5" fillId="0" borderId="0" xfId="0" applyNumberFormat="1" applyFont="1"/>
    <xf numFmtId="4" fontId="4" fillId="4" borderId="0" xfId="0" applyNumberFormat="1" applyFont="1" applyFill="1"/>
    <xf numFmtId="0" fontId="0" fillId="0" borderId="9" xfId="0" applyBorder="1" applyAlignment="1">
      <alignment wrapText="1"/>
    </xf>
    <xf numFmtId="0" fontId="0" fillId="0" borderId="11" xfId="0" applyBorder="1" applyAlignment="1">
      <alignment wrapText="1"/>
    </xf>
    <xf numFmtId="0" fontId="0" fillId="0" borderId="10" xfId="0" applyBorder="1" applyAlignment="1">
      <alignment wrapText="1"/>
    </xf>
    <xf numFmtId="0" fontId="0" fillId="0" borderId="0" xfId="0" applyAlignment="1">
      <alignment wrapText="1"/>
    </xf>
    <xf numFmtId="166" fontId="0" fillId="0" borderId="11" xfId="0" applyNumberFormat="1" applyBorder="1" applyAlignment="1">
      <alignment wrapText="1"/>
    </xf>
    <xf numFmtId="0" fontId="10" fillId="0" borderId="1" xfId="0" applyFont="1" applyBorder="1"/>
    <xf numFmtId="4" fontId="0" fillId="0" borderId="7" xfId="0" applyNumberFormat="1" applyBorder="1"/>
    <xf numFmtId="9" fontId="0" fillId="0" borderId="8" xfId="0" applyNumberFormat="1" applyBorder="1"/>
    <xf numFmtId="3" fontId="0" fillId="3" borderId="7" xfId="0" applyNumberFormat="1" applyFill="1" applyBorder="1"/>
    <xf numFmtId="4" fontId="0" fillId="3" borderId="7" xfId="0" applyNumberFormat="1" applyFill="1" applyBorder="1"/>
    <xf numFmtId="4" fontId="0" fillId="3" borderId="0" xfId="0" applyNumberFormat="1" applyFill="1"/>
    <xf numFmtId="167" fontId="0" fillId="3" borderId="0" xfId="0" applyNumberFormat="1" applyFill="1"/>
    <xf numFmtId="0" fontId="11" fillId="0" borderId="13" xfId="0" applyFont="1" applyBorder="1" applyAlignment="1">
      <alignment wrapText="1"/>
    </xf>
    <xf numFmtId="0" fontId="11" fillId="0" borderId="14" xfId="0" applyFont="1" applyBorder="1"/>
    <xf numFmtId="9" fontId="11" fillId="0" borderId="14" xfId="0" applyNumberFormat="1" applyFont="1" applyBorder="1"/>
    <xf numFmtId="9" fontId="11" fillId="0" borderId="15" xfId="0" applyNumberFormat="1" applyFont="1" applyBorder="1"/>
    <xf numFmtId="0" fontId="12" fillId="0" borderId="0" xfId="0" applyFont="1"/>
    <xf numFmtId="4" fontId="11" fillId="0" borderId="14" xfId="0" applyNumberFormat="1" applyFont="1" applyBorder="1"/>
    <xf numFmtId="0" fontId="12" fillId="0" borderId="5" xfId="0" applyFont="1" applyBorder="1"/>
    <xf numFmtId="0" fontId="8" fillId="0" borderId="6" xfId="0" applyFont="1" applyBorder="1"/>
    <xf numFmtId="0" fontId="13" fillId="0" borderId="0" xfId="2"/>
    <xf numFmtId="0" fontId="13" fillId="0" borderId="0" xfId="2" quotePrefix="1" applyAlignment="1">
      <alignment horizontal="left"/>
    </xf>
    <xf numFmtId="0" fontId="14" fillId="0" borderId="0" xfId="0" applyFont="1"/>
    <xf numFmtId="0" fontId="13" fillId="0" borderId="2" xfId="2" applyBorder="1"/>
    <xf numFmtId="0" fontId="13" fillId="0" borderId="3" xfId="2" applyBorder="1"/>
    <xf numFmtId="0" fontId="15" fillId="0" borderId="0" xfId="2" applyFont="1"/>
    <xf numFmtId="0" fontId="16" fillId="0" borderId="4" xfId="2" applyFont="1" applyBorder="1"/>
    <xf numFmtId="0" fontId="16" fillId="0" borderId="0" xfId="2" applyFont="1"/>
    <xf numFmtId="165" fontId="4" fillId="4" borderId="12" xfId="0" applyNumberFormat="1" applyFont="1" applyFill="1" applyBorder="1" applyAlignment="1">
      <alignment horizontal="center" vertical="center"/>
    </xf>
    <xf numFmtId="0" fontId="13" fillId="0" borderId="5" xfId="2" applyBorder="1"/>
    <xf numFmtId="0" fontId="13" fillId="0" borderId="4" xfId="2" applyBorder="1"/>
    <xf numFmtId="9" fontId="4" fillId="4" borderId="12" xfId="0" applyNumberFormat="1" applyFont="1" applyFill="1" applyBorder="1" applyAlignment="1">
      <alignment horizontal="center" vertical="center"/>
    </xf>
    <xf numFmtId="0" fontId="17" fillId="0" borderId="0" xfId="2" applyFont="1"/>
    <xf numFmtId="2" fontId="13" fillId="0" borderId="4" xfId="2" applyNumberFormat="1" applyBorder="1"/>
    <xf numFmtId="165" fontId="13" fillId="0" borderId="0" xfId="2" applyNumberFormat="1"/>
    <xf numFmtId="4" fontId="4" fillId="4" borderId="12" xfId="0" applyNumberFormat="1" applyFont="1" applyFill="1" applyBorder="1" applyAlignment="1">
      <alignment horizontal="center" vertical="center"/>
    </xf>
    <xf numFmtId="0" fontId="16" fillId="0" borderId="6" xfId="2" applyFont="1" applyBorder="1"/>
    <xf numFmtId="0" fontId="16" fillId="0" borderId="7" xfId="2" applyFont="1" applyBorder="1"/>
    <xf numFmtId="0" fontId="13" fillId="0" borderId="8" xfId="2" applyBorder="1"/>
    <xf numFmtId="0" fontId="13" fillId="0" borderId="6" xfId="2" applyBorder="1"/>
    <xf numFmtId="0" fontId="13" fillId="0" borderId="7" xfId="2" applyBorder="1"/>
    <xf numFmtId="2" fontId="13" fillId="0" borderId="0" xfId="2" applyNumberFormat="1"/>
    <xf numFmtId="0" fontId="16" fillId="0" borderId="3" xfId="2" applyFont="1" applyBorder="1"/>
    <xf numFmtId="164" fontId="16" fillId="0" borderId="1" xfId="2" applyNumberFormat="1" applyFont="1" applyBorder="1"/>
    <xf numFmtId="164" fontId="16" fillId="0" borderId="3" xfId="2" applyNumberFormat="1" applyFont="1" applyBorder="1"/>
    <xf numFmtId="0" fontId="16" fillId="0" borderId="5" xfId="2" applyFont="1" applyBorder="1"/>
    <xf numFmtId="164" fontId="16" fillId="0" borderId="4" xfId="2" quotePrefix="1" applyNumberFormat="1" applyFont="1" applyBorder="1" applyAlignment="1">
      <alignment horizontal="center"/>
    </xf>
    <xf numFmtId="164" fontId="16" fillId="0" borderId="5" xfId="2" quotePrefix="1" applyNumberFormat="1" applyFont="1" applyBorder="1" applyAlignment="1">
      <alignment horizontal="center"/>
    </xf>
    <xf numFmtId="0" fontId="16" fillId="0" borderId="1" xfId="2" applyFont="1" applyBorder="1" applyAlignment="1">
      <alignment horizontal="center"/>
    </xf>
    <xf numFmtId="0" fontId="16" fillId="0" borderId="2" xfId="2" applyFont="1" applyBorder="1" applyAlignment="1">
      <alignment horizontal="center"/>
    </xf>
    <xf numFmtId="0" fontId="16" fillId="0" borderId="2" xfId="2" quotePrefix="1" applyFont="1" applyBorder="1" applyAlignment="1">
      <alignment horizontal="center"/>
    </xf>
    <xf numFmtId="0" fontId="16" fillId="0" borderId="3" xfId="2" applyFont="1" applyBorder="1" applyAlignment="1">
      <alignment horizontal="center"/>
    </xf>
    <xf numFmtId="0" fontId="16" fillId="0" borderId="1" xfId="2" quotePrefix="1" applyFont="1" applyBorder="1" applyAlignment="1">
      <alignment horizontal="center"/>
    </xf>
    <xf numFmtId="0" fontId="16" fillId="0" borderId="8" xfId="2" applyFont="1" applyBorder="1" applyAlignment="1">
      <alignment horizontal="center"/>
    </xf>
    <xf numFmtId="164" fontId="16" fillId="0" borderId="6" xfId="2" quotePrefix="1" applyNumberFormat="1" applyFont="1" applyBorder="1" applyAlignment="1">
      <alignment horizontal="center"/>
    </xf>
    <xf numFmtId="164" fontId="16" fillId="0" borderId="8" xfId="2" quotePrefix="1" applyNumberFormat="1" applyFont="1" applyBorder="1" applyAlignment="1">
      <alignment horizontal="center"/>
    </xf>
    <xf numFmtId="9" fontId="16" fillId="0" borderId="7" xfId="3" applyFont="1" applyBorder="1"/>
    <xf numFmtId="0" fontId="16" fillId="0" borderId="7" xfId="2" applyFont="1" applyBorder="1" applyAlignment="1">
      <alignment horizontal="center"/>
    </xf>
    <xf numFmtId="0" fontId="16" fillId="0" borderId="7" xfId="2" quotePrefix="1" applyFont="1" applyBorder="1" applyAlignment="1">
      <alignment horizontal="center"/>
    </xf>
    <xf numFmtId="0" fontId="16" fillId="0" borderId="6" xfId="2" applyFont="1" applyBorder="1" applyAlignment="1">
      <alignment horizontal="center"/>
    </xf>
    <xf numFmtId="0" fontId="16" fillId="0" borderId="6" xfId="2" quotePrefix="1" applyFont="1" applyBorder="1" applyAlignment="1">
      <alignment horizontal="center"/>
    </xf>
    <xf numFmtId="9" fontId="3" fillId="0" borderId="7" xfId="3" applyFont="1" applyBorder="1" applyAlignment="1">
      <alignment horizontal="center"/>
    </xf>
    <xf numFmtId="0" fontId="16" fillId="0" borderId="8" xfId="2" applyFont="1" applyBorder="1"/>
    <xf numFmtId="164" fontId="18" fillId="0" borderId="4" xfId="2" applyNumberFormat="1" applyFont="1" applyBorder="1"/>
    <xf numFmtId="164" fontId="18" fillId="0" borderId="5" xfId="2" applyNumberFormat="1" applyFont="1" applyBorder="1"/>
    <xf numFmtId="164" fontId="13" fillId="0" borderId="4" xfId="2" applyNumberFormat="1" applyBorder="1"/>
    <xf numFmtId="168" fontId="13" fillId="0" borderId="0" xfId="2" applyNumberFormat="1"/>
    <xf numFmtId="168" fontId="13" fillId="0" borderId="4" xfId="2" applyNumberFormat="1" applyBorder="1"/>
    <xf numFmtId="2" fontId="13" fillId="0" borderId="5" xfId="2" applyNumberFormat="1" applyBorder="1"/>
    <xf numFmtId="4" fontId="13" fillId="0" borderId="5" xfId="2" applyNumberFormat="1" applyBorder="1"/>
    <xf numFmtId="169" fontId="0" fillId="5" borderId="16" xfId="1" applyNumberFormat="1" applyFont="1" applyFill="1" applyBorder="1" applyAlignment="1">
      <alignment horizontal="center"/>
    </xf>
    <xf numFmtId="164" fontId="18" fillId="0" borderId="6" xfId="2" applyNumberFormat="1" applyFont="1" applyBorder="1"/>
    <xf numFmtId="164" fontId="18" fillId="0" borderId="8" xfId="2" applyNumberFormat="1" applyFont="1" applyBorder="1"/>
    <xf numFmtId="0" fontId="15" fillId="0" borderId="0" xfId="2" quotePrefix="1" applyFont="1" applyAlignment="1">
      <alignment horizontal="left"/>
    </xf>
    <xf numFmtId="0" fontId="16" fillId="0" borderId="1" xfId="2" applyFont="1" applyBorder="1"/>
    <xf numFmtId="0" fontId="0" fillId="0" borderId="12" xfId="0" applyBorder="1"/>
    <xf numFmtId="0" fontId="0" fillId="0" borderId="14" xfId="0" applyBorder="1"/>
    <xf numFmtId="0" fontId="0" fillId="0" borderId="15" xfId="0" applyBorder="1"/>
    <xf numFmtId="0" fontId="13" fillId="0" borderId="1" xfId="2" applyBorder="1"/>
    <xf numFmtId="164" fontId="18" fillId="0" borderId="1" xfId="2" applyNumberFormat="1" applyFont="1" applyBorder="1"/>
    <xf numFmtId="164" fontId="18" fillId="0" borderId="3" xfId="2" applyNumberFormat="1" applyFont="1" applyBorder="1"/>
    <xf numFmtId="164" fontId="19" fillId="0" borderId="4" xfId="2" applyNumberFormat="1" applyFont="1" applyBorder="1"/>
    <xf numFmtId="164" fontId="19" fillId="0" borderId="5" xfId="2" applyNumberFormat="1" applyFont="1" applyBorder="1"/>
    <xf numFmtId="164" fontId="4" fillId="4" borderId="12" xfId="0" applyNumberFormat="1" applyFont="1" applyFill="1" applyBorder="1" applyAlignment="1">
      <alignment horizontal="center" vertical="center"/>
    </xf>
    <xf numFmtId="168" fontId="19" fillId="0" borderId="0" xfId="2" applyNumberFormat="1" applyFont="1"/>
    <xf numFmtId="0" fontId="20" fillId="0" borderId="0" xfId="2" applyFont="1"/>
    <xf numFmtId="4" fontId="13" fillId="0" borderId="0" xfId="2" applyNumberFormat="1"/>
    <xf numFmtId="164" fontId="13" fillId="0" borderId="0" xfId="2" applyNumberFormat="1"/>
    <xf numFmtId="165" fontId="13" fillId="3" borderId="0" xfId="2" applyNumberFormat="1" applyFill="1"/>
    <xf numFmtId="10" fontId="0" fillId="3" borderId="0" xfId="0" applyNumberFormat="1" applyFill="1"/>
    <xf numFmtId="0" fontId="13" fillId="3" borderId="0" xfId="2" applyFill="1"/>
    <xf numFmtId="9" fontId="16" fillId="0" borderId="0" xfId="2" applyNumberFormat="1" applyFont="1"/>
    <xf numFmtId="10" fontId="4" fillId="4" borderId="12" xfId="0" applyNumberFormat="1" applyFont="1" applyFill="1" applyBorder="1" applyAlignment="1">
      <alignment horizontal="center" vertical="center"/>
    </xf>
    <xf numFmtId="164" fontId="4" fillId="4" borderId="5" xfId="0" applyNumberFormat="1" applyFont="1" applyFill="1" applyBorder="1"/>
    <xf numFmtId="164" fontId="4" fillId="4" borderId="8" xfId="0" applyNumberFormat="1" applyFont="1" applyFill="1" applyBorder="1"/>
    <xf numFmtId="3" fontId="13" fillId="3" borderId="0" xfId="2" applyNumberFormat="1" applyFill="1"/>
    <xf numFmtId="164" fontId="13" fillId="3" borderId="0" xfId="2" applyNumberFormat="1" applyFill="1"/>
    <xf numFmtId="10" fontId="13" fillId="3" borderId="0" xfId="2" applyNumberFormat="1" applyFill="1"/>
    <xf numFmtId="0" fontId="21" fillId="0" borderId="5" xfId="2" applyFont="1" applyBorder="1"/>
    <xf numFmtId="164" fontId="0" fillId="3" borderId="0" xfId="0" applyNumberFormat="1" applyFill="1"/>
    <xf numFmtId="166" fontId="0" fillId="3" borderId="0" xfId="0" applyNumberFormat="1" applyFill="1"/>
    <xf numFmtId="170" fontId="0" fillId="3" borderId="0" xfId="0" applyNumberFormat="1" applyFill="1"/>
    <xf numFmtId="0" fontId="12" fillId="0" borderId="8" xfId="0" applyFont="1" applyBorder="1"/>
    <xf numFmtId="0" fontId="16" fillId="0" borderId="1" xfId="2" applyFont="1" applyBorder="1" applyAlignment="1">
      <alignment horizontal="center" vertical="center" wrapText="1"/>
    </xf>
    <xf numFmtId="0" fontId="16" fillId="0" borderId="3" xfId="2" applyFont="1" applyBorder="1" applyAlignment="1">
      <alignment horizontal="center" vertical="center" wrapText="1"/>
    </xf>
    <xf numFmtId="0" fontId="16" fillId="0" borderId="4" xfId="2" applyFont="1" applyBorder="1" applyAlignment="1">
      <alignment horizontal="center" vertical="center" wrapText="1"/>
    </xf>
    <xf numFmtId="0" fontId="16" fillId="0" borderId="5" xfId="2" applyFont="1" applyBorder="1" applyAlignment="1">
      <alignment horizontal="center" vertical="center" wrapText="1"/>
    </xf>
    <xf numFmtId="0" fontId="16" fillId="0" borderId="2" xfId="2" applyFont="1" applyBorder="1" applyAlignment="1">
      <alignment horizontal="center" vertical="center" wrapText="1"/>
    </xf>
    <xf numFmtId="0" fontId="16" fillId="0" borderId="0" xfId="2" applyFont="1" applyAlignment="1">
      <alignment horizontal="center" vertical="center" wrapText="1"/>
    </xf>
  </cellXfs>
  <cellStyles count="4">
    <cellStyle name="Comma" xfId="1" builtinId="3"/>
    <cellStyle name="Normal" xfId="0" builtinId="0"/>
    <cellStyle name="Normal 2" xfId="2" xr:uid="{80FEC79C-86D3-4548-8496-B0B08BA28BEB}"/>
    <cellStyle name="Percent 2" xfId="3" xr:uid="{D89015C2-0418-4237-8121-C91A7F18131B}"/>
  </cellStyles>
  <dxfs count="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A5F42-6F5B-451E-B57D-A9E5070DBEFA}">
  <dimension ref="B2:D208"/>
  <sheetViews>
    <sheetView workbookViewId="0">
      <pane xSplit="3" ySplit="7" topLeftCell="D8" activePane="bottomRight" state="frozen"/>
      <selection pane="topRight" activeCell="D1" sqref="D1"/>
      <selection pane="bottomLeft" activeCell="A8" sqref="A8"/>
      <selection pane="bottomRight" activeCell="G7" sqref="G7"/>
    </sheetView>
  </sheetViews>
  <sheetFormatPr defaultRowHeight="14.25" x14ac:dyDescent="0.45"/>
  <cols>
    <col min="4" max="4" width="17.73046875" customWidth="1"/>
  </cols>
  <sheetData>
    <row r="2" spans="2:4" ht="21" x14ac:dyDescent="0.65">
      <c r="B2" s="56" t="s">
        <v>25</v>
      </c>
    </row>
    <row r="3" spans="2:4" x14ac:dyDescent="0.45">
      <c r="B3" t="s">
        <v>26</v>
      </c>
    </row>
    <row r="4" spans="2:4" x14ac:dyDescent="0.45">
      <c r="B4" t="s">
        <v>27</v>
      </c>
    </row>
    <row r="6" spans="2:4" ht="14.65" thickBot="1" x14ac:dyDescent="0.5"/>
    <row r="7" spans="2:4" ht="14.65" thickBot="1" x14ac:dyDescent="0.5">
      <c r="B7" s="21" t="s">
        <v>19</v>
      </c>
      <c r="C7" s="23" t="s">
        <v>20</v>
      </c>
      <c r="D7" s="23" t="s">
        <v>22</v>
      </c>
    </row>
    <row r="8" spans="2:4" x14ac:dyDescent="0.45">
      <c r="B8" s="4">
        <v>0</v>
      </c>
      <c r="C8" s="5">
        <v>40</v>
      </c>
      <c r="D8" s="26">
        <v>7.5148935733712792E-4</v>
      </c>
    </row>
    <row r="9" spans="2:4" x14ac:dyDescent="0.45">
      <c r="B9" s="4">
        <v>0.1</v>
      </c>
      <c r="C9" s="5">
        <v>40.1</v>
      </c>
      <c r="D9" s="26">
        <v>7.5826119740875339E-4</v>
      </c>
    </row>
    <row r="10" spans="2:4" x14ac:dyDescent="0.45">
      <c r="B10" s="4">
        <v>0.2</v>
      </c>
      <c r="C10" s="5">
        <v>40.200000000000003</v>
      </c>
      <c r="D10" s="26">
        <v>7.6503303748037886E-4</v>
      </c>
    </row>
    <row r="11" spans="2:4" x14ac:dyDescent="0.45">
      <c r="B11" s="4">
        <v>0.3</v>
      </c>
      <c r="C11" s="5">
        <v>40.299999999999997</v>
      </c>
      <c r="D11" s="26">
        <v>7.718048775520039E-4</v>
      </c>
    </row>
    <row r="12" spans="2:4" x14ac:dyDescent="0.45">
      <c r="B12" s="4">
        <v>0.4</v>
      </c>
      <c r="C12" s="5">
        <v>40.4</v>
      </c>
      <c r="D12" s="26">
        <v>7.7857671762362926E-4</v>
      </c>
    </row>
    <row r="13" spans="2:4" x14ac:dyDescent="0.45">
      <c r="B13" s="4">
        <v>0.5</v>
      </c>
      <c r="C13" s="5">
        <v>40.5</v>
      </c>
      <c r="D13" s="26">
        <v>7.8534855769525473E-4</v>
      </c>
    </row>
    <row r="14" spans="2:4" x14ac:dyDescent="0.45">
      <c r="B14" s="4">
        <v>0.6</v>
      </c>
      <c r="C14" s="5">
        <v>40.6</v>
      </c>
      <c r="D14" s="26">
        <v>7.921203977668802E-4</v>
      </c>
    </row>
    <row r="15" spans="2:4" x14ac:dyDescent="0.45">
      <c r="B15" s="4">
        <v>0.7</v>
      </c>
      <c r="C15" s="5">
        <v>40.700000000000003</v>
      </c>
      <c r="D15" s="26">
        <v>7.9889223783850567E-4</v>
      </c>
    </row>
    <row r="16" spans="2:4" x14ac:dyDescent="0.45">
      <c r="B16" s="4">
        <v>0.8</v>
      </c>
      <c r="C16" s="5">
        <v>40.799999999999997</v>
      </c>
      <c r="D16" s="26">
        <v>8.0566407791013059E-4</v>
      </c>
    </row>
    <row r="17" spans="2:4" x14ac:dyDescent="0.45">
      <c r="B17" s="4">
        <v>0.9</v>
      </c>
      <c r="C17" s="5">
        <v>40.9</v>
      </c>
      <c r="D17" s="26">
        <v>8.1243591798175606E-4</v>
      </c>
    </row>
    <row r="18" spans="2:4" x14ac:dyDescent="0.45">
      <c r="B18" s="4">
        <v>1</v>
      </c>
      <c r="C18" s="5">
        <v>41</v>
      </c>
      <c r="D18" s="26">
        <v>8.1920775805338153E-4</v>
      </c>
    </row>
    <row r="19" spans="2:4" x14ac:dyDescent="0.45">
      <c r="B19" s="4">
        <v>1.1000000000000001</v>
      </c>
      <c r="C19" s="5">
        <v>41.1</v>
      </c>
      <c r="D19" s="26">
        <v>8.2675518028229461E-4</v>
      </c>
    </row>
    <row r="20" spans="2:4" x14ac:dyDescent="0.45">
      <c r="B20" s="4">
        <v>1.2</v>
      </c>
      <c r="C20" s="5">
        <v>41.2</v>
      </c>
      <c r="D20" s="26">
        <v>8.3430260251120779E-4</v>
      </c>
    </row>
    <row r="21" spans="2:4" x14ac:dyDescent="0.45">
      <c r="B21" s="4">
        <v>1.3</v>
      </c>
      <c r="C21" s="5">
        <v>41.3</v>
      </c>
      <c r="D21" s="26">
        <v>8.4185002474012032E-4</v>
      </c>
    </row>
    <row r="22" spans="2:4" x14ac:dyDescent="0.45">
      <c r="B22" s="4">
        <v>1.4</v>
      </c>
      <c r="C22" s="5">
        <v>41.4</v>
      </c>
      <c r="D22" s="26">
        <v>8.4939744696903351E-4</v>
      </c>
    </row>
    <row r="23" spans="2:4" x14ac:dyDescent="0.45">
      <c r="B23" s="4">
        <v>1.5</v>
      </c>
      <c r="C23" s="5">
        <v>41.5</v>
      </c>
      <c r="D23" s="26">
        <v>8.5694486919794658E-4</v>
      </c>
    </row>
    <row r="24" spans="2:4" x14ac:dyDescent="0.45">
      <c r="B24" s="4">
        <v>1.6</v>
      </c>
      <c r="C24" s="5">
        <v>41.6</v>
      </c>
      <c r="D24" s="26">
        <v>8.6449229142685966E-4</v>
      </c>
    </row>
    <row r="25" spans="2:4" x14ac:dyDescent="0.45">
      <c r="B25" s="4">
        <v>1.7</v>
      </c>
      <c r="C25" s="5">
        <v>41.7</v>
      </c>
      <c r="D25" s="26">
        <v>8.7203971365577262E-4</v>
      </c>
    </row>
    <row r="26" spans="2:4" x14ac:dyDescent="0.45">
      <c r="B26" s="4">
        <v>1.8</v>
      </c>
      <c r="C26" s="5">
        <v>41.8</v>
      </c>
      <c r="D26" s="26">
        <v>8.7958713588468527E-4</v>
      </c>
    </row>
    <row r="27" spans="2:4" x14ac:dyDescent="0.45">
      <c r="B27" s="4">
        <v>1.9</v>
      </c>
      <c r="C27" s="5">
        <v>41.9</v>
      </c>
      <c r="D27" s="26">
        <v>8.8713455811359834E-4</v>
      </c>
    </row>
    <row r="28" spans="2:4" x14ac:dyDescent="0.45">
      <c r="B28" s="4">
        <v>2</v>
      </c>
      <c r="C28" s="5">
        <v>42</v>
      </c>
      <c r="D28" s="26">
        <v>8.9468198034251142E-4</v>
      </c>
    </row>
    <row r="29" spans="2:4" x14ac:dyDescent="0.45">
      <c r="B29" s="4">
        <v>2.1</v>
      </c>
      <c r="C29" s="5">
        <v>42.1</v>
      </c>
      <c r="D29" s="26">
        <v>9.0298544916636602E-4</v>
      </c>
    </row>
    <row r="30" spans="2:4" x14ac:dyDescent="0.45">
      <c r="B30" s="4">
        <v>2.2000000000000002</v>
      </c>
      <c r="C30" s="5">
        <v>42.2</v>
      </c>
      <c r="D30" s="26">
        <v>9.1128891799022041E-4</v>
      </c>
    </row>
    <row r="31" spans="2:4" x14ac:dyDescent="0.45">
      <c r="B31" s="4">
        <v>2.2999999999999998</v>
      </c>
      <c r="C31" s="5">
        <v>42.3</v>
      </c>
      <c r="D31" s="26">
        <v>9.1959238681407426E-4</v>
      </c>
    </row>
    <row r="32" spans="2:4" x14ac:dyDescent="0.45">
      <c r="B32" s="4">
        <v>2.4</v>
      </c>
      <c r="C32" s="5">
        <v>42.4</v>
      </c>
      <c r="D32" s="26">
        <v>9.2789585563792887E-4</v>
      </c>
    </row>
    <row r="33" spans="2:4" x14ac:dyDescent="0.45">
      <c r="B33" s="4">
        <v>2.5</v>
      </c>
      <c r="C33" s="5">
        <v>42.5</v>
      </c>
      <c r="D33" s="26">
        <v>9.3619932446178348E-4</v>
      </c>
    </row>
    <row r="34" spans="2:4" x14ac:dyDescent="0.45">
      <c r="B34" s="4">
        <v>2.6</v>
      </c>
      <c r="C34" s="5">
        <v>42.6</v>
      </c>
      <c r="D34" s="26">
        <v>9.4450279328563787E-4</v>
      </c>
    </row>
    <row r="35" spans="2:4" x14ac:dyDescent="0.45">
      <c r="B35" s="4">
        <v>2.7</v>
      </c>
      <c r="C35" s="5">
        <v>42.7</v>
      </c>
      <c r="D35" s="26">
        <v>9.5280626210949247E-4</v>
      </c>
    </row>
    <row r="36" spans="2:4" x14ac:dyDescent="0.45">
      <c r="B36" s="4">
        <v>2.8</v>
      </c>
      <c r="C36" s="5">
        <v>42.8</v>
      </c>
      <c r="D36" s="26">
        <v>9.6110973093334643E-4</v>
      </c>
    </row>
    <row r="37" spans="2:4" x14ac:dyDescent="0.45">
      <c r="B37" s="4">
        <v>2.9</v>
      </c>
      <c r="C37" s="5">
        <v>42.9</v>
      </c>
      <c r="D37" s="26">
        <v>9.6941319975720082E-4</v>
      </c>
    </row>
    <row r="38" spans="2:4" x14ac:dyDescent="0.45">
      <c r="B38" s="4">
        <v>3</v>
      </c>
      <c r="C38" s="5">
        <v>43</v>
      </c>
      <c r="D38" s="26">
        <v>9.7771666858105554E-4</v>
      </c>
    </row>
    <row r="39" spans="2:4" x14ac:dyDescent="0.45">
      <c r="B39" s="4">
        <v>3.1</v>
      </c>
      <c r="C39" s="5">
        <v>43.1</v>
      </c>
      <c r="D39" s="26">
        <v>9.8663509360149334E-4</v>
      </c>
    </row>
    <row r="40" spans="2:4" x14ac:dyDescent="0.45">
      <c r="B40" s="4">
        <v>3.2</v>
      </c>
      <c r="C40" s="5">
        <v>43.2</v>
      </c>
      <c r="D40" s="26">
        <v>9.9555351862193136E-4</v>
      </c>
    </row>
    <row r="41" spans="2:4" x14ac:dyDescent="0.45">
      <c r="B41" s="4">
        <v>3.3</v>
      </c>
      <c r="C41" s="5">
        <v>43.3</v>
      </c>
      <c r="D41" s="26">
        <v>1.0044719436423687E-3</v>
      </c>
    </row>
    <row r="42" spans="2:4" x14ac:dyDescent="0.45">
      <c r="B42" s="4">
        <v>3.4</v>
      </c>
      <c r="C42" s="5">
        <v>43.4</v>
      </c>
      <c r="D42" s="26">
        <v>1.0133903686628065E-3</v>
      </c>
    </row>
    <row r="43" spans="2:4" x14ac:dyDescent="0.45">
      <c r="B43" s="4">
        <v>3.5</v>
      </c>
      <c r="C43" s="5">
        <v>43.5</v>
      </c>
      <c r="D43" s="26">
        <v>1.0223087936832445E-3</v>
      </c>
    </row>
    <row r="44" spans="2:4" x14ac:dyDescent="0.45">
      <c r="B44" s="4">
        <v>3.6</v>
      </c>
      <c r="C44" s="5">
        <v>43.6</v>
      </c>
      <c r="D44" s="26">
        <v>1.0312272187036823E-3</v>
      </c>
    </row>
    <row r="45" spans="2:4" x14ac:dyDescent="0.45">
      <c r="B45" s="4">
        <v>3.7</v>
      </c>
      <c r="C45" s="5">
        <v>43.7</v>
      </c>
      <c r="D45" s="26">
        <v>1.0401456437241204E-3</v>
      </c>
    </row>
    <row r="46" spans="2:4" x14ac:dyDescent="0.45">
      <c r="B46" s="4">
        <v>3.8</v>
      </c>
      <c r="C46" s="5">
        <v>43.8</v>
      </c>
      <c r="D46" s="26">
        <v>1.0490640687445577E-3</v>
      </c>
    </row>
    <row r="47" spans="2:4" x14ac:dyDescent="0.45">
      <c r="B47" s="4">
        <v>3.9</v>
      </c>
      <c r="C47" s="5">
        <v>43.9</v>
      </c>
      <c r="D47" s="26">
        <v>1.0579824937649958E-3</v>
      </c>
    </row>
    <row r="48" spans="2:4" x14ac:dyDescent="0.45">
      <c r="B48" s="4">
        <v>4</v>
      </c>
      <c r="C48" s="5">
        <v>44</v>
      </c>
      <c r="D48" s="26">
        <v>1.0669009187854338E-3</v>
      </c>
    </row>
    <row r="49" spans="2:4" x14ac:dyDescent="0.45">
      <c r="B49" s="4">
        <v>4.0999999999999996</v>
      </c>
      <c r="C49" s="5">
        <v>44.1</v>
      </c>
      <c r="D49" s="26">
        <v>1.0767110614067282E-3</v>
      </c>
    </row>
    <row r="50" spans="2:4" x14ac:dyDescent="0.45">
      <c r="B50" s="4">
        <v>4.2</v>
      </c>
      <c r="C50" s="5">
        <v>44.2</v>
      </c>
      <c r="D50" s="26">
        <v>1.086521204028023E-3</v>
      </c>
    </row>
    <row r="51" spans="2:4" x14ac:dyDescent="0.45">
      <c r="B51" s="4">
        <v>4.3</v>
      </c>
      <c r="C51" s="5">
        <v>44.3</v>
      </c>
      <c r="D51" s="26">
        <v>1.0963313466493168E-3</v>
      </c>
    </row>
    <row r="52" spans="2:4" x14ac:dyDescent="0.45">
      <c r="B52" s="4">
        <v>4.4000000000000004</v>
      </c>
      <c r="C52" s="5">
        <v>44.4</v>
      </c>
      <c r="D52" s="26">
        <v>1.1061414892706112E-3</v>
      </c>
    </row>
    <row r="53" spans="2:4" x14ac:dyDescent="0.45">
      <c r="B53" s="4">
        <v>4.5</v>
      </c>
      <c r="C53" s="5">
        <v>44.5</v>
      </c>
      <c r="D53" s="26">
        <v>1.1159516318919056E-3</v>
      </c>
    </row>
    <row r="54" spans="2:4" x14ac:dyDescent="0.45">
      <c r="B54" s="4">
        <v>4.5999999999999996</v>
      </c>
      <c r="C54" s="5">
        <v>44.6</v>
      </c>
      <c r="D54" s="26">
        <v>1.1257617745132004E-3</v>
      </c>
    </row>
    <row r="55" spans="2:4" x14ac:dyDescent="0.45">
      <c r="B55" s="4">
        <v>4.7</v>
      </c>
      <c r="C55" s="5">
        <v>44.7</v>
      </c>
      <c r="D55" s="26">
        <v>1.1355719171344948E-3</v>
      </c>
    </row>
    <row r="56" spans="2:4" x14ac:dyDescent="0.45">
      <c r="B56" s="4">
        <v>4.8</v>
      </c>
      <c r="C56" s="5">
        <v>44.8</v>
      </c>
      <c r="D56" s="26">
        <v>1.145382059755789E-3</v>
      </c>
    </row>
    <row r="57" spans="2:4" x14ac:dyDescent="0.45">
      <c r="B57" s="4">
        <v>4.9000000000000004</v>
      </c>
      <c r="C57" s="5">
        <v>44.9</v>
      </c>
      <c r="D57" s="26">
        <v>1.1551922023770834E-3</v>
      </c>
    </row>
    <row r="58" spans="2:4" x14ac:dyDescent="0.45">
      <c r="B58" s="4">
        <v>5</v>
      </c>
      <c r="C58" s="5">
        <v>45</v>
      </c>
      <c r="D58" s="26">
        <v>1.1650023449983778E-3</v>
      </c>
    </row>
    <row r="59" spans="2:4" x14ac:dyDescent="0.45">
      <c r="B59" s="4">
        <v>5.0999999999999996</v>
      </c>
      <c r="C59" s="5">
        <v>45.1</v>
      </c>
      <c r="D59" s="26">
        <v>1.1754282141396377E-3</v>
      </c>
    </row>
    <row r="60" spans="2:4" x14ac:dyDescent="0.45">
      <c r="B60" s="4">
        <v>5.2</v>
      </c>
      <c r="C60" s="5">
        <v>45.2</v>
      </c>
      <c r="D60" s="26">
        <v>1.1858540832808977E-3</v>
      </c>
    </row>
    <row r="61" spans="2:4" x14ac:dyDescent="0.45">
      <c r="B61" s="4">
        <v>5.3</v>
      </c>
      <c r="C61" s="5">
        <v>45.3</v>
      </c>
      <c r="D61" s="26">
        <v>1.1962799524221569E-3</v>
      </c>
    </row>
    <row r="62" spans="2:4" x14ac:dyDescent="0.45">
      <c r="B62" s="4">
        <v>5.4</v>
      </c>
      <c r="C62" s="5">
        <v>45.4</v>
      </c>
      <c r="D62" s="26">
        <v>1.2067058215634169E-3</v>
      </c>
    </row>
    <row r="63" spans="2:4" x14ac:dyDescent="0.45">
      <c r="B63" s="4">
        <v>5.5</v>
      </c>
      <c r="C63" s="5">
        <v>45.5</v>
      </c>
      <c r="D63" s="26">
        <v>1.217131690704677E-3</v>
      </c>
    </row>
    <row r="64" spans="2:4" x14ac:dyDescent="0.45">
      <c r="B64" s="4">
        <v>5.6</v>
      </c>
      <c r="C64" s="5">
        <v>45.6</v>
      </c>
      <c r="D64" s="26">
        <v>1.2275575598459368E-3</v>
      </c>
    </row>
    <row r="65" spans="2:4" x14ac:dyDescent="0.45">
      <c r="B65" s="4">
        <v>5.7</v>
      </c>
      <c r="C65" s="5">
        <v>45.7</v>
      </c>
      <c r="D65" s="26">
        <v>1.2379834289871967E-3</v>
      </c>
    </row>
    <row r="66" spans="2:4" x14ac:dyDescent="0.45">
      <c r="B66" s="4">
        <v>5.8</v>
      </c>
      <c r="C66" s="5">
        <v>45.8</v>
      </c>
      <c r="D66" s="26">
        <v>1.248409298128456E-3</v>
      </c>
    </row>
    <row r="67" spans="2:4" x14ac:dyDescent="0.45">
      <c r="B67" s="4">
        <v>5.9</v>
      </c>
      <c r="C67" s="5">
        <v>45.9</v>
      </c>
      <c r="D67" s="26">
        <v>1.2588351672697161E-3</v>
      </c>
    </row>
    <row r="68" spans="2:4" x14ac:dyDescent="0.45">
      <c r="B68" s="4">
        <v>6</v>
      </c>
      <c r="C68" s="5">
        <v>46</v>
      </c>
      <c r="D68" s="26">
        <v>1.2692610364109758E-3</v>
      </c>
    </row>
    <row r="69" spans="2:4" x14ac:dyDescent="0.45">
      <c r="B69" s="4">
        <v>6.1</v>
      </c>
      <c r="C69" s="5">
        <v>46.1</v>
      </c>
      <c r="D69" s="26">
        <v>1.2803398249900952E-3</v>
      </c>
    </row>
    <row r="70" spans="2:4" x14ac:dyDescent="0.45">
      <c r="B70" s="4">
        <v>6.2</v>
      </c>
      <c r="C70" s="5">
        <v>46.2</v>
      </c>
      <c r="D70" s="26">
        <v>1.2914186135692147E-3</v>
      </c>
    </row>
    <row r="71" spans="2:4" x14ac:dyDescent="0.45">
      <c r="B71" s="4">
        <v>6.3</v>
      </c>
      <c r="C71" s="5">
        <v>46.3</v>
      </c>
      <c r="D71" s="26">
        <v>1.3024974021483328E-3</v>
      </c>
    </row>
    <row r="72" spans="2:4" x14ac:dyDescent="0.45">
      <c r="B72" s="4">
        <v>6.4</v>
      </c>
      <c r="C72" s="5">
        <v>46.4</v>
      </c>
      <c r="D72" s="26">
        <v>1.3135761907274524E-3</v>
      </c>
    </row>
    <row r="73" spans="2:4" x14ac:dyDescent="0.45">
      <c r="B73" s="4">
        <v>6.5</v>
      </c>
      <c r="C73" s="5">
        <v>46.5</v>
      </c>
      <c r="D73" s="26">
        <v>1.3246549793065716E-3</v>
      </c>
    </row>
    <row r="74" spans="2:4" x14ac:dyDescent="0.45">
      <c r="B74" s="4">
        <v>6.6</v>
      </c>
      <c r="C74" s="5">
        <v>46.6</v>
      </c>
      <c r="D74" s="26">
        <v>1.335733767885691E-3</v>
      </c>
    </row>
    <row r="75" spans="2:4" x14ac:dyDescent="0.45">
      <c r="B75" s="4">
        <v>6.7</v>
      </c>
      <c r="C75" s="5">
        <v>46.7</v>
      </c>
      <c r="D75" s="26">
        <v>1.3468125564648102E-3</v>
      </c>
    </row>
    <row r="76" spans="2:4" x14ac:dyDescent="0.45">
      <c r="B76" s="4">
        <v>6.8</v>
      </c>
      <c r="C76" s="5">
        <v>46.8</v>
      </c>
      <c r="D76" s="26">
        <v>1.3578913450439289E-3</v>
      </c>
    </row>
    <row r="77" spans="2:4" x14ac:dyDescent="0.45">
      <c r="B77" s="4">
        <v>6.9</v>
      </c>
      <c r="C77" s="5">
        <v>46.9</v>
      </c>
      <c r="D77" s="26">
        <v>1.3689701336230479E-3</v>
      </c>
    </row>
    <row r="78" spans="2:4" x14ac:dyDescent="0.45">
      <c r="B78" s="4">
        <v>7</v>
      </c>
      <c r="C78" s="5">
        <v>47</v>
      </c>
      <c r="D78" s="26">
        <v>1.3800489222021673E-3</v>
      </c>
    </row>
    <row r="79" spans="2:4" x14ac:dyDescent="0.45">
      <c r="B79" s="4">
        <v>7.1</v>
      </c>
      <c r="C79" s="5">
        <v>47.1</v>
      </c>
      <c r="D79" s="26">
        <v>1.3918118411802574E-3</v>
      </c>
    </row>
    <row r="80" spans="2:4" x14ac:dyDescent="0.45">
      <c r="B80" s="4">
        <v>7.2</v>
      </c>
      <c r="C80" s="5">
        <v>47.2</v>
      </c>
      <c r="D80" s="26">
        <v>1.4035747601583472E-3</v>
      </c>
    </row>
    <row r="81" spans="2:4" x14ac:dyDescent="0.45">
      <c r="B81" s="4">
        <v>7.3</v>
      </c>
      <c r="C81" s="5">
        <v>47.3</v>
      </c>
      <c r="D81" s="26">
        <v>1.4153376791364361E-3</v>
      </c>
    </row>
    <row r="82" spans="2:4" x14ac:dyDescent="0.45">
      <c r="B82" s="4">
        <v>7.4</v>
      </c>
      <c r="C82" s="5">
        <v>47.4</v>
      </c>
      <c r="D82" s="26">
        <v>1.4271005981145259E-3</v>
      </c>
    </row>
    <row r="83" spans="2:4" x14ac:dyDescent="0.45">
      <c r="B83" s="4">
        <v>7.5</v>
      </c>
      <c r="C83" s="5">
        <v>47.5</v>
      </c>
      <c r="D83" s="26">
        <v>1.4388635170926155E-3</v>
      </c>
    </row>
    <row r="84" spans="2:4" x14ac:dyDescent="0.45">
      <c r="B84" s="4">
        <v>7.6</v>
      </c>
      <c r="C84" s="5">
        <v>47.6</v>
      </c>
      <c r="D84" s="26">
        <v>1.4506264360707058E-3</v>
      </c>
    </row>
    <row r="85" spans="2:4" x14ac:dyDescent="0.45">
      <c r="B85" s="4">
        <v>7.7</v>
      </c>
      <c r="C85" s="5">
        <v>47.7</v>
      </c>
      <c r="D85" s="26">
        <v>1.4623893550487954E-3</v>
      </c>
    </row>
    <row r="86" spans="2:4" x14ac:dyDescent="0.45">
      <c r="B86" s="4">
        <v>7.8</v>
      </c>
      <c r="C86" s="5">
        <v>47.8</v>
      </c>
      <c r="D86" s="26">
        <v>1.4741522740268844E-3</v>
      </c>
    </row>
    <row r="87" spans="2:4" x14ac:dyDescent="0.45">
      <c r="B87" s="4">
        <v>7.9</v>
      </c>
      <c r="C87" s="5">
        <v>47.9</v>
      </c>
      <c r="D87" s="26">
        <v>1.4859151930049742E-3</v>
      </c>
    </row>
    <row r="88" spans="2:4" x14ac:dyDescent="0.45">
      <c r="B88" s="4">
        <v>8</v>
      </c>
      <c r="C88" s="5">
        <v>48</v>
      </c>
      <c r="D88" s="26">
        <v>1.497678111983064E-3</v>
      </c>
    </row>
    <row r="89" spans="2:4" x14ac:dyDescent="0.45">
      <c r="B89" s="4">
        <v>8.1</v>
      </c>
      <c r="C89" s="5">
        <v>48.1</v>
      </c>
      <c r="D89" s="26">
        <v>1.5101511340786329E-3</v>
      </c>
    </row>
    <row r="90" spans="2:4" x14ac:dyDescent="0.45">
      <c r="B90" s="4">
        <v>8.1999999999999993</v>
      </c>
      <c r="C90" s="5">
        <v>48.2</v>
      </c>
      <c r="D90" s="26">
        <v>1.522624156174202E-3</v>
      </c>
    </row>
    <row r="91" spans="2:4" x14ac:dyDescent="0.45">
      <c r="B91" s="4">
        <v>8.3000000000000007</v>
      </c>
      <c r="C91" s="5">
        <v>48.3</v>
      </c>
      <c r="D91" s="26">
        <v>1.5350971782697703E-3</v>
      </c>
    </row>
    <row r="92" spans="2:4" x14ac:dyDescent="0.45">
      <c r="B92" s="4">
        <v>8.4</v>
      </c>
      <c r="C92" s="5">
        <v>48.4</v>
      </c>
      <c r="D92" s="26">
        <v>1.5475702003653394E-3</v>
      </c>
    </row>
    <row r="93" spans="2:4" x14ac:dyDescent="0.45">
      <c r="B93" s="4">
        <v>8.5</v>
      </c>
      <c r="C93" s="5">
        <v>48.5</v>
      </c>
      <c r="D93" s="26">
        <v>1.5600432224609085E-3</v>
      </c>
    </row>
    <row r="94" spans="2:4" x14ac:dyDescent="0.45">
      <c r="B94" s="4">
        <v>8.6</v>
      </c>
      <c r="C94" s="5">
        <v>48.6</v>
      </c>
      <c r="D94" s="26">
        <v>1.5725162445564774E-3</v>
      </c>
    </row>
    <row r="95" spans="2:4" x14ac:dyDescent="0.45">
      <c r="B95" s="4">
        <v>8.6999999999999993</v>
      </c>
      <c r="C95" s="5">
        <v>48.7</v>
      </c>
      <c r="D95" s="26">
        <v>1.5849892666520466E-3</v>
      </c>
    </row>
    <row r="96" spans="2:4" x14ac:dyDescent="0.45">
      <c r="B96" s="4">
        <v>8.8000000000000007</v>
      </c>
      <c r="C96" s="5">
        <v>48.8</v>
      </c>
      <c r="D96" s="26">
        <v>1.5974622887476146E-3</v>
      </c>
    </row>
    <row r="97" spans="2:4" x14ac:dyDescent="0.45">
      <c r="B97" s="4">
        <v>8.9</v>
      </c>
      <c r="C97" s="5">
        <v>48.9</v>
      </c>
      <c r="D97" s="26">
        <v>1.6099353108431837E-3</v>
      </c>
    </row>
    <row r="98" spans="2:4" x14ac:dyDescent="0.45">
      <c r="B98" s="4">
        <v>9</v>
      </c>
      <c r="C98" s="5">
        <v>49</v>
      </c>
      <c r="D98" s="26">
        <v>1.6224083329387526E-3</v>
      </c>
    </row>
    <row r="99" spans="2:4" x14ac:dyDescent="0.45">
      <c r="B99" s="4">
        <v>9.1</v>
      </c>
      <c r="C99" s="5">
        <v>49.1</v>
      </c>
      <c r="D99" s="26">
        <v>1.6352868916114454E-3</v>
      </c>
    </row>
    <row r="100" spans="2:4" x14ac:dyDescent="0.45">
      <c r="B100" s="4">
        <v>9.1999999999999993</v>
      </c>
      <c r="C100" s="5">
        <v>49.2</v>
      </c>
      <c r="D100" s="26">
        <v>1.6481654502841379E-3</v>
      </c>
    </row>
    <row r="101" spans="2:4" x14ac:dyDescent="0.45">
      <c r="B101" s="4">
        <v>9.3000000000000007</v>
      </c>
      <c r="C101" s="5">
        <v>49.3</v>
      </c>
      <c r="D101" s="26">
        <v>1.6610440089568298E-3</v>
      </c>
    </row>
    <row r="102" spans="2:4" x14ac:dyDescent="0.45">
      <c r="B102" s="4">
        <v>9.4</v>
      </c>
      <c r="C102" s="5">
        <v>49.4</v>
      </c>
      <c r="D102" s="26">
        <v>1.6739225676295226E-3</v>
      </c>
    </row>
    <row r="103" spans="2:4" x14ac:dyDescent="0.45">
      <c r="B103" s="4">
        <v>9.5</v>
      </c>
      <c r="C103" s="5">
        <v>49.5</v>
      </c>
      <c r="D103" s="26">
        <v>1.6868011263022151E-3</v>
      </c>
    </row>
    <row r="104" spans="2:4" x14ac:dyDescent="0.45">
      <c r="B104" s="4">
        <v>9.6</v>
      </c>
      <c r="C104" s="5">
        <v>49.6</v>
      </c>
      <c r="D104" s="26">
        <v>1.6996796849749077E-3</v>
      </c>
    </row>
    <row r="105" spans="2:4" x14ac:dyDescent="0.45">
      <c r="B105" s="4">
        <v>9.6999999999999993</v>
      </c>
      <c r="C105" s="5">
        <v>49.7</v>
      </c>
      <c r="D105" s="26">
        <v>1.7125582436476005E-3</v>
      </c>
    </row>
    <row r="106" spans="2:4" x14ac:dyDescent="0.45">
      <c r="B106" s="4">
        <v>9.8000000000000007</v>
      </c>
      <c r="C106" s="5">
        <v>49.8</v>
      </c>
      <c r="D106" s="26">
        <v>1.7254368023202923E-3</v>
      </c>
    </row>
    <row r="107" spans="2:4" x14ac:dyDescent="0.45">
      <c r="B107" s="4">
        <v>9.9</v>
      </c>
      <c r="C107" s="5">
        <v>49.9</v>
      </c>
      <c r="D107" s="26">
        <v>1.7383153609929847E-3</v>
      </c>
    </row>
    <row r="108" spans="2:4" x14ac:dyDescent="0.45">
      <c r="B108" s="4">
        <v>10</v>
      </c>
      <c r="C108" s="5">
        <v>50</v>
      </c>
      <c r="D108" s="26">
        <v>1.7511939196656774E-3</v>
      </c>
    </row>
    <row r="109" spans="2:4" x14ac:dyDescent="0.45">
      <c r="B109" s="4">
        <v>10.1</v>
      </c>
      <c r="C109" s="5">
        <v>50.1</v>
      </c>
      <c r="D109" s="26">
        <v>1.7648479016978483E-3</v>
      </c>
    </row>
    <row r="110" spans="2:4" x14ac:dyDescent="0.45">
      <c r="B110" s="4">
        <v>10.199999999999999</v>
      </c>
      <c r="C110" s="5">
        <v>50.2</v>
      </c>
      <c r="D110" s="26">
        <v>1.7785018837300189E-3</v>
      </c>
    </row>
    <row r="111" spans="2:4" x14ac:dyDescent="0.45">
      <c r="B111" s="4">
        <v>10.3</v>
      </c>
      <c r="C111" s="5">
        <v>50.3</v>
      </c>
      <c r="D111" s="26">
        <v>1.7921558657621889E-3</v>
      </c>
    </row>
    <row r="112" spans="2:4" x14ac:dyDescent="0.45">
      <c r="B112" s="4">
        <v>10.4</v>
      </c>
      <c r="C112" s="5">
        <v>50.4</v>
      </c>
      <c r="D112" s="26">
        <v>1.8058098477943595E-3</v>
      </c>
    </row>
    <row r="113" spans="2:4" x14ac:dyDescent="0.45">
      <c r="B113" s="4">
        <v>10.5</v>
      </c>
      <c r="C113" s="5">
        <v>50.5</v>
      </c>
      <c r="D113" s="26">
        <v>1.8194638298265301E-3</v>
      </c>
    </row>
    <row r="114" spans="2:4" x14ac:dyDescent="0.45">
      <c r="B114" s="4">
        <v>10.6</v>
      </c>
      <c r="C114" s="5">
        <v>50.6</v>
      </c>
      <c r="D114" s="26">
        <v>1.8331178118587009E-3</v>
      </c>
    </row>
    <row r="115" spans="2:4" x14ac:dyDescent="0.45">
      <c r="B115" s="4">
        <v>10.7</v>
      </c>
      <c r="C115" s="5">
        <v>50.7</v>
      </c>
      <c r="D115" s="26">
        <v>1.8467717938908715E-3</v>
      </c>
    </row>
    <row r="116" spans="2:4" x14ac:dyDescent="0.45">
      <c r="B116" s="4">
        <v>10.8</v>
      </c>
      <c r="C116" s="5">
        <v>50.8</v>
      </c>
      <c r="D116" s="26">
        <v>1.8604257759230413E-3</v>
      </c>
    </row>
    <row r="117" spans="2:4" x14ac:dyDescent="0.45">
      <c r="B117" s="4">
        <v>10.9</v>
      </c>
      <c r="C117" s="5">
        <v>50.9</v>
      </c>
      <c r="D117" s="26">
        <v>1.8740797579552119E-3</v>
      </c>
    </row>
    <row r="118" spans="2:4" x14ac:dyDescent="0.45">
      <c r="B118" s="4">
        <v>11</v>
      </c>
      <c r="C118" s="5">
        <v>51</v>
      </c>
      <c r="D118" s="26">
        <v>1.8877337399873827E-3</v>
      </c>
    </row>
    <row r="119" spans="2:4" x14ac:dyDescent="0.45">
      <c r="B119" s="4">
        <v>11.1</v>
      </c>
      <c r="C119" s="5">
        <v>51.1</v>
      </c>
      <c r="D119" s="26">
        <v>1.9018574734192091E-3</v>
      </c>
    </row>
    <row r="120" spans="2:4" x14ac:dyDescent="0.45">
      <c r="B120" s="4">
        <v>11.2</v>
      </c>
      <c r="C120" s="5">
        <v>51.2</v>
      </c>
      <c r="D120" s="26">
        <v>1.9159812068510352E-3</v>
      </c>
    </row>
    <row r="121" spans="2:4" x14ac:dyDescent="0.45">
      <c r="B121" s="4">
        <v>11.3</v>
      </c>
      <c r="C121" s="5">
        <v>51.3</v>
      </c>
      <c r="D121" s="26">
        <v>1.9301049402828602E-3</v>
      </c>
    </row>
    <row r="122" spans="2:4" x14ac:dyDescent="0.45">
      <c r="B122" s="4">
        <v>11.4</v>
      </c>
      <c r="C122" s="5">
        <v>51.4</v>
      </c>
      <c r="D122" s="26">
        <v>1.9442286737146866E-3</v>
      </c>
    </row>
    <row r="123" spans="2:4" x14ac:dyDescent="0.45">
      <c r="B123" s="4">
        <v>11.5</v>
      </c>
      <c r="C123" s="5">
        <v>51.5</v>
      </c>
      <c r="D123" s="26">
        <v>1.9583524071465127E-3</v>
      </c>
    </row>
    <row r="124" spans="2:4" x14ac:dyDescent="0.45">
      <c r="B124" s="4">
        <v>11.6</v>
      </c>
      <c r="C124" s="5">
        <v>51.6</v>
      </c>
      <c r="D124" s="26">
        <v>1.9724761405783384E-3</v>
      </c>
    </row>
    <row r="125" spans="2:4" x14ac:dyDescent="0.45">
      <c r="B125" s="4">
        <v>11.7</v>
      </c>
      <c r="C125" s="5">
        <v>51.7</v>
      </c>
      <c r="D125" s="26">
        <v>1.9865998740101649E-3</v>
      </c>
    </row>
    <row r="126" spans="2:4" x14ac:dyDescent="0.45">
      <c r="B126" s="4">
        <v>11.8</v>
      </c>
      <c r="C126" s="5">
        <v>51.8</v>
      </c>
      <c r="D126" s="26">
        <v>2.0007236074419902E-3</v>
      </c>
    </row>
    <row r="127" spans="2:4" x14ac:dyDescent="0.45">
      <c r="B127" s="4">
        <v>11.9</v>
      </c>
      <c r="C127" s="5">
        <v>51.9</v>
      </c>
      <c r="D127" s="26">
        <v>2.0148473408738163E-3</v>
      </c>
    </row>
    <row r="128" spans="2:4" x14ac:dyDescent="0.45">
      <c r="B128" s="4">
        <v>12</v>
      </c>
      <c r="C128" s="5">
        <v>52</v>
      </c>
      <c r="D128" s="26">
        <v>2.0289710743056424E-3</v>
      </c>
    </row>
    <row r="129" spans="2:4" x14ac:dyDescent="0.45">
      <c r="B129" s="4">
        <v>12.1</v>
      </c>
      <c r="C129" s="5">
        <v>52.1</v>
      </c>
      <c r="D129" s="26">
        <v>2.0436562682577429E-3</v>
      </c>
    </row>
    <row r="130" spans="2:4" x14ac:dyDescent="0.45">
      <c r="B130" s="4">
        <v>12.2</v>
      </c>
      <c r="C130" s="5">
        <v>52.2</v>
      </c>
      <c r="D130" s="26">
        <v>2.0583414622098424E-3</v>
      </c>
    </row>
    <row r="131" spans="2:4" x14ac:dyDescent="0.45">
      <c r="B131" s="4">
        <v>12.3</v>
      </c>
      <c r="C131" s="5">
        <v>52.3</v>
      </c>
      <c r="D131" s="26">
        <v>2.0730266561619416E-3</v>
      </c>
    </row>
    <row r="132" spans="2:4" x14ac:dyDescent="0.45">
      <c r="B132" s="4">
        <v>12.4</v>
      </c>
      <c r="C132" s="5">
        <v>52.4</v>
      </c>
      <c r="D132" s="26">
        <v>2.087711850114042E-3</v>
      </c>
    </row>
    <row r="133" spans="2:4" x14ac:dyDescent="0.45">
      <c r="B133" s="4">
        <v>12.5</v>
      </c>
      <c r="C133" s="5">
        <v>52.5</v>
      </c>
      <c r="D133" s="26">
        <v>2.102397044066142E-3</v>
      </c>
    </row>
    <row r="134" spans="2:4" x14ac:dyDescent="0.45">
      <c r="B134" s="4">
        <v>12.6</v>
      </c>
      <c r="C134" s="5">
        <v>52.6</v>
      </c>
      <c r="D134" s="26">
        <v>2.117082238018242E-3</v>
      </c>
    </row>
    <row r="135" spans="2:4" x14ac:dyDescent="0.45">
      <c r="B135" s="4">
        <v>12.7</v>
      </c>
      <c r="C135" s="5">
        <v>52.7</v>
      </c>
      <c r="D135" s="26">
        <v>2.131767431970342E-3</v>
      </c>
    </row>
    <row r="136" spans="2:4" x14ac:dyDescent="0.45">
      <c r="B136" s="4">
        <v>12.8</v>
      </c>
      <c r="C136" s="5">
        <v>52.8</v>
      </c>
      <c r="D136" s="26">
        <v>2.1464526259224411E-3</v>
      </c>
    </row>
    <row r="137" spans="2:4" x14ac:dyDescent="0.45">
      <c r="B137" s="4">
        <v>12.9</v>
      </c>
      <c r="C137" s="5">
        <v>52.9</v>
      </c>
      <c r="D137" s="26">
        <v>2.1611378198745416E-3</v>
      </c>
    </row>
    <row r="138" spans="2:4" x14ac:dyDescent="0.45">
      <c r="B138" s="4">
        <v>13</v>
      </c>
      <c r="C138" s="5">
        <v>53</v>
      </c>
      <c r="D138" s="26">
        <v>2.1758230138266416E-3</v>
      </c>
    </row>
    <row r="139" spans="2:4" x14ac:dyDescent="0.45">
      <c r="B139" s="4">
        <v>13.1</v>
      </c>
      <c r="C139" s="5">
        <v>53.1</v>
      </c>
      <c r="D139" s="26">
        <v>2.1909951016125676E-3</v>
      </c>
    </row>
    <row r="140" spans="2:4" x14ac:dyDescent="0.45">
      <c r="B140" s="4">
        <v>13.2</v>
      </c>
      <c r="C140" s="5">
        <v>53.2</v>
      </c>
      <c r="D140" s="26">
        <v>2.206167189398494E-3</v>
      </c>
    </row>
    <row r="141" spans="2:4" x14ac:dyDescent="0.45">
      <c r="B141" s="4">
        <v>13.3</v>
      </c>
      <c r="C141" s="5">
        <v>53.3</v>
      </c>
      <c r="D141" s="26">
        <v>2.2213392771844188E-3</v>
      </c>
    </row>
    <row r="142" spans="2:4" x14ac:dyDescent="0.45">
      <c r="B142" s="4">
        <v>13.4</v>
      </c>
      <c r="C142" s="5">
        <v>53.4</v>
      </c>
      <c r="D142" s="26">
        <v>2.2365113649703448E-3</v>
      </c>
    </row>
    <row r="143" spans="2:4" x14ac:dyDescent="0.45">
      <c r="B143" s="4">
        <v>13.5</v>
      </c>
      <c r="C143" s="5">
        <v>53.5</v>
      </c>
      <c r="D143" s="26">
        <v>2.2516834527562708E-3</v>
      </c>
    </row>
    <row r="144" spans="2:4" x14ac:dyDescent="0.45">
      <c r="B144" s="4">
        <v>13.6</v>
      </c>
      <c r="C144" s="5">
        <v>53.6</v>
      </c>
      <c r="D144" s="26">
        <v>2.2668555405421969E-3</v>
      </c>
    </row>
    <row r="145" spans="2:4" x14ac:dyDescent="0.45">
      <c r="B145" s="4">
        <v>13.7</v>
      </c>
      <c r="C145" s="5">
        <v>53.7</v>
      </c>
      <c r="D145" s="26">
        <v>2.2820276283281229E-3</v>
      </c>
    </row>
    <row r="146" spans="2:4" x14ac:dyDescent="0.45">
      <c r="B146" s="4">
        <v>13.8</v>
      </c>
      <c r="C146" s="5">
        <v>53.8</v>
      </c>
      <c r="D146" s="26">
        <v>2.297199716114048E-3</v>
      </c>
    </row>
    <row r="147" spans="2:4" x14ac:dyDescent="0.45">
      <c r="B147" s="4">
        <v>13.9</v>
      </c>
      <c r="C147" s="5">
        <v>53.9</v>
      </c>
      <c r="D147" s="26">
        <v>2.3123718038999741E-3</v>
      </c>
    </row>
    <row r="148" spans="2:4" x14ac:dyDescent="0.45">
      <c r="B148" s="4">
        <v>14</v>
      </c>
      <c r="C148" s="5">
        <v>54</v>
      </c>
      <c r="D148" s="26">
        <v>2.3275438916859001E-3</v>
      </c>
    </row>
    <row r="149" spans="2:4" x14ac:dyDescent="0.45">
      <c r="B149" s="4">
        <v>14.1</v>
      </c>
      <c r="C149" s="5">
        <v>54.1</v>
      </c>
      <c r="D149" s="26">
        <v>2.3436094665558981E-3</v>
      </c>
    </row>
    <row r="150" spans="2:4" x14ac:dyDescent="0.45">
      <c r="B150" s="4">
        <v>14.2</v>
      </c>
      <c r="C150" s="5">
        <v>54.2</v>
      </c>
      <c r="D150" s="26">
        <v>2.359675041425896E-3</v>
      </c>
    </row>
    <row r="151" spans="2:4" x14ac:dyDescent="0.45">
      <c r="B151" s="4">
        <v>14.3</v>
      </c>
      <c r="C151" s="5">
        <v>54.3</v>
      </c>
      <c r="D151" s="26">
        <v>2.3757406162958931E-3</v>
      </c>
    </row>
    <row r="152" spans="2:4" x14ac:dyDescent="0.45">
      <c r="B152" s="4">
        <v>14.4</v>
      </c>
      <c r="C152" s="5">
        <v>54.4</v>
      </c>
      <c r="D152" s="26">
        <v>2.3918061911658915E-3</v>
      </c>
    </row>
    <row r="153" spans="2:4" x14ac:dyDescent="0.45">
      <c r="B153" s="4">
        <v>14.5</v>
      </c>
      <c r="C153" s="5">
        <v>54.5</v>
      </c>
      <c r="D153" s="26">
        <v>2.4078717660358895E-3</v>
      </c>
    </row>
    <row r="154" spans="2:4" x14ac:dyDescent="0.45">
      <c r="B154" s="4">
        <v>14.6</v>
      </c>
      <c r="C154" s="5">
        <v>54.6</v>
      </c>
      <c r="D154" s="26">
        <v>2.4239373409058874E-3</v>
      </c>
    </row>
    <row r="155" spans="2:4" x14ac:dyDescent="0.45">
      <c r="B155" s="4">
        <v>14.7</v>
      </c>
      <c r="C155" s="5">
        <v>54.7</v>
      </c>
      <c r="D155" s="26">
        <v>2.4400029157758854E-3</v>
      </c>
    </row>
    <row r="156" spans="2:4" x14ac:dyDescent="0.45">
      <c r="B156" s="4">
        <v>14.8</v>
      </c>
      <c r="C156" s="5">
        <v>54.8</v>
      </c>
      <c r="D156" s="26">
        <v>2.456068490645882E-3</v>
      </c>
    </row>
    <row r="157" spans="2:4" x14ac:dyDescent="0.45">
      <c r="B157" s="4">
        <v>14.9</v>
      </c>
      <c r="C157" s="5">
        <v>54.9</v>
      </c>
      <c r="D157" s="26">
        <v>2.47213406551588E-3</v>
      </c>
    </row>
    <row r="158" spans="2:4" x14ac:dyDescent="0.45">
      <c r="B158" s="4">
        <v>15</v>
      </c>
      <c r="C158" s="5">
        <v>55</v>
      </c>
      <c r="D158" s="26">
        <v>2.4881996403858784E-3</v>
      </c>
    </row>
    <row r="159" spans="2:4" x14ac:dyDescent="0.45">
      <c r="B159" s="4">
        <v>15.1</v>
      </c>
      <c r="C159" s="5">
        <v>55.1</v>
      </c>
      <c r="D159" s="26">
        <v>2.5049811062805944E-3</v>
      </c>
    </row>
    <row r="160" spans="2:4" x14ac:dyDescent="0.45">
      <c r="B160" s="4">
        <v>15.2</v>
      </c>
      <c r="C160" s="5">
        <v>55.2</v>
      </c>
      <c r="D160" s="26">
        <v>2.5217625721753105E-3</v>
      </c>
    </row>
    <row r="161" spans="2:4" x14ac:dyDescent="0.45">
      <c r="B161" s="4">
        <v>15.3</v>
      </c>
      <c r="C161" s="5">
        <v>55.3</v>
      </c>
      <c r="D161" s="26">
        <v>2.5385440380700256E-3</v>
      </c>
    </row>
    <row r="162" spans="2:4" x14ac:dyDescent="0.45">
      <c r="B162" s="4">
        <v>15.4</v>
      </c>
      <c r="C162" s="5">
        <v>55.4</v>
      </c>
      <c r="D162" s="26">
        <v>2.5553255039647413E-3</v>
      </c>
    </row>
    <row r="163" spans="2:4" x14ac:dyDescent="0.45">
      <c r="B163" s="4">
        <v>15.5</v>
      </c>
      <c r="C163" s="5">
        <v>55.5</v>
      </c>
      <c r="D163" s="26">
        <v>2.5721069698594582E-3</v>
      </c>
    </row>
    <row r="164" spans="2:4" x14ac:dyDescent="0.45">
      <c r="B164" s="4">
        <v>15.6</v>
      </c>
      <c r="C164" s="5">
        <v>55.6</v>
      </c>
      <c r="D164" s="26">
        <v>2.5888884357541738E-3</v>
      </c>
    </row>
    <row r="165" spans="2:4" x14ac:dyDescent="0.45">
      <c r="B165" s="4">
        <v>15.7</v>
      </c>
      <c r="C165" s="5">
        <v>55.7</v>
      </c>
      <c r="D165" s="26">
        <v>2.6056699016488902E-3</v>
      </c>
    </row>
    <row r="166" spans="2:4" x14ac:dyDescent="0.45">
      <c r="B166" s="4">
        <v>15.8</v>
      </c>
      <c r="C166" s="5">
        <v>55.8</v>
      </c>
      <c r="D166" s="26">
        <v>2.622451367543605E-3</v>
      </c>
    </row>
    <row r="167" spans="2:4" x14ac:dyDescent="0.45">
      <c r="B167" s="4">
        <v>15.9</v>
      </c>
      <c r="C167" s="5">
        <v>55.9</v>
      </c>
      <c r="D167" s="26">
        <v>2.639232833438321E-3</v>
      </c>
    </row>
    <row r="168" spans="2:4" x14ac:dyDescent="0.45">
      <c r="B168" s="4">
        <v>16</v>
      </c>
      <c r="C168" s="5">
        <v>56</v>
      </c>
      <c r="D168" s="26">
        <v>2.6560142993330375E-3</v>
      </c>
    </row>
    <row r="169" spans="2:4" x14ac:dyDescent="0.45">
      <c r="B169" s="4">
        <v>16.100000000000001</v>
      </c>
      <c r="C169" s="5">
        <v>56.1</v>
      </c>
      <c r="D169" s="26">
        <v>2.6740134225885161E-3</v>
      </c>
    </row>
    <row r="170" spans="2:4" x14ac:dyDescent="0.45">
      <c r="B170" s="4">
        <v>16.2</v>
      </c>
      <c r="C170" s="5">
        <v>56.2</v>
      </c>
      <c r="D170" s="26">
        <v>2.6920125458439951E-3</v>
      </c>
    </row>
    <row r="171" spans="2:4" x14ac:dyDescent="0.45">
      <c r="B171" s="4">
        <v>16.3</v>
      </c>
      <c r="C171" s="5">
        <v>56.3</v>
      </c>
      <c r="D171" s="26">
        <v>2.7100116690994729E-3</v>
      </c>
    </row>
    <row r="172" spans="2:4" x14ac:dyDescent="0.45">
      <c r="B172" s="4">
        <v>16.399999999999999</v>
      </c>
      <c r="C172" s="5">
        <v>56.4</v>
      </c>
      <c r="D172" s="26">
        <v>2.7280107923549515E-3</v>
      </c>
    </row>
    <row r="173" spans="2:4" x14ac:dyDescent="0.45">
      <c r="B173" s="4">
        <v>16.5</v>
      </c>
      <c r="C173" s="5">
        <v>56.5</v>
      </c>
      <c r="D173" s="26">
        <v>2.7460099156104306E-3</v>
      </c>
    </row>
    <row r="174" spans="2:4" x14ac:dyDescent="0.45">
      <c r="B174" s="4">
        <v>16.600000000000001</v>
      </c>
      <c r="C174" s="5">
        <v>56.6</v>
      </c>
      <c r="D174" s="26">
        <v>2.7640090388659096E-3</v>
      </c>
    </row>
    <row r="175" spans="2:4" x14ac:dyDescent="0.45">
      <c r="B175" s="4">
        <v>16.7</v>
      </c>
      <c r="C175" s="5">
        <v>56.7</v>
      </c>
      <c r="D175" s="26">
        <v>2.7820081621213887E-3</v>
      </c>
    </row>
    <row r="176" spans="2:4" x14ac:dyDescent="0.45">
      <c r="B176" s="4">
        <v>16.8</v>
      </c>
      <c r="C176" s="5">
        <v>56.8</v>
      </c>
      <c r="D176" s="26">
        <v>2.800007285376866E-3</v>
      </c>
    </row>
    <row r="177" spans="2:4" x14ac:dyDescent="0.45">
      <c r="B177" s="4">
        <v>16.899999999999999</v>
      </c>
      <c r="C177" s="5">
        <v>56.9</v>
      </c>
      <c r="D177" s="26">
        <v>2.818006408632345E-3</v>
      </c>
    </row>
    <row r="178" spans="2:4" x14ac:dyDescent="0.45">
      <c r="B178" s="4">
        <v>17</v>
      </c>
      <c r="C178" s="5">
        <v>57</v>
      </c>
      <c r="D178" s="26">
        <v>2.8360055318878237E-3</v>
      </c>
    </row>
    <row r="179" spans="2:4" x14ac:dyDescent="0.45">
      <c r="B179" s="4">
        <v>17.100000000000001</v>
      </c>
      <c r="C179" s="5">
        <v>57.1</v>
      </c>
      <c r="D179" s="26">
        <v>2.8553365205618679E-3</v>
      </c>
    </row>
    <row r="180" spans="2:4" x14ac:dyDescent="0.45">
      <c r="B180" s="4">
        <v>17.2</v>
      </c>
      <c r="C180" s="5">
        <v>57.2</v>
      </c>
      <c r="D180" s="26">
        <v>2.8746675092359126E-3</v>
      </c>
    </row>
    <row r="181" spans="2:4" x14ac:dyDescent="0.45">
      <c r="B181" s="4">
        <v>17.3</v>
      </c>
      <c r="C181" s="5">
        <v>57.3</v>
      </c>
      <c r="D181" s="26">
        <v>2.8939984979099559E-3</v>
      </c>
    </row>
    <row r="182" spans="2:4" x14ac:dyDescent="0.45">
      <c r="B182" s="4">
        <v>17.399999999999999</v>
      </c>
      <c r="C182" s="5">
        <v>57.4</v>
      </c>
      <c r="D182" s="26">
        <v>2.9133294865840002E-3</v>
      </c>
    </row>
    <row r="183" spans="2:4" x14ac:dyDescent="0.45">
      <c r="B183" s="4">
        <v>17.5</v>
      </c>
      <c r="C183" s="5">
        <v>57.5</v>
      </c>
      <c r="D183" s="26">
        <v>2.9326604752580449E-3</v>
      </c>
    </row>
    <row r="184" spans="2:4" x14ac:dyDescent="0.45">
      <c r="B184" s="4">
        <v>17.600000000000001</v>
      </c>
      <c r="C184" s="5">
        <v>57.6</v>
      </c>
      <c r="D184" s="26">
        <v>2.9519914639320895E-3</v>
      </c>
    </row>
    <row r="185" spans="2:4" x14ac:dyDescent="0.45">
      <c r="B185" s="4">
        <v>17.7</v>
      </c>
      <c r="C185" s="5">
        <v>57.7</v>
      </c>
      <c r="D185" s="26">
        <v>2.9713224526061333E-3</v>
      </c>
    </row>
    <row r="186" spans="2:4" x14ac:dyDescent="0.45">
      <c r="B186" s="4">
        <v>17.8</v>
      </c>
      <c r="C186" s="5">
        <v>57.8</v>
      </c>
      <c r="D186" s="26">
        <v>2.9906534412801767E-3</v>
      </c>
    </row>
    <row r="187" spans="2:4" x14ac:dyDescent="0.45">
      <c r="B187" s="4">
        <v>17.899999999999999</v>
      </c>
      <c r="C187" s="5">
        <v>57.9</v>
      </c>
      <c r="D187" s="26">
        <v>3.0099844299542209E-3</v>
      </c>
    </row>
    <row r="188" spans="2:4" x14ac:dyDescent="0.45">
      <c r="B188" s="4">
        <v>18</v>
      </c>
      <c r="C188" s="5">
        <v>58</v>
      </c>
      <c r="D188" s="26">
        <v>3.0293154186282656E-3</v>
      </c>
    </row>
    <row r="189" spans="2:4" x14ac:dyDescent="0.45">
      <c r="B189" s="4">
        <v>18.100000000000001</v>
      </c>
      <c r="C189" s="5">
        <v>58.1</v>
      </c>
      <c r="D189" s="26">
        <v>3.0503158356137358E-3</v>
      </c>
    </row>
    <row r="190" spans="2:4" x14ac:dyDescent="0.45">
      <c r="B190" s="4">
        <v>18.2</v>
      </c>
      <c r="C190" s="5">
        <v>58.2</v>
      </c>
      <c r="D190" s="26">
        <v>3.0713162525992069E-3</v>
      </c>
    </row>
    <row r="191" spans="2:4" x14ac:dyDescent="0.45">
      <c r="B191" s="4">
        <v>18.3</v>
      </c>
      <c r="C191" s="5">
        <v>58.3</v>
      </c>
      <c r="D191" s="26">
        <v>3.0923166695846749E-3</v>
      </c>
    </row>
    <row r="192" spans="2:4" x14ac:dyDescent="0.45">
      <c r="B192" s="4">
        <v>18.399999999999999</v>
      </c>
      <c r="C192" s="5">
        <v>58.4</v>
      </c>
      <c r="D192" s="26">
        <v>3.113317086570146E-3</v>
      </c>
    </row>
    <row r="193" spans="2:4" x14ac:dyDescent="0.45">
      <c r="B193" s="4">
        <v>18.5</v>
      </c>
      <c r="C193" s="5">
        <v>58.5</v>
      </c>
      <c r="D193" s="26">
        <v>3.1343175035556162E-3</v>
      </c>
    </row>
    <row r="194" spans="2:4" x14ac:dyDescent="0.45">
      <c r="B194" s="4">
        <v>18.600000000000001</v>
      </c>
      <c r="C194" s="5">
        <v>58.6</v>
      </c>
      <c r="D194" s="26">
        <v>3.1553179205410864E-3</v>
      </c>
    </row>
    <row r="195" spans="2:4" x14ac:dyDescent="0.45">
      <c r="B195" s="4">
        <v>18.7</v>
      </c>
      <c r="C195" s="5">
        <v>58.7</v>
      </c>
      <c r="D195" s="26">
        <v>3.1763183375265571E-3</v>
      </c>
    </row>
    <row r="196" spans="2:4" x14ac:dyDescent="0.45">
      <c r="B196" s="4">
        <v>18.8</v>
      </c>
      <c r="C196" s="5">
        <v>58.8</v>
      </c>
      <c r="D196" s="26">
        <v>3.197318754512026E-3</v>
      </c>
    </row>
    <row r="197" spans="2:4" x14ac:dyDescent="0.45">
      <c r="B197" s="4">
        <v>18.899999999999999</v>
      </c>
      <c r="C197" s="5">
        <v>58.9</v>
      </c>
      <c r="D197" s="26">
        <v>3.2183191714974958E-3</v>
      </c>
    </row>
    <row r="198" spans="2:4" x14ac:dyDescent="0.45">
      <c r="B198" s="4">
        <v>19</v>
      </c>
      <c r="C198" s="5">
        <v>59</v>
      </c>
      <c r="D198" s="26">
        <v>3.2393195884829668E-3</v>
      </c>
    </row>
    <row r="199" spans="2:4" x14ac:dyDescent="0.45">
      <c r="B199" s="4">
        <v>19.100000000000001</v>
      </c>
      <c r="C199" s="5">
        <v>59.1</v>
      </c>
      <c r="D199" s="26">
        <v>3.2623081584564678E-3</v>
      </c>
    </row>
    <row r="200" spans="2:4" x14ac:dyDescent="0.45">
      <c r="B200" s="4">
        <v>19.2</v>
      </c>
      <c r="C200" s="5">
        <v>59.2</v>
      </c>
      <c r="D200" s="26">
        <v>3.2852967284299696E-3</v>
      </c>
    </row>
    <row r="201" spans="2:4" x14ac:dyDescent="0.45">
      <c r="B201" s="4">
        <v>19.3</v>
      </c>
      <c r="C201" s="5">
        <v>59.3</v>
      </c>
      <c r="D201" s="26">
        <v>3.3082852984034697E-3</v>
      </c>
    </row>
    <row r="202" spans="2:4" x14ac:dyDescent="0.45">
      <c r="B202" s="4">
        <v>19.399999999999999</v>
      </c>
      <c r="C202" s="5">
        <v>59.4</v>
      </c>
      <c r="D202" s="26">
        <v>3.3312738683769702E-3</v>
      </c>
    </row>
    <row r="203" spans="2:4" x14ac:dyDescent="0.45">
      <c r="B203" s="4">
        <v>19.5</v>
      </c>
      <c r="C203" s="5">
        <v>59.5</v>
      </c>
      <c r="D203" s="26">
        <v>3.354262438350472E-3</v>
      </c>
    </row>
    <row r="204" spans="2:4" x14ac:dyDescent="0.45">
      <c r="B204" s="4">
        <v>19.600000000000001</v>
      </c>
      <c r="C204" s="5">
        <v>59.6</v>
      </c>
      <c r="D204" s="26">
        <v>3.3772510083239738E-3</v>
      </c>
    </row>
    <row r="205" spans="2:4" x14ac:dyDescent="0.45">
      <c r="B205" s="4">
        <v>19.7</v>
      </c>
      <c r="C205" s="5">
        <v>59.7</v>
      </c>
      <c r="D205" s="26">
        <v>3.4002395782974752E-3</v>
      </c>
    </row>
    <row r="206" spans="2:4" x14ac:dyDescent="0.45">
      <c r="B206" s="4">
        <v>19.8</v>
      </c>
      <c r="C206" s="5">
        <v>59.8</v>
      </c>
      <c r="D206" s="26">
        <v>3.4232281482709744E-3</v>
      </c>
    </row>
    <row r="207" spans="2:4" x14ac:dyDescent="0.45">
      <c r="B207" s="4">
        <v>19.899999999999999</v>
      </c>
      <c r="C207" s="5">
        <v>59.9</v>
      </c>
      <c r="D207" s="26">
        <v>3.4462167182444763E-3</v>
      </c>
    </row>
    <row r="208" spans="2:4" ht="14.65" thickBot="1" x14ac:dyDescent="0.5">
      <c r="B208" s="9">
        <v>20</v>
      </c>
      <c r="C208" s="11">
        <v>60</v>
      </c>
      <c r="D208" s="27">
        <v>3.4692052882179772E-3</v>
      </c>
    </row>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BA5E7-9853-45E7-8166-69E4E5829F61}">
  <dimension ref="A2:AI227"/>
  <sheetViews>
    <sheetView topLeftCell="A7" zoomScaleNormal="100" workbookViewId="0">
      <selection activeCell="AD23" sqref="AD23"/>
    </sheetView>
  </sheetViews>
  <sheetFormatPr defaultRowHeight="14.25" x14ac:dyDescent="0.45"/>
  <cols>
    <col min="1" max="1" width="12.9296875" customWidth="1"/>
    <col min="4" max="4" width="13.59765625" customWidth="1"/>
    <col min="5" max="5" width="17.33203125" customWidth="1"/>
    <col min="7" max="7" width="31.46484375" customWidth="1"/>
    <col min="8" max="8" width="15.86328125" customWidth="1"/>
    <col min="9" max="9" width="12.9296875" customWidth="1"/>
    <col min="10" max="11" width="13.796875" customWidth="1"/>
    <col min="13" max="13" width="14.9296875" customWidth="1"/>
    <col min="15" max="15" width="12.33203125" bestFit="1" customWidth="1"/>
    <col min="16" max="16" width="11.73046875" bestFit="1" customWidth="1"/>
    <col min="17" max="17" width="8.6640625" bestFit="1" customWidth="1"/>
    <col min="19" max="19" width="20.265625" customWidth="1"/>
    <col min="20" max="20" width="10.265625" bestFit="1" customWidth="1"/>
    <col min="21" max="21" width="12.33203125" bestFit="1" customWidth="1"/>
    <col min="22" max="22" width="16.796875" customWidth="1"/>
    <col min="23" max="23" width="11.265625" bestFit="1" customWidth="1"/>
    <col min="24" max="24" width="12.46484375" customWidth="1"/>
    <col min="32" max="33" width="11" customWidth="1"/>
    <col min="34" max="34" width="17.6640625" bestFit="1" customWidth="1"/>
    <col min="35" max="35" width="17.265625" customWidth="1"/>
    <col min="36" max="36" width="17.59765625" customWidth="1"/>
  </cols>
  <sheetData>
    <row r="2" spans="1:30" ht="21" x14ac:dyDescent="0.65">
      <c r="A2" s="56" t="s">
        <v>98</v>
      </c>
    </row>
    <row r="3" spans="1:30" ht="14.65" thickBot="1" x14ac:dyDescent="0.5"/>
    <row r="4" spans="1:30" x14ac:dyDescent="0.45">
      <c r="A4" s="1" t="s">
        <v>2</v>
      </c>
      <c r="B4" s="2"/>
      <c r="C4" s="2"/>
      <c r="D4" s="2"/>
      <c r="E4" s="3"/>
    </row>
    <row r="5" spans="1:30" x14ac:dyDescent="0.45">
      <c r="A5" s="31"/>
      <c r="E5" s="5"/>
    </row>
    <row r="6" spans="1:30" x14ac:dyDescent="0.45">
      <c r="A6" s="4"/>
      <c r="D6" t="s">
        <v>7</v>
      </c>
      <c r="E6" s="18">
        <v>180</v>
      </c>
    </row>
    <row r="7" spans="1:30" x14ac:dyDescent="0.45">
      <c r="A7" s="4" t="s">
        <v>17</v>
      </c>
      <c r="B7" s="28">
        <v>7.0000000000000007E-2</v>
      </c>
      <c r="D7" t="s">
        <v>39</v>
      </c>
      <c r="E7" s="127">
        <v>100000</v>
      </c>
    </row>
    <row r="8" spans="1:30" x14ac:dyDescent="0.45">
      <c r="A8" s="4" t="s">
        <v>15</v>
      </c>
      <c r="B8" s="28">
        <v>40</v>
      </c>
      <c r="E8" s="5"/>
    </row>
    <row r="9" spans="1:30" x14ac:dyDescent="0.45">
      <c r="A9" s="4" t="s">
        <v>43</v>
      </c>
      <c r="B9" s="28">
        <v>0.1</v>
      </c>
      <c r="D9" t="s">
        <v>28</v>
      </c>
      <c r="E9" s="18">
        <v>0</v>
      </c>
    </row>
    <row r="10" spans="1:30" x14ac:dyDescent="0.45">
      <c r="A10" s="4"/>
      <c r="D10" t="s">
        <v>40</v>
      </c>
      <c r="E10" s="18">
        <v>20</v>
      </c>
    </row>
    <row r="11" spans="1:30" x14ac:dyDescent="0.45">
      <c r="A11" s="4"/>
      <c r="D11" t="s">
        <v>42</v>
      </c>
      <c r="E11" s="127">
        <v>200000</v>
      </c>
    </row>
    <row r="12" spans="1:30" ht="14.65" thickBot="1" x14ac:dyDescent="0.5">
      <c r="A12" s="9"/>
      <c r="B12" s="10"/>
      <c r="C12" s="10"/>
      <c r="D12" s="10" t="s">
        <v>41</v>
      </c>
      <c r="E12" s="128">
        <v>0</v>
      </c>
    </row>
    <row r="14" spans="1:30" ht="14.65" thickBot="1" x14ac:dyDescent="0.5"/>
    <row r="15" spans="1:30" x14ac:dyDescent="0.45">
      <c r="A15" s="39" t="s">
        <v>57</v>
      </c>
      <c r="B15" s="2"/>
      <c r="C15" s="3"/>
      <c r="G15" s="39" t="s">
        <v>58</v>
      </c>
      <c r="H15" s="2"/>
      <c r="I15" s="3"/>
      <c r="M15" s="39" t="s">
        <v>59</v>
      </c>
      <c r="N15" s="2"/>
      <c r="O15" s="2"/>
      <c r="P15" s="3"/>
      <c r="S15" s="39" t="s">
        <v>60</v>
      </c>
      <c r="T15" s="2"/>
      <c r="U15" s="3"/>
      <c r="AB15" s="39" t="s">
        <v>61</v>
      </c>
      <c r="AC15" s="2"/>
      <c r="AD15" s="3"/>
    </row>
    <row r="16" spans="1:30" x14ac:dyDescent="0.45">
      <c r="A16" s="4"/>
      <c r="C16" s="5"/>
      <c r="G16" s="4"/>
      <c r="I16" s="5"/>
      <c r="M16" s="4"/>
      <c r="P16" s="5"/>
      <c r="S16" s="4"/>
      <c r="U16" s="5"/>
      <c r="AB16" s="4"/>
      <c r="AD16" s="5"/>
    </row>
    <row r="17" spans="1:35" ht="14.65" thickBot="1" x14ac:dyDescent="0.5">
      <c r="A17" s="4"/>
      <c r="C17" s="5"/>
      <c r="G17" s="9" t="s">
        <v>6</v>
      </c>
      <c r="H17" s="43">
        <f>I227</f>
        <v>-251.29305012373734</v>
      </c>
      <c r="I17" s="25">
        <v>1</v>
      </c>
      <c r="M17" s="4" t="s">
        <v>6</v>
      </c>
      <c r="N17" s="44">
        <f>O227</f>
        <v>9.7521990483073751E-13</v>
      </c>
      <c r="O17" s="12">
        <v>2</v>
      </c>
      <c r="P17" s="5"/>
      <c r="S17" s="9" t="s">
        <v>6</v>
      </c>
      <c r="T17" s="43">
        <f>U227</f>
        <v>-281.46002296874195</v>
      </c>
      <c r="U17" s="25">
        <v>1</v>
      </c>
      <c r="AB17" s="4" t="s">
        <v>37</v>
      </c>
      <c r="AD17" s="5"/>
    </row>
    <row r="18" spans="1:35" x14ac:dyDescent="0.45">
      <c r="A18" s="4" t="s">
        <v>44</v>
      </c>
      <c r="B18" s="45">
        <f>D227</f>
        <v>0.96358793422191313</v>
      </c>
      <c r="C18" s="5"/>
      <c r="M18" s="4" t="s">
        <v>32</v>
      </c>
      <c r="N18" s="33">
        <v>156.45117262895684</v>
      </c>
      <c r="O18" s="12">
        <v>1</v>
      </c>
      <c r="P18" s="5"/>
      <c r="AA18" t="s">
        <v>136</v>
      </c>
      <c r="AB18" s="16">
        <f>SUM(AH27:AH227)*StepSizeQ1</f>
        <v>1.6616671007401683E-2</v>
      </c>
      <c r="AC18" s="12">
        <v>1</v>
      </c>
      <c r="AD18" s="5"/>
    </row>
    <row r="19" spans="1:35" ht="14.65" thickBot="1" x14ac:dyDescent="0.5">
      <c r="A19" s="4"/>
      <c r="C19" s="5"/>
      <c r="M19" s="9" t="s">
        <v>33</v>
      </c>
      <c r="N19" s="10"/>
      <c r="O19" s="10"/>
      <c r="P19" s="11"/>
      <c r="AB19" s="4"/>
      <c r="AD19" s="5"/>
    </row>
    <row r="20" spans="1:35" x14ac:dyDescent="0.45">
      <c r="A20" s="4"/>
      <c r="C20" s="5"/>
      <c r="AB20" s="4" t="s">
        <v>38</v>
      </c>
      <c r="AD20" s="5"/>
    </row>
    <row r="21" spans="1:35" x14ac:dyDescent="0.45">
      <c r="A21" s="4"/>
      <c r="C21" s="5"/>
      <c r="AA21" t="s">
        <v>137</v>
      </c>
      <c r="AB21" s="16">
        <f>SUM(AI27:AI227)*StepSizeQ1</f>
        <v>10.654718621880875</v>
      </c>
      <c r="AC21" s="12">
        <v>1</v>
      </c>
      <c r="AD21" s="5"/>
    </row>
    <row r="22" spans="1:35" ht="14.65" thickBot="1" x14ac:dyDescent="0.5">
      <c r="A22" s="9"/>
      <c r="B22" s="40"/>
      <c r="C22" s="11"/>
      <c r="AB22" s="4"/>
      <c r="AD22" s="5"/>
    </row>
    <row r="23" spans="1:35" ht="14.65" thickBot="1" x14ac:dyDescent="0.5">
      <c r="AA23" t="s">
        <v>138</v>
      </c>
      <c r="AB23" s="9" t="s">
        <v>6</v>
      </c>
      <c r="AC23" s="42" cm="1">
        <f t="array" ref="AC23">AB18*SumAssdTA-PremiumTA*AB21</f>
        <v>-256.18225119838917</v>
      </c>
      <c r="AD23" s="41">
        <f>AC23/H17-1</f>
        <v>1.945617307062153E-2</v>
      </c>
      <c r="AE23" s="12">
        <v>1</v>
      </c>
    </row>
    <row r="24" spans="1:35" ht="14.65" thickBot="1" x14ac:dyDescent="0.5">
      <c r="G24" s="21" t="s">
        <v>18</v>
      </c>
      <c r="H24" s="22" t="s">
        <v>47</v>
      </c>
      <c r="I24" s="22"/>
      <c r="J24" s="23"/>
      <c r="M24" s="21" t="s">
        <v>18</v>
      </c>
      <c r="N24" s="22" t="s">
        <v>29</v>
      </c>
      <c r="O24" s="22"/>
      <c r="P24" s="23"/>
      <c r="S24" s="21" t="s">
        <v>18</v>
      </c>
      <c r="T24" s="22" t="s">
        <v>30</v>
      </c>
      <c r="U24" s="22"/>
      <c r="V24" s="23"/>
    </row>
    <row r="25" spans="1:35" ht="14.65" thickBot="1" x14ac:dyDescent="0.5">
      <c r="C25" s="12">
        <v>1</v>
      </c>
      <c r="D25" s="12">
        <v>2</v>
      </c>
      <c r="E25" s="12">
        <v>2</v>
      </c>
      <c r="I25" s="12">
        <v>2</v>
      </c>
      <c r="K25" s="12">
        <v>4</v>
      </c>
      <c r="Q25" s="20"/>
      <c r="W25" s="12">
        <v>2</v>
      </c>
      <c r="X25" s="12">
        <v>2</v>
      </c>
      <c r="AF25" s="12">
        <v>1</v>
      </c>
      <c r="AG25" s="12">
        <v>1</v>
      </c>
      <c r="AH25" s="12">
        <v>2</v>
      </c>
      <c r="AI25" s="12">
        <v>2</v>
      </c>
    </row>
    <row r="26" spans="1:35" s="37" customFormat="1" ht="29.65" customHeight="1" thickBot="1" x14ac:dyDescent="0.5">
      <c r="A26" s="34"/>
      <c r="B26" s="35" t="s">
        <v>20</v>
      </c>
      <c r="C26" s="36" t="s">
        <v>22</v>
      </c>
      <c r="D26" s="36" t="s">
        <v>21</v>
      </c>
      <c r="E26" s="35" t="s">
        <v>23</v>
      </c>
      <c r="G26" s="34" t="s">
        <v>19</v>
      </c>
      <c r="H26" s="35" t="s">
        <v>20</v>
      </c>
      <c r="I26" s="36" t="s">
        <v>8</v>
      </c>
      <c r="J26" s="36" t="s">
        <v>22</v>
      </c>
      <c r="K26" s="38" t="s">
        <v>24</v>
      </c>
      <c r="M26" s="34" t="s">
        <v>19</v>
      </c>
      <c r="N26" s="35" t="s">
        <v>20</v>
      </c>
      <c r="O26" s="36" t="s">
        <v>8</v>
      </c>
      <c r="P26" s="36" t="s">
        <v>22</v>
      </c>
      <c r="Q26" s="38" t="s">
        <v>24</v>
      </c>
      <c r="S26" s="34" t="s">
        <v>19</v>
      </c>
      <c r="T26" s="35" t="s">
        <v>20</v>
      </c>
      <c r="U26" s="36" t="s">
        <v>8</v>
      </c>
      <c r="V26" s="36" t="s">
        <v>22</v>
      </c>
      <c r="W26" s="36" t="s">
        <v>31</v>
      </c>
      <c r="X26" s="38" t="s">
        <v>24</v>
      </c>
      <c r="Y26" s="46" t="s">
        <v>46</v>
      </c>
      <c r="Z26" s="46" t="s">
        <v>46</v>
      </c>
      <c r="AB26" s="34" t="s">
        <v>19</v>
      </c>
      <c r="AC26" s="35" t="s">
        <v>20</v>
      </c>
      <c r="AD26" s="34" t="s">
        <v>22</v>
      </c>
      <c r="AE26" s="36" t="s">
        <v>21</v>
      </c>
      <c r="AF26" s="34" t="s">
        <v>34</v>
      </c>
      <c r="AG26" s="36" t="s">
        <v>107</v>
      </c>
      <c r="AH26" s="36" t="s">
        <v>35</v>
      </c>
      <c r="AI26" s="35" t="s">
        <v>36</v>
      </c>
    </row>
    <row r="27" spans="1:35" x14ac:dyDescent="0.45">
      <c r="A27" s="4">
        <v>0</v>
      </c>
      <c r="B27" s="5">
        <f t="shared" ref="B27:B90" si="0">$B$8+A27</f>
        <v>40</v>
      </c>
      <c r="C27" s="14">
        <f>_xlfn.XLOOKUP($B27,'Q1 Base'!$C$8:$C$208,'Q1 Base'!$D$8:$D$208,,0,)</f>
        <v>7.5148935733712792E-4</v>
      </c>
      <c r="D27" s="24">
        <v>1</v>
      </c>
      <c r="E27" s="5">
        <f t="shared" ref="E27:E90" si="1">-D27*C27</f>
        <v>-7.5148935733712792E-4</v>
      </c>
      <c r="G27" s="4">
        <v>20</v>
      </c>
      <c r="H27" s="5">
        <f t="shared" ref="H27:H90" si="2">$B$8+G27</f>
        <v>60</v>
      </c>
      <c r="I27" s="24">
        <v>0</v>
      </c>
      <c r="J27" s="14">
        <f>_xlfn.XLOOKUP($H27,'Q1 Base'!$C$8:$C$208,'Q1 Base'!$D$8:$D$208,,0,)</f>
        <v>3.4692052882179772E-3</v>
      </c>
      <c r="K27" s="29" cm="1">
        <f t="array" ref="K27">I27*$B$7+$E$6-J27*(SumAssdTA-I27)</f>
        <v>-166.92052882179775</v>
      </c>
      <c r="M27" s="4">
        <v>20</v>
      </c>
      <c r="N27" s="5">
        <f t="shared" ref="N27:N90" si="3">$B$8+M27</f>
        <v>60</v>
      </c>
      <c r="O27" s="24">
        <v>0</v>
      </c>
      <c r="P27" s="14">
        <f>_xlfn.XLOOKUP($N27,'Q1 Base'!$C$8:$C$208,'Q1 Base'!$D$8:$D$208,,0,)</f>
        <v>3.4692052882179772E-3</v>
      </c>
      <c r="Q27" s="29">
        <f t="shared" ref="Q27:Q90" si="4">O27*$B$7+$N$18-P27*(SumAssdTA-O27)</f>
        <v>-190.46935619284091</v>
      </c>
      <c r="S27" s="4">
        <v>20</v>
      </c>
      <c r="T27" s="5">
        <f t="shared" ref="T27:T90" si="5">$B$8+S27</f>
        <v>60</v>
      </c>
      <c r="U27" s="24">
        <v>0</v>
      </c>
      <c r="V27" s="14">
        <f>_xlfn.XLOOKUP($T27,'Q1 Base'!$C$8:$C$208,'Q1 Base'!$D$8:$D$208,,0,)</f>
        <v>3.4692052882179772E-3</v>
      </c>
      <c r="W27" s="32">
        <f t="shared" ref="W27:W90" si="6">StartDecSA+(FinalDecSA-StartDecSA)*(S27/TermOfDecSA)</f>
        <v>0</v>
      </c>
      <c r="X27" s="29">
        <f t="shared" ref="X27:X90" si="7">U27*$B$7+$E$6-V27*(W27-U27)-Expenses</f>
        <v>180</v>
      </c>
      <c r="Y27" s="47"/>
      <c r="Z27" s="51">
        <f>U27-I27</f>
        <v>0</v>
      </c>
      <c r="AB27" s="4">
        <v>0</v>
      </c>
      <c r="AC27" s="5">
        <f t="shared" ref="AC27:AC90" si="8">$B$8+AB27</f>
        <v>40</v>
      </c>
      <c r="AD27" s="13">
        <f>C27</f>
        <v>7.5148935733712792E-4</v>
      </c>
      <c r="AE27" s="14">
        <f>D27</f>
        <v>1</v>
      </c>
      <c r="AF27" s="4">
        <f t="shared" ref="AF27:AF90" si="9">IF(OR(AB27=0,AB27=TermOfDecSA),0.5,1)</f>
        <v>0.5</v>
      </c>
      <c r="AG27">
        <f>EXP(-AB27*$B$7)</f>
        <v>1</v>
      </c>
      <c r="AH27">
        <f t="shared" ref="AH27:AH90" si="10">AD27*AE27*AF27*AG27</f>
        <v>3.7574467866856396E-4</v>
      </c>
      <c r="AI27" s="5">
        <f t="shared" ref="AI27:AI90" si="11">AE27*AF27*AG27</f>
        <v>0.5</v>
      </c>
    </row>
    <row r="28" spans="1:35" x14ac:dyDescent="0.45">
      <c r="A28" s="4">
        <f t="shared" ref="A28:A91" si="12">ROUND(A27+StepSizeQ1,2)</f>
        <v>0.1</v>
      </c>
      <c r="B28" s="5">
        <f t="shared" si="0"/>
        <v>40.1</v>
      </c>
      <c r="C28" s="14">
        <f>_xlfn.XLOOKUP($B28,'Q1 Base'!$C$8:$C$208,'Q1 Base'!$D$8:$D$208,,0,)</f>
        <v>7.5826119740875339E-4</v>
      </c>
      <c r="D28">
        <f t="shared" ref="D28:D59" si="13">D27+StepSizeQ1*E27</f>
        <v>0.99992485106426632</v>
      </c>
      <c r="E28" s="5">
        <f t="shared" si="1"/>
        <v>-7.5820421488675992E-4</v>
      </c>
      <c r="G28" s="4">
        <f t="shared" ref="G28:G91" si="14">ROUND(G27-StepSizeQ1,2)</f>
        <v>19.899999999999999</v>
      </c>
      <c r="H28" s="5">
        <f t="shared" si="2"/>
        <v>59.9</v>
      </c>
      <c r="I28">
        <f t="shared" ref="I28:I91" si="15">I27-StepSizeQ1*K27</f>
        <v>16.692052882179777</v>
      </c>
      <c r="J28" s="14">
        <f>_xlfn.XLOOKUP($H28,'Q1 Base'!$C$8:$C$208,'Q1 Base'!$D$8:$D$208,,0,)</f>
        <v>3.4462167182444763E-3</v>
      </c>
      <c r="K28" s="29" cm="1">
        <f t="array" ref="K28">I28*$B$7+$E$6-J28*(SumAssdTA-I28)</f>
        <v>-163.39570369099064</v>
      </c>
      <c r="M28" s="4">
        <f t="shared" ref="M28:M91" si="16">ROUND(M27-StepSizeQ1,2)</f>
        <v>19.899999999999999</v>
      </c>
      <c r="N28" s="5">
        <f t="shared" si="3"/>
        <v>59.9</v>
      </c>
      <c r="O28">
        <f t="shared" ref="O28:O91" si="17">O27-StepSizeQ1*Q27</f>
        <v>19.046935619284092</v>
      </c>
      <c r="P28" s="14">
        <f>_xlfn.XLOOKUP($N28,'Q1 Base'!$C$8:$C$208,'Q1 Base'!$D$8:$D$208,,0,)</f>
        <v>3.4462167182444763E-3</v>
      </c>
      <c r="Q28" s="29">
        <f t="shared" si="4"/>
        <v>-186.77157383417841</v>
      </c>
      <c r="S28" s="4">
        <f t="shared" ref="S28:S91" si="18">ROUND(S27-StepSizeQ1,2)</f>
        <v>19.899999999999999</v>
      </c>
      <c r="T28" s="5">
        <f t="shared" si="5"/>
        <v>59.9</v>
      </c>
      <c r="U28">
        <f t="shared" ref="U28:U91" si="19">U27-StepSizeQ1*X27</f>
        <v>-18</v>
      </c>
      <c r="V28" s="14">
        <f>_xlfn.XLOOKUP($T28,'Q1 Base'!$C$8:$C$208,'Q1 Base'!$D$8:$D$208,,0,)</f>
        <v>3.4462167182444763E-3</v>
      </c>
      <c r="W28" s="32">
        <f t="shared" si="6"/>
        <v>1000.0000000000291</v>
      </c>
      <c r="X28" s="29">
        <f t="shared" si="7"/>
        <v>175.23175138082703</v>
      </c>
      <c r="Y28" s="48">
        <f>U28/I28-1</f>
        <v>-2.0783574750842404</v>
      </c>
      <c r="Z28" s="51">
        <f t="shared" ref="Z28:Z91" si="20">U28-I28</f>
        <v>-34.69205288217978</v>
      </c>
      <c r="AB28" s="4">
        <f t="shared" ref="AB28:AB91" si="21">ROUND(AB27+StepSizeQ1,2)</f>
        <v>0.1</v>
      </c>
      <c r="AC28" s="5">
        <f t="shared" si="8"/>
        <v>40.1</v>
      </c>
      <c r="AD28" s="13">
        <f t="shared" ref="AD28:AD91" si="22">C28</f>
        <v>7.5826119740875339E-4</v>
      </c>
      <c r="AE28" s="14">
        <f t="shared" ref="AE28:AE91" si="23">D28</f>
        <v>0.99992485106426632</v>
      </c>
      <c r="AF28" s="4">
        <f t="shared" si="9"/>
        <v>1</v>
      </c>
      <c r="AG28">
        <f t="shared" ref="AG28:AG91" si="24">EXP(-AB28*$B$7)</f>
        <v>0.99302444293323511</v>
      </c>
      <c r="AH28">
        <f t="shared" si="10"/>
        <v>7.5291531811755568E-4</v>
      </c>
      <c r="AI28" s="5">
        <f t="shared" si="11"/>
        <v>0.99294981820319117</v>
      </c>
    </row>
    <row r="29" spans="1:35" x14ac:dyDescent="0.45">
      <c r="A29" s="4">
        <f t="shared" si="12"/>
        <v>0.2</v>
      </c>
      <c r="B29" s="5">
        <f t="shared" si="0"/>
        <v>40.200000000000003</v>
      </c>
      <c r="C29" s="14">
        <f>_xlfn.XLOOKUP($B29,'Q1 Base'!$C$8:$C$208,'Q1 Base'!$D$8:$D$208,,0,)</f>
        <v>7.6503303748037886E-4</v>
      </c>
      <c r="D29">
        <f t="shared" si="13"/>
        <v>0.99984903064277764</v>
      </c>
      <c r="E29" s="5">
        <f t="shared" si="1"/>
        <v>-7.6491754093445657E-4</v>
      </c>
      <c r="G29" s="4">
        <f t="shared" si="14"/>
        <v>19.8</v>
      </c>
      <c r="H29" s="5">
        <f t="shared" si="2"/>
        <v>59.8</v>
      </c>
      <c r="I29">
        <f t="shared" si="15"/>
        <v>33.031623251278845</v>
      </c>
      <c r="J29" s="14">
        <f>_xlfn.XLOOKUP($H29,'Q1 Base'!$C$8:$C$208,'Q1 Base'!$D$8:$D$208,,0,)</f>
        <v>3.4232281482709744E-3</v>
      </c>
      <c r="K29" s="29" cm="1">
        <f t="array" ref="K29">I29*$B$7+$E$6-J29*(SumAssdTA-I29)</f>
        <v>-159.89752641701102</v>
      </c>
      <c r="M29" s="4">
        <f t="shared" si="16"/>
        <v>19.8</v>
      </c>
      <c r="N29" s="5">
        <f t="shared" si="3"/>
        <v>59.8</v>
      </c>
      <c r="O29">
        <f t="shared" si="17"/>
        <v>37.724093002701935</v>
      </c>
      <c r="P29" s="14">
        <f>_xlfn.XLOOKUP($N29,'Q1 Base'!$C$8:$C$208,'Q1 Base'!$D$8:$D$208,,0,)</f>
        <v>3.4232281482709744E-3</v>
      </c>
      <c r="Q29" s="29">
        <f t="shared" si="4"/>
        <v>-183.10181751091659</v>
      </c>
      <c r="S29" s="4">
        <f t="shared" si="18"/>
        <v>19.8</v>
      </c>
      <c r="T29" s="5">
        <f t="shared" si="5"/>
        <v>59.8</v>
      </c>
      <c r="U29">
        <f t="shared" si="19"/>
        <v>-35.523175138082706</v>
      </c>
      <c r="V29" s="14">
        <f>_xlfn.XLOOKUP($T29,'Q1 Base'!$C$8:$C$208,'Q1 Base'!$D$8:$D$208,,0,)</f>
        <v>3.4232281482709744E-3</v>
      </c>
      <c r="W29" s="32">
        <f t="shared" si="6"/>
        <v>2000</v>
      </c>
      <c r="X29" s="29">
        <f t="shared" si="7"/>
        <v>170.54531751074362</v>
      </c>
      <c r="Y29" s="48">
        <f t="shared" ref="Y29:Y92" si="25">U29/I29-1</f>
        <v>-2.0754292899216633</v>
      </c>
      <c r="Z29" s="51">
        <f t="shared" si="20"/>
        <v>-68.554798389361551</v>
      </c>
      <c r="AB29" s="4">
        <f t="shared" si="21"/>
        <v>0.2</v>
      </c>
      <c r="AC29" s="5">
        <f t="shared" si="8"/>
        <v>40.200000000000003</v>
      </c>
      <c r="AD29" s="13">
        <f t="shared" si="22"/>
        <v>7.6503303748037886E-4</v>
      </c>
      <c r="AE29" s="14">
        <f t="shared" si="23"/>
        <v>0.99984903064277764</v>
      </c>
      <c r="AF29" s="4">
        <f t="shared" si="9"/>
        <v>1</v>
      </c>
      <c r="AG29">
        <f t="shared" si="24"/>
        <v>0.98609754426286189</v>
      </c>
      <c r="AH29">
        <f t="shared" si="10"/>
        <v>7.5428330867905477E-4</v>
      </c>
      <c r="AI29" s="5">
        <f t="shared" si="11"/>
        <v>0.98594867375044593</v>
      </c>
    </row>
    <row r="30" spans="1:35" x14ac:dyDescent="0.45">
      <c r="A30" s="4">
        <f t="shared" si="12"/>
        <v>0.3</v>
      </c>
      <c r="B30" s="5">
        <f t="shared" si="0"/>
        <v>40.299999999999997</v>
      </c>
      <c r="C30" s="14">
        <f>_xlfn.XLOOKUP($B30,'Q1 Base'!$C$8:$C$208,'Q1 Base'!$D$8:$D$208,,0,)</f>
        <v>7.718048775520039E-4</v>
      </c>
      <c r="D30">
        <f t="shared" si="13"/>
        <v>0.99977253888868423</v>
      </c>
      <c r="E30" s="5">
        <f t="shared" si="1"/>
        <v>-7.7162932195683697E-4</v>
      </c>
      <c r="G30" s="4">
        <f t="shared" si="14"/>
        <v>19.7</v>
      </c>
      <c r="H30" s="5">
        <f t="shared" si="2"/>
        <v>59.7</v>
      </c>
      <c r="I30">
        <f t="shared" si="15"/>
        <v>49.021375892979947</v>
      </c>
      <c r="J30" s="14">
        <f>_xlfn.XLOOKUP($H30,'Q1 Base'!$C$8:$C$208,'Q1 Base'!$D$8:$D$208,,0,)</f>
        <v>3.4002395782974752E-3</v>
      </c>
      <c r="K30" s="29" cm="1">
        <f t="array" ref="K30">I30*$B$7+$E$6-J30*(SumAssdTA-I30)</f>
        <v>-156.42577709474503</v>
      </c>
      <c r="M30" s="4">
        <f t="shared" si="16"/>
        <v>19.7</v>
      </c>
      <c r="N30" s="5">
        <f t="shared" si="3"/>
        <v>59.7</v>
      </c>
      <c r="O30">
        <f t="shared" si="17"/>
        <v>56.034274753793596</v>
      </c>
      <c r="P30" s="14">
        <f>_xlfn.XLOOKUP($N30,'Q1 Base'!$C$8:$C$208,'Q1 Base'!$D$8:$D$208,,0,)</f>
        <v>3.4002395782974752E-3</v>
      </c>
      <c r="Q30" s="29">
        <f t="shared" si="4"/>
        <v>-179.4598560092661</v>
      </c>
      <c r="S30" s="4">
        <f t="shared" si="18"/>
        <v>19.7</v>
      </c>
      <c r="T30" s="5">
        <f t="shared" si="5"/>
        <v>59.7</v>
      </c>
      <c r="U30">
        <f t="shared" si="19"/>
        <v>-52.577706889157071</v>
      </c>
      <c r="V30" s="14">
        <f>_xlfn.XLOOKUP($T30,'Q1 Base'!$C$8:$C$208,'Q1 Base'!$D$8:$D$208,,0,)</f>
        <v>3.4002395782974752E-3</v>
      </c>
      <c r="W30" s="32">
        <f t="shared" si="6"/>
        <v>3000</v>
      </c>
      <c r="X30" s="29">
        <f t="shared" si="7"/>
        <v>165.94006498296596</v>
      </c>
      <c r="Y30" s="48">
        <f t="shared" si="25"/>
        <v>-2.0725465356978363</v>
      </c>
      <c r="Z30" s="51">
        <f t="shared" si="20"/>
        <v>-101.59908278213702</v>
      </c>
      <c r="AB30" s="4">
        <f t="shared" si="21"/>
        <v>0.3</v>
      </c>
      <c r="AC30" s="5">
        <f t="shared" si="8"/>
        <v>40.299999999999997</v>
      </c>
      <c r="AD30" s="13">
        <f t="shared" si="22"/>
        <v>7.718048775520039E-4</v>
      </c>
      <c r="AE30" s="14">
        <f t="shared" si="23"/>
        <v>0.99977253888868423</v>
      </c>
      <c r="AF30" s="4">
        <f t="shared" si="9"/>
        <v>1</v>
      </c>
      <c r="AG30">
        <f t="shared" si="24"/>
        <v>0.97921896456945956</v>
      </c>
      <c r="AH30">
        <f t="shared" si="10"/>
        <v>7.5559406567800801E-4</v>
      </c>
      <c r="AI30" s="5">
        <f t="shared" si="11"/>
        <v>0.97899623033555716</v>
      </c>
    </row>
    <row r="31" spans="1:35" x14ac:dyDescent="0.45">
      <c r="A31" s="4">
        <f t="shared" si="12"/>
        <v>0.4</v>
      </c>
      <c r="B31" s="5">
        <f t="shared" si="0"/>
        <v>40.4</v>
      </c>
      <c r="C31" s="14">
        <f>_xlfn.XLOOKUP($B31,'Q1 Base'!$C$8:$C$208,'Q1 Base'!$D$8:$D$208,,0,)</f>
        <v>7.7857671762362926E-4</v>
      </c>
      <c r="D31">
        <f t="shared" si="13"/>
        <v>0.9996953759564885</v>
      </c>
      <c r="E31" s="5">
        <f t="shared" si="1"/>
        <v>-7.7833954443572281E-4</v>
      </c>
      <c r="G31" s="4">
        <f t="shared" si="14"/>
        <v>19.600000000000001</v>
      </c>
      <c r="H31" s="5">
        <f t="shared" si="2"/>
        <v>59.6</v>
      </c>
      <c r="I31">
        <f t="shared" si="15"/>
        <v>64.663953602454455</v>
      </c>
      <c r="J31" s="14">
        <f>_xlfn.XLOOKUP($H31,'Q1 Base'!$C$8:$C$208,'Q1 Base'!$D$8:$D$208,,0,)</f>
        <v>3.3772510083239738E-3</v>
      </c>
      <c r="K31" s="29" cm="1">
        <f t="array" ref="K31">I31*$B$7+$E$6-J31*(SumAssdTA-I31)</f>
        <v>-152.98023767771943</v>
      </c>
      <c r="M31" s="4">
        <f t="shared" si="16"/>
        <v>19.600000000000001</v>
      </c>
      <c r="N31" s="5">
        <f t="shared" si="3"/>
        <v>59.6</v>
      </c>
      <c r="O31">
        <f t="shared" si="17"/>
        <v>73.980260354720201</v>
      </c>
      <c r="P31" s="14">
        <f>_xlfn.XLOOKUP($N31,'Q1 Base'!$C$8:$C$208,'Q1 Base'!$D$8:$D$208,,0,)</f>
        <v>3.3772510083239738E-3</v>
      </c>
      <c r="Q31" s="29">
        <f t="shared" si="4"/>
        <v>-175.84546006973108</v>
      </c>
      <c r="S31" s="4">
        <f t="shared" si="18"/>
        <v>19.600000000000001</v>
      </c>
      <c r="T31" s="5">
        <f t="shared" si="5"/>
        <v>59.6</v>
      </c>
      <c r="U31">
        <f t="shared" si="19"/>
        <v>-69.171713387453664</v>
      </c>
      <c r="V31" s="14">
        <f>_xlfn.XLOOKUP($T31,'Q1 Base'!$C$8:$C$208,'Q1 Base'!$D$8:$D$208,,0,)</f>
        <v>3.3772510083239738E-3</v>
      </c>
      <c r="W31" s="32">
        <f t="shared" si="6"/>
        <v>3999.9999999999709</v>
      </c>
      <c r="X31" s="29">
        <f t="shared" si="7"/>
        <v>161.41536579079715</v>
      </c>
      <c r="Y31" s="48">
        <f t="shared" si="25"/>
        <v>-2.0697105502195603</v>
      </c>
      <c r="Z31" s="51">
        <f t="shared" si="20"/>
        <v>-133.83566698990813</v>
      </c>
      <c r="AB31" s="4">
        <f t="shared" si="21"/>
        <v>0.4</v>
      </c>
      <c r="AC31" s="5">
        <f t="shared" si="8"/>
        <v>40.4</v>
      </c>
      <c r="AD31" s="13">
        <f t="shared" si="22"/>
        <v>7.7857671762362926E-4</v>
      </c>
      <c r="AE31" s="14">
        <f t="shared" si="23"/>
        <v>0.9996953759564885</v>
      </c>
      <c r="AF31" s="4">
        <f t="shared" si="9"/>
        <v>1</v>
      </c>
      <c r="AG31">
        <f t="shared" si="24"/>
        <v>0.97238836680124685</v>
      </c>
      <c r="AH31">
        <f t="shared" si="10"/>
        <v>7.5684831843067903E-4</v>
      </c>
      <c r="AI31" s="5">
        <f t="shared" si="11"/>
        <v>0.9720921539250883</v>
      </c>
    </row>
    <row r="32" spans="1:35" x14ac:dyDescent="0.45">
      <c r="A32" s="4">
        <f t="shared" si="12"/>
        <v>0.5</v>
      </c>
      <c r="B32" s="5">
        <f t="shared" si="0"/>
        <v>40.5</v>
      </c>
      <c r="C32" s="14">
        <f>_xlfn.XLOOKUP($B32,'Q1 Base'!$C$8:$C$208,'Q1 Base'!$D$8:$D$208,,0,)</f>
        <v>7.8534855769525473E-4</v>
      </c>
      <c r="D32">
        <f t="shared" si="13"/>
        <v>0.99961754200204489</v>
      </c>
      <c r="E32" s="5">
        <f t="shared" si="1"/>
        <v>-7.8504819485818167E-4</v>
      </c>
      <c r="G32" s="4">
        <f t="shared" si="14"/>
        <v>19.5</v>
      </c>
      <c r="H32" s="5">
        <f t="shared" si="2"/>
        <v>59.5</v>
      </c>
      <c r="I32">
        <f t="shared" si="15"/>
        <v>79.961977370226407</v>
      </c>
      <c r="J32" s="14">
        <f>_xlfn.XLOOKUP($H32,'Q1 Base'!$C$8:$C$208,'Q1 Base'!$D$8:$D$208,,0,)</f>
        <v>3.354262438350472E-3</v>
      </c>
      <c r="K32" s="29" cm="1">
        <f t="array" ref="K32">I32*$B$7+$E$6-J32*(SumAssdTA-I32)</f>
        <v>-149.56069196194218</v>
      </c>
      <c r="M32" s="4">
        <f t="shared" si="16"/>
        <v>19.5</v>
      </c>
      <c r="N32" s="5">
        <f t="shared" si="3"/>
        <v>59.5</v>
      </c>
      <c r="O32">
        <f t="shared" si="17"/>
        <v>91.564806361693314</v>
      </c>
      <c r="P32" s="14">
        <f>_xlfn.XLOOKUP($N32,'Q1 Base'!$C$8:$C$208,'Q1 Base'!$D$8:$D$208,,0,)</f>
        <v>3.354262438350472E-3</v>
      </c>
      <c r="Q32" s="29">
        <f t="shared" si="4"/>
        <v>-172.25840237011798</v>
      </c>
      <c r="S32" s="4">
        <f t="shared" si="18"/>
        <v>19.5</v>
      </c>
      <c r="T32" s="5">
        <f t="shared" si="5"/>
        <v>59.5</v>
      </c>
      <c r="U32">
        <f t="shared" si="19"/>
        <v>-85.313249966533377</v>
      </c>
      <c r="V32" s="14">
        <f>_xlfn.XLOOKUP($T32,'Q1 Base'!$C$8:$C$208,'Q1 Base'!$D$8:$D$208,,0,)</f>
        <v>3.354262438350472E-3</v>
      </c>
      <c r="W32" s="32">
        <f t="shared" si="6"/>
        <v>5000</v>
      </c>
      <c r="X32" s="29">
        <f t="shared" si="7"/>
        <v>156.97059728073395</v>
      </c>
      <c r="Y32" s="48">
        <f t="shared" si="25"/>
        <v>-2.0669227146738809</v>
      </c>
      <c r="Z32" s="51">
        <f t="shared" si="20"/>
        <v>-165.27522733675977</v>
      </c>
      <c r="AB32" s="4">
        <f t="shared" si="21"/>
        <v>0.5</v>
      </c>
      <c r="AC32" s="5">
        <f t="shared" si="8"/>
        <v>40.5</v>
      </c>
      <c r="AD32" s="13">
        <f t="shared" si="22"/>
        <v>7.8534855769525473E-4</v>
      </c>
      <c r="AE32" s="14">
        <f t="shared" si="23"/>
        <v>0.99961754200204489</v>
      </c>
      <c r="AF32" s="4">
        <f t="shared" si="9"/>
        <v>1</v>
      </c>
      <c r="AG32">
        <f t="shared" si="24"/>
        <v>0.96560541625756646</v>
      </c>
      <c r="AH32">
        <f t="shared" si="10"/>
        <v>7.5804678897828566E-4</v>
      </c>
      <c r="AI32" s="5">
        <f t="shared" si="11"/>
        <v>0.96523611274324994</v>
      </c>
    </row>
    <row r="33" spans="1:35" x14ac:dyDescent="0.45">
      <c r="A33" s="4">
        <f t="shared" si="12"/>
        <v>0.6</v>
      </c>
      <c r="B33" s="5">
        <f t="shared" si="0"/>
        <v>40.6</v>
      </c>
      <c r="C33" s="14">
        <f>_xlfn.XLOOKUP($B33,'Q1 Base'!$C$8:$C$208,'Q1 Base'!$D$8:$D$208,,0,)</f>
        <v>7.921203977668802E-4</v>
      </c>
      <c r="D33">
        <f t="shared" si="13"/>
        <v>0.9995390371825591</v>
      </c>
      <c r="E33" s="5">
        <f t="shared" si="1"/>
        <v>-7.9175525971657312E-4</v>
      </c>
      <c r="G33" s="4">
        <f t="shared" si="14"/>
        <v>19.399999999999999</v>
      </c>
      <c r="H33" s="5">
        <f t="shared" si="2"/>
        <v>59.4</v>
      </c>
      <c r="I33">
        <f t="shared" si="15"/>
        <v>94.918046566420628</v>
      </c>
      <c r="J33" s="14">
        <f>_xlfn.XLOOKUP($H33,'Q1 Base'!$C$8:$C$208,'Q1 Base'!$D$8:$D$208,,0,)</f>
        <v>3.3312738683769702E-3</v>
      </c>
      <c r="K33" s="29" cm="1">
        <f t="array" ref="K33">I33*$B$7+$E$6-J33*(SumAssdTA-I33)</f>
        <v>-146.16692556988346</v>
      </c>
      <c r="M33" s="4">
        <f t="shared" si="16"/>
        <v>19.399999999999999</v>
      </c>
      <c r="N33" s="5">
        <f t="shared" si="3"/>
        <v>59.4</v>
      </c>
      <c r="O33">
        <f t="shared" si="17"/>
        <v>108.79064659870511</v>
      </c>
      <c r="P33" s="14">
        <f>_xlfn.XLOOKUP($N33,'Q1 Base'!$C$8:$C$208,'Q1 Base'!$D$8:$D$208,,0,)</f>
        <v>3.3312738683769702E-3</v>
      </c>
      <c r="Q33" s="29">
        <f t="shared" si="4"/>
        <v>-168.69845750869271</v>
      </c>
      <c r="S33" s="4">
        <f t="shared" si="18"/>
        <v>19.399999999999999</v>
      </c>
      <c r="T33" s="5">
        <f t="shared" si="5"/>
        <v>59.4</v>
      </c>
      <c r="U33">
        <f t="shared" si="19"/>
        <v>-101.01030969460678</v>
      </c>
      <c r="V33" s="14">
        <f>_xlfn.XLOOKUP($T33,'Q1 Base'!$C$8:$C$208,'Q1 Base'!$D$8:$D$208,,0,)</f>
        <v>3.3312738683769702E-3</v>
      </c>
      <c r="W33" s="32">
        <f t="shared" si="6"/>
        <v>6000</v>
      </c>
      <c r="X33" s="29">
        <f t="shared" si="7"/>
        <v>152.60514210599339</v>
      </c>
      <c r="Y33" s="48">
        <f t="shared" si="25"/>
        <v>-2.0641844554177902</v>
      </c>
      <c r="Z33" s="51">
        <f t="shared" si="20"/>
        <v>-195.9283562610274</v>
      </c>
      <c r="AB33" s="4">
        <f t="shared" si="21"/>
        <v>0.6</v>
      </c>
      <c r="AC33" s="5">
        <f t="shared" si="8"/>
        <v>40.6</v>
      </c>
      <c r="AD33" s="13">
        <f t="shared" si="22"/>
        <v>7.921203977668802E-4</v>
      </c>
      <c r="AE33" s="14">
        <f t="shared" si="23"/>
        <v>0.9995390371825591</v>
      </c>
      <c r="AF33" s="4">
        <f t="shared" si="9"/>
        <v>1</v>
      </c>
      <c r="AG33">
        <f t="shared" si="24"/>
        <v>0.95886978057248451</v>
      </c>
      <c r="AH33">
        <f t="shared" si="10"/>
        <v>7.5919019215154096E-4</v>
      </c>
      <c r="AI33" s="5">
        <f t="shared" si="11"/>
        <v>0.95842777725687289</v>
      </c>
    </row>
    <row r="34" spans="1:35" x14ac:dyDescent="0.45">
      <c r="A34" s="4">
        <f t="shared" si="12"/>
        <v>0.7</v>
      </c>
      <c r="B34" s="5">
        <f t="shared" si="0"/>
        <v>40.700000000000003</v>
      </c>
      <c r="C34" s="14">
        <f>_xlfn.XLOOKUP($B34,'Q1 Base'!$C$8:$C$208,'Q1 Base'!$D$8:$D$208,,0,)</f>
        <v>7.9889223783850567E-4</v>
      </c>
      <c r="D34">
        <f t="shared" si="13"/>
        <v>0.9994598616565874</v>
      </c>
      <c r="E34" s="5">
        <f t="shared" si="1"/>
        <v>-7.9846072550859436E-4</v>
      </c>
      <c r="G34" s="4">
        <f t="shared" si="14"/>
        <v>19.3</v>
      </c>
      <c r="H34" s="5">
        <f t="shared" si="2"/>
        <v>59.3</v>
      </c>
      <c r="I34">
        <f t="shared" si="15"/>
        <v>109.53473912340897</v>
      </c>
      <c r="J34" s="14">
        <f>_xlfn.XLOOKUP($H34,'Q1 Base'!$C$8:$C$208,'Q1 Base'!$D$8:$D$208,,0,)</f>
        <v>3.3082852984034697E-3</v>
      </c>
      <c r="K34" s="29" cm="1">
        <f t="array" ref="K34">I34*$B$7+$E$6-J34*(SumAssdTA-I34)</f>
        <v>-142.79872593460192</v>
      </c>
      <c r="M34" s="4">
        <f t="shared" si="16"/>
        <v>19.3</v>
      </c>
      <c r="N34" s="5">
        <f t="shared" si="3"/>
        <v>59.3</v>
      </c>
      <c r="O34">
        <f t="shared" si="17"/>
        <v>125.66049234957438</v>
      </c>
      <c r="P34" s="14">
        <f>_xlfn.XLOOKUP($N34,'Q1 Base'!$C$8:$C$208,'Q1 Base'!$D$8:$D$208,,0,)</f>
        <v>3.3082852984034697E-3</v>
      </c>
      <c r="Q34" s="29">
        <f t="shared" si="4"/>
        <v>-165.16540198748964</v>
      </c>
      <c r="S34" s="4">
        <f t="shared" si="18"/>
        <v>19.3</v>
      </c>
      <c r="T34" s="5">
        <f t="shared" si="5"/>
        <v>59.3</v>
      </c>
      <c r="U34">
        <f t="shared" si="19"/>
        <v>-116.27082390520611</v>
      </c>
      <c r="V34" s="14">
        <f>_xlfn.XLOOKUP($T34,'Q1 Base'!$C$8:$C$208,'Q1 Base'!$D$8:$D$208,,0,)</f>
        <v>3.3082852984034697E-3</v>
      </c>
      <c r="W34" s="32">
        <f t="shared" si="6"/>
        <v>6999.9999999999709</v>
      </c>
      <c r="X34" s="29">
        <f t="shared" si="7"/>
        <v>148.31838818045253</v>
      </c>
      <c r="Y34" s="48">
        <f t="shared" si="25"/>
        <v>-2.0614972458573879</v>
      </c>
      <c r="Z34" s="51">
        <f t="shared" si="20"/>
        <v>-225.8055630286151</v>
      </c>
      <c r="AB34" s="4">
        <f t="shared" si="21"/>
        <v>0.7</v>
      </c>
      <c r="AC34" s="5">
        <f t="shared" si="8"/>
        <v>40.700000000000003</v>
      </c>
      <c r="AD34" s="13">
        <f t="shared" si="22"/>
        <v>7.9889223783850567E-4</v>
      </c>
      <c r="AE34" s="14">
        <f t="shared" si="23"/>
        <v>0.9994598616565874</v>
      </c>
      <c r="AF34" s="4">
        <f t="shared" si="9"/>
        <v>1</v>
      </c>
      <c r="AG34">
        <f t="shared" si="24"/>
        <v>0.95218112969850488</v>
      </c>
      <c r="AH34">
        <f t="shared" si="10"/>
        <v>7.6027923563466119E-4</v>
      </c>
      <c r="AI34" s="5">
        <f t="shared" si="11"/>
        <v>0.95166682016048076</v>
      </c>
    </row>
    <row r="35" spans="1:35" x14ac:dyDescent="0.45">
      <c r="A35" s="4">
        <f t="shared" si="12"/>
        <v>0.8</v>
      </c>
      <c r="B35" s="5">
        <f t="shared" si="0"/>
        <v>40.799999999999997</v>
      </c>
      <c r="C35" s="14">
        <f>_xlfn.XLOOKUP($B35,'Q1 Base'!$C$8:$C$208,'Q1 Base'!$D$8:$D$208,,0,)</f>
        <v>8.0566407791013059E-4</v>
      </c>
      <c r="D35">
        <f t="shared" si="13"/>
        <v>0.99938001558403655</v>
      </c>
      <c r="E35" s="5">
        <f t="shared" si="1"/>
        <v>-8.0516457873732481E-4</v>
      </c>
      <c r="G35" s="4">
        <f t="shared" si="14"/>
        <v>19.2</v>
      </c>
      <c r="H35" s="5">
        <f t="shared" si="2"/>
        <v>59.2</v>
      </c>
      <c r="I35">
        <f t="shared" si="15"/>
        <v>123.81461171686917</v>
      </c>
      <c r="J35" s="14">
        <f>_xlfn.XLOOKUP($H35,'Q1 Base'!$C$8:$C$208,'Q1 Base'!$D$8:$D$208,,0,)</f>
        <v>3.2852967284299696E-3</v>
      </c>
      <c r="K35" s="29" cm="1">
        <f t="array" ref="K35">I35*$B$7+$E$6-J35*(SumAssdTA-I35)</f>
        <v>-139.45588228401087</v>
      </c>
      <c r="M35" s="4">
        <f t="shared" si="16"/>
        <v>19.2</v>
      </c>
      <c r="N35" s="5">
        <f t="shared" si="3"/>
        <v>59.2</v>
      </c>
      <c r="O35">
        <f t="shared" si="17"/>
        <v>142.17703254832335</v>
      </c>
      <c r="P35" s="14">
        <f>_xlfn.XLOOKUP($N35,'Q1 Base'!$C$8:$C$208,'Q1 Base'!$D$8:$D$208,,0,)</f>
        <v>3.2852967284299696E-3</v>
      </c>
      <c r="Q35" s="29">
        <f t="shared" si="4"/>
        <v>-161.65901419576861</v>
      </c>
      <c r="S35" s="4">
        <f t="shared" si="18"/>
        <v>19.2</v>
      </c>
      <c r="T35" s="5">
        <f t="shared" si="5"/>
        <v>59.2</v>
      </c>
      <c r="U35">
        <f t="shared" si="19"/>
        <v>-131.10266272325137</v>
      </c>
      <c r="V35" s="14">
        <f>_xlfn.XLOOKUP($T35,'Q1 Base'!$C$8:$C$208,'Q1 Base'!$D$8:$D$208,,0,)</f>
        <v>3.2852967284299696E-3</v>
      </c>
      <c r="W35" s="32">
        <f t="shared" si="6"/>
        <v>8000</v>
      </c>
      <c r="X35" s="29">
        <f t="shared" si="7"/>
        <v>144.10972863299952</v>
      </c>
      <c r="Y35" s="48">
        <f t="shared" si="25"/>
        <v>-2.0588626084217587</v>
      </c>
      <c r="Z35" s="51">
        <f t="shared" si="20"/>
        <v>-254.91727444012054</v>
      </c>
      <c r="AB35" s="4">
        <f t="shared" si="21"/>
        <v>0.8</v>
      </c>
      <c r="AC35" s="5">
        <f t="shared" si="8"/>
        <v>40.799999999999997</v>
      </c>
      <c r="AD35" s="13">
        <f t="shared" si="22"/>
        <v>8.0566407791013059E-4</v>
      </c>
      <c r="AE35" s="14">
        <f t="shared" si="23"/>
        <v>0.99938001558403655</v>
      </c>
      <c r="AF35" s="4">
        <f t="shared" si="9"/>
        <v>1</v>
      </c>
      <c r="AG35">
        <f t="shared" si="24"/>
        <v>0.94553913589039629</v>
      </c>
      <c r="AH35">
        <f t="shared" si="10"/>
        <v>7.6131462002884502E-4</v>
      </c>
      <c r="AI35" s="5">
        <f t="shared" si="11"/>
        <v>0.94495291636146073</v>
      </c>
    </row>
    <row r="36" spans="1:35" x14ac:dyDescent="0.45">
      <c r="A36" s="4">
        <f t="shared" si="12"/>
        <v>0.9</v>
      </c>
      <c r="B36" s="5">
        <f t="shared" si="0"/>
        <v>40.9</v>
      </c>
      <c r="C36" s="14">
        <f>_xlfn.XLOOKUP($B36,'Q1 Base'!$C$8:$C$208,'Q1 Base'!$D$8:$D$208,,0,)</f>
        <v>8.1243591798175606E-4</v>
      </c>
      <c r="D36">
        <f t="shared" si="13"/>
        <v>0.99929949912616278</v>
      </c>
      <c r="E36" s="5">
        <f t="shared" si="1"/>
        <v>-8.1186680591127311E-4</v>
      </c>
      <c r="G36" s="4">
        <f t="shared" si="14"/>
        <v>19.100000000000001</v>
      </c>
      <c r="H36" s="5">
        <f t="shared" si="2"/>
        <v>59.1</v>
      </c>
      <c r="I36">
        <f t="shared" si="15"/>
        <v>137.76019994527024</v>
      </c>
      <c r="J36" s="14">
        <f>_xlfn.XLOOKUP($H36,'Q1 Base'!$C$8:$C$208,'Q1 Base'!$D$8:$D$208,,0,)</f>
        <v>3.2623081584564678E-3</v>
      </c>
      <c r="K36" s="29" cm="1">
        <f t="array" ref="K36">I36*$B$7+$E$6-J36*(SumAssdTA-I36)</f>
        <v>-136.13818562528581</v>
      </c>
      <c r="M36" s="4">
        <f t="shared" si="16"/>
        <v>19.100000000000001</v>
      </c>
      <c r="N36" s="5">
        <f t="shared" si="3"/>
        <v>59.1</v>
      </c>
      <c r="O36">
        <f t="shared" si="17"/>
        <v>158.34293396790022</v>
      </c>
      <c r="P36" s="14">
        <f>_xlfn.XLOOKUP($N36,'Q1 Base'!$C$8:$C$208,'Q1 Base'!$D$8:$D$208,,0,)</f>
        <v>3.2623081584564678E-3</v>
      </c>
      <c r="Q36" s="29">
        <f t="shared" si="4"/>
        <v>-158.17907439361952</v>
      </c>
      <c r="S36" s="4">
        <f t="shared" si="18"/>
        <v>19.100000000000001</v>
      </c>
      <c r="T36" s="5">
        <f t="shared" si="5"/>
        <v>59.1</v>
      </c>
      <c r="U36">
        <f t="shared" si="19"/>
        <v>-145.51363558655132</v>
      </c>
      <c r="V36" s="14">
        <f>_xlfn.XLOOKUP($T36,'Q1 Base'!$C$8:$C$208,'Q1 Base'!$D$8:$D$208,,0,)</f>
        <v>3.2623081584564678E-3</v>
      </c>
      <c r="W36" s="32">
        <f t="shared" si="6"/>
        <v>9000</v>
      </c>
      <c r="X36" s="29">
        <f t="shared" si="7"/>
        <v>139.97856176229254</v>
      </c>
      <c r="Y36" s="48">
        <f t="shared" si="25"/>
        <v>-2.0562821166371812</v>
      </c>
      <c r="Z36" s="51">
        <f t="shared" si="20"/>
        <v>-283.27383553182153</v>
      </c>
      <c r="AB36" s="4">
        <f t="shared" si="21"/>
        <v>0.9</v>
      </c>
      <c r="AC36" s="5">
        <f t="shared" si="8"/>
        <v>40.9</v>
      </c>
      <c r="AD36" s="13">
        <f t="shared" si="22"/>
        <v>8.1243591798175606E-4</v>
      </c>
      <c r="AE36" s="14">
        <f t="shared" si="23"/>
        <v>0.99929949912616278</v>
      </c>
      <c r="AF36" s="4">
        <f t="shared" si="9"/>
        <v>1</v>
      </c>
      <c r="AG36">
        <f t="shared" si="24"/>
        <v>0.93894347368913322</v>
      </c>
      <c r="AH36">
        <f t="shared" si="10"/>
        <v>7.6229703891523214E-4</v>
      </c>
      <c r="AI36" s="5">
        <f t="shared" si="11"/>
        <v>0.93828574296533018</v>
      </c>
    </row>
    <row r="37" spans="1:35" x14ac:dyDescent="0.45">
      <c r="A37" s="4">
        <f t="shared" si="12"/>
        <v>1</v>
      </c>
      <c r="B37" s="5">
        <f t="shared" si="0"/>
        <v>41</v>
      </c>
      <c r="C37" s="14">
        <f>_xlfn.XLOOKUP($B37,'Q1 Base'!$C$8:$C$208,'Q1 Base'!$D$8:$D$208,,0,)</f>
        <v>8.1920775805338153E-4</v>
      </c>
      <c r="D37">
        <f t="shared" si="13"/>
        <v>0.99921831244557169</v>
      </c>
      <c r="E37" s="5">
        <f t="shared" si="1"/>
        <v>-8.1856739354442011E-4</v>
      </c>
      <c r="G37" s="4">
        <f t="shared" si="14"/>
        <v>19</v>
      </c>
      <c r="H37" s="5">
        <f t="shared" si="2"/>
        <v>59</v>
      </c>
      <c r="I37">
        <f t="shared" si="15"/>
        <v>151.37401850779884</v>
      </c>
      <c r="J37" s="14">
        <f>_xlfn.XLOOKUP($H37,'Q1 Base'!$C$8:$C$208,'Q1 Base'!$D$8:$D$208,,0,)</f>
        <v>3.2393195884829668E-3</v>
      </c>
      <c r="K37" s="29" cm="1">
        <f t="array" ref="K37">I37*$B$7+$E$6-J37*(SumAssdTA-I37)</f>
        <v>-132.84542872941103</v>
      </c>
      <c r="M37" s="4">
        <f t="shared" si="16"/>
        <v>19</v>
      </c>
      <c r="N37" s="5">
        <f t="shared" si="3"/>
        <v>59</v>
      </c>
      <c r="O37">
        <f t="shared" si="17"/>
        <v>174.16084140726218</v>
      </c>
      <c r="P37" s="14">
        <f>_xlfn.XLOOKUP($N37,'Q1 Base'!$C$8:$C$208,'Q1 Base'!$D$8:$D$208,,0,)</f>
        <v>3.2393195884829668E-3</v>
      </c>
      <c r="Q37" s="29">
        <f t="shared" si="4"/>
        <v>-154.72536469571423</v>
      </c>
      <c r="S37" s="4">
        <f t="shared" si="18"/>
        <v>19</v>
      </c>
      <c r="T37" s="5">
        <f t="shared" si="5"/>
        <v>59</v>
      </c>
      <c r="U37">
        <f t="shared" si="19"/>
        <v>-159.51149176278057</v>
      </c>
      <c r="V37" s="14">
        <f>_xlfn.XLOOKUP($T37,'Q1 Base'!$C$8:$C$208,'Q1 Base'!$D$8:$D$208,,0,)</f>
        <v>3.2393195884829668E-3</v>
      </c>
      <c r="W37" s="32">
        <f t="shared" si="6"/>
        <v>10000</v>
      </c>
      <c r="X37" s="29">
        <f t="shared" si="7"/>
        <v>135.92429099192037</v>
      </c>
      <c r="Y37" s="48">
        <f t="shared" si="25"/>
        <v>-2.0537573973076659</v>
      </c>
      <c r="Z37" s="51">
        <f t="shared" si="20"/>
        <v>-310.8855102705794</v>
      </c>
      <c r="AB37" s="4">
        <f t="shared" si="21"/>
        <v>1</v>
      </c>
      <c r="AC37" s="5">
        <f t="shared" si="8"/>
        <v>41</v>
      </c>
      <c r="AD37" s="13">
        <f t="shared" si="22"/>
        <v>8.1920775805338153E-4</v>
      </c>
      <c r="AE37" s="14">
        <f t="shared" si="23"/>
        <v>0.99921831244557169</v>
      </c>
      <c r="AF37" s="4">
        <f t="shared" si="9"/>
        <v>1</v>
      </c>
      <c r="AG37">
        <f t="shared" si="24"/>
        <v>0.93239381990594827</v>
      </c>
      <c r="AH37">
        <f t="shared" si="10"/>
        <v>7.6322717891733755E-4</v>
      </c>
      <c r="AI37" s="5">
        <f t="shared" si="11"/>
        <v>0.93166497926110192</v>
      </c>
    </row>
    <row r="38" spans="1:35" x14ac:dyDescent="0.45">
      <c r="A38" s="4">
        <f t="shared" si="12"/>
        <v>1.1000000000000001</v>
      </c>
      <c r="B38" s="5">
        <f t="shared" si="0"/>
        <v>41.1</v>
      </c>
      <c r="C38" s="14">
        <f>_xlfn.XLOOKUP($B38,'Q1 Base'!$C$8:$C$208,'Q1 Base'!$D$8:$D$208,,0,)</f>
        <v>8.2675518028229461E-4</v>
      </c>
      <c r="D38">
        <f t="shared" si="13"/>
        <v>0.99913645570621723</v>
      </c>
      <c r="E38" s="5">
        <f t="shared" si="1"/>
        <v>-8.2604124056400645E-4</v>
      </c>
      <c r="G38" s="4">
        <f t="shared" si="14"/>
        <v>18.899999999999999</v>
      </c>
      <c r="H38" s="5">
        <f t="shared" si="2"/>
        <v>58.9</v>
      </c>
      <c r="I38">
        <f t="shared" si="15"/>
        <v>164.65856138073994</v>
      </c>
      <c r="J38" s="14">
        <f>_xlfn.XLOOKUP($H38,'Q1 Base'!$C$8:$C$208,'Q1 Base'!$D$8:$D$208,,0,)</f>
        <v>3.2183191714974958E-3</v>
      </c>
      <c r="K38" s="29" cm="1">
        <f t="array" ref="K38">I38*$B$7+$E$6-J38*(SumAssdTA-I38)</f>
        <v>-129.77589404825494</v>
      </c>
      <c r="M38" s="4">
        <f t="shared" si="16"/>
        <v>18.899999999999999</v>
      </c>
      <c r="N38" s="5">
        <f t="shared" si="3"/>
        <v>58.9</v>
      </c>
      <c r="O38">
        <f t="shared" si="17"/>
        <v>189.63337787683361</v>
      </c>
      <c r="P38" s="14">
        <f>_xlfn.XLOOKUP($N38,'Q1 Base'!$C$8:$C$208,'Q1 Base'!$D$8:$D$208,,0,)</f>
        <v>3.2183191714974958E-3</v>
      </c>
      <c r="Q38" s="29">
        <f t="shared" si="4"/>
        <v>-151.49610733383753</v>
      </c>
      <c r="S38" s="4">
        <f t="shared" si="18"/>
        <v>18.899999999999999</v>
      </c>
      <c r="T38" s="5">
        <f t="shared" si="5"/>
        <v>58.9</v>
      </c>
      <c r="U38">
        <f t="shared" si="19"/>
        <v>-173.1039208619726</v>
      </c>
      <c r="V38" s="14">
        <f>_xlfn.XLOOKUP($T38,'Q1 Base'!$C$8:$C$208,'Q1 Base'!$D$8:$D$208,,0,)</f>
        <v>3.2183191714974958E-3</v>
      </c>
      <c r="W38" s="32">
        <f t="shared" si="6"/>
        <v>11000</v>
      </c>
      <c r="X38" s="29">
        <f t="shared" si="7"/>
        <v>131.92411098601798</v>
      </c>
      <c r="Y38" s="48">
        <f t="shared" si="25"/>
        <v>-2.0512901328082447</v>
      </c>
      <c r="Z38" s="51">
        <f t="shared" si="20"/>
        <v>-337.76248224271251</v>
      </c>
      <c r="AB38" s="4">
        <f t="shared" si="21"/>
        <v>1.1000000000000001</v>
      </c>
      <c r="AC38" s="5">
        <f t="shared" si="8"/>
        <v>41.1</v>
      </c>
      <c r="AD38" s="13">
        <f t="shared" si="22"/>
        <v>8.2675518028229461E-4</v>
      </c>
      <c r="AE38" s="14">
        <f t="shared" si="23"/>
        <v>0.99913645570621723</v>
      </c>
      <c r="AF38" s="4">
        <f t="shared" si="9"/>
        <v>1</v>
      </c>
      <c r="AG38">
        <f t="shared" si="24"/>
        <v>0.92588985360649534</v>
      </c>
      <c r="AH38">
        <f t="shared" si="10"/>
        <v>7.6482320329873568E-4</v>
      </c>
      <c r="AI38" s="5">
        <f t="shared" si="11"/>
        <v>0.92509030670674208</v>
      </c>
    </row>
    <row r="39" spans="1:35" x14ac:dyDescent="0.45">
      <c r="A39" s="4">
        <f t="shared" si="12"/>
        <v>1.2</v>
      </c>
      <c r="B39" s="5">
        <f t="shared" si="0"/>
        <v>41.2</v>
      </c>
      <c r="C39" s="14">
        <f>_xlfn.XLOOKUP($B39,'Q1 Base'!$C$8:$C$208,'Q1 Base'!$D$8:$D$208,,0,)</f>
        <v>8.3430260251120779E-4</v>
      </c>
      <c r="D39">
        <f t="shared" si="13"/>
        <v>0.99905385158216087</v>
      </c>
      <c r="E39" s="5">
        <f t="shared" si="1"/>
        <v>-8.3351322842384269E-4</v>
      </c>
      <c r="G39" s="4">
        <f t="shared" si="14"/>
        <v>18.8</v>
      </c>
      <c r="H39" s="5">
        <f t="shared" si="2"/>
        <v>58.8</v>
      </c>
      <c r="I39">
        <f t="shared" si="15"/>
        <v>177.63615078556543</v>
      </c>
      <c r="J39" s="14">
        <f>_xlfn.XLOOKUP($H39,'Q1 Base'!$C$8:$C$208,'Q1 Base'!$D$8:$D$208,,0,)</f>
        <v>3.197318754512026E-3</v>
      </c>
      <c r="K39" s="29" cm="1">
        <f t="array" ref="K39">I39*$B$7+$E$6-J39*(SumAssdTA-I39)</f>
        <v>-126.729385499827</v>
      </c>
      <c r="M39" s="4">
        <f t="shared" si="16"/>
        <v>18.8</v>
      </c>
      <c r="N39" s="5">
        <f t="shared" si="3"/>
        <v>58.8</v>
      </c>
      <c r="O39">
        <f t="shared" si="17"/>
        <v>204.78298861021736</v>
      </c>
      <c r="P39" s="14">
        <f>_xlfn.XLOOKUP($N39,'Q1 Base'!$C$8:$C$208,'Q1 Base'!$D$8:$D$208,,0,)</f>
        <v>3.197318754512026E-3</v>
      </c>
      <c r="Q39" s="29">
        <f t="shared" si="4"/>
        <v>-148.29113712944209</v>
      </c>
      <c r="S39" s="4">
        <f t="shared" si="18"/>
        <v>18.8</v>
      </c>
      <c r="T39" s="5">
        <f t="shared" si="5"/>
        <v>58.8</v>
      </c>
      <c r="U39">
        <f t="shared" si="19"/>
        <v>-186.29633196057441</v>
      </c>
      <c r="V39" s="14">
        <f>_xlfn.XLOOKUP($T39,'Q1 Base'!$C$8:$C$208,'Q1 Base'!$D$8:$D$208,,0,)</f>
        <v>3.197318754512026E-3</v>
      </c>
      <c r="W39" s="32">
        <f t="shared" si="6"/>
        <v>12000</v>
      </c>
      <c r="X39" s="29">
        <f t="shared" si="7"/>
        <v>127.99578295254113</v>
      </c>
      <c r="Y39" s="48">
        <f t="shared" si="25"/>
        <v>-2.0487523577645135</v>
      </c>
      <c r="Z39" s="51">
        <f t="shared" si="20"/>
        <v>-363.93248274613984</v>
      </c>
      <c r="AB39" s="4">
        <f t="shared" si="21"/>
        <v>1.2</v>
      </c>
      <c r="AC39" s="5">
        <f t="shared" si="8"/>
        <v>41.2</v>
      </c>
      <c r="AD39" s="13">
        <f t="shared" si="22"/>
        <v>8.3430260251120779E-4</v>
      </c>
      <c r="AE39" s="14">
        <f t="shared" si="23"/>
        <v>0.99905385158216087</v>
      </c>
      <c r="AF39" s="4">
        <f t="shared" si="9"/>
        <v>1</v>
      </c>
      <c r="AG39">
        <f t="shared" si="24"/>
        <v>0.91943125609512466</v>
      </c>
      <c r="AH39">
        <f t="shared" si="10"/>
        <v>7.6635811458163625E-4</v>
      </c>
      <c r="AI39" s="5">
        <f t="shared" si="11"/>
        <v>0.91856133766685844</v>
      </c>
    </row>
    <row r="40" spans="1:35" x14ac:dyDescent="0.45">
      <c r="A40" s="4">
        <f t="shared" si="12"/>
        <v>1.3</v>
      </c>
      <c r="B40" s="5">
        <f t="shared" si="0"/>
        <v>41.3</v>
      </c>
      <c r="C40" s="14">
        <f>_xlfn.XLOOKUP($B40,'Q1 Base'!$C$8:$C$208,'Q1 Base'!$D$8:$D$208,,0,)</f>
        <v>8.4185002474012032E-4</v>
      </c>
      <c r="D40">
        <f t="shared" si="13"/>
        <v>0.99897050025931844</v>
      </c>
      <c r="E40" s="5">
        <f t="shared" si="1"/>
        <v>-8.4098334035795765E-4</v>
      </c>
      <c r="G40" s="4">
        <f t="shared" si="14"/>
        <v>18.7</v>
      </c>
      <c r="H40" s="5">
        <f t="shared" si="2"/>
        <v>58.7</v>
      </c>
      <c r="I40">
        <f t="shared" si="15"/>
        <v>190.30908933554812</v>
      </c>
      <c r="J40" s="14">
        <f>_xlfn.XLOOKUP($H40,'Q1 Base'!$C$8:$C$208,'Q1 Base'!$D$8:$D$208,,0,)</f>
        <v>3.1763183375265571E-3</v>
      </c>
      <c r="K40" s="29" cm="1">
        <f t="array" ref="K40">I40*$B$7+$E$6-J40*(SumAssdTA-I40)</f>
        <v>-123.70571524891281</v>
      </c>
      <c r="M40" s="4">
        <f t="shared" si="16"/>
        <v>18.7</v>
      </c>
      <c r="N40" s="5">
        <f t="shared" si="3"/>
        <v>58.7</v>
      </c>
      <c r="O40">
        <f t="shared" si="17"/>
        <v>219.61210232316157</v>
      </c>
      <c r="P40" s="14">
        <f>_xlfn.XLOOKUP($N40,'Q1 Base'!$C$8:$C$208,'Q1 Base'!$D$8:$D$208,,0,)</f>
        <v>3.1763183375265571E-3</v>
      </c>
      <c r="Q40" s="29">
        <f t="shared" si="4"/>
        <v>-145.11025601332571</v>
      </c>
      <c r="S40" s="4">
        <f t="shared" si="18"/>
        <v>18.7</v>
      </c>
      <c r="T40" s="5">
        <f t="shared" si="5"/>
        <v>58.7</v>
      </c>
      <c r="U40">
        <f t="shared" si="19"/>
        <v>-199.09591025582853</v>
      </c>
      <c r="V40" s="14">
        <f>_xlfn.XLOOKUP($T40,'Q1 Base'!$C$8:$C$208,'Q1 Base'!$D$8:$D$208,,0,)</f>
        <v>3.1763183375265571E-3</v>
      </c>
      <c r="W40" s="32">
        <f t="shared" si="6"/>
        <v>13000</v>
      </c>
      <c r="X40" s="29">
        <f t="shared" si="7"/>
        <v>124.13875590357463</v>
      </c>
      <c r="Y40" s="48">
        <f t="shared" si="25"/>
        <v>-2.0461713150483725</v>
      </c>
      <c r="Z40" s="51">
        <f t="shared" si="20"/>
        <v>-389.40499959137662</v>
      </c>
      <c r="AB40" s="4">
        <f t="shared" si="21"/>
        <v>1.3</v>
      </c>
      <c r="AC40" s="5">
        <f t="shared" si="8"/>
        <v>41.3</v>
      </c>
      <c r="AD40" s="13">
        <f t="shared" si="22"/>
        <v>8.4185002474012032E-4</v>
      </c>
      <c r="AE40" s="14">
        <f t="shared" si="23"/>
        <v>0.99897050025931844</v>
      </c>
      <c r="AF40" s="4">
        <f t="shared" si="9"/>
        <v>1</v>
      </c>
      <c r="AG40">
        <f t="shared" si="24"/>
        <v>0.91301771089926576</v>
      </c>
      <c r="AH40">
        <f t="shared" si="10"/>
        <v>7.6783268431804058E-4</v>
      </c>
      <c r="AI40" s="5">
        <f t="shared" si="11"/>
        <v>0.91207775940265734</v>
      </c>
    </row>
    <row r="41" spans="1:35" x14ac:dyDescent="0.45">
      <c r="A41" s="4">
        <f t="shared" si="12"/>
        <v>1.4</v>
      </c>
      <c r="B41" s="5">
        <f t="shared" si="0"/>
        <v>41.4</v>
      </c>
      <c r="C41" s="14">
        <f>_xlfn.XLOOKUP($B41,'Q1 Base'!$C$8:$C$208,'Q1 Base'!$D$8:$D$208,,0,)</f>
        <v>8.4939744696903351E-4</v>
      </c>
      <c r="D41">
        <f t="shared" si="13"/>
        <v>0.99888640192528266</v>
      </c>
      <c r="E41" s="5">
        <f t="shared" si="1"/>
        <v>-8.4845155960741896E-4</v>
      </c>
      <c r="G41" s="4">
        <f t="shared" si="14"/>
        <v>18.600000000000001</v>
      </c>
      <c r="H41" s="5">
        <f t="shared" si="2"/>
        <v>58.6</v>
      </c>
      <c r="I41">
        <f t="shared" si="15"/>
        <v>202.67966086043941</v>
      </c>
      <c r="J41" s="14">
        <f>_xlfn.XLOOKUP($H41,'Q1 Base'!$C$8:$C$208,'Q1 Base'!$D$8:$D$208,,0,)</f>
        <v>3.1553179205410864E-3</v>
      </c>
      <c r="K41" s="29" cm="1">
        <f t="array" ref="K41">I41*$B$7+$E$6-J41*(SumAssdTA-I41)</f>
        <v>-120.70469702783575</v>
      </c>
      <c r="M41" s="4">
        <f t="shared" si="16"/>
        <v>18.600000000000001</v>
      </c>
      <c r="N41" s="5">
        <f t="shared" si="3"/>
        <v>58.6</v>
      </c>
      <c r="O41">
        <f t="shared" si="17"/>
        <v>234.12312792449413</v>
      </c>
      <c r="P41" s="14">
        <f>_xlfn.XLOOKUP($N41,'Q1 Base'!$C$8:$C$208,'Q1 Base'!$D$8:$D$208,,0,)</f>
        <v>3.1553179205410864E-3</v>
      </c>
      <c r="Q41" s="29">
        <f t="shared" si="4"/>
        <v>-141.95326756928389</v>
      </c>
      <c r="S41" s="4">
        <f t="shared" si="18"/>
        <v>18.600000000000001</v>
      </c>
      <c r="T41" s="5">
        <f t="shared" si="5"/>
        <v>58.6</v>
      </c>
      <c r="U41">
        <f t="shared" si="19"/>
        <v>-211.50978584618599</v>
      </c>
      <c r="V41" s="14">
        <f>_xlfn.XLOOKUP($T41,'Q1 Base'!$C$8:$C$208,'Q1 Base'!$D$8:$D$208,,0,)</f>
        <v>3.1553179205410864E-3</v>
      </c>
      <c r="W41" s="32">
        <f t="shared" si="6"/>
        <v>14000</v>
      </c>
      <c r="X41" s="29">
        <f t="shared" si="7"/>
        <v>120.35248348554148</v>
      </c>
      <c r="Y41" s="48">
        <f t="shared" si="25"/>
        <v>-2.0435669023140255</v>
      </c>
      <c r="Z41" s="51">
        <f t="shared" si="20"/>
        <v>-414.1894467066254</v>
      </c>
      <c r="AB41" s="4">
        <f t="shared" si="21"/>
        <v>1.4</v>
      </c>
      <c r="AC41" s="5">
        <f t="shared" si="8"/>
        <v>41.4</v>
      </c>
      <c r="AD41" s="13">
        <f t="shared" si="22"/>
        <v>8.4939744696903351E-4</v>
      </c>
      <c r="AE41" s="14">
        <f t="shared" si="23"/>
        <v>0.99888640192528266</v>
      </c>
      <c r="AF41" s="4">
        <f t="shared" si="9"/>
        <v>1</v>
      </c>
      <c r="AG41">
        <f t="shared" si="24"/>
        <v>0.90664890375392093</v>
      </c>
      <c r="AH41">
        <f t="shared" si="10"/>
        <v>7.6924767640637094E-4</v>
      </c>
      <c r="AI41" s="5">
        <f t="shared" si="11"/>
        <v>0.90563926128025596</v>
      </c>
    </row>
    <row r="42" spans="1:35" x14ac:dyDescent="0.45">
      <c r="A42" s="4">
        <f t="shared" si="12"/>
        <v>1.5</v>
      </c>
      <c r="B42" s="5">
        <f t="shared" si="0"/>
        <v>41.5</v>
      </c>
      <c r="C42" s="14">
        <f>_xlfn.XLOOKUP($B42,'Q1 Base'!$C$8:$C$208,'Q1 Base'!$D$8:$D$208,,0,)</f>
        <v>8.5694486919794658E-4</v>
      </c>
      <c r="D42">
        <f t="shared" si="13"/>
        <v>0.99880155676932192</v>
      </c>
      <c r="E42" s="5">
        <f t="shared" si="1"/>
        <v>-8.55917869420392E-4</v>
      </c>
      <c r="G42" s="4">
        <f t="shared" si="14"/>
        <v>18.5</v>
      </c>
      <c r="H42" s="5">
        <f t="shared" si="2"/>
        <v>58.5</v>
      </c>
      <c r="I42">
        <f t="shared" si="15"/>
        <v>214.750130563223</v>
      </c>
      <c r="J42" s="14">
        <f>_xlfn.XLOOKUP($H42,'Q1 Base'!$C$8:$C$208,'Q1 Base'!$D$8:$D$208,,0,)</f>
        <v>3.1343175035556162E-3</v>
      </c>
      <c r="K42" s="29" cm="1">
        <f t="array" ref="K42">I42*$B$7+$E$6-J42*(SumAssdTA-I42)</f>
        <v>-117.7261461230209</v>
      </c>
      <c r="M42" s="4">
        <f t="shared" si="16"/>
        <v>18.5</v>
      </c>
      <c r="N42" s="5">
        <f t="shared" si="3"/>
        <v>58.5</v>
      </c>
      <c r="O42">
        <f t="shared" si="17"/>
        <v>248.31845468142251</v>
      </c>
      <c r="P42" s="14">
        <f>_xlfn.XLOOKUP($N42,'Q1 Base'!$C$8:$C$208,'Q1 Base'!$D$8:$D$208,,0,)</f>
        <v>3.1343175035556162E-3</v>
      </c>
      <c r="Q42" s="29">
        <f t="shared" si="4"/>
        <v>-138.81997701994135</v>
      </c>
      <c r="S42" s="4">
        <f t="shared" si="18"/>
        <v>18.5</v>
      </c>
      <c r="T42" s="5">
        <f t="shared" si="5"/>
        <v>58.5</v>
      </c>
      <c r="U42">
        <f t="shared" si="19"/>
        <v>-223.54503419474014</v>
      </c>
      <c r="V42" s="14">
        <f>_xlfn.XLOOKUP($T42,'Q1 Base'!$C$8:$C$208,'Q1 Base'!$D$8:$D$208,,0,)</f>
        <v>3.1343175035556162E-3</v>
      </c>
      <c r="W42" s="32">
        <f t="shared" si="6"/>
        <v>15000</v>
      </c>
      <c r="X42" s="29">
        <f t="shared" si="7"/>
        <v>116.63642393952443</v>
      </c>
      <c r="Y42" s="48">
        <f t="shared" si="25"/>
        <v>-2.0409541247237</v>
      </c>
      <c r="Z42" s="51">
        <f t="shared" si="20"/>
        <v>-438.29516475796311</v>
      </c>
      <c r="AB42" s="4">
        <f t="shared" si="21"/>
        <v>1.5</v>
      </c>
      <c r="AC42" s="5">
        <f t="shared" si="8"/>
        <v>41.5</v>
      </c>
      <c r="AD42" s="13">
        <f t="shared" si="22"/>
        <v>8.5694486919794658E-4</v>
      </c>
      <c r="AE42" s="14">
        <f t="shared" si="23"/>
        <v>0.99880155676932192</v>
      </c>
      <c r="AF42" s="4">
        <f t="shared" si="9"/>
        <v>1</v>
      </c>
      <c r="AG42">
        <f t="shared" si="24"/>
        <v>0.90032452258626561</v>
      </c>
      <c r="AH42">
        <f t="shared" si="10"/>
        <v>7.7060384715896811E-4</v>
      </c>
      <c r="AI42" s="5">
        <f t="shared" si="11"/>
        <v>0.89924553475675861</v>
      </c>
    </row>
    <row r="43" spans="1:35" x14ac:dyDescent="0.45">
      <c r="A43" s="4">
        <f t="shared" si="12"/>
        <v>1.6</v>
      </c>
      <c r="B43" s="5">
        <f t="shared" si="0"/>
        <v>41.6</v>
      </c>
      <c r="C43" s="14">
        <f>_xlfn.XLOOKUP($B43,'Q1 Base'!$C$8:$C$208,'Q1 Base'!$D$8:$D$208,,0,)</f>
        <v>8.6449229142685966E-4</v>
      </c>
      <c r="D43">
        <f t="shared" si="13"/>
        <v>0.99871596498237991</v>
      </c>
      <c r="E43" s="5">
        <f t="shared" si="1"/>
        <v>-8.6338225305220494E-4</v>
      </c>
      <c r="G43" s="4">
        <f t="shared" si="14"/>
        <v>18.399999999999999</v>
      </c>
      <c r="H43" s="5">
        <f t="shared" si="2"/>
        <v>58.4</v>
      </c>
      <c r="I43">
        <f t="shared" si="15"/>
        <v>226.52274517552507</v>
      </c>
      <c r="J43" s="14">
        <f>_xlfn.XLOOKUP($H43,'Q1 Base'!$C$8:$C$208,'Q1 Base'!$D$8:$D$208,,0,)</f>
        <v>3.113317086570146E-3</v>
      </c>
      <c r="K43" s="29" cm="1">
        <f t="array" ref="K43">I43*$B$7+$E$6-J43*(SumAssdTA-I43)</f>
        <v>-114.76987936167615</v>
      </c>
      <c r="M43" s="4">
        <f t="shared" si="16"/>
        <v>18.399999999999999</v>
      </c>
      <c r="N43" s="5">
        <f t="shared" si="3"/>
        <v>58.4</v>
      </c>
      <c r="O43">
        <f t="shared" si="17"/>
        <v>262.20045238341663</v>
      </c>
      <c r="P43" s="14">
        <f>_xlfn.XLOOKUP($N43,'Q1 Base'!$C$8:$C$208,'Q1 Base'!$D$8:$D$208,,0,)</f>
        <v>3.113317086570146E-3</v>
      </c>
      <c r="Q43" s="29">
        <f t="shared" si="4"/>
        <v>-135.71019121270686</v>
      </c>
      <c r="S43" s="4">
        <f t="shared" si="18"/>
        <v>18.399999999999999</v>
      </c>
      <c r="T43" s="5">
        <f t="shared" si="5"/>
        <v>58.4</v>
      </c>
      <c r="U43">
        <f t="shared" si="19"/>
        <v>-235.20867658869258</v>
      </c>
      <c r="V43" s="14">
        <f>_xlfn.XLOOKUP($T43,'Q1 Base'!$C$8:$C$208,'Q1 Base'!$D$8:$D$208,,0,)</f>
        <v>3.113317086570146E-3</v>
      </c>
      <c r="W43" s="32">
        <f t="shared" si="6"/>
        <v>16000</v>
      </c>
      <c r="X43" s="29">
        <f t="shared" si="7"/>
        <v>112.99004006193604</v>
      </c>
      <c r="Y43" s="48">
        <f t="shared" si="25"/>
        <v>-2.038344632484641</v>
      </c>
      <c r="Z43" s="51">
        <f t="shared" si="20"/>
        <v>-461.73142176421766</v>
      </c>
      <c r="AB43" s="4">
        <f t="shared" si="21"/>
        <v>1.6</v>
      </c>
      <c r="AC43" s="5">
        <f t="shared" si="8"/>
        <v>41.6</v>
      </c>
      <c r="AD43" s="13">
        <f t="shared" si="22"/>
        <v>8.6449229142685966E-4</v>
      </c>
      <c r="AE43" s="14">
        <f t="shared" si="23"/>
        <v>0.99871596498237991</v>
      </c>
      <c r="AF43" s="4">
        <f t="shared" si="9"/>
        <v>1</v>
      </c>
      <c r="AG43">
        <f t="shared" si="24"/>
        <v>0.89404425750035721</v>
      </c>
      <c r="AH43">
        <f t="shared" si="10"/>
        <v>7.7190194536904408E-4</v>
      </c>
      <c r="AI43" s="5">
        <f t="shared" si="11"/>
        <v>0.89289627336642463</v>
      </c>
    </row>
    <row r="44" spans="1:35" x14ac:dyDescent="0.45">
      <c r="A44" s="4">
        <f t="shared" si="12"/>
        <v>1.7</v>
      </c>
      <c r="B44" s="5">
        <f t="shared" si="0"/>
        <v>41.7</v>
      </c>
      <c r="C44" s="14">
        <f>_xlfn.XLOOKUP($B44,'Q1 Base'!$C$8:$C$208,'Q1 Base'!$D$8:$D$208,,0,)</f>
        <v>8.7203971365577262E-4</v>
      </c>
      <c r="D44">
        <f t="shared" si="13"/>
        <v>0.99862962675707467</v>
      </c>
      <c r="E44" s="5">
        <f t="shared" si="1"/>
        <v>-8.7084469376541053E-4</v>
      </c>
      <c r="G44" s="4">
        <f t="shared" si="14"/>
        <v>18.3</v>
      </c>
      <c r="H44" s="5">
        <f t="shared" si="2"/>
        <v>58.3</v>
      </c>
      <c r="I44">
        <f t="shared" si="15"/>
        <v>237.99973311169268</v>
      </c>
      <c r="J44" s="14">
        <f>_xlfn.XLOOKUP($H44,'Q1 Base'!$C$8:$C$208,'Q1 Base'!$D$8:$D$208,,0,)</f>
        <v>3.0923166695846749E-3</v>
      </c>
      <c r="K44" s="29" cm="1">
        <f t="array" ref="K44">I44*$B$7+$E$6-J44*(SumAssdTA-I44)</f>
        <v>-111.83571509859101</v>
      </c>
      <c r="M44" s="4">
        <f t="shared" si="16"/>
        <v>18.3</v>
      </c>
      <c r="N44" s="5">
        <f t="shared" si="3"/>
        <v>58.3</v>
      </c>
      <c r="O44">
        <f t="shared" si="17"/>
        <v>275.77147150468733</v>
      </c>
      <c r="P44" s="14">
        <f>_xlfn.XLOOKUP($N44,'Q1 Base'!$C$8:$C$208,'Q1 Base'!$D$8:$D$208,,0,)</f>
        <v>3.0923166695846749E-3</v>
      </c>
      <c r="Q44" s="29">
        <f t="shared" si="4"/>
        <v>-132.62371860585267</v>
      </c>
      <c r="S44" s="4">
        <f t="shared" si="18"/>
        <v>18.3</v>
      </c>
      <c r="T44" s="5">
        <f t="shared" si="5"/>
        <v>58.3</v>
      </c>
      <c r="U44">
        <f t="shared" si="19"/>
        <v>-246.50768059488618</v>
      </c>
      <c r="V44" s="14">
        <f>_xlfn.XLOOKUP($T44,'Q1 Base'!$C$8:$C$208,'Q1 Base'!$D$8:$D$208,,0,)</f>
        <v>3.0923166695846749E-3</v>
      </c>
      <c r="W44" s="32">
        <f t="shared" si="6"/>
        <v>17000</v>
      </c>
      <c r="X44" s="29">
        <f t="shared" si="7"/>
        <v>109.41279916553427</v>
      </c>
      <c r="Y44" s="48">
        <f t="shared" si="25"/>
        <v>-2.0357477185875696</v>
      </c>
      <c r="Z44" s="51">
        <f t="shared" si="20"/>
        <v>-484.50741370657886</v>
      </c>
      <c r="AB44" s="4">
        <f t="shared" si="21"/>
        <v>1.7</v>
      </c>
      <c r="AC44" s="5">
        <f t="shared" si="8"/>
        <v>41.7</v>
      </c>
      <c r="AD44" s="13">
        <f t="shared" si="22"/>
        <v>8.7203971365577262E-4</v>
      </c>
      <c r="AE44" s="14">
        <f t="shared" si="23"/>
        <v>0.99862962675707467</v>
      </c>
      <c r="AF44" s="4">
        <f t="shared" si="9"/>
        <v>1</v>
      </c>
      <c r="AG44">
        <f t="shared" si="24"/>
        <v>0.88780780076195009</v>
      </c>
      <c r="AH44">
        <f t="shared" si="10"/>
        <v>7.7314271237708299E-4</v>
      </c>
      <c r="AI44" s="5">
        <f t="shared" si="11"/>
        <v>0.88659117270692556</v>
      </c>
    </row>
    <row r="45" spans="1:35" x14ac:dyDescent="0.45">
      <c r="A45" s="4">
        <f t="shared" si="12"/>
        <v>1.8</v>
      </c>
      <c r="B45" s="5">
        <f t="shared" si="0"/>
        <v>41.8</v>
      </c>
      <c r="C45" s="14">
        <f>_xlfn.XLOOKUP($B45,'Q1 Base'!$C$8:$C$208,'Q1 Base'!$D$8:$D$208,,0,)</f>
        <v>8.7958713588468527E-4</v>
      </c>
      <c r="D45">
        <f t="shared" si="13"/>
        <v>0.99854254228769812</v>
      </c>
      <c r="E45" s="5">
        <f t="shared" si="1"/>
        <v>-8.7830517482984864E-4</v>
      </c>
      <c r="G45" s="4">
        <f t="shared" si="14"/>
        <v>18.2</v>
      </c>
      <c r="H45" s="5">
        <f t="shared" si="2"/>
        <v>58.2</v>
      </c>
      <c r="I45">
        <f t="shared" si="15"/>
        <v>249.18330462155177</v>
      </c>
      <c r="J45" s="14">
        <f>_xlfn.XLOOKUP($H45,'Q1 Base'!$C$8:$C$208,'Q1 Base'!$D$8:$D$208,,0,)</f>
        <v>3.0713162525992069E-3</v>
      </c>
      <c r="K45" s="29" cm="1">
        <f t="array" ref="K45">I45*$B$7+$E$6-J45*(SumAssdTA-I45)</f>
        <v>-108.92347320305154</v>
      </c>
      <c r="M45" s="4">
        <f t="shared" si="16"/>
        <v>18.2</v>
      </c>
      <c r="N45" s="5">
        <f t="shared" si="3"/>
        <v>58.2</v>
      </c>
      <c r="O45">
        <f t="shared" si="17"/>
        <v>289.03384336527262</v>
      </c>
      <c r="P45" s="14">
        <f>_xlfn.XLOOKUP($N45,'Q1 Base'!$C$8:$C$208,'Q1 Base'!$D$8:$D$208,,0,)</f>
        <v>3.0713162525992069E-3</v>
      </c>
      <c r="Q45" s="29">
        <f t="shared" si="4"/>
        <v>-129.56036925471574</v>
      </c>
      <c r="S45" s="4">
        <f t="shared" si="18"/>
        <v>18.2</v>
      </c>
      <c r="T45" s="5">
        <f t="shared" si="5"/>
        <v>58.2</v>
      </c>
      <c r="U45">
        <f t="shared" si="19"/>
        <v>-257.44896051143962</v>
      </c>
      <c r="V45" s="14">
        <f>_xlfn.XLOOKUP($T45,'Q1 Base'!$C$8:$C$208,'Q1 Base'!$D$8:$D$208,,0,)</f>
        <v>3.0713162525992069E-3</v>
      </c>
      <c r="W45" s="32">
        <f t="shared" si="6"/>
        <v>18000.000000000029</v>
      </c>
      <c r="X45" s="29">
        <f t="shared" si="7"/>
        <v>105.90417304077985</v>
      </c>
      <c r="Y45" s="48">
        <f t="shared" si="25"/>
        <v>-2.0331709859231593</v>
      </c>
      <c r="Z45" s="51">
        <f t="shared" si="20"/>
        <v>-506.63226513299139</v>
      </c>
      <c r="AB45" s="4">
        <f t="shared" si="21"/>
        <v>1.8</v>
      </c>
      <c r="AC45" s="5">
        <f t="shared" si="8"/>
        <v>41.8</v>
      </c>
      <c r="AD45" s="13">
        <f t="shared" si="22"/>
        <v>8.7958713588468527E-4</v>
      </c>
      <c r="AE45" s="14">
        <f t="shared" si="23"/>
        <v>0.99854254228769812</v>
      </c>
      <c r="AF45" s="4">
        <f t="shared" si="9"/>
        <v>1</v>
      </c>
      <c r="AG45">
        <f t="shared" si="24"/>
        <v>0.88161484678341606</v>
      </c>
      <c r="AH45">
        <f t="shared" si="10"/>
        <v>7.7432688213669842E-4</v>
      </c>
      <c r="AI45" s="5">
        <f t="shared" si="11"/>
        <v>0.88032993042569174</v>
      </c>
    </row>
    <row r="46" spans="1:35" x14ac:dyDescent="0.45">
      <c r="A46" s="4">
        <f t="shared" si="12"/>
        <v>1.9</v>
      </c>
      <c r="B46" s="5">
        <f t="shared" si="0"/>
        <v>41.9</v>
      </c>
      <c r="C46" s="14">
        <f>_xlfn.XLOOKUP($B46,'Q1 Base'!$C$8:$C$208,'Q1 Base'!$D$8:$D$208,,0,)</f>
        <v>8.8713455811359834E-4</v>
      </c>
      <c r="D46">
        <f t="shared" si="13"/>
        <v>0.99845471177021516</v>
      </c>
      <c r="E46" s="5">
        <f t="shared" si="1"/>
        <v>-8.8576367952271004E-4</v>
      </c>
      <c r="G46" s="4">
        <f t="shared" si="14"/>
        <v>18.100000000000001</v>
      </c>
      <c r="H46" s="5">
        <f t="shared" si="2"/>
        <v>58.1</v>
      </c>
      <c r="I46">
        <f t="shared" si="15"/>
        <v>260.0756519418569</v>
      </c>
      <c r="J46" s="14">
        <f>_xlfn.XLOOKUP($H46,'Q1 Base'!$C$8:$C$208,'Q1 Base'!$D$8:$D$208,,0,)</f>
        <v>3.0503158356137358E-3</v>
      </c>
      <c r="K46" s="29" cm="1">
        <f t="array" ref="K46">I46*$B$7+$E$6-J46*(SumAssdTA-I46)</f>
        <v>-106.03297504586783</v>
      </c>
      <c r="M46" s="4">
        <f t="shared" si="16"/>
        <v>18.100000000000001</v>
      </c>
      <c r="N46" s="5">
        <f t="shared" si="3"/>
        <v>58.1</v>
      </c>
      <c r="O46">
        <f t="shared" si="17"/>
        <v>301.98988029074417</v>
      </c>
      <c r="P46" s="14">
        <f>_xlfn.XLOOKUP($N46,'Q1 Base'!$C$8:$C$208,'Q1 Base'!$D$8:$D$208,,0,)</f>
        <v>3.0503158356137358E-3</v>
      </c>
      <c r="Q46" s="29">
        <f t="shared" si="4"/>
        <v>-126.51995479801872</v>
      </c>
      <c r="S46" s="4">
        <f t="shared" si="18"/>
        <v>18.100000000000001</v>
      </c>
      <c r="T46" s="5">
        <f t="shared" si="5"/>
        <v>58.1</v>
      </c>
      <c r="U46">
        <f t="shared" si="19"/>
        <v>-268.03937781551758</v>
      </c>
      <c r="V46" s="14">
        <f>_xlfn.XLOOKUP($T46,'Q1 Base'!$C$8:$C$208,'Q1 Base'!$D$8:$D$208,,0,)</f>
        <v>3.0503158356137358E-3</v>
      </c>
      <c r="W46" s="32">
        <f t="shared" si="6"/>
        <v>19000</v>
      </c>
      <c r="X46" s="29">
        <f t="shared" si="7"/>
        <v>102.46363791753404</v>
      </c>
      <c r="Y46" s="48">
        <f t="shared" si="25"/>
        <v>-2.0306208051934096</v>
      </c>
      <c r="Z46" s="51">
        <f t="shared" si="20"/>
        <v>-528.11502975737449</v>
      </c>
      <c r="AB46" s="4">
        <f t="shared" si="21"/>
        <v>1.9</v>
      </c>
      <c r="AC46" s="5">
        <f t="shared" si="8"/>
        <v>41.9</v>
      </c>
      <c r="AD46" s="13">
        <f t="shared" si="22"/>
        <v>8.8713455811359834E-4</v>
      </c>
      <c r="AE46" s="14">
        <f t="shared" si="23"/>
        <v>0.99845471177021516</v>
      </c>
      <c r="AF46" s="4">
        <f t="shared" si="9"/>
        <v>1</v>
      </c>
      <c r="AG46">
        <f t="shared" si="24"/>
        <v>0.8754650921087711</v>
      </c>
      <c r="AH46">
        <f t="shared" si="10"/>
        <v>7.7545518127995338E-4</v>
      </c>
      <c r="AI46" s="5">
        <f t="shared" si="11"/>
        <v>0.87411224620634798</v>
      </c>
    </row>
    <row r="47" spans="1:35" x14ac:dyDescent="0.45">
      <c r="A47" s="4">
        <f t="shared" si="12"/>
        <v>2</v>
      </c>
      <c r="B47" s="5">
        <f t="shared" si="0"/>
        <v>42</v>
      </c>
      <c r="C47" s="14">
        <f>_xlfn.XLOOKUP($B47,'Q1 Base'!$C$8:$C$208,'Q1 Base'!$D$8:$D$208,,0,)</f>
        <v>8.9468198034251142E-4</v>
      </c>
      <c r="D47">
        <f t="shared" si="13"/>
        <v>0.99836613540226293</v>
      </c>
      <c r="E47" s="5">
        <f t="shared" si="1"/>
        <v>-8.9322019112859647E-4</v>
      </c>
      <c r="G47" s="4">
        <f t="shared" si="14"/>
        <v>18</v>
      </c>
      <c r="H47" s="5">
        <f t="shared" si="2"/>
        <v>58</v>
      </c>
      <c r="I47">
        <f t="shared" si="15"/>
        <v>270.67894944644371</v>
      </c>
      <c r="J47" s="14">
        <f>_xlfn.XLOOKUP($H47,'Q1 Base'!$C$8:$C$208,'Q1 Base'!$D$8:$D$208,,0,)</f>
        <v>3.0293154186282656E-3</v>
      </c>
      <c r="K47" s="29" cm="1">
        <f t="array" ref="K47">I47*$B$7+$E$6-J47*(SumAssdTA-I47)</f>
        <v>-103.16404348651929</v>
      </c>
      <c r="M47" s="4">
        <f t="shared" si="16"/>
        <v>18</v>
      </c>
      <c r="N47" s="5">
        <f t="shared" si="3"/>
        <v>58</v>
      </c>
      <c r="O47">
        <f t="shared" si="17"/>
        <v>314.64187577054605</v>
      </c>
      <c r="P47" s="14">
        <f>_xlfn.XLOOKUP($N47,'Q1 Base'!$C$8:$C$208,'Q1 Base'!$D$8:$D$208,,0,)</f>
        <v>3.0293154186282656E-3</v>
      </c>
      <c r="Q47" s="29">
        <f t="shared" si="4"/>
        <v>-123.50228844431371</v>
      </c>
      <c r="S47" s="4">
        <f t="shared" si="18"/>
        <v>18</v>
      </c>
      <c r="T47" s="5">
        <f t="shared" si="5"/>
        <v>58</v>
      </c>
      <c r="U47">
        <f t="shared" si="19"/>
        <v>-278.28574160727101</v>
      </c>
      <c r="V47" s="14">
        <f>_xlfn.XLOOKUP($T47,'Q1 Base'!$C$8:$C$208,'Q1 Base'!$D$8:$D$208,,0,)</f>
        <v>3.0293154186282656E-3</v>
      </c>
      <c r="W47" s="32">
        <f t="shared" si="6"/>
        <v>20000</v>
      </c>
      <c r="X47" s="29">
        <f t="shared" si="7"/>
        <v>99.090674427090406</v>
      </c>
      <c r="Y47" s="48">
        <f t="shared" si="25"/>
        <v>-2.0281026366342254</v>
      </c>
      <c r="Z47" s="51">
        <f t="shared" si="20"/>
        <v>-548.96469105371466</v>
      </c>
      <c r="AB47" s="4">
        <f t="shared" si="21"/>
        <v>2</v>
      </c>
      <c r="AC47" s="5">
        <f t="shared" si="8"/>
        <v>42</v>
      </c>
      <c r="AD47" s="13">
        <f t="shared" si="22"/>
        <v>8.9468198034251142E-4</v>
      </c>
      <c r="AE47" s="14">
        <f t="shared" si="23"/>
        <v>0.99836613540226293</v>
      </c>
      <c r="AF47" s="4">
        <f t="shared" si="9"/>
        <v>1</v>
      </c>
      <c r="AG47">
        <f t="shared" si="24"/>
        <v>0.86935823539880586</v>
      </c>
      <c r="AH47">
        <f t="shared" si="10"/>
        <v>7.7652832918214071E-4</v>
      </c>
      <c r="AI47" s="5">
        <f t="shared" si="11"/>
        <v>0.86793782175523659</v>
      </c>
    </row>
    <row r="48" spans="1:35" x14ac:dyDescent="0.45">
      <c r="A48" s="4">
        <f t="shared" si="12"/>
        <v>2.1</v>
      </c>
      <c r="B48" s="5">
        <f t="shared" si="0"/>
        <v>42.1</v>
      </c>
      <c r="C48" s="14">
        <f>_xlfn.XLOOKUP($B48,'Q1 Base'!$C$8:$C$208,'Q1 Base'!$D$8:$D$208,,0,)</f>
        <v>9.0298544916636602E-4</v>
      </c>
      <c r="D48">
        <f t="shared" si="13"/>
        <v>0.99827681338315011</v>
      </c>
      <c r="E48" s="5">
        <f t="shared" si="1"/>
        <v>-9.0142943672515238E-4</v>
      </c>
      <c r="G48" s="4">
        <f t="shared" si="14"/>
        <v>17.899999999999999</v>
      </c>
      <c r="H48" s="5">
        <f t="shared" si="2"/>
        <v>57.9</v>
      </c>
      <c r="I48">
        <f t="shared" si="15"/>
        <v>280.99535379509564</v>
      </c>
      <c r="J48" s="14">
        <f>_xlfn.XLOOKUP($H48,'Q1 Base'!$C$8:$C$208,'Q1 Base'!$D$8:$D$208,,0,)</f>
        <v>3.0099844299542209E-3</v>
      </c>
      <c r="K48" s="29" cm="1">
        <f t="array" ref="K48">I48*$B$7+$E$6-J48*(SumAssdTA-I48)</f>
        <v>-100.4829765899527</v>
      </c>
      <c r="M48" s="4">
        <f t="shared" si="16"/>
        <v>17.899999999999999</v>
      </c>
      <c r="N48" s="5">
        <f t="shared" si="3"/>
        <v>57.9</v>
      </c>
      <c r="O48">
        <f t="shared" si="17"/>
        <v>326.99210461497739</v>
      </c>
      <c r="P48" s="14">
        <f>_xlfn.XLOOKUP($N48,'Q1 Base'!$C$8:$C$208,'Q1 Base'!$D$8:$D$208,,0,)</f>
        <v>3.0099844299542209E-3</v>
      </c>
      <c r="Q48" s="29">
        <f t="shared" si="4"/>
        <v>-120.67358189980777</v>
      </c>
      <c r="S48" s="4">
        <f t="shared" si="18"/>
        <v>17.899999999999999</v>
      </c>
      <c r="T48" s="5">
        <f t="shared" si="5"/>
        <v>57.9</v>
      </c>
      <c r="U48">
        <f t="shared" si="19"/>
        <v>-288.19480904998005</v>
      </c>
      <c r="V48" s="14">
        <f>_xlfn.XLOOKUP($T48,'Q1 Base'!$C$8:$C$208,'Q1 Base'!$D$8:$D$208,,0,)</f>
        <v>3.0099844299542209E-3</v>
      </c>
      <c r="W48" s="32">
        <f t="shared" si="6"/>
        <v>21000.000000000029</v>
      </c>
      <c r="X48" s="29">
        <f t="shared" si="7"/>
        <v>95.7492284494286</v>
      </c>
      <c r="Y48" s="48">
        <f t="shared" si="25"/>
        <v>-2.0256212608416804</v>
      </c>
      <c r="Z48" s="51">
        <f t="shared" si="20"/>
        <v>-569.19016284507575</v>
      </c>
      <c r="AB48" s="4">
        <f t="shared" si="21"/>
        <v>2.1</v>
      </c>
      <c r="AC48" s="5">
        <f t="shared" si="8"/>
        <v>42.1</v>
      </c>
      <c r="AD48" s="13">
        <f t="shared" si="22"/>
        <v>9.0298544916636602E-4</v>
      </c>
      <c r="AE48" s="14">
        <f t="shared" si="23"/>
        <v>0.99827681338315011</v>
      </c>
      <c r="AF48" s="4">
        <f t="shared" si="9"/>
        <v>1</v>
      </c>
      <c r="AG48">
        <f t="shared" si="24"/>
        <v>0.86329397741631941</v>
      </c>
      <c r="AH48">
        <f t="shared" si="10"/>
        <v>7.7819860379060922E-4</v>
      </c>
      <c r="AI48" s="5">
        <f t="shared" si="11"/>
        <v>0.86180636078802852</v>
      </c>
    </row>
    <row r="49" spans="1:35" x14ac:dyDescent="0.45">
      <c r="A49" s="4">
        <f t="shared" si="12"/>
        <v>2.2000000000000002</v>
      </c>
      <c r="B49" s="5">
        <f t="shared" si="0"/>
        <v>42.2</v>
      </c>
      <c r="C49" s="14">
        <f>_xlfn.XLOOKUP($B49,'Q1 Base'!$C$8:$C$208,'Q1 Base'!$D$8:$D$208,,0,)</f>
        <v>9.1128891799022041E-4</v>
      </c>
      <c r="D49">
        <f t="shared" si="13"/>
        <v>0.99818667043947762</v>
      </c>
      <c r="E49" s="5">
        <f t="shared" si="1"/>
        <v>-9.0963645085705234E-4</v>
      </c>
      <c r="G49" s="4">
        <f t="shared" si="14"/>
        <v>17.8</v>
      </c>
      <c r="H49" s="5">
        <f t="shared" si="2"/>
        <v>57.8</v>
      </c>
      <c r="I49">
        <f t="shared" si="15"/>
        <v>291.04365145409093</v>
      </c>
      <c r="J49" s="14">
        <f>_xlfn.XLOOKUP($H49,'Q1 Base'!$C$8:$C$208,'Q1 Base'!$D$8:$D$208,,0,)</f>
        <v>2.9906534412801767E-3</v>
      </c>
      <c r="K49" s="29" cm="1">
        <f t="array" ref="K49">I49*$B$7+$E$6-J49*(SumAssdTA-I49)</f>
        <v>-97.821877828447356</v>
      </c>
      <c r="M49" s="4">
        <f t="shared" si="16"/>
        <v>17.8</v>
      </c>
      <c r="N49" s="5">
        <f t="shared" si="3"/>
        <v>57.8</v>
      </c>
      <c r="O49">
        <f t="shared" si="17"/>
        <v>339.05946280495817</v>
      </c>
      <c r="P49" s="14">
        <f>_xlfn.XLOOKUP($N49,'Q1 Base'!$C$8:$C$208,'Q1 Base'!$D$8:$D$208,,0,)</f>
        <v>2.9906534412801767E-3</v>
      </c>
      <c r="Q49" s="29">
        <f t="shared" si="4"/>
        <v>-117.86599975347752</v>
      </c>
      <c r="S49" s="4">
        <f t="shared" si="18"/>
        <v>17.8</v>
      </c>
      <c r="T49" s="5">
        <f t="shared" si="5"/>
        <v>57.8</v>
      </c>
      <c r="U49">
        <f t="shared" si="19"/>
        <v>-297.76973189492293</v>
      </c>
      <c r="V49" s="14">
        <f>_xlfn.XLOOKUP($T49,'Q1 Base'!$C$8:$C$208,'Q1 Base'!$D$8:$D$208,,0,)</f>
        <v>2.9906534412801767E-3</v>
      </c>
      <c r="W49" s="32">
        <f t="shared" si="6"/>
        <v>22000</v>
      </c>
      <c r="X49" s="29">
        <f t="shared" si="7"/>
        <v>92.471216985790889</v>
      </c>
      <c r="Y49" s="48">
        <f t="shared" si="25"/>
        <v>-2.0231102118435764</v>
      </c>
      <c r="Z49" s="51">
        <f t="shared" si="20"/>
        <v>-588.81338334901386</v>
      </c>
      <c r="AB49" s="4">
        <f t="shared" si="21"/>
        <v>2.2000000000000002</v>
      </c>
      <c r="AC49" s="5">
        <f t="shared" si="8"/>
        <v>42.2</v>
      </c>
      <c r="AD49" s="13">
        <f t="shared" si="22"/>
        <v>9.1128891799022041E-4</v>
      </c>
      <c r="AE49" s="14">
        <f t="shared" si="23"/>
        <v>0.99818667043947762</v>
      </c>
      <c r="AF49" s="4">
        <f t="shared" si="9"/>
        <v>1</v>
      </c>
      <c r="AG49">
        <f t="shared" si="24"/>
        <v>0.85727202101145739</v>
      </c>
      <c r="AH49">
        <f t="shared" si="10"/>
        <v>7.7980587861191451E-4</v>
      </c>
      <c r="AI49" s="5">
        <f t="shared" si="11"/>
        <v>0.85571750431434856</v>
      </c>
    </row>
    <row r="50" spans="1:35" x14ac:dyDescent="0.45">
      <c r="A50" s="4">
        <f t="shared" si="12"/>
        <v>2.2999999999999998</v>
      </c>
      <c r="B50" s="5">
        <f t="shared" si="0"/>
        <v>42.3</v>
      </c>
      <c r="C50" s="14">
        <f>_xlfn.XLOOKUP($B50,'Q1 Base'!$C$8:$C$208,'Q1 Base'!$D$8:$D$208,,0,)</f>
        <v>9.1959238681407426E-4</v>
      </c>
      <c r="D50">
        <f t="shared" si="13"/>
        <v>0.99809570679439197</v>
      </c>
      <c r="E50" s="5">
        <f t="shared" si="1"/>
        <v>-9.1784121327993535E-4</v>
      </c>
      <c r="G50" s="4">
        <f t="shared" si="14"/>
        <v>17.7</v>
      </c>
      <c r="H50" s="5">
        <f t="shared" si="2"/>
        <v>57.7</v>
      </c>
      <c r="I50">
        <f t="shared" si="15"/>
        <v>300.82583923693568</v>
      </c>
      <c r="J50" s="14">
        <f>_xlfn.XLOOKUP($H50,'Q1 Base'!$C$8:$C$208,'Q1 Base'!$D$8:$D$208,,0,)</f>
        <v>2.9713224526061333E-3</v>
      </c>
      <c r="K50" s="29" cm="1">
        <f t="array" ref="K50">I50*$B$7+$E$6-J50*(SumAssdTA-I50)</f>
        <v>-95.180585943579075</v>
      </c>
      <c r="M50" s="4">
        <f t="shared" si="16"/>
        <v>17.7</v>
      </c>
      <c r="N50" s="5">
        <f t="shared" si="3"/>
        <v>57.7</v>
      </c>
      <c r="O50">
        <f t="shared" si="17"/>
        <v>350.84606278030594</v>
      </c>
      <c r="P50" s="14">
        <f>_xlfn.XLOOKUP($N50,'Q1 Base'!$C$8:$C$208,'Q1 Base'!$D$8:$D$208,,0,)</f>
        <v>2.9713224526061333E-3</v>
      </c>
      <c r="Q50" s="29">
        <f t="shared" si="4"/>
        <v>-115.07937145328748</v>
      </c>
      <c r="S50" s="4">
        <f t="shared" si="18"/>
        <v>17.7</v>
      </c>
      <c r="T50" s="5">
        <f t="shared" si="5"/>
        <v>57.7</v>
      </c>
      <c r="U50">
        <f t="shared" si="19"/>
        <v>-307.01685359350199</v>
      </c>
      <c r="V50" s="14">
        <f>_xlfn.XLOOKUP($T50,'Q1 Base'!$C$8:$C$208,'Q1 Base'!$D$8:$D$208,,0,)</f>
        <v>2.9713224526061333E-3</v>
      </c>
      <c r="W50" s="32">
        <f t="shared" si="6"/>
        <v>23000</v>
      </c>
      <c r="X50" s="29">
        <f t="shared" si="7"/>
        <v>89.256157768102938</v>
      </c>
      <c r="Y50" s="48">
        <f t="shared" si="25"/>
        <v>-2.0205800617801657</v>
      </c>
      <c r="Z50" s="51">
        <f t="shared" si="20"/>
        <v>-607.84269283043773</v>
      </c>
      <c r="AB50" s="4">
        <f t="shared" si="21"/>
        <v>2.2999999999999998</v>
      </c>
      <c r="AC50" s="5">
        <f t="shared" si="8"/>
        <v>42.3</v>
      </c>
      <c r="AD50" s="13">
        <f t="shared" si="22"/>
        <v>9.1959238681407426E-4</v>
      </c>
      <c r="AE50" s="14">
        <f t="shared" si="23"/>
        <v>0.99809570679439197</v>
      </c>
      <c r="AF50" s="4">
        <f t="shared" si="9"/>
        <v>1</v>
      </c>
      <c r="AG50">
        <f t="shared" si="24"/>
        <v>0.8512920711071511</v>
      </c>
      <c r="AH50">
        <f t="shared" si="10"/>
        <v>7.813509474005766E-4</v>
      </c>
      <c r="AI50" s="5">
        <f t="shared" si="11"/>
        <v>0.84967096140015375</v>
      </c>
    </row>
    <row r="51" spans="1:35" x14ac:dyDescent="0.45">
      <c r="A51" s="4">
        <f t="shared" si="12"/>
        <v>2.4</v>
      </c>
      <c r="B51" s="5">
        <f t="shared" si="0"/>
        <v>42.4</v>
      </c>
      <c r="C51" s="14">
        <f>_xlfn.XLOOKUP($B51,'Q1 Base'!$C$8:$C$208,'Q1 Base'!$D$8:$D$208,,0,)</f>
        <v>9.2789585563792887E-4</v>
      </c>
      <c r="D51">
        <f t="shared" si="13"/>
        <v>0.99800392267306393</v>
      </c>
      <c r="E51" s="5">
        <f t="shared" si="1"/>
        <v>-9.2604370375873205E-4</v>
      </c>
      <c r="G51" s="4">
        <f t="shared" si="14"/>
        <v>17.600000000000001</v>
      </c>
      <c r="H51" s="5">
        <f t="shared" si="2"/>
        <v>57.6</v>
      </c>
      <c r="I51">
        <f t="shared" si="15"/>
        <v>310.34389783129359</v>
      </c>
      <c r="J51" s="14">
        <f>_xlfn.XLOOKUP($H51,'Q1 Base'!$C$8:$C$208,'Q1 Base'!$D$8:$D$208,,0,)</f>
        <v>2.9519914639320895E-3</v>
      </c>
      <c r="K51" s="29" cm="1">
        <f t="array" ref="K51">I51*$B$7+$E$6-J51*(SumAssdTA-I51)</f>
        <v>-92.558941007736991</v>
      </c>
      <c r="M51" s="4">
        <f t="shared" si="16"/>
        <v>17.600000000000001</v>
      </c>
      <c r="N51" s="5">
        <f t="shared" si="3"/>
        <v>57.6</v>
      </c>
      <c r="O51">
        <f t="shared" si="17"/>
        <v>362.3539999256347</v>
      </c>
      <c r="P51" s="14">
        <f>_xlfn.XLOOKUP($N51,'Q1 Base'!$C$8:$C$208,'Q1 Base'!$D$8:$D$208,,0,)</f>
        <v>2.9519914639320895E-3</v>
      </c>
      <c r="Q51" s="29">
        <f t="shared" si="4"/>
        <v>-112.31352785475553</v>
      </c>
      <c r="S51" s="4">
        <f t="shared" si="18"/>
        <v>17.600000000000001</v>
      </c>
      <c r="T51" s="5">
        <f t="shared" si="5"/>
        <v>57.6</v>
      </c>
      <c r="U51">
        <f t="shared" si="19"/>
        <v>-315.94246937031227</v>
      </c>
      <c r="V51" s="14">
        <f>_xlfn.XLOOKUP($T51,'Q1 Base'!$C$8:$C$208,'Q1 Base'!$D$8:$D$208,,0,)</f>
        <v>2.9519914639320895E-3</v>
      </c>
      <c r="W51" s="32">
        <f t="shared" si="6"/>
        <v>23999.999999999971</v>
      </c>
      <c r="X51" s="29">
        <f t="shared" si="7"/>
        <v>86.103572537033301</v>
      </c>
      <c r="Y51" s="48">
        <f t="shared" si="25"/>
        <v>-2.0180398956710341</v>
      </c>
      <c r="Z51" s="51">
        <f t="shared" si="20"/>
        <v>-626.2863672016058</v>
      </c>
      <c r="AB51" s="4">
        <f t="shared" si="21"/>
        <v>2.4</v>
      </c>
      <c r="AC51" s="5">
        <f t="shared" si="8"/>
        <v>42.4</v>
      </c>
      <c r="AD51" s="13">
        <f t="shared" si="22"/>
        <v>9.2789585563792887E-4</v>
      </c>
      <c r="AE51" s="14">
        <f t="shared" si="23"/>
        <v>0.99800392267306393</v>
      </c>
      <c r="AF51" s="4">
        <f t="shared" si="9"/>
        <v>1</v>
      </c>
      <c r="AG51">
        <f t="shared" si="24"/>
        <v>0.84535383468465874</v>
      </c>
      <c r="AH51">
        <f t="shared" si="10"/>
        <v>7.8283459605802829E-4</v>
      </c>
      <c r="AI51" s="5">
        <f t="shared" si="11"/>
        <v>0.84366644306200622</v>
      </c>
    </row>
    <row r="52" spans="1:35" x14ac:dyDescent="0.45">
      <c r="A52" s="4">
        <f t="shared" si="12"/>
        <v>2.5</v>
      </c>
      <c r="B52" s="5">
        <f t="shared" si="0"/>
        <v>42.5</v>
      </c>
      <c r="C52" s="14">
        <f>_xlfn.XLOOKUP($B52,'Q1 Base'!$C$8:$C$208,'Q1 Base'!$D$8:$D$208,,0,)</f>
        <v>9.3619932446178348E-4</v>
      </c>
      <c r="D52">
        <f t="shared" si="13"/>
        <v>0.99791131830268809</v>
      </c>
      <c r="E52" s="5">
        <f t="shared" si="1"/>
        <v>-9.3424390206774436E-4</v>
      </c>
      <c r="G52" s="4">
        <f t="shared" si="14"/>
        <v>17.5</v>
      </c>
      <c r="H52" s="5">
        <f t="shared" si="2"/>
        <v>57.5</v>
      </c>
      <c r="I52">
        <f t="shared" si="15"/>
        <v>319.59979193206726</v>
      </c>
      <c r="J52" s="14">
        <f>_xlfn.XLOOKUP($H52,'Q1 Base'!$C$8:$C$208,'Q1 Base'!$D$8:$D$208,,0,)</f>
        <v>2.9326604752580449E-3</v>
      </c>
      <c r="K52" s="29" cm="1">
        <f t="array" ref="K52">I52*$B$7+$E$6-J52*(SumAssdTA-I52)</f>
        <v>-89.956784412859918</v>
      </c>
      <c r="M52" s="4">
        <f t="shared" si="16"/>
        <v>17.5</v>
      </c>
      <c r="N52" s="5">
        <f t="shared" si="3"/>
        <v>57.5</v>
      </c>
      <c r="O52">
        <f t="shared" si="17"/>
        <v>373.58535271111026</v>
      </c>
      <c r="P52" s="14">
        <f>_xlfn.XLOOKUP($N52,'Q1 Base'!$C$8:$C$208,'Q1 Base'!$D$8:$D$208,,0,)</f>
        <v>2.9326604752580449E-3</v>
      </c>
      <c r="Q52" s="29">
        <f t="shared" si="4"/>
        <v>-109.56830120903876</v>
      </c>
      <c r="S52" s="4">
        <f t="shared" si="18"/>
        <v>17.5</v>
      </c>
      <c r="T52" s="5">
        <f t="shared" si="5"/>
        <v>57.5</v>
      </c>
      <c r="U52">
        <f t="shared" si="19"/>
        <v>-324.55282662401561</v>
      </c>
      <c r="V52" s="14">
        <f>_xlfn.XLOOKUP($T52,'Q1 Base'!$C$8:$C$208,'Q1 Base'!$D$8:$D$208,,0,)</f>
        <v>2.9326604752580449E-3</v>
      </c>
      <c r="W52" s="32">
        <f t="shared" si="6"/>
        <v>25000</v>
      </c>
      <c r="X52" s="29">
        <f t="shared" si="7"/>
        <v>83.012987008094271</v>
      </c>
      <c r="Y52" s="48">
        <f t="shared" si="25"/>
        <v>-2.0154976155084645</v>
      </c>
      <c r="Z52" s="51">
        <f t="shared" si="20"/>
        <v>-644.15261855608287</v>
      </c>
      <c r="AB52" s="4">
        <f t="shared" si="21"/>
        <v>2.5</v>
      </c>
      <c r="AC52" s="5">
        <f t="shared" si="8"/>
        <v>42.5</v>
      </c>
      <c r="AD52" s="13">
        <f t="shared" si="22"/>
        <v>9.3619932446178348E-4</v>
      </c>
      <c r="AE52" s="14">
        <f t="shared" si="23"/>
        <v>0.99791131830268809</v>
      </c>
      <c r="AF52" s="4">
        <f t="shared" si="9"/>
        <v>1</v>
      </c>
      <c r="AG52">
        <f t="shared" si="24"/>
        <v>0.83945702076920736</v>
      </c>
      <c r="AH52">
        <f t="shared" si="10"/>
        <v>7.8425760270158776E-4</v>
      </c>
      <c r="AI52" s="5">
        <f t="shared" si="11"/>
        <v>0.83770366225424675</v>
      </c>
    </row>
    <row r="53" spans="1:35" x14ac:dyDescent="0.45">
      <c r="A53" s="4">
        <f t="shared" si="12"/>
        <v>2.6</v>
      </c>
      <c r="B53" s="5">
        <f t="shared" si="0"/>
        <v>42.6</v>
      </c>
      <c r="C53" s="14">
        <f>_xlfn.XLOOKUP($B53,'Q1 Base'!$C$8:$C$208,'Q1 Base'!$D$8:$D$208,,0,)</f>
        <v>9.4450279328563787E-4</v>
      </c>
      <c r="D53">
        <f t="shared" si="13"/>
        <v>0.99781789391248132</v>
      </c>
      <c r="E53" s="5">
        <f t="shared" si="1"/>
        <v>-9.4244178799073085E-4</v>
      </c>
      <c r="G53" s="4">
        <f t="shared" si="14"/>
        <v>17.399999999999999</v>
      </c>
      <c r="H53" s="5">
        <f t="shared" si="2"/>
        <v>57.4</v>
      </c>
      <c r="I53">
        <f t="shared" si="15"/>
        <v>328.59547037335324</v>
      </c>
      <c r="J53" s="14">
        <f>_xlfn.XLOOKUP($H53,'Q1 Base'!$C$8:$C$208,'Q1 Base'!$D$8:$D$208,,0,)</f>
        <v>2.9133294865840002E-3</v>
      </c>
      <c r="K53" s="29" cm="1">
        <f t="array" ref="K53">I53*$B$7+$E$6-J53*(SumAssdTA-I53)</f>
        <v>-87.373958859268669</v>
      </c>
      <c r="M53" s="4">
        <f t="shared" si="16"/>
        <v>17.399999999999999</v>
      </c>
      <c r="N53" s="5">
        <f t="shared" si="3"/>
        <v>57.4</v>
      </c>
      <c r="O53">
        <f t="shared" si="17"/>
        <v>384.54218283201413</v>
      </c>
      <c r="P53" s="14">
        <f>_xlfn.XLOOKUP($N53,'Q1 Base'!$C$8:$C$208,'Q1 Base'!$D$8:$D$208,,0,)</f>
        <v>2.9133294865840002E-3</v>
      </c>
      <c r="Q53" s="29">
        <f t="shared" si="4"/>
        <v>-106.84352515112232</v>
      </c>
      <c r="S53" s="4">
        <f t="shared" si="18"/>
        <v>17.399999999999999</v>
      </c>
      <c r="T53" s="5">
        <f t="shared" si="5"/>
        <v>57.4</v>
      </c>
      <c r="U53">
        <f t="shared" si="19"/>
        <v>-332.85412532482502</v>
      </c>
      <c r="V53" s="14">
        <f>_xlfn.XLOOKUP($T53,'Q1 Base'!$C$8:$C$208,'Q1 Base'!$D$8:$D$208,,0,)</f>
        <v>2.9133294865840002E-3</v>
      </c>
      <c r="W53" s="32">
        <f t="shared" si="6"/>
        <v>26000.000000000029</v>
      </c>
      <c r="X53" s="29">
        <f t="shared" si="7"/>
        <v>79.983930838038233</v>
      </c>
      <c r="Y53" s="48">
        <f t="shared" si="25"/>
        <v>-2.0129601754602189</v>
      </c>
      <c r="Z53" s="51">
        <f t="shared" si="20"/>
        <v>-661.4495956981782</v>
      </c>
      <c r="AB53" s="4">
        <f t="shared" si="21"/>
        <v>2.6</v>
      </c>
      <c r="AC53" s="5">
        <f t="shared" si="8"/>
        <v>42.6</v>
      </c>
      <c r="AD53" s="13">
        <f t="shared" si="22"/>
        <v>9.4450279328563787E-4</v>
      </c>
      <c r="AE53" s="14">
        <f t="shared" si="23"/>
        <v>0.99781789391248132</v>
      </c>
      <c r="AF53" s="4">
        <f t="shared" si="9"/>
        <v>1</v>
      </c>
      <c r="AG53">
        <f t="shared" si="24"/>
        <v>0.8336013404157353</v>
      </c>
      <c r="AH53">
        <f t="shared" si="10"/>
        <v>7.8562073773287544E-4</v>
      </c>
      <c r="AI53" s="5">
        <f t="shared" si="11"/>
        <v>0.83178233385625044</v>
      </c>
    </row>
    <row r="54" spans="1:35" x14ac:dyDescent="0.45">
      <c r="A54" s="4">
        <f t="shared" si="12"/>
        <v>2.7</v>
      </c>
      <c r="B54" s="5">
        <f t="shared" si="0"/>
        <v>42.7</v>
      </c>
      <c r="C54" s="14">
        <f>_xlfn.XLOOKUP($B54,'Q1 Base'!$C$8:$C$208,'Q1 Base'!$D$8:$D$208,,0,)</f>
        <v>9.5280626210949247E-4</v>
      </c>
      <c r="D54">
        <f t="shared" si="13"/>
        <v>0.99772364973368222</v>
      </c>
      <c r="E54" s="5">
        <f t="shared" si="1"/>
        <v>-9.506373413209903E-4</v>
      </c>
      <c r="G54" s="4">
        <f t="shared" si="14"/>
        <v>17.3</v>
      </c>
      <c r="H54" s="5">
        <f t="shared" si="2"/>
        <v>57.3</v>
      </c>
      <c r="I54">
        <f t="shared" si="15"/>
        <v>337.33286625928008</v>
      </c>
      <c r="J54" s="14">
        <f>_xlfn.XLOOKUP($H54,'Q1 Base'!$C$8:$C$208,'Q1 Base'!$D$8:$D$208,,0,)</f>
        <v>2.8939984979099559E-3</v>
      </c>
      <c r="K54" s="29" cm="1">
        <f t="array" ref="K54">I54*$B$7+$E$6-J54*(SumAssdTA-I54)</f>
        <v>-84.810308344595967</v>
      </c>
      <c r="M54" s="4">
        <f t="shared" si="16"/>
        <v>17.3</v>
      </c>
      <c r="N54" s="5">
        <f t="shared" si="3"/>
        <v>57.3</v>
      </c>
      <c r="O54">
        <f t="shared" si="17"/>
        <v>395.22653534712634</v>
      </c>
      <c r="P54" s="14">
        <f>_xlfn.XLOOKUP($N54,'Q1 Base'!$C$8:$C$208,'Q1 Base'!$D$8:$D$208,,0,)</f>
        <v>2.8939984979099559E-3</v>
      </c>
      <c r="Q54" s="29">
        <f t="shared" si="4"/>
        <v>-104.13903468811117</v>
      </c>
      <c r="S54" s="4">
        <f t="shared" si="18"/>
        <v>17.3</v>
      </c>
      <c r="T54" s="5">
        <f t="shared" si="5"/>
        <v>57.3</v>
      </c>
      <c r="U54">
        <f t="shared" si="19"/>
        <v>-340.85251840862884</v>
      </c>
      <c r="V54" s="14">
        <f>_xlfn.XLOOKUP($T54,'Q1 Base'!$C$8:$C$208,'Q1 Base'!$D$8:$D$208,,0,)</f>
        <v>2.8939984979099559E-3</v>
      </c>
      <c r="W54" s="32">
        <f t="shared" si="6"/>
        <v>27000</v>
      </c>
      <c r="X54" s="29">
        <f t="shared" si="7"/>
        <v>77.015937591543775</v>
      </c>
      <c r="Y54" s="48">
        <f t="shared" si="25"/>
        <v>-2.01043376587754</v>
      </c>
      <c r="Z54" s="51">
        <f t="shared" si="20"/>
        <v>-678.18538466790892</v>
      </c>
      <c r="AB54" s="4">
        <f t="shared" si="21"/>
        <v>2.7</v>
      </c>
      <c r="AC54" s="5">
        <f t="shared" si="8"/>
        <v>42.7</v>
      </c>
      <c r="AD54" s="13">
        <f t="shared" si="22"/>
        <v>9.5280626210949247E-4</v>
      </c>
      <c r="AE54" s="14">
        <f t="shared" si="23"/>
        <v>0.99772364973368222</v>
      </c>
      <c r="AF54" s="4">
        <f t="shared" si="9"/>
        <v>1</v>
      </c>
      <c r="AG54">
        <f t="shared" si="24"/>
        <v>0.82778650669473364</v>
      </c>
      <c r="AH54">
        <f t="shared" si="10"/>
        <v>7.8692476390567173E-4</v>
      </c>
      <c r="AI54" s="5">
        <f t="shared" si="11"/>
        <v>0.82590217465976479</v>
      </c>
    </row>
    <row r="55" spans="1:35" x14ac:dyDescent="0.45">
      <c r="A55" s="4">
        <f t="shared" si="12"/>
        <v>2.8</v>
      </c>
      <c r="B55" s="5">
        <f t="shared" si="0"/>
        <v>42.8</v>
      </c>
      <c r="C55" s="14">
        <f>_xlfn.XLOOKUP($B55,'Q1 Base'!$C$8:$C$208,'Q1 Base'!$D$8:$D$208,,0,)</f>
        <v>9.6110973093334643E-4</v>
      </c>
      <c r="D55">
        <f t="shared" si="13"/>
        <v>0.99762858599955007</v>
      </c>
      <c r="E55" s="5">
        <f t="shared" si="1"/>
        <v>-9.5883054186144247E-4</v>
      </c>
      <c r="G55" s="4">
        <f t="shared" si="14"/>
        <v>17.2</v>
      </c>
      <c r="H55" s="5">
        <f t="shared" si="2"/>
        <v>57.2</v>
      </c>
      <c r="I55">
        <f t="shared" si="15"/>
        <v>345.81389709373968</v>
      </c>
      <c r="J55" s="14">
        <f>_xlfn.XLOOKUP($H55,'Q1 Base'!$C$8:$C$208,'Q1 Base'!$D$8:$D$208,,0,)</f>
        <v>2.8746675092359126E-3</v>
      </c>
      <c r="K55" s="29" cm="1">
        <f t="array" ref="K55">I55*$B$7+$E$6-J55*(SumAssdTA-I55)</f>
        <v>-82.265678152811859</v>
      </c>
      <c r="M55" s="4">
        <f t="shared" si="16"/>
        <v>17.2</v>
      </c>
      <c r="N55" s="5">
        <f t="shared" si="3"/>
        <v>57.2</v>
      </c>
      <c r="O55">
        <f t="shared" si="17"/>
        <v>405.64043881593744</v>
      </c>
      <c r="P55" s="14">
        <f>_xlfn.XLOOKUP($N55,'Q1 Base'!$C$8:$C$208,'Q1 Base'!$D$8:$D$208,,0,)</f>
        <v>2.8746675092359126E-3</v>
      </c>
      <c r="Q55" s="29">
        <f t="shared" si="4"/>
        <v>-101.45466618762242</v>
      </c>
      <c r="S55" s="4">
        <f t="shared" si="18"/>
        <v>17.2</v>
      </c>
      <c r="T55" s="5">
        <f t="shared" si="5"/>
        <v>57.2</v>
      </c>
      <c r="U55">
        <f t="shared" si="19"/>
        <v>-348.55411216778322</v>
      </c>
      <c r="V55" s="14">
        <f>_xlfn.XLOOKUP($T55,'Q1 Base'!$C$8:$C$208,'Q1 Base'!$D$8:$D$208,,0,)</f>
        <v>2.8746675092359126E-3</v>
      </c>
      <c r="W55" s="32">
        <f t="shared" si="6"/>
        <v>28000</v>
      </c>
      <c r="X55" s="29">
        <f t="shared" si="7"/>
        <v>74.108544708190323</v>
      </c>
      <c r="Y55" s="48">
        <f t="shared" si="25"/>
        <v>-2.0079239588029072</v>
      </c>
      <c r="Z55" s="51">
        <f t="shared" si="20"/>
        <v>-694.36800926152296</v>
      </c>
      <c r="AB55" s="4">
        <f t="shared" si="21"/>
        <v>2.8</v>
      </c>
      <c r="AC55" s="5">
        <f t="shared" si="8"/>
        <v>42.8</v>
      </c>
      <c r="AD55" s="13">
        <f t="shared" si="22"/>
        <v>9.6110973093334643E-4</v>
      </c>
      <c r="AE55" s="14">
        <f t="shared" si="23"/>
        <v>0.99762858599955007</v>
      </c>
      <c r="AF55" s="4">
        <f t="shared" si="9"/>
        <v>1</v>
      </c>
      <c r="AG55">
        <f t="shared" si="24"/>
        <v>0.82201223467818652</v>
      </c>
      <c r="AH55">
        <f t="shared" si="10"/>
        <v>7.8817043639322075E-4</v>
      </c>
      <c r="AI55" s="5">
        <f t="shared" si="11"/>
        <v>0.82006290335632948</v>
      </c>
    </row>
    <row r="56" spans="1:35" x14ac:dyDescent="0.45">
      <c r="A56" s="4">
        <f t="shared" si="12"/>
        <v>2.9</v>
      </c>
      <c r="B56" s="5">
        <f t="shared" si="0"/>
        <v>42.9</v>
      </c>
      <c r="C56" s="14">
        <f>_xlfn.XLOOKUP($B56,'Q1 Base'!$C$8:$C$208,'Q1 Base'!$D$8:$D$208,,0,)</f>
        <v>9.6941319975720082E-4</v>
      </c>
      <c r="D56">
        <f t="shared" si="13"/>
        <v>0.99753270294536389</v>
      </c>
      <c r="E56" s="5">
        <f t="shared" si="1"/>
        <v>-9.6702136942471454E-4</v>
      </c>
      <c r="G56" s="4">
        <f t="shared" si="14"/>
        <v>17.100000000000001</v>
      </c>
      <c r="H56" s="5">
        <f t="shared" si="2"/>
        <v>57.1</v>
      </c>
      <c r="I56">
        <f t="shared" si="15"/>
        <v>354.0404649090209</v>
      </c>
      <c r="J56" s="14">
        <f>_xlfn.XLOOKUP($H56,'Q1 Base'!$C$8:$C$208,'Q1 Base'!$D$8:$D$208,,0,)</f>
        <v>2.8553365205618679E-3</v>
      </c>
      <c r="K56" s="29" cm="1">
        <f t="array" ref="K56">I56*$B$7+$E$6-J56*(SumAssdTA-I56)</f>
        <v>-79.739914843343911</v>
      </c>
      <c r="M56" s="4">
        <f t="shared" si="16"/>
        <v>17.100000000000001</v>
      </c>
      <c r="N56" s="5">
        <f t="shared" si="3"/>
        <v>57.1</v>
      </c>
      <c r="O56">
        <f t="shared" si="17"/>
        <v>415.78590543469966</v>
      </c>
      <c r="P56" s="14">
        <f>_xlfn.XLOOKUP($N56,'Q1 Base'!$C$8:$C$208,'Q1 Base'!$D$8:$D$208,,0,)</f>
        <v>2.8553365205618679E-3</v>
      </c>
      <c r="Q56" s="29">
        <f t="shared" si="4"/>
        <v>-98.790257366278382</v>
      </c>
      <c r="S56" s="4">
        <f t="shared" si="18"/>
        <v>17.100000000000001</v>
      </c>
      <c r="T56" s="5">
        <f t="shared" si="5"/>
        <v>57.1</v>
      </c>
      <c r="U56">
        <f t="shared" si="19"/>
        <v>-355.96496663860228</v>
      </c>
      <c r="V56" s="14">
        <f>_xlfn.XLOOKUP($T56,'Q1 Base'!$C$8:$C$208,'Q1 Base'!$D$8:$D$208,,0,)</f>
        <v>2.8553365205618679E-3</v>
      </c>
      <c r="W56" s="32">
        <f t="shared" si="6"/>
        <v>28999.999999999971</v>
      </c>
      <c r="X56" s="29">
        <f t="shared" si="7"/>
        <v>71.261293469719959</v>
      </c>
      <c r="Y56" s="48">
        <f t="shared" si="25"/>
        <v>-2.0054358242074839</v>
      </c>
      <c r="Z56" s="51">
        <f t="shared" si="20"/>
        <v>-710.00543154762317</v>
      </c>
      <c r="AB56" s="4">
        <f t="shared" si="21"/>
        <v>2.9</v>
      </c>
      <c r="AC56" s="5">
        <f t="shared" si="8"/>
        <v>42.9</v>
      </c>
      <c r="AD56" s="13">
        <f t="shared" si="22"/>
        <v>9.6941319975720082E-4</v>
      </c>
      <c r="AE56" s="14">
        <f t="shared" si="23"/>
        <v>0.99753270294536389</v>
      </c>
      <c r="AF56" s="4">
        <f t="shared" si="9"/>
        <v>1</v>
      </c>
      <c r="AG56">
        <f t="shared" si="24"/>
        <v>0.8162782414256099</v>
      </c>
      <c r="AH56">
        <f t="shared" si="10"/>
        <v>7.8935850285499103E-4</v>
      </c>
      <c r="AI56" s="5">
        <f t="shared" si="11"/>
        <v>0.81426424052477697</v>
      </c>
    </row>
    <row r="57" spans="1:35" x14ac:dyDescent="0.45">
      <c r="A57" s="4">
        <f t="shared" si="12"/>
        <v>3</v>
      </c>
      <c r="B57" s="5">
        <f t="shared" si="0"/>
        <v>43</v>
      </c>
      <c r="C57" s="14">
        <f>_xlfn.XLOOKUP($B57,'Q1 Base'!$C$8:$C$208,'Q1 Base'!$D$8:$D$208,,0,)</f>
        <v>9.7771666858105554E-4</v>
      </c>
      <c r="D57">
        <f t="shared" si="13"/>
        <v>0.99743600080842143</v>
      </c>
      <c r="E57" s="5">
        <f t="shared" si="1"/>
        <v>-9.7520980383322079E-4</v>
      </c>
      <c r="G57" s="4">
        <f t="shared" si="14"/>
        <v>17</v>
      </c>
      <c r="H57" s="5">
        <f t="shared" si="2"/>
        <v>57</v>
      </c>
      <c r="I57">
        <f t="shared" si="15"/>
        <v>362.01445639335532</v>
      </c>
      <c r="J57" s="14">
        <f>_xlfn.XLOOKUP($H57,'Q1 Base'!$C$8:$C$208,'Q1 Base'!$D$8:$D$208,,0,)</f>
        <v>2.8360055318878237E-3</v>
      </c>
      <c r="K57" s="29" cm="1">
        <f t="array" ref="K57">I57*$B$7+$E$6-J57*(SumAssdTA-I57)</f>
        <v>-77.232866240292594</v>
      </c>
      <c r="M57" s="4">
        <f t="shared" si="16"/>
        <v>17</v>
      </c>
      <c r="N57" s="5">
        <f t="shared" si="3"/>
        <v>57</v>
      </c>
      <c r="O57">
        <f t="shared" si="17"/>
        <v>425.66493117132751</v>
      </c>
      <c r="P57" s="14">
        <f>_xlfn.XLOOKUP($N57,'Q1 Base'!$C$8:$C$208,'Q1 Base'!$D$8:$D$208,,0,)</f>
        <v>2.8360055318878237E-3</v>
      </c>
      <c r="Q57" s="29">
        <f t="shared" si="4"/>
        <v>-96.145647278300032</v>
      </c>
      <c r="S57" s="4">
        <f t="shared" si="18"/>
        <v>17</v>
      </c>
      <c r="T57" s="5">
        <f t="shared" si="5"/>
        <v>57</v>
      </c>
      <c r="U57">
        <f t="shared" si="19"/>
        <v>-363.09109598557427</v>
      </c>
      <c r="V57" s="14">
        <f>_xlfn.XLOOKUP($T57,'Q1 Base'!$C$8:$C$208,'Q1 Base'!$D$8:$D$208,,0,)</f>
        <v>2.8360055318878237E-3</v>
      </c>
      <c r="W57" s="32">
        <f t="shared" si="6"/>
        <v>30000</v>
      </c>
      <c r="X57" s="29">
        <f t="shared" si="7"/>
        <v>68.473728967580797</v>
      </c>
      <c r="Y57" s="48">
        <f t="shared" si="25"/>
        <v>-2.002974023752933</v>
      </c>
      <c r="Z57" s="51">
        <f t="shared" si="20"/>
        <v>-725.10555237892959</v>
      </c>
      <c r="AB57" s="4">
        <f t="shared" si="21"/>
        <v>3</v>
      </c>
      <c r="AC57" s="5">
        <f t="shared" si="8"/>
        <v>43</v>
      </c>
      <c r="AD57" s="13">
        <f t="shared" si="22"/>
        <v>9.7771666858105554E-4</v>
      </c>
      <c r="AE57" s="14">
        <f t="shared" si="23"/>
        <v>0.99743600080842143</v>
      </c>
      <c r="AF57" s="4">
        <f t="shared" si="9"/>
        <v>1</v>
      </c>
      <c r="AG57">
        <f t="shared" si="24"/>
        <v>0.81058424597018708</v>
      </c>
      <c r="AH57">
        <f t="shared" si="10"/>
        <v>7.904897035028853E-4</v>
      </c>
      <c r="AI57" s="5">
        <f t="shared" si="11"/>
        <v>0.80850590861881322</v>
      </c>
    </row>
    <row r="58" spans="1:35" x14ac:dyDescent="0.45">
      <c r="A58" s="4">
        <f t="shared" si="12"/>
        <v>3.1</v>
      </c>
      <c r="B58" s="5">
        <f t="shared" si="0"/>
        <v>43.1</v>
      </c>
      <c r="C58" s="14">
        <f>_xlfn.XLOOKUP($B58,'Q1 Base'!$C$8:$C$208,'Q1 Base'!$D$8:$D$208,,0,)</f>
        <v>9.8663509360149334E-4</v>
      </c>
      <c r="D58">
        <f t="shared" si="13"/>
        <v>0.99733847982803814</v>
      </c>
      <c r="E58" s="5">
        <f t="shared" si="1"/>
        <v>-9.840091443975075E-4</v>
      </c>
      <c r="G58" s="4">
        <f t="shared" si="14"/>
        <v>16.899999999999999</v>
      </c>
      <c r="H58" s="5">
        <f t="shared" si="2"/>
        <v>56.9</v>
      </c>
      <c r="I58">
        <f t="shared" si="15"/>
        <v>369.73774301738456</v>
      </c>
      <c r="J58" s="14">
        <f>_xlfn.XLOOKUP($H58,'Q1 Base'!$C$8:$C$208,'Q1 Base'!$D$8:$D$208,,0,)</f>
        <v>2.818006408632345E-3</v>
      </c>
      <c r="K58" s="29" cm="1">
        <f t="array" ref="K58">I58*$B$7+$E$6-J58*(SumAssdTA-I58)</f>
        <v>-74.877075522681366</v>
      </c>
      <c r="M58" s="4">
        <f t="shared" si="16"/>
        <v>16.899999999999999</v>
      </c>
      <c r="N58" s="5">
        <f t="shared" si="3"/>
        <v>56.9</v>
      </c>
      <c r="O58">
        <f t="shared" si="17"/>
        <v>435.2794958991575</v>
      </c>
      <c r="P58" s="14">
        <f>_xlfn.XLOOKUP($N58,'Q1 Base'!$C$8:$C$208,'Q1 Base'!$D$8:$D$208,,0,)</f>
        <v>2.818006408632345E-3</v>
      </c>
      <c r="Q58" s="29">
        <f t="shared" si="4"/>
        <v>-93.653283112346543</v>
      </c>
      <c r="S58" s="4">
        <f t="shared" si="18"/>
        <v>16.899999999999999</v>
      </c>
      <c r="T58" s="5">
        <f t="shared" si="5"/>
        <v>56.9</v>
      </c>
      <c r="U58">
        <f t="shared" si="19"/>
        <v>-369.93846888233236</v>
      </c>
      <c r="V58" s="14">
        <f>_xlfn.XLOOKUP($T58,'Q1 Base'!$C$8:$C$208,'Q1 Base'!$D$8:$D$208,,0,)</f>
        <v>2.818006408632345E-3</v>
      </c>
      <c r="W58" s="32">
        <f t="shared" si="6"/>
        <v>31000</v>
      </c>
      <c r="X58" s="29">
        <f t="shared" si="7"/>
        <v>65.703619534523966</v>
      </c>
      <c r="Y58" s="48">
        <f t="shared" si="25"/>
        <v>-2.0005428871375415</v>
      </c>
      <c r="Z58" s="51">
        <f t="shared" si="20"/>
        <v>-739.67621189971692</v>
      </c>
      <c r="AB58" s="4">
        <f t="shared" si="21"/>
        <v>3.1</v>
      </c>
      <c r="AC58" s="5">
        <f t="shared" si="8"/>
        <v>43.1</v>
      </c>
      <c r="AD58" s="13">
        <f t="shared" si="22"/>
        <v>9.8663509360149334E-4</v>
      </c>
      <c r="AE58" s="14">
        <f t="shared" si="23"/>
        <v>0.99733847982803814</v>
      </c>
      <c r="AF58" s="4">
        <f t="shared" si="9"/>
        <v>1</v>
      </c>
      <c r="AG58">
        <f t="shared" si="24"/>
        <v>0.80492996930500149</v>
      </c>
      <c r="AH58">
        <f t="shared" si="10"/>
        <v>7.9205845039572646E-4</v>
      </c>
      <c r="AI58" s="5">
        <f t="shared" si="11"/>
        <v>0.80278763195467961</v>
      </c>
    </row>
    <row r="59" spans="1:35" x14ac:dyDescent="0.45">
      <c r="A59" s="4">
        <f t="shared" si="12"/>
        <v>3.2</v>
      </c>
      <c r="B59" s="5">
        <f t="shared" si="0"/>
        <v>43.2</v>
      </c>
      <c r="C59" s="14">
        <f>_xlfn.XLOOKUP($B59,'Q1 Base'!$C$8:$C$208,'Q1 Base'!$D$8:$D$208,,0,)</f>
        <v>9.9555351862193136E-4</v>
      </c>
      <c r="D59">
        <f t="shared" si="13"/>
        <v>0.99724007891359834</v>
      </c>
      <c r="E59" s="5">
        <f t="shared" si="1"/>
        <v>-9.9280586947324539E-4</v>
      </c>
      <c r="G59" s="4">
        <f t="shared" si="14"/>
        <v>16.8</v>
      </c>
      <c r="H59" s="5">
        <f t="shared" si="2"/>
        <v>56.8</v>
      </c>
      <c r="I59">
        <f t="shared" si="15"/>
        <v>377.22545056965271</v>
      </c>
      <c r="J59" s="14">
        <f>_xlfn.XLOOKUP($H59,'Q1 Base'!$C$8:$C$208,'Q1 Base'!$D$8:$D$208,,0,)</f>
        <v>2.800007285376866E-3</v>
      </c>
      <c r="K59" s="29" cm="1">
        <f t="array" ref="K59">I59*$B$7+$E$6-J59*(SumAssdTA-I59)</f>
        <v>-72.538712987986287</v>
      </c>
      <c r="M59" s="4">
        <f t="shared" si="16"/>
        <v>16.8</v>
      </c>
      <c r="N59" s="5">
        <f t="shared" si="3"/>
        <v>56.8</v>
      </c>
      <c r="O59">
        <f t="shared" si="17"/>
        <v>444.64482421039213</v>
      </c>
      <c r="P59" s="14">
        <f>_xlfn.XLOOKUP($N59,'Q1 Base'!$C$8:$C$208,'Q1 Base'!$D$8:$D$208,,0,)</f>
        <v>2.800007285376866E-3</v>
      </c>
      <c r="Q59" s="29">
        <f t="shared" si="4"/>
        <v>-91.179409466808096</v>
      </c>
      <c r="S59" s="4">
        <f t="shared" si="18"/>
        <v>16.8</v>
      </c>
      <c r="T59" s="5">
        <f t="shared" si="5"/>
        <v>56.8</v>
      </c>
      <c r="U59">
        <f t="shared" si="19"/>
        <v>-376.50883083578475</v>
      </c>
      <c r="V59" s="14">
        <f>_xlfn.XLOOKUP($T59,'Q1 Base'!$C$8:$C$208,'Q1 Base'!$D$8:$D$208,,0,)</f>
        <v>2.800007285376866E-3</v>
      </c>
      <c r="W59" s="32">
        <f t="shared" si="6"/>
        <v>31999.999999999971</v>
      </c>
      <c r="X59" s="29">
        <f t="shared" si="7"/>
        <v>62.989921240086503</v>
      </c>
      <c r="Y59" s="48">
        <f t="shared" si="25"/>
        <v>-1.9981002879503866</v>
      </c>
      <c r="Z59" s="51">
        <f t="shared" si="20"/>
        <v>-753.73428140543751</v>
      </c>
      <c r="AB59" s="4">
        <f t="shared" si="21"/>
        <v>3.2</v>
      </c>
      <c r="AC59" s="5">
        <f t="shared" si="8"/>
        <v>43.2</v>
      </c>
      <c r="AD59" s="13">
        <f t="shared" si="22"/>
        <v>9.9555351862193136E-4</v>
      </c>
      <c r="AE59" s="14">
        <f t="shared" si="23"/>
        <v>0.99724007891359834</v>
      </c>
      <c r="AF59" s="4">
        <f t="shared" si="9"/>
        <v>1</v>
      </c>
      <c r="AG59">
        <f t="shared" si="24"/>
        <v>0.79931513436936508</v>
      </c>
      <c r="AH59">
        <f t="shared" si="10"/>
        <v>7.9356475696070144E-4</v>
      </c>
      <c r="AI59" s="5">
        <f t="shared" si="11"/>
        <v>0.79710908767533906</v>
      </c>
    </row>
    <row r="60" spans="1:35" x14ac:dyDescent="0.45">
      <c r="A60" s="4">
        <f t="shared" si="12"/>
        <v>3.3</v>
      </c>
      <c r="B60" s="5">
        <f t="shared" si="0"/>
        <v>43.3</v>
      </c>
      <c r="C60" s="14">
        <f>_xlfn.XLOOKUP($B60,'Q1 Base'!$C$8:$C$208,'Q1 Base'!$D$8:$D$208,,0,)</f>
        <v>1.0044719436423687E-3</v>
      </c>
      <c r="D60">
        <f t="shared" ref="D60:D91" si="26">D59+StepSizeQ1*E59</f>
        <v>0.99714079832665103</v>
      </c>
      <c r="E60" s="5">
        <f t="shared" si="1"/>
        <v>-1.0015999557802743E-3</v>
      </c>
      <c r="G60" s="4">
        <f t="shared" si="14"/>
        <v>16.7</v>
      </c>
      <c r="H60" s="5">
        <f t="shared" si="2"/>
        <v>56.7</v>
      </c>
      <c r="I60">
        <f t="shared" si="15"/>
        <v>384.47932186845134</v>
      </c>
      <c r="J60" s="14">
        <f>_xlfn.XLOOKUP($H60,'Q1 Base'!$C$8:$C$208,'Q1 Base'!$D$8:$D$208,,0,)</f>
        <v>2.7820081621213887E-3</v>
      </c>
      <c r="K60" s="29" cm="1">
        <f t="array" ref="K60">I60*$B$7+$E$6-J60*(SumAssdTA-I60)</f>
        <v>-70.217639069742347</v>
      </c>
      <c r="M60" s="4">
        <f t="shared" si="16"/>
        <v>16.7</v>
      </c>
      <c r="N60" s="5">
        <f t="shared" si="3"/>
        <v>56.7</v>
      </c>
      <c r="O60">
        <f t="shared" si="17"/>
        <v>453.76276515707292</v>
      </c>
      <c r="P60" s="14">
        <f>_xlfn.XLOOKUP($N60,'Q1 Base'!$C$8:$C$208,'Q1 Base'!$D$8:$D$208,,0,)</f>
        <v>2.7820081621213887E-3</v>
      </c>
      <c r="Q60" s="29">
        <f t="shared" si="4"/>
        <v>-88.723878305853134</v>
      </c>
      <c r="S60" s="4">
        <f t="shared" si="18"/>
        <v>16.7</v>
      </c>
      <c r="T60" s="5">
        <f t="shared" si="5"/>
        <v>56.7</v>
      </c>
      <c r="U60">
        <f t="shared" si="19"/>
        <v>-382.80782295979338</v>
      </c>
      <c r="V60" s="14">
        <f>_xlfn.XLOOKUP($T60,'Q1 Base'!$C$8:$C$208,'Q1 Base'!$D$8:$D$208,,0,)</f>
        <v>2.7820081621213887E-3</v>
      </c>
      <c r="W60" s="32">
        <f t="shared" si="6"/>
        <v>33000</v>
      </c>
      <c r="X60" s="29">
        <f t="shared" si="7"/>
        <v>60.332208554810563</v>
      </c>
      <c r="Y60" s="48">
        <f t="shared" si="25"/>
        <v>-1.9956525648751797</v>
      </c>
      <c r="Z60" s="51">
        <f t="shared" si="20"/>
        <v>-767.28714482824466</v>
      </c>
      <c r="AB60" s="4">
        <f t="shared" si="21"/>
        <v>3.3</v>
      </c>
      <c r="AC60" s="5">
        <f t="shared" si="8"/>
        <v>43.3</v>
      </c>
      <c r="AD60" s="13">
        <f t="shared" si="22"/>
        <v>1.0044719436423687E-3</v>
      </c>
      <c r="AE60" s="14">
        <f t="shared" si="23"/>
        <v>0.99714079832665103</v>
      </c>
      <c r="AF60" s="4">
        <f t="shared" si="9"/>
        <v>1</v>
      </c>
      <c r="AG60">
        <f t="shared" si="24"/>
        <v>0.7937394660352427</v>
      </c>
      <c r="AH60">
        <f t="shared" si="10"/>
        <v>7.9500941408195758E-4</v>
      </c>
      <c r="AI60" s="5">
        <f t="shared" si="11"/>
        <v>0.79147000482575158</v>
      </c>
    </row>
    <row r="61" spans="1:35" x14ac:dyDescent="0.45">
      <c r="A61" s="4">
        <f t="shared" si="12"/>
        <v>3.4</v>
      </c>
      <c r="B61" s="5">
        <f t="shared" si="0"/>
        <v>43.4</v>
      </c>
      <c r="C61" s="14">
        <f>_xlfn.XLOOKUP($B61,'Q1 Base'!$C$8:$C$208,'Q1 Base'!$D$8:$D$208,,0,)</f>
        <v>1.0133903686628065E-3</v>
      </c>
      <c r="D61">
        <f t="shared" si="26"/>
        <v>0.99704063833107304</v>
      </c>
      <c r="E61" s="5">
        <f t="shared" si="1"/>
        <v>-1.0103913800501262E-3</v>
      </c>
      <c r="G61" s="4">
        <f t="shared" si="14"/>
        <v>16.600000000000001</v>
      </c>
      <c r="H61" s="5">
        <f t="shared" si="2"/>
        <v>56.6</v>
      </c>
      <c r="I61">
        <f t="shared" si="15"/>
        <v>391.50108577542557</v>
      </c>
      <c r="J61" s="14">
        <f>_xlfn.XLOOKUP($H61,'Q1 Base'!$C$8:$C$208,'Q1 Base'!$D$8:$D$208,,0,)</f>
        <v>2.7640090388659096E-3</v>
      </c>
      <c r="K61" s="29" cm="1">
        <f t="array" ref="K61">I61*$B$7+$E$6-J61*(SumAssdTA-I61)</f>
        <v>-67.913715342502087</v>
      </c>
      <c r="M61" s="4">
        <f t="shared" si="16"/>
        <v>16.600000000000001</v>
      </c>
      <c r="N61" s="5">
        <f t="shared" si="3"/>
        <v>56.6</v>
      </c>
      <c r="O61">
        <f t="shared" si="17"/>
        <v>462.63515298765822</v>
      </c>
      <c r="P61" s="14">
        <f>_xlfn.XLOOKUP($N61,'Q1 Base'!$C$8:$C$208,'Q1 Base'!$D$8:$D$208,,0,)</f>
        <v>2.7640090388659096E-3</v>
      </c>
      <c r="Q61" s="29">
        <f t="shared" si="4"/>
        <v>-86.286542803943064</v>
      </c>
      <c r="S61" s="4">
        <f t="shared" si="18"/>
        <v>16.600000000000001</v>
      </c>
      <c r="T61" s="5">
        <f t="shared" si="5"/>
        <v>56.6</v>
      </c>
      <c r="U61">
        <f t="shared" si="19"/>
        <v>-388.84104381527442</v>
      </c>
      <c r="V61" s="14">
        <f>_xlfn.XLOOKUP($T61,'Q1 Base'!$C$8:$C$208,'Q1 Base'!$D$8:$D$208,,0,)</f>
        <v>2.7640090388659096E-3</v>
      </c>
      <c r="W61" s="32">
        <f t="shared" si="6"/>
        <v>34000</v>
      </c>
      <c r="X61" s="29">
        <f t="shared" si="7"/>
        <v>57.730059451702402</v>
      </c>
      <c r="Y61" s="48">
        <f t="shared" si="25"/>
        <v>-1.9932055310782024</v>
      </c>
      <c r="Z61" s="51">
        <f t="shared" si="20"/>
        <v>-780.34212959069998</v>
      </c>
      <c r="AB61" s="4">
        <f t="shared" si="21"/>
        <v>3.4</v>
      </c>
      <c r="AC61" s="5">
        <f t="shared" si="8"/>
        <v>43.4</v>
      </c>
      <c r="AD61" s="13">
        <f t="shared" si="22"/>
        <v>1.0133903686628065E-3</v>
      </c>
      <c r="AE61" s="14">
        <f t="shared" si="23"/>
        <v>0.99704063833107304</v>
      </c>
      <c r="AF61" s="4">
        <f t="shared" si="9"/>
        <v>1</v>
      </c>
      <c r="AG61">
        <f t="shared" si="24"/>
        <v>0.78820269109377039</v>
      </c>
      <c r="AH61">
        <f t="shared" si="10"/>
        <v>7.9639320481345792E-4</v>
      </c>
      <c r="AI61" s="5">
        <f t="shared" si="11"/>
        <v>0.78587011426240239</v>
      </c>
    </row>
    <row r="62" spans="1:35" x14ac:dyDescent="0.45">
      <c r="A62" s="4">
        <f t="shared" si="12"/>
        <v>3.5</v>
      </c>
      <c r="B62" s="5">
        <f t="shared" si="0"/>
        <v>43.5</v>
      </c>
      <c r="C62" s="14">
        <f>_xlfn.XLOOKUP($B62,'Q1 Base'!$C$8:$C$208,'Q1 Base'!$D$8:$D$208,,0,)</f>
        <v>1.0223087936832445E-3</v>
      </c>
      <c r="D62">
        <f t="shared" si="26"/>
        <v>0.99693959919306807</v>
      </c>
      <c r="E62" s="5">
        <f t="shared" si="1"/>
        <v>-1.0191801190261227E-3</v>
      </c>
      <c r="G62" s="4">
        <f t="shared" si="14"/>
        <v>16.5</v>
      </c>
      <c r="H62" s="5">
        <f t="shared" si="2"/>
        <v>56.5</v>
      </c>
      <c r="I62">
        <f t="shared" si="15"/>
        <v>398.2924573096758</v>
      </c>
      <c r="J62" s="14">
        <f>_xlfn.XLOOKUP($H62,'Q1 Base'!$C$8:$C$208,'Q1 Base'!$D$8:$D$208,,0,)</f>
        <v>2.7460099156104306E-3</v>
      </c>
      <c r="K62" s="29" cm="1">
        <f t="array" ref="K62">I62*$B$7+$E$6-J62*(SumAssdTA-I62)</f>
        <v>-65.626804512280529</v>
      </c>
      <c r="M62" s="4">
        <f t="shared" si="16"/>
        <v>16.5</v>
      </c>
      <c r="N62" s="5">
        <f t="shared" si="3"/>
        <v>56.5</v>
      </c>
      <c r="O62">
        <f t="shared" si="17"/>
        <v>471.26380726805252</v>
      </c>
      <c r="P62" s="14">
        <f>_xlfn.XLOOKUP($N62,'Q1 Base'!$C$8:$C$208,'Q1 Base'!$D$8:$D$208,,0,)</f>
        <v>2.7460099156104306E-3</v>
      </c>
      <c r="Q62" s="29">
        <f t="shared" si="4"/>
        <v>-83.867257335696138</v>
      </c>
      <c r="S62" s="4">
        <f t="shared" si="18"/>
        <v>16.5</v>
      </c>
      <c r="T62" s="5">
        <f t="shared" si="5"/>
        <v>56.5</v>
      </c>
      <c r="U62">
        <f t="shared" si="19"/>
        <v>-394.61404976044469</v>
      </c>
      <c r="V62" s="14">
        <f>_xlfn.XLOOKUP($T62,'Q1 Base'!$C$8:$C$208,'Q1 Base'!$D$8:$D$208,,0,)</f>
        <v>2.7460099156104306E-3</v>
      </c>
      <c r="W62" s="32">
        <f t="shared" si="6"/>
        <v>35000</v>
      </c>
      <c r="X62" s="29">
        <f t="shared" si="7"/>
        <v>55.183055376922425</v>
      </c>
      <c r="Y62" s="48">
        <f t="shared" si="25"/>
        <v>-1.9907645563411434</v>
      </c>
      <c r="Z62" s="51">
        <f t="shared" si="20"/>
        <v>-792.90650707012048</v>
      </c>
      <c r="AB62" s="4">
        <f t="shared" si="21"/>
        <v>3.5</v>
      </c>
      <c r="AC62" s="5">
        <f t="shared" si="8"/>
        <v>43.5</v>
      </c>
      <c r="AD62" s="13">
        <f t="shared" si="22"/>
        <v>1.0223087936832445E-3</v>
      </c>
      <c r="AE62" s="14">
        <f t="shared" si="23"/>
        <v>0.99693959919306807</v>
      </c>
      <c r="AF62" s="4">
        <f t="shared" si="9"/>
        <v>1</v>
      </c>
      <c r="AG62">
        <f t="shared" si="24"/>
        <v>0.78270453824186814</v>
      </c>
      <c r="AH62">
        <f t="shared" si="10"/>
        <v>7.9771690444763361E-4</v>
      </c>
      <c r="AI62" s="5">
        <f t="shared" si="11"/>
        <v>0.78030914864144341</v>
      </c>
    </row>
    <row r="63" spans="1:35" x14ac:dyDescent="0.45">
      <c r="A63" s="4">
        <f t="shared" si="12"/>
        <v>3.6</v>
      </c>
      <c r="B63" s="5">
        <f t="shared" si="0"/>
        <v>43.6</v>
      </c>
      <c r="C63" s="14">
        <f>_xlfn.XLOOKUP($B63,'Q1 Base'!$C$8:$C$208,'Q1 Base'!$D$8:$D$208,,0,)</f>
        <v>1.0312272187036823E-3</v>
      </c>
      <c r="D63">
        <f t="shared" si="26"/>
        <v>0.99683768118116545</v>
      </c>
      <c r="E63" s="5">
        <f t="shared" si="1"/>
        <v>-1.0279661494634813E-3</v>
      </c>
      <c r="G63" s="4">
        <f t="shared" si="14"/>
        <v>16.399999999999999</v>
      </c>
      <c r="H63" s="5">
        <f t="shared" si="2"/>
        <v>56.4</v>
      </c>
      <c r="I63">
        <f t="shared" si="15"/>
        <v>404.85513776090386</v>
      </c>
      <c r="J63" s="14">
        <f>_xlfn.XLOOKUP($H63,'Q1 Base'!$C$8:$C$208,'Q1 Base'!$D$8:$D$208,,0,)</f>
        <v>2.7280107923549515E-3</v>
      </c>
      <c r="K63" s="29" cm="1">
        <f t="array" ref="K63">I63*$B$7+$E$6-J63*(SumAssdTA-I63)</f>
        <v>-63.356770407079779</v>
      </c>
      <c r="M63" s="4">
        <f t="shared" si="16"/>
        <v>16.399999999999999</v>
      </c>
      <c r="N63" s="5">
        <f t="shared" si="3"/>
        <v>56.4</v>
      </c>
      <c r="O63">
        <f t="shared" si="17"/>
        <v>479.65053300162214</v>
      </c>
      <c r="P63" s="14">
        <f>_xlfn.XLOOKUP($N63,'Q1 Base'!$C$8:$C$208,'Q1 Base'!$D$8:$D$208,,0,)</f>
        <v>2.7280107923549515E-3</v>
      </c>
      <c r="Q63" s="29">
        <f t="shared" si="4"/>
        <v>-81.465877465837508</v>
      </c>
      <c r="S63" s="4">
        <f t="shared" si="18"/>
        <v>16.399999999999999</v>
      </c>
      <c r="T63" s="5">
        <f t="shared" si="5"/>
        <v>56.4</v>
      </c>
      <c r="U63">
        <f t="shared" si="19"/>
        <v>-400.13235529813693</v>
      </c>
      <c r="V63" s="14">
        <f>_xlfn.XLOOKUP($T63,'Q1 Base'!$C$8:$C$208,'Q1 Base'!$D$8:$D$208,,0,)</f>
        <v>2.7280107923549515E-3</v>
      </c>
      <c r="W63" s="32">
        <f t="shared" si="6"/>
        <v>36000</v>
      </c>
      <c r="X63" s="29">
        <f t="shared" si="7"/>
        <v>52.690781220728454</v>
      </c>
      <c r="Y63" s="48">
        <f t="shared" si="25"/>
        <v>-1.9883346362136174</v>
      </c>
      <c r="Z63" s="51">
        <f t="shared" si="20"/>
        <v>-804.98749305904084</v>
      </c>
      <c r="AB63" s="4">
        <f t="shared" si="21"/>
        <v>3.6</v>
      </c>
      <c r="AC63" s="5">
        <f t="shared" si="8"/>
        <v>43.6</v>
      </c>
      <c r="AD63" s="13">
        <f t="shared" si="22"/>
        <v>1.0312272187036823E-3</v>
      </c>
      <c r="AE63" s="14">
        <f t="shared" si="23"/>
        <v>0.99683768118116545</v>
      </c>
      <c r="AF63" s="4">
        <f t="shared" si="9"/>
        <v>1</v>
      </c>
      <c r="AG63">
        <f t="shared" si="24"/>
        <v>0.77724473806894612</v>
      </c>
      <c r="AH63">
        <f t="shared" si="10"/>
        <v>7.9898128058348661E-4</v>
      </c>
      <c r="AI63" s="5">
        <f t="shared" si="11"/>
        <v>0.77478684240691054</v>
      </c>
    </row>
    <row r="64" spans="1:35" x14ac:dyDescent="0.45">
      <c r="A64" s="4">
        <f t="shared" si="12"/>
        <v>3.7</v>
      </c>
      <c r="B64" s="5">
        <f t="shared" si="0"/>
        <v>43.7</v>
      </c>
      <c r="C64" s="14">
        <f>_xlfn.XLOOKUP($B64,'Q1 Base'!$C$8:$C$208,'Q1 Base'!$D$8:$D$208,,0,)</f>
        <v>1.0401456437241204E-3</v>
      </c>
      <c r="D64">
        <f t="shared" si="26"/>
        <v>0.99673488456621906</v>
      </c>
      <c r="E64" s="5">
        <f t="shared" si="1"/>
        <v>-1.0367494481294168E-3</v>
      </c>
      <c r="G64" s="4">
        <f t="shared" si="14"/>
        <v>16.3</v>
      </c>
      <c r="H64" s="5">
        <f t="shared" si="2"/>
        <v>56.3</v>
      </c>
      <c r="I64">
        <f t="shared" si="15"/>
        <v>411.19081480161185</v>
      </c>
      <c r="J64" s="14">
        <f>_xlfn.XLOOKUP($H64,'Q1 Base'!$C$8:$C$208,'Q1 Base'!$D$8:$D$208,,0,)</f>
        <v>2.7100116690994729E-3</v>
      </c>
      <c r="K64" s="29" cm="1">
        <f t="array" ref="K64">I64*$B$7+$E$6-J64*(SumAssdTA-I64)</f>
        <v>-61.103477967495564</v>
      </c>
      <c r="M64" s="4">
        <f t="shared" si="16"/>
        <v>16.3</v>
      </c>
      <c r="N64" s="5">
        <f t="shared" si="3"/>
        <v>56.3</v>
      </c>
      <c r="O64">
        <f t="shared" si="17"/>
        <v>487.79712074820588</v>
      </c>
      <c r="P64" s="14">
        <f>_xlfn.XLOOKUP($N64,'Q1 Base'!$C$8:$C$208,'Q1 Base'!$D$8:$D$208,,0,)</f>
        <v>2.7100116690994729E-3</v>
      </c>
      <c r="Q64" s="29">
        <f t="shared" si="4"/>
        <v>-79.082259939235286</v>
      </c>
      <c r="S64" s="4">
        <f t="shared" si="18"/>
        <v>16.3</v>
      </c>
      <c r="T64" s="5">
        <f t="shared" si="5"/>
        <v>56.3</v>
      </c>
      <c r="U64">
        <f t="shared" si="19"/>
        <v>-405.4014334202098</v>
      </c>
      <c r="V64" s="14">
        <f>_xlfn.XLOOKUP($T64,'Q1 Base'!$C$8:$C$208,'Q1 Base'!$D$8:$D$208,,0,)</f>
        <v>2.7100116690994729E-3</v>
      </c>
      <c r="W64" s="32">
        <f t="shared" si="6"/>
        <v>37000</v>
      </c>
      <c r="X64" s="29">
        <f t="shared" si="7"/>
        <v>50.252825288666401</v>
      </c>
      <c r="Y64" s="48">
        <f t="shared" si="25"/>
        <v>-1.9859204506204855</v>
      </c>
      <c r="Z64" s="51">
        <f t="shared" si="20"/>
        <v>-816.59224822182159</v>
      </c>
      <c r="AB64" s="4">
        <f t="shared" si="21"/>
        <v>3.7</v>
      </c>
      <c r="AC64" s="5">
        <f t="shared" si="8"/>
        <v>43.7</v>
      </c>
      <c r="AD64" s="13">
        <f t="shared" si="22"/>
        <v>1.0401456437241204E-3</v>
      </c>
      <c r="AE64" s="14">
        <f t="shared" si="23"/>
        <v>0.99673488456621906</v>
      </c>
      <c r="AF64" s="4">
        <f t="shared" si="9"/>
        <v>1</v>
      </c>
      <c r="AG64">
        <f t="shared" si="24"/>
        <v>0.77182302304370343</v>
      </c>
      <c r="AH64">
        <f t="shared" si="10"/>
        <v>8.0018709319413768E-4</v>
      </c>
      <c r="AI64" s="5">
        <f t="shared" si="11"/>
        <v>0.76930293177901599</v>
      </c>
    </row>
    <row r="65" spans="1:35" x14ac:dyDescent="0.45">
      <c r="A65" s="4">
        <f t="shared" si="12"/>
        <v>3.8</v>
      </c>
      <c r="B65" s="5">
        <f t="shared" si="0"/>
        <v>43.8</v>
      </c>
      <c r="C65" s="14">
        <f>_xlfn.XLOOKUP($B65,'Q1 Base'!$C$8:$C$208,'Q1 Base'!$D$8:$D$208,,0,)</f>
        <v>1.0490640687445577E-3</v>
      </c>
      <c r="D65">
        <f t="shared" si="26"/>
        <v>0.99663120962140617</v>
      </c>
      <c r="E65" s="5">
        <f t="shared" si="1"/>
        <v>-1.0455299918032425E-3</v>
      </c>
      <c r="G65" s="4">
        <f t="shared" si="14"/>
        <v>16.2</v>
      </c>
      <c r="H65" s="5">
        <f t="shared" si="2"/>
        <v>56.2</v>
      </c>
      <c r="I65">
        <f t="shared" si="15"/>
        <v>417.30116259836143</v>
      </c>
      <c r="J65" s="14">
        <f>_xlfn.XLOOKUP($H65,'Q1 Base'!$C$8:$C$208,'Q1 Base'!$D$8:$D$208,,0,)</f>
        <v>2.6920125458439951E-3</v>
      </c>
      <c r="K65" s="29" cm="1">
        <f t="array" ref="K65">I65*$B$7+$E$6-J65*(SumAssdTA-I65)</f>
        <v>-58.866793237404153</v>
      </c>
      <c r="M65" s="4">
        <f t="shared" si="16"/>
        <v>16.2</v>
      </c>
      <c r="N65" s="5">
        <f t="shared" si="3"/>
        <v>56.2</v>
      </c>
      <c r="O65">
        <f t="shared" si="17"/>
        <v>495.70534674212939</v>
      </c>
      <c r="P65" s="14">
        <f>_xlfn.XLOOKUP($N65,'Q1 Base'!$C$8:$C$208,'Q1 Base'!$D$8:$D$208,,0,)</f>
        <v>2.6920125458439951E-3</v>
      </c>
      <c r="Q65" s="29">
        <f t="shared" si="4"/>
        <v>-76.716262671021809</v>
      </c>
      <c r="S65" s="4">
        <f t="shared" si="18"/>
        <v>16.2</v>
      </c>
      <c r="T65" s="5">
        <f t="shared" si="5"/>
        <v>56.2</v>
      </c>
      <c r="U65">
        <f t="shared" si="19"/>
        <v>-410.42671594907642</v>
      </c>
      <c r="V65" s="14">
        <f>_xlfn.XLOOKUP($T65,'Q1 Base'!$C$8:$C$208,'Q1 Base'!$D$8:$D$208,,0,)</f>
        <v>2.6920125458439951E-3</v>
      </c>
      <c r="W65" s="32">
        <f t="shared" si="6"/>
        <v>38000</v>
      </c>
      <c r="X65" s="29">
        <f t="shared" si="7"/>
        <v>47.868779273008357</v>
      </c>
      <c r="Y65" s="48">
        <f t="shared" si="25"/>
        <v>-1.9835264138578461</v>
      </c>
      <c r="Z65" s="51">
        <f t="shared" si="20"/>
        <v>-827.72787854743785</v>
      </c>
      <c r="AB65" s="4">
        <f t="shared" si="21"/>
        <v>3.8</v>
      </c>
      <c r="AC65" s="5">
        <f t="shared" si="8"/>
        <v>43.8</v>
      </c>
      <c r="AD65" s="13">
        <f t="shared" si="22"/>
        <v>1.0490640687445577E-3</v>
      </c>
      <c r="AE65" s="14">
        <f t="shared" si="23"/>
        <v>0.99663120962140617</v>
      </c>
      <c r="AF65" s="4">
        <f t="shared" si="9"/>
        <v>1</v>
      </c>
      <c r="AG65">
        <f t="shared" si="24"/>
        <v>0.76643912750101917</v>
      </c>
      <c r="AH65">
        <f t="shared" si="10"/>
        <v>8.0133509469382496E-4</v>
      </c>
      <c r="AI65" s="5">
        <f t="shared" si="11"/>
        <v>0.76385715474251592</v>
      </c>
    </row>
    <row r="66" spans="1:35" x14ac:dyDescent="0.45">
      <c r="A66" s="4">
        <f t="shared" si="12"/>
        <v>3.9</v>
      </c>
      <c r="B66" s="5">
        <f t="shared" si="0"/>
        <v>43.9</v>
      </c>
      <c r="C66" s="14">
        <f>_xlfn.XLOOKUP($B66,'Q1 Base'!$C$8:$C$208,'Q1 Base'!$D$8:$D$208,,0,)</f>
        <v>1.0579824937649958E-3</v>
      </c>
      <c r="D66">
        <f t="shared" si="26"/>
        <v>0.99652665662222584</v>
      </c>
      <c r="E66" s="5">
        <f t="shared" si="1"/>
        <v>-1.0543077572764761E-3</v>
      </c>
      <c r="G66" s="4">
        <f t="shared" si="14"/>
        <v>16.100000000000001</v>
      </c>
      <c r="H66" s="5">
        <f t="shared" si="2"/>
        <v>56.1</v>
      </c>
      <c r="I66">
        <f t="shared" si="15"/>
        <v>423.18784192210182</v>
      </c>
      <c r="J66" s="14">
        <f>_xlfn.XLOOKUP($H66,'Q1 Base'!$C$8:$C$208,'Q1 Base'!$D$8:$D$208,,0,)</f>
        <v>2.6740134225885161E-3</v>
      </c>
      <c r="K66" s="29" cm="1">
        <f t="array" ref="K66">I66*$B$7+$E$6-J66*(SumAssdTA-I66)</f>
        <v>-56.646583354728477</v>
      </c>
      <c r="M66" s="4">
        <f t="shared" si="16"/>
        <v>16.100000000000001</v>
      </c>
      <c r="N66" s="5">
        <f t="shared" si="3"/>
        <v>56.1</v>
      </c>
      <c r="O66">
        <f t="shared" si="17"/>
        <v>503.37697300923156</v>
      </c>
      <c r="P66" s="14">
        <f>_xlfn.XLOOKUP($N66,'Q1 Base'!$C$8:$C$208,'Q1 Base'!$D$8:$D$208,,0,)</f>
        <v>2.6740134225885161E-3</v>
      </c>
      <c r="Q66" s="29">
        <f t="shared" si="4"/>
        <v>-74.367744736799921</v>
      </c>
      <c r="S66" s="4">
        <f t="shared" si="18"/>
        <v>16.100000000000001</v>
      </c>
      <c r="T66" s="5">
        <f t="shared" si="5"/>
        <v>56.1</v>
      </c>
      <c r="U66">
        <f t="shared" si="19"/>
        <v>-415.21359387637727</v>
      </c>
      <c r="V66" s="14">
        <f>_xlfn.XLOOKUP($T66,'Q1 Base'!$C$8:$C$208,'Q1 Base'!$D$8:$D$208,,0,)</f>
        <v>2.6740134225885161E-3</v>
      </c>
      <c r="W66" s="32">
        <f t="shared" si="6"/>
        <v>39000</v>
      </c>
      <c r="X66" s="29">
        <f t="shared" si="7"/>
        <v>45.538238224434835</v>
      </c>
      <c r="Y66" s="48">
        <f t="shared" si="25"/>
        <v>-1.981156717524053</v>
      </c>
      <c r="Z66" s="51">
        <f t="shared" si="20"/>
        <v>-838.40143579847904</v>
      </c>
      <c r="AB66" s="4">
        <f t="shared" si="21"/>
        <v>3.9</v>
      </c>
      <c r="AC66" s="5">
        <f t="shared" si="8"/>
        <v>43.9</v>
      </c>
      <c r="AD66" s="13">
        <f t="shared" si="22"/>
        <v>1.0579824937649958E-3</v>
      </c>
      <c r="AE66" s="14">
        <f t="shared" si="23"/>
        <v>0.99652665662222584</v>
      </c>
      <c r="AF66" s="4">
        <f t="shared" si="9"/>
        <v>1</v>
      </c>
      <c r="AG66">
        <f t="shared" si="24"/>
        <v>0.76109278762893429</v>
      </c>
      <c r="AH66">
        <f t="shared" si="10"/>
        <v>8.02426030004363E-4</v>
      </c>
      <c r="AI66" s="5">
        <f t="shared" si="11"/>
        <v>0.75844925103515159</v>
      </c>
    </row>
    <row r="67" spans="1:35" x14ac:dyDescent="0.45">
      <c r="A67" s="4">
        <f t="shared" si="12"/>
        <v>4</v>
      </c>
      <c r="B67" s="5">
        <f t="shared" si="0"/>
        <v>44</v>
      </c>
      <c r="C67" s="14">
        <f>_xlfn.XLOOKUP($B67,'Q1 Base'!$C$8:$C$208,'Q1 Base'!$D$8:$D$208,,0,)</f>
        <v>1.0669009187854338E-3</v>
      </c>
      <c r="D67">
        <f t="shared" si="26"/>
        <v>0.99642122584649817</v>
      </c>
      <c r="E67" s="5">
        <f t="shared" si="1"/>
        <v>-1.0630827213529372E-3</v>
      </c>
      <c r="G67" s="4">
        <f t="shared" si="14"/>
        <v>16</v>
      </c>
      <c r="H67" s="5">
        <f t="shared" si="2"/>
        <v>56</v>
      </c>
      <c r="I67">
        <f t="shared" si="15"/>
        <v>428.85250025757466</v>
      </c>
      <c r="J67" s="14">
        <f>_xlfn.XLOOKUP($H67,'Q1 Base'!$C$8:$C$208,'Q1 Base'!$D$8:$D$208,,0,)</f>
        <v>2.6560142993330375E-3</v>
      </c>
      <c r="K67" s="29" cm="1">
        <f t="array" ref="K67">I67*$B$7+$E$6-J67*(SumAssdTA-I67)</f>
        <v>-54.442716542284643</v>
      </c>
      <c r="M67" s="4">
        <f t="shared" si="16"/>
        <v>16</v>
      </c>
      <c r="N67" s="5">
        <f t="shared" si="3"/>
        <v>56</v>
      </c>
      <c r="O67">
        <f t="shared" si="17"/>
        <v>510.81374748291154</v>
      </c>
      <c r="P67" s="14">
        <f>_xlfn.XLOOKUP($N67,'Q1 Base'!$C$8:$C$208,'Q1 Base'!$D$8:$D$208,,0,)</f>
        <v>2.6560142993330375E-3</v>
      </c>
      <c r="Q67" s="29">
        <f t="shared" si="4"/>
        <v>-72.036566362932604</v>
      </c>
      <c r="S67" s="4">
        <f t="shared" si="18"/>
        <v>16</v>
      </c>
      <c r="T67" s="5">
        <f t="shared" si="5"/>
        <v>56</v>
      </c>
      <c r="U67">
        <f t="shared" si="19"/>
        <v>-419.76741769882074</v>
      </c>
      <c r="V67" s="14">
        <f>_xlfn.XLOOKUP($T67,'Q1 Base'!$C$8:$C$208,'Q1 Base'!$D$8:$D$208,,0,)</f>
        <v>2.6560142993330375E-3</v>
      </c>
      <c r="W67" s="32">
        <f t="shared" si="6"/>
        <v>40000</v>
      </c>
      <c r="X67" s="29">
        <f t="shared" si="7"/>
        <v>43.260800523958878</v>
      </c>
      <c r="Y67" s="48">
        <f t="shared" si="25"/>
        <v>-1.9788153676303688</v>
      </c>
      <c r="Z67" s="51">
        <f t="shared" si="20"/>
        <v>-848.6199179563954</v>
      </c>
      <c r="AB67" s="4">
        <f t="shared" si="21"/>
        <v>4</v>
      </c>
      <c r="AC67" s="5">
        <f t="shared" si="8"/>
        <v>44</v>
      </c>
      <c r="AD67" s="13">
        <f t="shared" si="22"/>
        <v>1.0669009187854338E-3</v>
      </c>
      <c r="AE67" s="14">
        <f t="shared" si="23"/>
        <v>0.99642122584649817</v>
      </c>
      <c r="AF67" s="4">
        <f t="shared" si="9"/>
        <v>1</v>
      </c>
      <c r="AG67">
        <f t="shared" si="24"/>
        <v>0.75578374145572547</v>
      </c>
      <c r="AH67">
        <f t="shared" si="10"/>
        <v>8.0346063662105728E-4</v>
      </c>
      <c r="AI67" s="5">
        <f t="shared" si="11"/>
        <v>0.75307896213616676</v>
      </c>
    </row>
    <row r="68" spans="1:35" x14ac:dyDescent="0.45">
      <c r="A68" s="4">
        <f t="shared" si="12"/>
        <v>4.0999999999999996</v>
      </c>
      <c r="B68" s="5">
        <f t="shared" si="0"/>
        <v>44.1</v>
      </c>
      <c r="C68" s="14">
        <f>_xlfn.XLOOKUP($B68,'Q1 Base'!$C$8:$C$208,'Q1 Base'!$D$8:$D$208,,0,)</f>
        <v>1.0767110614067282E-3</v>
      </c>
      <c r="D68">
        <f t="shared" si="26"/>
        <v>0.99631491757436286</v>
      </c>
      <c r="E68" s="5">
        <f t="shared" si="1"/>
        <v>-1.0727432923968491E-3</v>
      </c>
      <c r="G68" s="4">
        <f t="shared" si="14"/>
        <v>15.9</v>
      </c>
      <c r="H68" s="5">
        <f t="shared" si="2"/>
        <v>55.9</v>
      </c>
      <c r="I68">
        <f t="shared" si="15"/>
        <v>434.29677191180315</v>
      </c>
      <c r="J68" s="14">
        <f>_xlfn.XLOOKUP($H68,'Q1 Base'!$C$8:$C$208,'Q1 Base'!$D$8:$D$208,,0,)</f>
        <v>2.639232833438321E-3</v>
      </c>
      <c r="K68" s="29" cm="1">
        <f t="array" ref="K68">I68*$B$7+$E$6-J68*(SumAssdTA-I68)</f>
        <v>-52.376299010119965</v>
      </c>
      <c r="M68" s="4">
        <f t="shared" si="16"/>
        <v>15.9</v>
      </c>
      <c r="N68" s="5">
        <f t="shared" si="3"/>
        <v>55.9</v>
      </c>
      <c r="O68">
        <f t="shared" si="17"/>
        <v>518.0174041192048</v>
      </c>
      <c r="P68" s="14">
        <f>_xlfn.XLOOKUP($N68,'Q1 Base'!$C$8:$C$208,'Q1 Base'!$D$8:$D$208,,0,)</f>
        <v>2.639232833438321E-3</v>
      </c>
      <c r="Q68" s="29">
        <f t="shared" si="4"/>
        <v>-69.843723885287005</v>
      </c>
      <c r="S68" s="4">
        <f t="shared" si="18"/>
        <v>15.9</v>
      </c>
      <c r="T68" s="5">
        <f t="shared" si="5"/>
        <v>55.9</v>
      </c>
      <c r="U68">
        <f t="shared" si="19"/>
        <v>-424.0934977512166</v>
      </c>
      <c r="V68" s="14">
        <f>_xlfn.XLOOKUP($T68,'Q1 Base'!$C$8:$C$208,'Q1 Base'!$D$8:$D$208,,0,)</f>
        <v>2.639232833438321E-3</v>
      </c>
      <c r="W68" s="32">
        <f t="shared" si="6"/>
        <v>41000</v>
      </c>
      <c r="X68" s="29">
        <f t="shared" si="7"/>
        <v>40.985627502730964</v>
      </c>
      <c r="Y68" s="48">
        <f t="shared" si="25"/>
        <v>-1.9765062168994003</v>
      </c>
      <c r="Z68" s="51">
        <f t="shared" si="20"/>
        <v>-858.39026966301981</v>
      </c>
      <c r="AB68" s="4">
        <f t="shared" si="21"/>
        <v>4.0999999999999996</v>
      </c>
      <c r="AC68" s="5">
        <f t="shared" si="8"/>
        <v>44.1</v>
      </c>
      <c r="AD68" s="13">
        <f t="shared" si="22"/>
        <v>1.0767110614067282E-3</v>
      </c>
      <c r="AE68" s="14">
        <f t="shared" si="23"/>
        <v>0.99631491757436286</v>
      </c>
      <c r="AF68" s="4">
        <f t="shared" si="9"/>
        <v>1</v>
      </c>
      <c r="AG68">
        <f t="shared" si="24"/>
        <v>0.75051172883706796</v>
      </c>
      <c r="AH68">
        <f t="shared" si="10"/>
        <v>8.0510642297512746E-4</v>
      </c>
      <c r="AI68" s="5">
        <f t="shared" si="11"/>
        <v>0.74774603125489592</v>
      </c>
    </row>
    <row r="69" spans="1:35" x14ac:dyDescent="0.45">
      <c r="A69" s="4">
        <f t="shared" si="12"/>
        <v>4.2</v>
      </c>
      <c r="B69" s="5">
        <f t="shared" si="0"/>
        <v>44.2</v>
      </c>
      <c r="C69" s="14">
        <f>_xlfn.XLOOKUP($B69,'Q1 Base'!$C$8:$C$208,'Q1 Base'!$D$8:$D$208,,0,)</f>
        <v>1.086521204028023E-3</v>
      </c>
      <c r="D69">
        <f t="shared" si="26"/>
        <v>0.99620764324512312</v>
      </c>
      <c r="E69" s="5">
        <f t="shared" si="1"/>
        <v>-1.0824007280006104E-3</v>
      </c>
      <c r="G69" s="4">
        <f t="shared" si="14"/>
        <v>15.8</v>
      </c>
      <c r="H69" s="5">
        <f t="shared" si="2"/>
        <v>55.8</v>
      </c>
      <c r="I69">
        <f t="shared" si="15"/>
        <v>439.53440181281513</v>
      </c>
      <c r="J69" s="14">
        <f>_xlfn.XLOOKUP($H69,'Q1 Base'!$C$8:$C$208,'Q1 Base'!$D$8:$D$208,,0,)</f>
        <v>2.622451367543605E-3</v>
      </c>
      <c r="K69" s="29" cm="1">
        <f t="array" ref="K69">I69*$B$7+$E$6-J69*(SumAssdTA-I69)</f>
        <v>-50.32507103434699</v>
      </c>
      <c r="M69" s="4">
        <f t="shared" si="16"/>
        <v>15.8</v>
      </c>
      <c r="N69" s="5">
        <f t="shared" si="3"/>
        <v>55.8</v>
      </c>
      <c r="O69">
        <f t="shared" si="17"/>
        <v>525.00177650773355</v>
      </c>
      <c r="P69" s="14">
        <f>_xlfn.XLOOKUP($N69,'Q1 Base'!$C$8:$C$208,'Q1 Base'!$D$8:$D$208,,0,)</f>
        <v>2.622451367543605E-3</v>
      </c>
      <c r="Q69" s="29">
        <f t="shared" si="4"/>
        <v>-67.667048143096793</v>
      </c>
      <c r="S69" s="4">
        <f t="shared" si="18"/>
        <v>15.8</v>
      </c>
      <c r="T69" s="5">
        <f t="shared" si="5"/>
        <v>55.8</v>
      </c>
      <c r="U69">
        <f t="shared" si="19"/>
        <v>-428.19206050148972</v>
      </c>
      <c r="V69" s="14">
        <f>_xlfn.XLOOKUP($T69,'Q1 Base'!$C$8:$C$208,'Q1 Base'!$D$8:$D$208,,0,)</f>
        <v>2.622451367543605E-3</v>
      </c>
      <c r="W69" s="32">
        <f t="shared" si="6"/>
        <v>42000</v>
      </c>
      <c r="X69" s="29">
        <f t="shared" si="7"/>
        <v>38.760685473430854</v>
      </c>
      <c r="Y69" s="48">
        <f t="shared" si="25"/>
        <v>-1.9741946449139247</v>
      </c>
      <c r="Z69" s="51">
        <f t="shared" si="20"/>
        <v>-867.72646231430485</v>
      </c>
      <c r="AB69" s="4">
        <f t="shared" si="21"/>
        <v>4.2</v>
      </c>
      <c r="AC69" s="5">
        <f t="shared" si="8"/>
        <v>44.2</v>
      </c>
      <c r="AD69" s="13">
        <f t="shared" si="22"/>
        <v>1.086521204028023E-3</v>
      </c>
      <c r="AE69" s="14">
        <f t="shared" si="23"/>
        <v>0.99620764324512312</v>
      </c>
      <c r="AF69" s="4">
        <f t="shared" si="9"/>
        <v>1</v>
      </c>
      <c r="AG69">
        <f t="shared" si="24"/>
        <v>0.74527649144328856</v>
      </c>
      <c r="AH69">
        <f t="shared" si="10"/>
        <v>8.0668781689995626E-4</v>
      </c>
      <c r="AI69" s="5">
        <f t="shared" si="11"/>
        <v>0.7424501371067127</v>
      </c>
    </row>
    <row r="70" spans="1:35" x14ac:dyDescent="0.45">
      <c r="A70" s="4">
        <f t="shared" si="12"/>
        <v>4.3</v>
      </c>
      <c r="B70" s="5">
        <f t="shared" si="0"/>
        <v>44.3</v>
      </c>
      <c r="C70" s="14">
        <f>_xlfn.XLOOKUP($B70,'Q1 Base'!$C$8:$C$208,'Q1 Base'!$D$8:$D$208,,0,)</f>
        <v>1.0963313466493168E-3</v>
      </c>
      <c r="D70">
        <f t="shared" si="26"/>
        <v>0.99609940317232304</v>
      </c>
      <c r="E70" s="5">
        <f t="shared" si="1"/>
        <v>-1.0920550000764937E-3</v>
      </c>
      <c r="G70" s="4">
        <f t="shared" si="14"/>
        <v>15.7</v>
      </c>
      <c r="H70" s="5">
        <f t="shared" si="2"/>
        <v>55.7</v>
      </c>
      <c r="I70">
        <f t="shared" si="15"/>
        <v>444.56690891624982</v>
      </c>
      <c r="J70" s="14">
        <f>_xlfn.XLOOKUP($H70,'Q1 Base'!$C$8:$C$208,'Q1 Base'!$D$8:$D$208,,0,)</f>
        <v>2.6056699016488902E-3</v>
      </c>
      <c r="K70" s="29" cm="1">
        <f t="array" ref="K70">I70*$B$7+$E$6-J70*(SumAssdTA-I70)</f>
        <v>-48.288911926919383</v>
      </c>
      <c r="M70" s="4">
        <f t="shared" si="16"/>
        <v>15.7</v>
      </c>
      <c r="N70" s="5">
        <f t="shared" si="3"/>
        <v>55.7</v>
      </c>
      <c r="O70">
        <f t="shared" si="17"/>
        <v>531.76848132204327</v>
      </c>
      <c r="P70" s="14">
        <f>_xlfn.XLOOKUP($N70,'Q1 Base'!$C$8:$C$208,'Q1 Base'!$D$8:$D$208,,0,)</f>
        <v>2.6056699016488902E-3</v>
      </c>
      <c r="Q70" s="29">
        <f t="shared" si="4"/>
        <v>-65.506410716962762</v>
      </c>
      <c r="S70" s="4">
        <f t="shared" si="18"/>
        <v>15.7</v>
      </c>
      <c r="T70" s="5">
        <f t="shared" si="5"/>
        <v>55.7</v>
      </c>
      <c r="U70">
        <f t="shared" si="19"/>
        <v>-432.06812904883282</v>
      </c>
      <c r="V70" s="14">
        <f>_xlfn.XLOOKUP($T70,'Q1 Base'!$C$8:$C$208,'Q1 Base'!$D$8:$D$208,,0,)</f>
        <v>2.6056699016488902E-3</v>
      </c>
      <c r="W70" s="32">
        <f t="shared" si="6"/>
        <v>43000.000000000029</v>
      </c>
      <c r="X70" s="29">
        <f t="shared" si="7"/>
        <v>36.585598276355057</v>
      </c>
      <c r="Y70" s="48">
        <f t="shared" si="25"/>
        <v>-1.9718854921121185</v>
      </c>
      <c r="Z70" s="51">
        <f t="shared" si="20"/>
        <v>-876.63503796508257</v>
      </c>
      <c r="AB70" s="4">
        <f t="shared" si="21"/>
        <v>4.3</v>
      </c>
      <c r="AC70" s="5">
        <f t="shared" si="8"/>
        <v>44.3</v>
      </c>
      <c r="AD70" s="13">
        <f t="shared" si="22"/>
        <v>1.0963313466493168E-3</v>
      </c>
      <c r="AE70" s="14">
        <f t="shared" si="23"/>
        <v>0.99609940317232304</v>
      </c>
      <c r="AF70" s="4">
        <f t="shared" si="9"/>
        <v>1</v>
      </c>
      <c r="AG70">
        <f t="shared" si="24"/>
        <v>0.74007777274670761</v>
      </c>
      <c r="AH70">
        <f t="shared" si="10"/>
        <v>8.0820563217351708E-4</v>
      </c>
      <c r="AI70" s="5">
        <f t="shared" si="11"/>
        <v>0.73719102773409761</v>
      </c>
    </row>
    <row r="71" spans="1:35" x14ac:dyDescent="0.45">
      <c r="A71" s="4">
        <f t="shared" si="12"/>
        <v>4.4000000000000004</v>
      </c>
      <c r="B71" s="5">
        <f t="shared" si="0"/>
        <v>44.4</v>
      </c>
      <c r="C71" s="14">
        <f>_xlfn.XLOOKUP($B71,'Q1 Base'!$C$8:$C$208,'Q1 Base'!$D$8:$D$208,,0,)</f>
        <v>1.1061414892706112E-3</v>
      </c>
      <c r="D71">
        <f t="shared" si="26"/>
        <v>0.99599019767231534</v>
      </c>
      <c r="E71" s="5">
        <f t="shared" si="1"/>
        <v>-1.1017060805521852E-3</v>
      </c>
      <c r="G71" s="4">
        <f t="shared" si="14"/>
        <v>15.6</v>
      </c>
      <c r="H71" s="5">
        <f t="shared" si="2"/>
        <v>55.6</v>
      </c>
      <c r="I71">
        <f t="shared" si="15"/>
        <v>449.39580010894173</v>
      </c>
      <c r="J71" s="14">
        <f>_xlfn.XLOOKUP($H71,'Q1 Base'!$C$8:$C$208,'Q1 Base'!$D$8:$D$208,,0,)</f>
        <v>2.5888884357541738E-3</v>
      </c>
      <c r="K71" s="29" cm="1">
        <f t="array" ref="K71">I71*$B$7+$E$6-J71*(SumAssdTA-I71)</f>
        <v>-46.267701977812919</v>
      </c>
      <c r="M71" s="4">
        <f t="shared" si="16"/>
        <v>15.6</v>
      </c>
      <c r="N71" s="5">
        <f t="shared" si="3"/>
        <v>55.6</v>
      </c>
      <c r="O71">
        <f t="shared" si="17"/>
        <v>538.31912239373958</v>
      </c>
      <c r="P71" s="14">
        <f>_xlfn.XLOOKUP($N71,'Q1 Base'!$C$8:$C$208,'Q1 Base'!$D$8:$D$208,,0,)</f>
        <v>2.5888884357541738E-3</v>
      </c>
      <c r="Q71" s="29">
        <f t="shared" si="4"/>
        <v>-63.361684228188267</v>
      </c>
      <c r="S71" s="4">
        <f t="shared" si="18"/>
        <v>15.6</v>
      </c>
      <c r="T71" s="5">
        <f t="shared" si="5"/>
        <v>55.6</v>
      </c>
      <c r="U71">
        <f t="shared" si="19"/>
        <v>-435.7266888764683</v>
      </c>
      <c r="V71" s="14">
        <f>_xlfn.XLOOKUP($T71,'Q1 Base'!$C$8:$C$208,'Q1 Base'!$D$8:$D$208,,0,)</f>
        <v>2.5888884357541738E-3</v>
      </c>
      <c r="W71" s="32">
        <f t="shared" si="6"/>
        <v>44000</v>
      </c>
      <c r="X71" s="29">
        <f t="shared" si="7"/>
        <v>34.459992819481812</v>
      </c>
      <c r="Y71" s="48">
        <f t="shared" si="25"/>
        <v>-1.9695833578570165</v>
      </c>
      <c r="Z71" s="51">
        <f t="shared" si="20"/>
        <v>-885.12248898540997</v>
      </c>
      <c r="AB71" s="4">
        <f t="shared" si="21"/>
        <v>4.4000000000000004</v>
      </c>
      <c r="AC71" s="5">
        <f t="shared" si="8"/>
        <v>44.4</v>
      </c>
      <c r="AD71" s="13">
        <f t="shared" si="22"/>
        <v>1.1061414892706112E-3</v>
      </c>
      <c r="AE71" s="14">
        <f t="shared" si="23"/>
        <v>0.99599019767231534</v>
      </c>
      <c r="AF71" s="4">
        <f t="shared" si="9"/>
        <v>1</v>
      </c>
      <c r="AG71">
        <f t="shared" si="24"/>
        <v>0.73491531800906873</v>
      </c>
      <c r="AH71">
        <f t="shared" si="10"/>
        <v>8.0966067454153387E-4</v>
      </c>
      <c r="AI71" s="5">
        <f t="shared" si="11"/>
        <v>0.73196845285626488</v>
      </c>
    </row>
    <row r="72" spans="1:35" x14ac:dyDescent="0.45">
      <c r="A72" s="4">
        <f t="shared" si="12"/>
        <v>4.5</v>
      </c>
      <c r="B72" s="5">
        <f t="shared" si="0"/>
        <v>44.5</v>
      </c>
      <c r="C72" s="14">
        <f>_xlfn.XLOOKUP($B72,'Q1 Base'!$C$8:$C$208,'Q1 Base'!$D$8:$D$208,,0,)</f>
        <v>1.1159516318919056E-3</v>
      </c>
      <c r="D72">
        <f t="shared" si="26"/>
        <v>0.99588002706426015</v>
      </c>
      <c r="E72" s="5">
        <f t="shared" si="1"/>
        <v>-1.1113539413709162E-3</v>
      </c>
      <c r="G72" s="4">
        <f t="shared" si="14"/>
        <v>15.5</v>
      </c>
      <c r="H72" s="5">
        <f t="shared" si="2"/>
        <v>55.5</v>
      </c>
      <c r="I72">
        <f t="shared" si="15"/>
        <v>454.02257030672303</v>
      </c>
      <c r="J72" s="14">
        <f>_xlfn.XLOOKUP($H72,'Q1 Base'!$C$8:$C$208,'Q1 Base'!$D$8:$D$208,,0,)</f>
        <v>2.5721069698594582E-3</v>
      </c>
      <c r="K72" s="29" cm="1">
        <f t="array" ref="K72">I72*$B$7+$E$6-J72*(SumAssdTA-I72)</f>
        <v>-44.261322446915756</v>
      </c>
      <c r="M72" s="4">
        <f t="shared" si="16"/>
        <v>15.5</v>
      </c>
      <c r="N72" s="5">
        <f t="shared" si="3"/>
        <v>55.5</v>
      </c>
      <c r="O72">
        <f t="shared" si="17"/>
        <v>544.65529081655836</v>
      </c>
      <c r="P72" s="14">
        <f>_xlfn.XLOOKUP($N72,'Q1 Base'!$C$8:$C$208,'Q1 Base'!$D$8:$D$208,,0,)</f>
        <v>2.5721069698594582E-3</v>
      </c>
      <c r="Q72" s="29">
        <f t="shared" si="4"/>
        <v>-61.232742330149762</v>
      </c>
      <c r="S72" s="4">
        <f t="shared" si="18"/>
        <v>15.5</v>
      </c>
      <c r="T72" s="5">
        <f t="shared" si="5"/>
        <v>55.5</v>
      </c>
      <c r="U72">
        <f t="shared" si="19"/>
        <v>-439.17268815841646</v>
      </c>
      <c r="V72" s="14">
        <f>_xlfn.XLOOKUP($T72,'Q1 Base'!$C$8:$C$208,'Q1 Base'!$D$8:$D$208,,0,)</f>
        <v>2.5721069698594582E-3</v>
      </c>
      <c r="W72" s="32">
        <f t="shared" si="6"/>
        <v>45000</v>
      </c>
      <c r="X72" s="29">
        <f t="shared" si="7"/>
        <v>32.38349905305104</v>
      </c>
      <c r="Y72" s="48">
        <f t="shared" si="25"/>
        <v>-1.9672926345087327</v>
      </c>
      <c r="Z72" s="51">
        <f t="shared" si="20"/>
        <v>-893.19525846513943</v>
      </c>
      <c r="AB72" s="4">
        <f t="shared" si="21"/>
        <v>4.5</v>
      </c>
      <c r="AC72" s="5">
        <f t="shared" si="8"/>
        <v>44.5</v>
      </c>
      <c r="AD72" s="13">
        <f t="shared" si="22"/>
        <v>1.1159516318919056E-3</v>
      </c>
      <c r="AE72" s="14">
        <f t="shared" si="23"/>
        <v>0.99588002706426015</v>
      </c>
      <c r="AF72" s="4">
        <f t="shared" si="9"/>
        <v>1</v>
      </c>
      <c r="AG72">
        <f t="shared" si="24"/>
        <v>0.72978887426905681</v>
      </c>
      <c r="AH72">
        <f t="shared" si="10"/>
        <v>8.1105374178756025E-4</v>
      </c>
      <c r="AI72" s="5">
        <f t="shared" si="11"/>
        <v>0.72678216385826422</v>
      </c>
    </row>
    <row r="73" spans="1:35" x14ac:dyDescent="0.45">
      <c r="A73" s="4">
        <f t="shared" si="12"/>
        <v>4.5999999999999996</v>
      </c>
      <c r="B73" s="5">
        <f t="shared" si="0"/>
        <v>44.6</v>
      </c>
      <c r="C73" s="14">
        <f>_xlfn.XLOOKUP($B73,'Q1 Base'!$C$8:$C$208,'Q1 Base'!$D$8:$D$208,,0,)</f>
        <v>1.1257617745132004E-3</v>
      </c>
      <c r="D73">
        <f t="shared" si="26"/>
        <v>0.99576889167012306</v>
      </c>
      <c r="E73" s="5">
        <f t="shared" si="1"/>
        <v>-1.1209985544916006E-3</v>
      </c>
      <c r="G73" s="4">
        <f t="shared" si="14"/>
        <v>15.4</v>
      </c>
      <c r="H73" s="5">
        <f t="shared" si="2"/>
        <v>55.4</v>
      </c>
      <c r="I73">
        <f t="shared" si="15"/>
        <v>458.44870255141461</v>
      </c>
      <c r="J73" s="14">
        <f>_xlfn.XLOOKUP($H73,'Q1 Base'!$C$8:$C$208,'Q1 Base'!$D$8:$D$208,,0,)</f>
        <v>2.5553255039647413E-3</v>
      </c>
      <c r="K73" s="29" cm="1">
        <f t="array" ref="K73">I73*$B$7+$E$6-J73*(SumAssdTA-I73)</f>
        <v>-42.269655555985935</v>
      </c>
      <c r="M73" s="4">
        <f t="shared" si="16"/>
        <v>15.4</v>
      </c>
      <c r="N73" s="5">
        <f t="shared" si="3"/>
        <v>55.4</v>
      </c>
      <c r="O73">
        <f t="shared" si="17"/>
        <v>550.77856504957333</v>
      </c>
      <c r="P73" s="14">
        <f>_xlfn.XLOOKUP($N73,'Q1 Base'!$C$8:$C$208,'Q1 Base'!$D$8:$D$208,,0,)</f>
        <v>2.5553255039647413E-3</v>
      </c>
      <c r="Q73" s="29">
        <f t="shared" si="4"/>
        <v>-59.119459699738883</v>
      </c>
      <c r="S73" s="4">
        <f t="shared" si="18"/>
        <v>15.4</v>
      </c>
      <c r="T73" s="5">
        <f t="shared" si="5"/>
        <v>55.4</v>
      </c>
      <c r="U73">
        <f t="shared" si="19"/>
        <v>-442.41103806372155</v>
      </c>
      <c r="V73" s="14">
        <f>_xlfn.XLOOKUP($T73,'Q1 Base'!$C$8:$C$208,'Q1 Base'!$D$8:$D$208,,0,)</f>
        <v>2.5553255039647413E-3</v>
      </c>
      <c r="W73" s="32">
        <f t="shared" si="6"/>
        <v>46000</v>
      </c>
      <c r="X73" s="29">
        <f t="shared" si="7"/>
        <v>30.355749944361648</v>
      </c>
      <c r="Y73" s="48">
        <f t="shared" si="25"/>
        <v>-1.9650175376253913</v>
      </c>
      <c r="Z73" s="51">
        <f t="shared" si="20"/>
        <v>-900.85974061513616</v>
      </c>
      <c r="AB73" s="4">
        <f t="shared" si="21"/>
        <v>4.5999999999999996</v>
      </c>
      <c r="AC73" s="5">
        <f t="shared" si="8"/>
        <v>44.6</v>
      </c>
      <c r="AD73" s="13">
        <f t="shared" si="22"/>
        <v>1.1257617745132004E-3</v>
      </c>
      <c r="AE73" s="14">
        <f t="shared" si="23"/>
        <v>0.99576889167012306</v>
      </c>
      <c r="AF73" s="4">
        <f t="shared" si="9"/>
        <v>1</v>
      </c>
      <c r="AG73">
        <f t="shared" si="24"/>
        <v>0.7246981903299029</v>
      </c>
      <c r="AH73">
        <f t="shared" si="10"/>
        <v>8.1238562380249999E-4</v>
      </c>
      <c r="AI73" s="5">
        <f t="shared" si="11"/>
        <v>0.72163191378015135</v>
      </c>
    </row>
    <row r="74" spans="1:35" x14ac:dyDescent="0.45">
      <c r="A74" s="4">
        <f t="shared" si="12"/>
        <v>4.7</v>
      </c>
      <c r="B74" s="5">
        <f t="shared" si="0"/>
        <v>44.7</v>
      </c>
      <c r="C74" s="14">
        <f>_xlfn.XLOOKUP($B74,'Q1 Base'!$C$8:$C$208,'Q1 Base'!$D$8:$D$208,,0,)</f>
        <v>1.1355719171344948E-3</v>
      </c>
      <c r="D74">
        <f t="shared" si="26"/>
        <v>0.99565679181467392</v>
      </c>
      <c r="E74" s="5">
        <f t="shared" si="1"/>
        <v>-1.1306398918889699E-3</v>
      </c>
      <c r="G74" s="4">
        <f t="shared" si="14"/>
        <v>15.3</v>
      </c>
      <c r="H74" s="5">
        <f t="shared" si="2"/>
        <v>55.3</v>
      </c>
      <c r="I74">
        <f t="shared" si="15"/>
        <v>462.67566810701322</v>
      </c>
      <c r="J74" s="14">
        <f>_xlfn.XLOOKUP($H74,'Q1 Base'!$C$8:$C$208,'Q1 Base'!$D$8:$D$208,,0,)</f>
        <v>2.5385440380700256E-3</v>
      </c>
      <c r="K74" s="29" cm="1">
        <f t="array" ref="K74">I74*$B$7+$E$6-J74*(SumAssdTA-I74)</f>
        <v>-40.292584480678499</v>
      </c>
      <c r="M74" s="4">
        <f t="shared" si="16"/>
        <v>15.3</v>
      </c>
      <c r="N74" s="5">
        <f t="shared" si="3"/>
        <v>55.3</v>
      </c>
      <c r="O74">
        <f t="shared" si="17"/>
        <v>556.69051101954722</v>
      </c>
      <c r="P74" s="14">
        <f>_xlfn.XLOOKUP($N74,'Q1 Base'!$C$8:$C$208,'Q1 Base'!$D$8:$D$208,,0,)</f>
        <v>2.5385440380700256E-3</v>
      </c>
      <c r="Q74" s="29">
        <f t="shared" si="4"/>
        <v>-57.021712028878568</v>
      </c>
      <c r="S74" s="4">
        <f t="shared" si="18"/>
        <v>15.3</v>
      </c>
      <c r="T74" s="5">
        <f t="shared" si="5"/>
        <v>55.3</v>
      </c>
      <c r="U74">
        <f t="shared" si="19"/>
        <v>-445.44661305815771</v>
      </c>
      <c r="V74" s="14">
        <f>_xlfn.XLOOKUP($T74,'Q1 Base'!$C$8:$C$208,'Q1 Base'!$D$8:$D$208,,0,)</f>
        <v>2.5385440380700256E-3</v>
      </c>
      <c r="W74" s="32">
        <f t="shared" si="6"/>
        <v>47000</v>
      </c>
      <c r="X74" s="29">
        <f t="shared" si="7"/>
        <v>28.376381452780464</v>
      </c>
      <c r="Y74" s="48">
        <f t="shared" si="25"/>
        <v>-1.9627621328795044</v>
      </c>
      <c r="Z74" s="51">
        <f t="shared" si="20"/>
        <v>-908.12228116517099</v>
      </c>
      <c r="AB74" s="4">
        <f t="shared" si="21"/>
        <v>4.7</v>
      </c>
      <c r="AC74" s="5">
        <f t="shared" si="8"/>
        <v>44.7</v>
      </c>
      <c r="AD74" s="13">
        <f t="shared" si="22"/>
        <v>1.1355719171344948E-3</v>
      </c>
      <c r="AE74" s="14">
        <f t="shared" si="23"/>
        <v>0.99565679181467392</v>
      </c>
      <c r="AF74" s="4">
        <f t="shared" si="9"/>
        <v>1</v>
      </c>
      <c r="AG74">
        <f t="shared" si="24"/>
        <v>0.71964301674707531</v>
      </c>
      <c r="AH74">
        <f t="shared" si="10"/>
        <v>8.1365710265356541E-4</v>
      </c>
      <c r="AI74" s="5">
        <f t="shared" si="11"/>
        <v>0.71651745730622662</v>
      </c>
    </row>
    <row r="75" spans="1:35" x14ac:dyDescent="0.45">
      <c r="A75" s="4">
        <f t="shared" si="12"/>
        <v>4.8</v>
      </c>
      <c r="B75" s="5">
        <f t="shared" si="0"/>
        <v>44.8</v>
      </c>
      <c r="C75" s="14">
        <f>_xlfn.XLOOKUP($B75,'Q1 Base'!$C$8:$C$208,'Q1 Base'!$D$8:$D$208,,0,)</f>
        <v>1.145382059755789E-3</v>
      </c>
      <c r="D75">
        <f t="shared" si="26"/>
        <v>0.99554372782548506</v>
      </c>
      <c r="E75" s="5">
        <f t="shared" si="1"/>
        <v>-1.1402779255537106E-3</v>
      </c>
      <c r="G75" s="4">
        <f t="shared" si="14"/>
        <v>15.2</v>
      </c>
      <c r="H75" s="5">
        <f t="shared" si="2"/>
        <v>55.2</v>
      </c>
      <c r="I75">
        <f t="shared" si="15"/>
        <v>466.7049265550811</v>
      </c>
      <c r="J75" s="14">
        <f>_xlfn.XLOOKUP($H75,'Q1 Base'!$C$8:$C$208,'Q1 Base'!$D$8:$D$208,,0,)</f>
        <v>2.5217625721753105E-3</v>
      </c>
      <c r="K75" s="29" cm="1">
        <f t="array" ref="K75">I75*$B$7+$E$6-J75*(SumAssdTA-I75)</f>
        <v>-38.329993342638943</v>
      </c>
      <c r="M75" s="4">
        <f t="shared" si="16"/>
        <v>15.2</v>
      </c>
      <c r="N75" s="5">
        <f t="shared" si="3"/>
        <v>55.2</v>
      </c>
      <c r="O75">
        <f t="shared" si="17"/>
        <v>562.39268222243504</v>
      </c>
      <c r="P75" s="14">
        <f>_xlfn.XLOOKUP($N75,'Q1 Base'!$C$8:$C$208,'Q1 Base'!$D$8:$D$208,,0,)</f>
        <v>2.5217625721753105E-3</v>
      </c>
      <c r="Q75" s="29">
        <f t="shared" si="4"/>
        <v>-54.939376016109946</v>
      </c>
      <c r="S75" s="4">
        <f t="shared" si="18"/>
        <v>15.2</v>
      </c>
      <c r="T75" s="5">
        <f t="shared" si="5"/>
        <v>55.2</v>
      </c>
      <c r="U75">
        <f t="shared" si="19"/>
        <v>-448.28425120343576</v>
      </c>
      <c r="V75" s="14">
        <f>_xlfn.XLOOKUP($T75,'Q1 Base'!$C$8:$C$208,'Q1 Base'!$D$8:$D$208,,0,)</f>
        <v>2.5217625721753105E-3</v>
      </c>
      <c r="W75" s="32">
        <f t="shared" si="6"/>
        <v>48000</v>
      </c>
      <c r="X75" s="29">
        <f t="shared" si="7"/>
        <v>26.445032504964146</v>
      </c>
      <c r="Y75" s="48">
        <f t="shared" si="25"/>
        <v>-1.9605303601836495</v>
      </c>
      <c r="Z75" s="51">
        <f t="shared" si="20"/>
        <v>-914.98917775851692</v>
      </c>
      <c r="AB75" s="4">
        <f t="shared" si="21"/>
        <v>4.8</v>
      </c>
      <c r="AC75" s="5">
        <f t="shared" si="8"/>
        <v>44.8</v>
      </c>
      <c r="AD75" s="13">
        <f t="shared" si="22"/>
        <v>1.145382059755789E-3</v>
      </c>
      <c r="AE75" s="14">
        <f t="shared" si="23"/>
        <v>0.99554372782548506</v>
      </c>
      <c r="AF75" s="4">
        <f t="shared" si="9"/>
        <v>1</v>
      </c>
      <c r="AG75">
        <f t="shared" si="24"/>
        <v>0.71462310581605726</v>
      </c>
      <c r="AH75">
        <f t="shared" si="10"/>
        <v>8.1486895265268358E-4</v>
      </c>
      <c r="AI75" s="5">
        <f t="shared" si="11"/>
        <v>0.7114385507543437</v>
      </c>
    </row>
    <row r="76" spans="1:35" x14ac:dyDescent="0.45">
      <c r="A76" s="4">
        <f t="shared" si="12"/>
        <v>4.9000000000000004</v>
      </c>
      <c r="B76" s="5">
        <f t="shared" si="0"/>
        <v>44.9</v>
      </c>
      <c r="C76" s="14">
        <f>_xlfn.XLOOKUP($B76,'Q1 Base'!$C$8:$C$208,'Q1 Base'!$D$8:$D$208,,0,)</f>
        <v>1.1551922023770834E-3</v>
      </c>
      <c r="D76">
        <f t="shared" si="26"/>
        <v>0.99542970003292974</v>
      </c>
      <c r="E76" s="5">
        <f t="shared" si="1"/>
        <v>-1.1499126274925997E-3</v>
      </c>
      <c r="G76" s="4">
        <f t="shared" si="14"/>
        <v>15.1</v>
      </c>
      <c r="H76" s="5">
        <f t="shared" si="2"/>
        <v>55.1</v>
      </c>
      <c r="I76">
        <f t="shared" si="15"/>
        <v>470.53792588934499</v>
      </c>
      <c r="J76" s="14">
        <f>_xlfn.XLOOKUP($H76,'Q1 Base'!$C$8:$C$208,'Q1 Base'!$D$8:$D$208,,0,)</f>
        <v>2.5049811062805944E-3</v>
      </c>
      <c r="K76" s="29" cm="1">
        <f t="array" ref="K76">I76*$B$7+$E$6-J76*(SumAssdTA-I76)</f>
        <v>-36.381767201664019</v>
      </c>
      <c r="M76" s="4">
        <f t="shared" si="16"/>
        <v>15.1</v>
      </c>
      <c r="N76" s="5">
        <f t="shared" si="3"/>
        <v>55.1</v>
      </c>
      <c r="O76">
        <f t="shared" si="17"/>
        <v>567.88661982404608</v>
      </c>
      <c r="P76" s="14">
        <f>_xlfn.XLOOKUP($N76,'Q1 Base'!$C$8:$C$208,'Q1 Base'!$D$8:$D$208,,0,)</f>
        <v>2.5049811062805944E-3</v>
      </c>
      <c r="Q76" s="29">
        <f t="shared" si="4"/>
        <v>-52.872329358250596</v>
      </c>
      <c r="S76" s="4">
        <f t="shared" si="18"/>
        <v>15.1</v>
      </c>
      <c r="T76" s="5">
        <f t="shared" si="5"/>
        <v>55.1</v>
      </c>
      <c r="U76">
        <f t="shared" si="19"/>
        <v>-450.92875445393219</v>
      </c>
      <c r="V76" s="14">
        <f>_xlfn.XLOOKUP($T76,'Q1 Base'!$C$8:$C$208,'Q1 Base'!$D$8:$D$208,,0,)</f>
        <v>2.5049811062805944E-3</v>
      </c>
      <c r="W76" s="32">
        <f t="shared" si="6"/>
        <v>49000</v>
      </c>
      <c r="X76" s="29">
        <f t="shared" si="7"/>
        <v>24.561344970289866</v>
      </c>
      <c r="Y76" s="48">
        <f t="shared" si="25"/>
        <v>-1.9583260554431394</v>
      </c>
      <c r="Z76" s="51">
        <f t="shared" si="20"/>
        <v>-921.46668034327718</v>
      </c>
      <c r="AB76" s="4">
        <f t="shared" si="21"/>
        <v>4.9000000000000004</v>
      </c>
      <c r="AC76" s="5">
        <f t="shared" si="8"/>
        <v>44.9</v>
      </c>
      <c r="AD76" s="13">
        <f t="shared" si="22"/>
        <v>1.1551922023770834E-3</v>
      </c>
      <c r="AE76" s="14">
        <f t="shared" si="23"/>
        <v>0.99542970003292974</v>
      </c>
      <c r="AF76" s="4">
        <f t="shared" si="9"/>
        <v>1</v>
      </c>
      <c r="AG76">
        <f t="shared" si="24"/>
        <v>0.70963821156020856</v>
      </c>
      <c r="AH76">
        <f t="shared" si="10"/>
        <v>8.1602194042434874E-4</v>
      </c>
      <c r="AI76" s="5">
        <f t="shared" si="11"/>
        <v>0.70639495206528313</v>
      </c>
    </row>
    <row r="77" spans="1:35" x14ac:dyDescent="0.45">
      <c r="A77" s="4">
        <f t="shared" si="12"/>
        <v>5</v>
      </c>
      <c r="B77" s="5">
        <f t="shared" si="0"/>
        <v>45</v>
      </c>
      <c r="C77" s="14">
        <f>_xlfn.XLOOKUP($B77,'Q1 Base'!$C$8:$C$208,'Q1 Base'!$D$8:$D$208,,0,)</f>
        <v>1.1650023449983778E-3</v>
      </c>
      <c r="D77">
        <f t="shared" si="26"/>
        <v>0.99531470877018047</v>
      </c>
      <c r="E77" s="5">
        <f t="shared" si="1"/>
        <v>-1.1595439697286377E-3</v>
      </c>
      <c r="G77" s="4">
        <f t="shared" si="14"/>
        <v>15</v>
      </c>
      <c r="H77" s="5">
        <f t="shared" si="2"/>
        <v>55</v>
      </c>
      <c r="I77">
        <f t="shared" si="15"/>
        <v>474.17610260951142</v>
      </c>
      <c r="J77" s="14">
        <f>_xlfn.XLOOKUP($H77,'Q1 Base'!$C$8:$C$208,'Q1 Base'!$D$8:$D$208,,0,)</f>
        <v>2.4881996403858784E-3</v>
      </c>
      <c r="K77" s="29" cm="1">
        <f t="array" ref="K77">I77*$B$7+$E$6-J77*(SumAssdTA-I77)</f>
        <v>-34.447792047929511</v>
      </c>
      <c r="M77" s="4">
        <f t="shared" si="16"/>
        <v>15</v>
      </c>
      <c r="N77" s="5">
        <f t="shared" si="3"/>
        <v>55</v>
      </c>
      <c r="O77">
        <f t="shared" si="17"/>
        <v>573.17385275987112</v>
      </c>
      <c r="P77" s="14">
        <f>_xlfn.XLOOKUP($N77,'Q1 Base'!$C$8:$C$208,'Q1 Base'!$D$8:$D$208,,0,)</f>
        <v>2.4881996403858784E-3</v>
      </c>
      <c r="Q77" s="29">
        <f t="shared" si="4"/>
        <v>-50.820450742124336</v>
      </c>
      <c r="S77" s="4">
        <f t="shared" si="18"/>
        <v>15</v>
      </c>
      <c r="T77" s="5">
        <f t="shared" si="5"/>
        <v>55</v>
      </c>
      <c r="U77">
        <f t="shared" si="19"/>
        <v>-453.38488895096117</v>
      </c>
      <c r="V77" s="14">
        <f>_xlfn.XLOOKUP($T77,'Q1 Base'!$C$8:$C$208,'Q1 Base'!$D$8:$D$208,,0,)</f>
        <v>2.4881996403858784E-3</v>
      </c>
      <c r="W77" s="32">
        <f t="shared" si="6"/>
        <v>50000</v>
      </c>
      <c r="X77" s="29">
        <f t="shared" si="7"/>
        <v>22.724963636494607</v>
      </c>
      <c r="Y77" s="48">
        <f t="shared" si="25"/>
        <v>-1.9561529702907192</v>
      </c>
      <c r="Z77" s="51">
        <f t="shared" si="20"/>
        <v>-927.56099156047253</v>
      </c>
      <c r="AB77" s="4">
        <f t="shared" si="21"/>
        <v>5</v>
      </c>
      <c r="AC77" s="5">
        <f t="shared" si="8"/>
        <v>45</v>
      </c>
      <c r="AD77" s="13">
        <f t="shared" si="22"/>
        <v>1.1650023449983778E-3</v>
      </c>
      <c r="AE77" s="14">
        <f t="shared" si="23"/>
        <v>0.99531470877018047</v>
      </c>
      <c r="AF77" s="4">
        <f t="shared" si="9"/>
        <v>1</v>
      </c>
      <c r="AG77">
        <f t="shared" si="24"/>
        <v>0.70468808971871344</v>
      </c>
      <c r="AH77">
        <f t="shared" si="10"/>
        <v>8.1711682497292743E-4</v>
      </c>
      <c r="AI77" s="5">
        <f t="shared" si="11"/>
        <v>0.70138642079219604</v>
      </c>
    </row>
    <row r="78" spans="1:35" x14ac:dyDescent="0.45">
      <c r="A78" s="4">
        <f t="shared" si="12"/>
        <v>5.0999999999999996</v>
      </c>
      <c r="B78" s="5">
        <f t="shared" si="0"/>
        <v>45.1</v>
      </c>
      <c r="C78" s="14">
        <f>_xlfn.XLOOKUP($B78,'Q1 Base'!$C$8:$C$208,'Q1 Base'!$D$8:$D$208,,0,)</f>
        <v>1.1754282141396377E-3</v>
      </c>
      <c r="D78">
        <f t="shared" si="26"/>
        <v>0.99519875437320759</v>
      </c>
      <c r="E78" s="5">
        <f t="shared" si="1"/>
        <v>-1.1697846945668913E-3</v>
      </c>
      <c r="G78" s="4">
        <f t="shared" si="14"/>
        <v>14.9</v>
      </c>
      <c r="H78" s="5">
        <f t="shared" si="2"/>
        <v>54.9</v>
      </c>
      <c r="I78">
        <f t="shared" si="15"/>
        <v>477.62088181430437</v>
      </c>
      <c r="J78" s="14">
        <f>_xlfn.XLOOKUP($H78,'Q1 Base'!$C$8:$C$208,'Q1 Base'!$D$8:$D$208,,0,)</f>
        <v>2.47213406551588E-3</v>
      </c>
      <c r="K78" s="29" cm="1">
        <f t="array" ref="K78">I78*$B$7+$E$6-J78*(SumAssdTA-I78)</f>
        <v>-32.599201972251819</v>
      </c>
      <c r="M78" s="4">
        <f t="shared" si="16"/>
        <v>14.9</v>
      </c>
      <c r="N78" s="5">
        <f t="shared" si="3"/>
        <v>54.9</v>
      </c>
      <c r="O78">
        <f t="shared" si="17"/>
        <v>578.25589783408361</v>
      </c>
      <c r="P78" s="14">
        <f>_xlfn.XLOOKUP($N78,'Q1 Base'!$C$8:$C$208,'Q1 Base'!$D$8:$D$208,,0,)</f>
        <v>2.47213406551588E-3</v>
      </c>
      <c r="Q78" s="29">
        <f t="shared" si="4"/>
        <v>-48.854794970624198</v>
      </c>
      <c r="S78" s="4">
        <f t="shared" si="18"/>
        <v>14.9</v>
      </c>
      <c r="T78" s="5">
        <f t="shared" si="5"/>
        <v>54.9</v>
      </c>
      <c r="U78">
        <f t="shared" si="19"/>
        <v>-455.65738531461062</v>
      </c>
      <c r="V78" s="14">
        <f>_xlfn.XLOOKUP($T78,'Q1 Base'!$C$8:$C$208,'Q1 Base'!$D$8:$D$208,,0,)</f>
        <v>2.47213406551588E-3</v>
      </c>
      <c r="W78" s="32">
        <f t="shared" si="6"/>
        <v>51000</v>
      </c>
      <c r="X78" s="29">
        <f t="shared" si="7"/>
        <v>20.89869954222722</v>
      </c>
      <c r="Y78" s="48">
        <f t="shared" si="25"/>
        <v>-1.9540147901066165</v>
      </c>
      <c r="Z78" s="51">
        <f t="shared" si="20"/>
        <v>-933.27826712891499</v>
      </c>
      <c r="AB78" s="4">
        <f t="shared" si="21"/>
        <v>5.0999999999999996</v>
      </c>
      <c r="AC78" s="5">
        <f t="shared" si="8"/>
        <v>45.1</v>
      </c>
      <c r="AD78" s="13">
        <f t="shared" si="22"/>
        <v>1.1754282141396377E-3</v>
      </c>
      <c r="AE78" s="14">
        <f t="shared" si="23"/>
        <v>0.99519875437320759</v>
      </c>
      <c r="AF78" s="4">
        <f t="shared" si="9"/>
        <v>1</v>
      </c>
      <c r="AG78">
        <f t="shared" si="24"/>
        <v>0.69977249773461103</v>
      </c>
      <c r="AH78">
        <f t="shared" si="10"/>
        <v>8.1858315752879264E-4</v>
      </c>
      <c r="AI78" s="5">
        <f t="shared" si="11"/>
        <v>0.69641271809011318</v>
      </c>
    </row>
    <row r="79" spans="1:35" x14ac:dyDescent="0.45">
      <c r="A79" s="4">
        <f t="shared" si="12"/>
        <v>5.2</v>
      </c>
      <c r="B79" s="5">
        <f t="shared" si="0"/>
        <v>45.2</v>
      </c>
      <c r="C79" s="14">
        <f>_xlfn.XLOOKUP($B79,'Q1 Base'!$C$8:$C$208,'Q1 Base'!$D$8:$D$208,,0,)</f>
        <v>1.1858540832808977E-3</v>
      </c>
      <c r="D79">
        <f t="shared" si="26"/>
        <v>0.99508177590375091</v>
      </c>
      <c r="E79" s="5">
        <f t="shared" si="1"/>
        <v>-1.1800217871538701E-3</v>
      </c>
      <c r="G79" s="4">
        <f t="shared" si="14"/>
        <v>14.8</v>
      </c>
      <c r="H79" s="5">
        <f t="shared" si="2"/>
        <v>54.8</v>
      </c>
      <c r="I79">
        <f t="shared" si="15"/>
        <v>480.88080201152957</v>
      </c>
      <c r="J79" s="14">
        <f>_xlfn.XLOOKUP($H79,'Q1 Base'!$C$8:$C$208,'Q1 Base'!$D$8:$D$208,,0,)</f>
        <v>2.456068490645882E-3</v>
      </c>
      <c r="K79" s="29" cm="1">
        <f t="array" ref="K79">I79*$B$7+$E$6-J79*(SumAssdTA-I79)</f>
        <v>-30.764116738204109</v>
      </c>
      <c r="M79" s="4">
        <f t="shared" si="16"/>
        <v>14.8</v>
      </c>
      <c r="N79" s="5">
        <f t="shared" si="3"/>
        <v>54.8</v>
      </c>
      <c r="O79">
        <f t="shared" si="17"/>
        <v>583.14137733114603</v>
      </c>
      <c r="P79" s="14">
        <f>_xlfn.XLOOKUP($N79,'Q1 Base'!$C$8:$C$208,'Q1 Base'!$D$8:$D$208,,0,)</f>
        <v>2.456068490645882E-3</v>
      </c>
      <c r="Q79" s="29">
        <f t="shared" si="4"/>
        <v>-46.903544859996259</v>
      </c>
      <c r="S79" s="4">
        <f t="shared" si="18"/>
        <v>14.8</v>
      </c>
      <c r="T79" s="5">
        <f t="shared" si="5"/>
        <v>54.8</v>
      </c>
      <c r="U79">
        <f t="shared" si="19"/>
        <v>-457.74725526883333</v>
      </c>
      <c r="V79" s="14">
        <f>_xlfn.XLOOKUP($T79,'Q1 Base'!$C$8:$C$208,'Q1 Base'!$D$8:$D$208,,0,)</f>
        <v>2.456068490645882E-3</v>
      </c>
      <c r="W79" s="32">
        <f t="shared" si="6"/>
        <v>52000</v>
      </c>
      <c r="X79" s="29">
        <f t="shared" si="7"/>
        <v>19.117872007250384</v>
      </c>
      <c r="Y79" s="48">
        <f t="shared" si="25"/>
        <v>-1.9518933867895569</v>
      </c>
      <c r="Z79" s="51">
        <f t="shared" si="20"/>
        <v>-938.6280572803629</v>
      </c>
      <c r="AB79" s="4">
        <f t="shared" si="21"/>
        <v>5.2</v>
      </c>
      <c r="AC79" s="5">
        <f t="shared" si="8"/>
        <v>45.2</v>
      </c>
      <c r="AD79" s="13">
        <f t="shared" si="22"/>
        <v>1.1858540832808977E-3</v>
      </c>
      <c r="AE79" s="14">
        <f t="shared" si="23"/>
        <v>0.99508177590375091</v>
      </c>
      <c r="AF79" s="4">
        <f t="shared" si="9"/>
        <v>1</v>
      </c>
      <c r="AG79">
        <f t="shared" si="24"/>
        <v>0.69489119474291061</v>
      </c>
      <c r="AH79">
        <f t="shared" si="10"/>
        <v>8.1998674949801745E-4</v>
      </c>
      <c r="AI79" s="5">
        <f t="shared" si="11"/>
        <v>0.69147356412465466</v>
      </c>
    </row>
    <row r="80" spans="1:35" x14ac:dyDescent="0.45">
      <c r="A80" s="4">
        <f t="shared" si="12"/>
        <v>5.3</v>
      </c>
      <c r="B80" s="5">
        <f t="shared" si="0"/>
        <v>45.3</v>
      </c>
      <c r="C80" s="14">
        <f>_xlfn.XLOOKUP($B80,'Q1 Base'!$C$8:$C$208,'Q1 Base'!$D$8:$D$208,,0,)</f>
        <v>1.1962799524221569E-3</v>
      </c>
      <c r="D80">
        <f t="shared" si="26"/>
        <v>0.99496377372503553</v>
      </c>
      <c r="E80" s="5">
        <f t="shared" si="1"/>
        <v>-1.1902552158935553E-3</v>
      </c>
      <c r="G80" s="4">
        <f t="shared" si="14"/>
        <v>14.7</v>
      </c>
      <c r="H80" s="5">
        <f t="shared" si="2"/>
        <v>54.7</v>
      </c>
      <c r="I80">
        <f t="shared" si="15"/>
        <v>483.95721368534998</v>
      </c>
      <c r="J80" s="14">
        <f>_xlfn.XLOOKUP($H80,'Q1 Base'!$C$8:$C$208,'Q1 Base'!$D$8:$D$208,,0,)</f>
        <v>2.4400029157758854E-3</v>
      </c>
      <c r="K80" s="29" cm="1">
        <f t="array" ref="K80">I80*$B$7+$E$6-J80*(SumAssdTA-I80)</f>
        <v>-28.942429607111023</v>
      </c>
      <c r="M80" s="4">
        <f t="shared" si="16"/>
        <v>14.7</v>
      </c>
      <c r="N80" s="5">
        <f t="shared" si="3"/>
        <v>54.7</v>
      </c>
      <c r="O80">
        <f t="shared" si="17"/>
        <v>587.83173181714562</v>
      </c>
      <c r="P80" s="14">
        <f>_xlfn.XLOOKUP($N80,'Q1 Base'!$C$8:$C$208,'Q1 Base'!$D$8:$D$208,,0,)</f>
        <v>2.4400029157758854E-3</v>
      </c>
      <c r="Q80" s="29">
        <f t="shared" si="4"/>
        <v>-44.966586581812066</v>
      </c>
      <c r="S80" s="4">
        <f t="shared" si="18"/>
        <v>14.7</v>
      </c>
      <c r="T80" s="5">
        <f t="shared" si="5"/>
        <v>54.7</v>
      </c>
      <c r="U80">
        <f t="shared" si="19"/>
        <v>-459.65904246955836</v>
      </c>
      <c r="V80" s="14">
        <f>_xlfn.XLOOKUP($T80,'Q1 Base'!$C$8:$C$208,'Q1 Base'!$D$8:$D$208,,0,)</f>
        <v>2.4400029157758854E-3</v>
      </c>
      <c r="W80" s="32">
        <f t="shared" si="6"/>
        <v>53000</v>
      </c>
      <c r="X80" s="29">
        <f t="shared" si="7"/>
        <v>17.382143087120511</v>
      </c>
      <c r="Y80" s="48">
        <f t="shared" si="25"/>
        <v>-1.9497927285125884</v>
      </c>
      <c r="Z80" s="51">
        <f t="shared" si="20"/>
        <v>-943.61625615490834</v>
      </c>
      <c r="AB80" s="4">
        <f t="shared" si="21"/>
        <v>5.3</v>
      </c>
      <c r="AC80" s="5">
        <f t="shared" si="8"/>
        <v>45.3</v>
      </c>
      <c r="AD80" s="13">
        <f t="shared" si="22"/>
        <v>1.1962799524221569E-3</v>
      </c>
      <c r="AE80" s="14">
        <f t="shared" si="23"/>
        <v>0.99496377372503553</v>
      </c>
      <c r="AF80" s="4">
        <f t="shared" si="9"/>
        <v>1</v>
      </c>
      <c r="AG80">
        <f t="shared" si="24"/>
        <v>0.69004394155878901</v>
      </c>
      <c r="AH80">
        <f t="shared" si="10"/>
        <v>8.2132840063609631E-4</v>
      </c>
      <c r="AI80" s="5">
        <f t="shared" si="11"/>
        <v>0.6865687241294306</v>
      </c>
    </row>
    <row r="81" spans="1:35" x14ac:dyDescent="0.45">
      <c r="A81" s="4">
        <f t="shared" si="12"/>
        <v>5.4</v>
      </c>
      <c r="B81" s="5">
        <f t="shared" si="0"/>
        <v>45.4</v>
      </c>
      <c r="C81" s="14">
        <f>_xlfn.XLOOKUP($B81,'Q1 Base'!$C$8:$C$208,'Q1 Base'!$D$8:$D$208,,0,)</f>
        <v>1.2067058215634169E-3</v>
      </c>
      <c r="D81">
        <f t="shared" si="26"/>
        <v>0.99484474820344615</v>
      </c>
      <c r="E81" s="5">
        <f t="shared" si="1"/>
        <v>-1.20048494920889E-3</v>
      </c>
      <c r="G81" s="4">
        <f t="shared" si="14"/>
        <v>14.6</v>
      </c>
      <c r="H81" s="5">
        <f t="shared" si="2"/>
        <v>54.6</v>
      </c>
      <c r="I81">
        <f t="shared" si="15"/>
        <v>486.85145664606108</v>
      </c>
      <c r="J81" s="14">
        <f>_xlfn.XLOOKUP($H81,'Q1 Base'!$C$8:$C$208,'Q1 Base'!$D$8:$D$208,,0,)</f>
        <v>2.4239373409058874E-3</v>
      </c>
      <c r="K81" s="29" cm="1">
        <f t="array" ref="K81">I81*$B$7+$E$6-J81*(SumAssdTA-I81)</f>
        <v>-27.134034700125653</v>
      </c>
      <c r="M81" s="4">
        <f t="shared" si="16"/>
        <v>14.6</v>
      </c>
      <c r="N81" s="5">
        <f t="shared" si="3"/>
        <v>54.6</v>
      </c>
      <c r="O81">
        <f t="shared" si="17"/>
        <v>592.32839047532684</v>
      </c>
      <c r="P81" s="14">
        <f>_xlfn.XLOOKUP($N81,'Q1 Base'!$C$8:$C$208,'Q1 Base'!$D$8:$D$208,,0,)</f>
        <v>2.4239373409058874E-3</v>
      </c>
      <c r="Q81" s="29">
        <f t="shared" si="4"/>
        <v>-43.043807224607178</v>
      </c>
      <c r="S81" s="4">
        <f t="shared" si="18"/>
        <v>14.6</v>
      </c>
      <c r="T81" s="5">
        <f t="shared" si="5"/>
        <v>54.6</v>
      </c>
      <c r="U81">
        <f t="shared" si="19"/>
        <v>-461.39725677827039</v>
      </c>
      <c r="V81" s="14">
        <f>_xlfn.XLOOKUP($T81,'Q1 Base'!$C$8:$C$208,'Q1 Base'!$D$8:$D$208,,0,)</f>
        <v>2.4239373409058874E-3</v>
      </c>
      <c r="W81" s="32">
        <f t="shared" si="6"/>
        <v>54000</v>
      </c>
      <c r="X81" s="29">
        <f t="shared" si="7"/>
        <v>15.691177576906767</v>
      </c>
      <c r="Y81" s="48">
        <f t="shared" si="25"/>
        <v>-1.9477167018393131</v>
      </c>
      <c r="Z81" s="51">
        <f t="shared" si="20"/>
        <v>-948.24871342433153</v>
      </c>
      <c r="AB81" s="4">
        <f t="shared" si="21"/>
        <v>5.4</v>
      </c>
      <c r="AC81" s="5">
        <f t="shared" si="8"/>
        <v>45.4</v>
      </c>
      <c r="AD81" s="13">
        <f t="shared" si="22"/>
        <v>1.2067058215634169E-3</v>
      </c>
      <c r="AE81" s="14">
        <f t="shared" si="23"/>
        <v>0.99484474820344615</v>
      </c>
      <c r="AF81" s="4">
        <f t="shared" si="9"/>
        <v>1</v>
      </c>
      <c r="AG81">
        <f t="shared" si="24"/>
        <v>0.68523050066587021</v>
      </c>
      <c r="AH81">
        <f t="shared" si="10"/>
        <v>8.2260890278824949E-4</v>
      </c>
      <c r="AI81" s="5">
        <f t="shared" si="11"/>
        <v>0.681697964896259</v>
      </c>
    </row>
    <row r="82" spans="1:35" x14ac:dyDescent="0.45">
      <c r="A82" s="4">
        <f t="shared" si="12"/>
        <v>5.5</v>
      </c>
      <c r="B82" s="5">
        <f t="shared" si="0"/>
        <v>45.5</v>
      </c>
      <c r="C82" s="14">
        <f>_xlfn.XLOOKUP($B82,'Q1 Base'!$C$8:$C$208,'Q1 Base'!$D$8:$D$208,,0,)</f>
        <v>1.217131690704677E-3</v>
      </c>
      <c r="D82">
        <f t="shared" si="26"/>
        <v>0.99472469970852528</v>
      </c>
      <c r="E82" s="5">
        <f t="shared" si="1"/>
        <v>-1.2107109555419395E-3</v>
      </c>
      <c r="G82" s="4">
        <f t="shared" si="14"/>
        <v>14.5</v>
      </c>
      <c r="H82" s="5">
        <f t="shared" si="2"/>
        <v>54.5</v>
      </c>
      <c r="I82">
        <f t="shared" si="15"/>
        <v>489.56486011607365</v>
      </c>
      <c r="J82" s="14">
        <f>_xlfn.XLOOKUP($H82,'Q1 Base'!$C$8:$C$208,'Q1 Base'!$D$8:$D$208,,0,)</f>
        <v>2.4078717660358895E-3</v>
      </c>
      <c r="K82" s="29" cm="1">
        <f t="array" ref="K82">I82*$B$7+$E$6-J82*(SumAssdTA-I82)</f>
        <v>-25.338826991146959</v>
      </c>
      <c r="M82" s="4">
        <f t="shared" si="16"/>
        <v>14.5</v>
      </c>
      <c r="N82" s="5">
        <f t="shared" si="3"/>
        <v>54.5</v>
      </c>
      <c r="O82">
        <f t="shared" si="17"/>
        <v>596.63277119778752</v>
      </c>
      <c r="P82" s="14">
        <f>_xlfn.XLOOKUP($N82,'Q1 Base'!$C$8:$C$208,'Q1 Base'!$D$8:$D$208,,0,)</f>
        <v>2.4078717660358895E-3</v>
      </c>
      <c r="Q82" s="29">
        <f t="shared" si="4"/>
        <v>-41.13509478632804</v>
      </c>
      <c r="S82" s="4">
        <f t="shared" si="18"/>
        <v>14.5</v>
      </c>
      <c r="T82" s="5">
        <f t="shared" si="5"/>
        <v>54.5</v>
      </c>
      <c r="U82">
        <f t="shared" si="19"/>
        <v>-462.96637453596105</v>
      </c>
      <c r="V82" s="14">
        <f>_xlfn.XLOOKUP($T82,'Q1 Base'!$C$8:$C$208,'Q1 Base'!$D$8:$D$208,,0,)</f>
        <v>2.4078717660358895E-3</v>
      </c>
      <c r="W82" s="32">
        <f t="shared" si="6"/>
        <v>55000</v>
      </c>
      <c r="X82" s="29">
        <f t="shared" si="7"/>
        <v>14.04464298863968</v>
      </c>
      <c r="Y82" s="48">
        <f t="shared" si="25"/>
        <v>-1.9456691283483742</v>
      </c>
      <c r="Z82" s="51">
        <f t="shared" si="20"/>
        <v>-952.53123465203475</v>
      </c>
      <c r="AB82" s="4">
        <f t="shared" si="21"/>
        <v>5.5</v>
      </c>
      <c r="AC82" s="5">
        <f t="shared" si="8"/>
        <v>45.5</v>
      </c>
      <c r="AD82" s="13">
        <f t="shared" si="22"/>
        <v>1.217131690704677E-3</v>
      </c>
      <c r="AE82" s="14">
        <f t="shared" si="23"/>
        <v>0.99472469970852528</v>
      </c>
      <c r="AF82" s="4">
        <f t="shared" si="9"/>
        <v>1</v>
      </c>
      <c r="AG82">
        <f t="shared" si="24"/>
        <v>0.68045063620458768</v>
      </c>
      <c r="AH82">
        <f t="shared" si="10"/>
        <v>8.2382903995837698E-4</v>
      </c>
      <c r="AI82" s="5">
        <f t="shared" si="11"/>
        <v>0.67686105476508351</v>
      </c>
    </row>
    <row r="83" spans="1:35" x14ac:dyDescent="0.45">
      <c r="A83" s="4">
        <f t="shared" si="12"/>
        <v>5.6</v>
      </c>
      <c r="B83" s="5">
        <f t="shared" si="0"/>
        <v>45.6</v>
      </c>
      <c r="C83" s="14">
        <f>_xlfn.XLOOKUP($B83,'Q1 Base'!$C$8:$C$208,'Q1 Base'!$D$8:$D$208,,0,)</f>
        <v>1.2275575598459368E-3</v>
      </c>
      <c r="D83">
        <f t="shared" si="26"/>
        <v>0.99460362861297114</v>
      </c>
      <c r="E83" s="5">
        <f t="shared" si="1"/>
        <v>-1.2209332033540532E-3</v>
      </c>
      <c r="G83" s="4">
        <f t="shared" si="14"/>
        <v>14.4</v>
      </c>
      <c r="H83" s="5">
        <f t="shared" si="2"/>
        <v>54.4</v>
      </c>
      <c r="I83">
        <f t="shared" si="15"/>
        <v>492.09874281518836</v>
      </c>
      <c r="J83" s="14">
        <f>_xlfn.XLOOKUP($H83,'Q1 Base'!$C$8:$C$208,'Q1 Base'!$D$8:$D$208,,0,)</f>
        <v>2.3918061911658915E-3</v>
      </c>
      <c r="K83" s="29" cm="1">
        <f t="array" ref="K83">I83*$B$7+$E$6-J83*(SumAssdTA-I83)</f>
        <v>-23.55670229979566</v>
      </c>
      <c r="M83" s="4">
        <f t="shared" si="16"/>
        <v>14.4</v>
      </c>
      <c r="N83" s="5">
        <f t="shared" si="3"/>
        <v>54.4</v>
      </c>
      <c r="O83">
        <f t="shared" si="17"/>
        <v>600.74628067642027</v>
      </c>
      <c r="P83" s="14">
        <f>_xlfn.XLOOKUP($N83,'Q1 Base'!$C$8:$C$208,'Q1 Base'!$D$8:$D$208,,0,)</f>
        <v>2.3918061911658915E-3</v>
      </c>
      <c r="Q83" s="29">
        <f t="shared" si="4"/>
        <v>-39.240338166841127</v>
      </c>
      <c r="S83" s="4">
        <f t="shared" si="18"/>
        <v>14.4</v>
      </c>
      <c r="T83" s="5">
        <f t="shared" si="5"/>
        <v>54.4</v>
      </c>
      <c r="U83">
        <f t="shared" si="19"/>
        <v>-464.37083883482501</v>
      </c>
      <c r="V83" s="14">
        <f>_xlfn.XLOOKUP($T83,'Q1 Base'!$C$8:$C$208,'Q1 Base'!$D$8:$D$208,,0,)</f>
        <v>2.3918061911658915E-3</v>
      </c>
      <c r="W83" s="32">
        <f t="shared" si="6"/>
        <v>56000</v>
      </c>
      <c r="X83" s="29">
        <f t="shared" si="7"/>
        <v>12.442209528950315</v>
      </c>
      <c r="Y83" s="48">
        <f t="shared" si="25"/>
        <v>-1.9436537800894631</v>
      </c>
      <c r="Z83" s="51">
        <f t="shared" si="20"/>
        <v>-956.46958165001342</v>
      </c>
      <c r="AB83" s="4">
        <f t="shared" si="21"/>
        <v>5.6</v>
      </c>
      <c r="AC83" s="5">
        <f t="shared" si="8"/>
        <v>45.6</v>
      </c>
      <c r="AD83" s="13">
        <f t="shared" si="22"/>
        <v>1.2275575598459368E-3</v>
      </c>
      <c r="AE83" s="14">
        <f t="shared" si="23"/>
        <v>0.99460362861297114</v>
      </c>
      <c r="AF83" s="4">
        <f t="shared" si="9"/>
        <v>1</v>
      </c>
      <c r="AG83">
        <f t="shared" si="24"/>
        <v>0.67570411396062602</v>
      </c>
      <c r="AH83">
        <f t="shared" si="10"/>
        <v>8.2498958837745931E-4</v>
      </c>
      <c r="AI83" s="5">
        <f t="shared" si="11"/>
        <v>0.6720577636139512</v>
      </c>
    </row>
    <row r="84" spans="1:35" x14ac:dyDescent="0.45">
      <c r="A84" s="4">
        <f t="shared" si="12"/>
        <v>5.7</v>
      </c>
      <c r="B84" s="5">
        <f t="shared" si="0"/>
        <v>45.7</v>
      </c>
      <c r="C84" s="14">
        <f>_xlfn.XLOOKUP($B84,'Q1 Base'!$C$8:$C$208,'Q1 Base'!$D$8:$D$208,,0,)</f>
        <v>1.2379834289871967E-3</v>
      </c>
      <c r="D84">
        <f t="shared" si="26"/>
        <v>0.99448153529263572</v>
      </c>
      <c r="E84" s="5">
        <f t="shared" si="1"/>
        <v>-1.2311516611260291E-3</v>
      </c>
      <c r="G84" s="4">
        <f t="shared" si="14"/>
        <v>14.3</v>
      </c>
      <c r="H84" s="5">
        <f t="shared" si="2"/>
        <v>54.3</v>
      </c>
      <c r="I84">
        <f t="shared" si="15"/>
        <v>494.45441304516794</v>
      </c>
      <c r="J84" s="14">
        <f>_xlfn.XLOOKUP($H84,'Q1 Base'!$C$8:$C$208,'Q1 Base'!$D$8:$D$208,,0,)</f>
        <v>2.3757406162958931E-3</v>
      </c>
      <c r="K84" s="29" cm="1">
        <f t="array" ref="K84">I84*$B$7+$E$6-J84*(SumAssdTA-I84)</f>
        <v>-21.787557284449406</v>
      </c>
      <c r="M84" s="4">
        <f t="shared" si="16"/>
        <v>14.3</v>
      </c>
      <c r="N84" s="5">
        <f t="shared" si="3"/>
        <v>54.3</v>
      </c>
      <c r="O84">
        <f t="shared" si="17"/>
        <v>604.67031449310434</v>
      </c>
      <c r="P84" s="14">
        <f>_xlfn.XLOOKUP($N84,'Q1 Base'!$C$8:$C$208,'Q1 Base'!$D$8:$D$208,,0,)</f>
        <v>2.3757406162958931E-3</v>
      </c>
      <c r="Q84" s="29">
        <f t="shared" si="4"/>
        <v>-37.359427160505447</v>
      </c>
      <c r="S84" s="4">
        <f t="shared" si="18"/>
        <v>14.3</v>
      </c>
      <c r="T84" s="5">
        <f t="shared" si="5"/>
        <v>54.3</v>
      </c>
      <c r="U84">
        <f t="shared" si="19"/>
        <v>-465.61505978772004</v>
      </c>
      <c r="V84" s="14">
        <f>_xlfn.XLOOKUP($T84,'Q1 Base'!$C$8:$C$208,'Q1 Base'!$D$8:$D$208,,0,)</f>
        <v>2.3757406162958931E-3</v>
      </c>
      <c r="W84" s="32">
        <f t="shared" si="6"/>
        <v>56999.999999999971</v>
      </c>
      <c r="X84" s="29">
        <f t="shared" si="7"/>
        <v>10.883550076897023</v>
      </c>
      <c r="Y84" s="48">
        <f t="shared" si="25"/>
        <v>-1.9416743940460828</v>
      </c>
      <c r="Z84" s="51">
        <f t="shared" si="20"/>
        <v>-960.06947283288798</v>
      </c>
      <c r="AB84" s="4">
        <f t="shared" si="21"/>
        <v>5.7</v>
      </c>
      <c r="AC84" s="5">
        <f t="shared" si="8"/>
        <v>45.7</v>
      </c>
      <c r="AD84" s="13">
        <f t="shared" si="22"/>
        <v>1.2379834289871967E-3</v>
      </c>
      <c r="AE84" s="14">
        <f t="shared" si="23"/>
        <v>0.99448153529263572</v>
      </c>
      <c r="AF84" s="4">
        <f t="shared" si="9"/>
        <v>1</v>
      </c>
      <c r="AG84">
        <f t="shared" si="24"/>
        <v>0.67099070135344585</v>
      </c>
      <c r="AH84">
        <f t="shared" si="10"/>
        <v>8.260913165714142E-4</v>
      </c>
      <c r="AI84" s="5">
        <f t="shared" si="11"/>
        <v>0.66728786284905728</v>
      </c>
    </row>
    <row r="85" spans="1:35" x14ac:dyDescent="0.45">
      <c r="A85" s="4">
        <f t="shared" si="12"/>
        <v>5.8</v>
      </c>
      <c r="B85" s="5">
        <f t="shared" si="0"/>
        <v>45.8</v>
      </c>
      <c r="C85" s="14">
        <f>_xlfn.XLOOKUP($B85,'Q1 Base'!$C$8:$C$208,'Q1 Base'!$D$8:$D$208,,0,)</f>
        <v>1.248409298128456E-3</v>
      </c>
      <c r="D85">
        <f t="shared" si="26"/>
        <v>0.99435842012652309</v>
      </c>
      <c r="E85" s="5">
        <f t="shared" si="1"/>
        <v>-1.241366297358273E-3</v>
      </c>
      <c r="G85" s="4">
        <f t="shared" si="14"/>
        <v>14.2</v>
      </c>
      <c r="H85" s="5">
        <f t="shared" si="2"/>
        <v>54.2</v>
      </c>
      <c r="I85">
        <f t="shared" si="15"/>
        <v>496.63316877361285</v>
      </c>
      <c r="J85" s="14">
        <f>_xlfn.XLOOKUP($H85,'Q1 Base'!$C$8:$C$208,'Q1 Base'!$D$8:$D$208,,0,)</f>
        <v>2.359675041425896E-3</v>
      </c>
      <c r="K85" s="29" cm="1">
        <f t="array" ref="K85">I85*$B$7+$E$6-J85*(SumAssdTA-I85)</f>
        <v>-20.031289435337357</v>
      </c>
      <c r="M85" s="4">
        <f t="shared" si="16"/>
        <v>14.2</v>
      </c>
      <c r="N85" s="5">
        <f t="shared" si="3"/>
        <v>54.2</v>
      </c>
      <c r="O85">
        <f t="shared" si="17"/>
        <v>608.40625720915489</v>
      </c>
      <c r="P85" s="14">
        <f>_xlfn.XLOOKUP($N85,'Q1 Base'!$C$8:$C$208,'Q1 Base'!$D$8:$D$208,,0,)</f>
        <v>2.359675041425896E-3</v>
      </c>
      <c r="Q85" s="29">
        <f t="shared" si="4"/>
        <v>-35.492252448808131</v>
      </c>
      <c r="S85" s="4">
        <f t="shared" si="18"/>
        <v>14.2</v>
      </c>
      <c r="T85" s="5">
        <f t="shared" si="5"/>
        <v>54.2</v>
      </c>
      <c r="U85">
        <f t="shared" si="19"/>
        <v>-466.70341479540974</v>
      </c>
      <c r="V85" s="14">
        <f>_xlfn.XLOOKUP($T85,'Q1 Base'!$C$8:$C$208,'Q1 Base'!$D$8:$D$208,,0,)</f>
        <v>2.359675041425896E-3</v>
      </c>
      <c r="W85" s="32">
        <f t="shared" si="6"/>
        <v>58000</v>
      </c>
      <c r="X85" s="29">
        <f t="shared" si="7"/>
        <v>9.3683401619783808</v>
      </c>
      <c r="Y85" s="48">
        <f t="shared" si="25"/>
        <v>-1.9397346857598905</v>
      </c>
      <c r="Z85" s="51">
        <f t="shared" si="20"/>
        <v>-963.33658356902265</v>
      </c>
      <c r="AB85" s="4">
        <f t="shared" si="21"/>
        <v>5.8</v>
      </c>
      <c r="AC85" s="5">
        <f t="shared" si="8"/>
        <v>45.8</v>
      </c>
      <c r="AD85" s="13">
        <f t="shared" si="22"/>
        <v>1.248409298128456E-3</v>
      </c>
      <c r="AE85" s="14">
        <f t="shared" si="23"/>
        <v>0.99435842012652309</v>
      </c>
      <c r="AF85" s="4">
        <f t="shared" si="9"/>
        <v>1</v>
      </c>
      <c r="AG85">
        <f t="shared" si="24"/>
        <v>0.66631016742488636</v>
      </c>
      <c r="AH85">
        <f t="shared" si="10"/>
        <v>8.2713498542840217E-4</v>
      </c>
      <c r="AI85" s="5">
        <f t="shared" si="11"/>
        <v>0.66255112539484906</v>
      </c>
    </row>
    <row r="86" spans="1:35" x14ac:dyDescent="0.45">
      <c r="A86" s="4">
        <f t="shared" si="12"/>
        <v>5.9</v>
      </c>
      <c r="B86" s="5">
        <f t="shared" si="0"/>
        <v>45.9</v>
      </c>
      <c r="C86" s="14">
        <f>_xlfn.XLOOKUP($B86,'Q1 Base'!$C$8:$C$208,'Q1 Base'!$D$8:$D$208,,0,)</f>
        <v>1.2588351672697161E-3</v>
      </c>
      <c r="D86">
        <f t="shared" si="26"/>
        <v>0.99423428349678722</v>
      </c>
      <c r="E86" s="5">
        <f t="shared" si="1"/>
        <v>-1.2515770805709644E-3</v>
      </c>
      <c r="G86" s="4">
        <f t="shared" si="14"/>
        <v>14.1</v>
      </c>
      <c r="H86" s="5">
        <f t="shared" si="2"/>
        <v>54.1</v>
      </c>
      <c r="I86">
        <f t="shared" si="15"/>
        <v>498.63629771714659</v>
      </c>
      <c r="J86" s="14">
        <f>_xlfn.XLOOKUP($H86,'Q1 Base'!$C$8:$C$208,'Q1 Base'!$D$8:$D$208,,0,)</f>
        <v>2.3436094665558981E-3</v>
      </c>
      <c r="K86" s="29" cm="1">
        <f t="array" ref="K86">I86*$B$7+$E$6-J86*(SumAssdTA-I86)</f>
        <v>-18.28779706769123</v>
      </c>
      <c r="M86" s="4">
        <f t="shared" si="16"/>
        <v>14.1</v>
      </c>
      <c r="N86" s="5">
        <f t="shared" si="3"/>
        <v>54.1</v>
      </c>
      <c r="O86">
        <f t="shared" si="17"/>
        <v>611.95548245403575</v>
      </c>
      <c r="P86" s="14">
        <f>_xlfn.XLOOKUP($N86,'Q1 Base'!$C$8:$C$208,'Q1 Base'!$D$8:$D$208,,0,)</f>
        <v>2.3436094665558981E-3</v>
      </c>
      <c r="Q86" s="29">
        <f t="shared" si="4"/>
        <v>-33.638705593060394</v>
      </c>
      <c r="S86" s="4">
        <f t="shared" si="18"/>
        <v>14.1</v>
      </c>
      <c r="T86" s="5">
        <f t="shared" si="5"/>
        <v>54.1</v>
      </c>
      <c r="U86">
        <f t="shared" si="19"/>
        <v>-467.64024881160759</v>
      </c>
      <c r="V86" s="14">
        <f>_xlfn.XLOOKUP($T86,'Q1 Base'!$C$8:$C$208,'Q1 Base'!$D$8:$D$208,,0,)</f>
        <v>2.3436094665558981E-3</v>
      </c>
      <c r="W86" s="32">
        <f t="shared" si="6"/>
        <v>59000</v>
      </c>
      <c r="X86" s="29">
        <f t="shared" si="7"/>
        <v>7.8962579423320562</v>
      </c>
      <c r="Y86" s="48">
        <f t="shared" si="25"/>
        <v>-1.9378383622543227</v>
      </c>
      <c r="Z86" s="51">
        <f t="shared" si="20"/>
        <v>-966.27654652875412</v>
      </c>
      <c r="AB86" s="4">
        <f t="shared" si="21"/>
        <v>5.9</v>
      </c>
      <c r="AC86" s="5">
        <f t="shared" si="8"/>
        <v>45.9</v>
      </c>
      <c r="AD86" s="13">
        <f t="shared" si="22"/>
        <v>1.2588351672697161E-3</v>
      </c>
      <c r="AE86" s="14">
        <f t="shared" si="23"/>
        <v>0.99423428349678722</v>
      </c>
      <c r="AF86" s="4">
        <f t="shared" si="9"/>
        <v>1</v>
      </c>
      <c r="AG86">
        <f t="shared" si="24"/>
        <v>0.66166228282784834</v>
      </c>
      <c r="AH86">
        <f t="shared" si="10"/>
        <v>8.2812134826559824E-4</v>
      </c>
      <c r="AI86" s="5">
        <f t="shared" si="11"/>
        <v>0.65784732568419435</v>
      </c>
    </row>
    <row r="87" spans="1:35" x14ac:dyDescent="0.45">
      <c r="A87" s="4">
        <f t="shared" si="12"/>
        <v>6</v>
      </c>
      <c r="B87" s="5">
        <f t="shared" si="0"/>
        <v>46</v>
      </c>
      <c r="C87" s="14">
        <f>_xlfn.XLOOKUP($B87,'Q1 Base'!$C$8:$C$208,'Q1 Base'!$D$8:$D$208,,0,)</f>
        <v>1.2692610364109758E-3</v>
      </c>
      <c r="D87">
        <f t="shared" si="26"/>
        <v>0.99410912578873012</v>
      </c>
      <c r="E87" s="5">
        <f t="shared" si="1"/>
        <v>-1.2617839793042126E-3</v>
      </c>
      <c r="G87" s="4">
        <f t="shared" si="14"/>
        <v>14</v>
      </c>
      <c r="H87" s="5">
        <f t="shared" si="2"/>
        <v>54</v>
      </c>
      <c r="I87">
        <f t="shared" si="15"/>
        <v>500.46507742391572</v>
      </c>
      <c r="J87" s="14">
        <f>_xlfn.XLOOKUP($H87,'Q1 Base'!$C$8:$C$208,'Q1 Base'!$D$8:$D$208,,0,)</f>
        <v>2.3275438916859001E-3</v>
      </c>
      <c r="K87" s="29" cm="1">
        <f t="array" ref="K87">I87*$B$7+$E$6-J87*(SumAssdTA-I87)</f>
        <v>-16.556979314955754</v>
      </c>
      <c r="M87" s="4">
        <f t="shared" si="16"/>
        <v>14</v>
      </c>
      <c r="N87" s="5">
        <f t="shared" si="3"/>
        <v>54</v>
      </c>
      <c r="O87">
        <f t="shared" si="17"/>
        <v>615.31935301334181</v>
      </c>
      <c r="P87" s="14">
        <f>_xlfn.XLOOKUP($N87,'Q1 Base'!$C$8:$C$208,'Q1 Base'!$D$8:$D$208,,0,)</f>
        <v>2.3275438916859001E-3</v>
      </c>
      <c r="Q87" s="29">
        <f t="shared" si="4"/>
        <v>-31.798679027156908</v>
      </c>
      <c r="S87" s="4">
        <f t="shared" si="18"/>
        <v>14</v>
      </c>
      <c r="T87" s="5">
        <f t="shared" si="5"/>
        <v>54</v>
      </c>
      <c r="U87">
        <f t="shared" si="19"/>
        <v>-468.42987460584078</v>
      </c>
      <c r="V87" s="14">
        <f>_xlfn.XLOOKUP($T87,'Q1 Base'!$C$8:$C$208,'Q1 Base'!$D$8:$D$208,,0,)</f>
        <v>2.3275438916859001E-3</v>
      </c>
      <c r="W87" s="32">
        <f t="shared" si="6"/>
        <v>60000</v>
      </c>
      <c r="X87" s="29">
        <f t="shared" si="7"/>
        <v>6.4669841831151302</v>
      </c>
      <c r="Y87" s="48">
        <f t="shared" si="25"/>
        <v>-1.9359891343808195</v>
      </c>
      <c r="Z87" s="51">
        <f t="shared" si="20"/>
        <v>-968.8949520297565</v>
      </c>
      <c r="AB87" s="4">
        <f t="shared" si="21"/>
        <v>6</v>
      </c>
      <c r="AC87" s="5">
        <f t="shared" si="8"/>
        <v>46</v>
      </c>
      <c r="AD87" s="13">
        <f t="shared" si="22"/>
        <v>1.2692610364109758E-3</v>
      </c>
      <c r="AE87" s="14">
        <f t="shared" si="23"/>
        <v>0.99410912578873012</v>
      </c>
      <c r="AF87" s="4">
        <f t="shared" si="9"/>
        <v>1</v>
      </c>
      <c r="AG87">
        <f t="shared" si="24"/>
        <v>0.65704681981505675</v>
      </c>
      <c r="AH87">
        <f t="shared" si="10"/>
        <v>8.2905115089542032E-4</v>
      </c>
      <c r="AI87" s="5">
        <f t="shared" si="11"/>
        <v>0.65317623964861138</v>
      </c>
    </row>
    <row r="88" spans="1:35" x14ac:dyDescent="0.45">
      <c r="A88" s="4">
        <f t="shared" si="12"/>
        <v>6.1</v>
      </c>
      <c r="B88" s="5">
        <f t="shared" si="0"/>
        <v>46.1</v>
      </c>
      <c r="C88" s="14">
        <f>_xlfn.XLOOKUP($B88,'Q1 Base'!$C$8:$C$208,'Q1 Base'!$D$8:$D$208,,0,)</f>
        <v>1.2803398249900952E-3</v>
      </c>
      <c r="D88">
        <f t="shared" si="26"/>
        <v>0.99398294739079973</v>
      </c>
      <c r="E88" s="5">
        <f t="shared" si="1"/>
        <v>-1.2726359529054755E-3</v>
      </c>
      <c r="G88" s="4">
        <f t="shared" si="14"/>
        <v>13.9</v>
      </c>
      <c r="H88" s="5">
        <f t="shared" si="2"/>
        <v>53.9</v>
      </c>
      <c r="I88">
        <f t="shared" si="15"/>
        <v>502.1207753554113</v>
      </c>
      <c r="J88" s="14">
        <f>_xlfn.XLOOKUP($H88,'Q1 Base'!$C$8:$C$208,'Q1 Base'!$D$8:$D$208,,0,)</f>
        <v>2.3123718038999741E-3</v>
      </c>
      <c r="K88" s="29" cm="1">
        <f t="array" ref="K88">I88*$B$7+$E$6-J88*(SumAssdTA-I88)</f>
        <v>-14.927636192034385</v>
      </c>
      <c r="M88" s="4">
        <f t="shared" si="16"/>
        <v>13.9</v>
      </c>
      <c r="N88" s="5">
        <f t="shared" si="3"/>
        <v>53.9</v>
      </c>
      <c r="O88">
        <f t="shared" si="17"/>
        <v>618.49922091605754</v>
      </c>
      <c r="P88" s="14">
        <f>_xlfn.XLOOKUP($N88,'Q1 Base'!$C$8:$C$208,'Q1 Base'!$D$8:$D$208,,0,)</f>
        <v>2.3123718038999741E-3</v>
      </c>
      <c r="Q88" s="29">
        <f t="shared" si="4"/>
        <v>-30.060862137736166</v>
      </c>
      <c r="S88" s="4">
        <f t="shared" si="18"/>
        <v>13.9</v>
      </c>
      <c r="T88" s="5">
        <f t="shared" si="5"/>
        <v>53.9</v>
      </c>
      <c r="U88">
        <f t="shared" si="19"/>
        <v>-469.07657302415231</v>
      </c>
      <c r="V88" s="14">
        <f>_xlfn.XLOOKUP($T88,'Q1 Base'!$C$8:$C$208,'Q1 Base'!$D$8:$D$208,,0,)</f>
        <v>2.3123718038999741E-3</v>
      </c>
      <c r="W88" s="32">
        <f t="shared" si="6"/>
        <v>61000</v>
      </c>
      <c r="X88" s="29">
        <f t="shared" si="7"/>
        <v>5.0252804090798406</v>
      </c>
      <c r="Y88" s="48">
        <f t="shared" si="25"/>
        <v>-1.9341907286989477</v>
      </c>
      <c r="Z88" s="51">
        <f t="shared" si="20"/>
        <v>-971.19734837956366</v>
      </c>
      <c r="AB88" s="4">
        <f t="shared" si="21"/>
        <v>6.1</v>
      </c>
      <c r="AC88" s="5">
        <f t="shared" si="8"/>
        <v>46.1</v>
      </c>
      <c r="AD88" s="13">
        <f t="shared" si="22"/>
        <v>1.2803398249900952E-3</v>
      </c>
      <c r="AE88" s="14">
        <f t="shared" si="23"/>
        <v>0.99398294739079973</v>
      </c>
      <c r="AF88" s="4">
        <f t="shared" si="9"/>
        <v>1</v>
      </c>
      <c r="AG88">
        <f t="shared" si="24"/>
        <v>0.65246355222790042</v>
      </c>
      <c r="AH88">
        <f t="shared" si="10"/>
        <v>8.3034857452564555E-4</v>
      </c>
      <c r="AI88" s="5">
        <f t="shared" si="11"/>
        <v>0.64853764470855946</v>
      </c>
    </row>
    <row r="89" spans="1:35" x14ac:dyDescent="0.45">
      <c r="A89" s="4">
        <f t="shared" si="12"/>
        <v>6.2</v>
      </c>
      <c r="B89" s="5">
        <f t="shared" si="0"/>
        <v>46.2</v>
      </c>
      <c r="C89" s="14">
        <f>_xlfn.XLOOKUP($B89,'Q1 Base'!$C$8:$C$208,'Q1 Base'!$D$8:$D$208,,0,)</f>
        <v>1.2914186135692147E-3</v>
      </c>
      <c r="D89">
        <f t="shared" si="26"/>
        <v>0.99385568379550915</v>
      </c>
      <c r="E89" s="5">
        <f t="shared" si="1"/>
        <v>-1.2834837292550801E-3</v>
      </c>
      <c r="G89" s="4">
        <f t="shared" si="14"/>
        <v>13.8</v>
      </c>
      <c r="H89" s="5">
        <f t="shared" si="2"/>
        <v>53.8</v>
      </c>
      <c r="I89">
        <f t="shared" si="15"/>
        <v>503.61353897461476</v>
      </c>
      <c r="J89" s="14">
        <f>_xlfn.XLOOKUP($H89,'Q1 Base'!$C$8:$C$208,'Q1 Base'!$D$8:$D$208,,0,)</f>
        <v>2.297199716114048E-3</v>
      </c>
      <c r="K89" s="29" cm="1">
        <f t="array" ref="K89">I89*$B$7+$E$6-J89*(SumAssdTA-I89)</f>
        <v>-13.310123004418074</v>
      </c>
      <c r="M89" s="4">
        <f t="shared" si="16"/>
        <v>13.8</v>
      </c>
      <c r="N89" s="5">
        <f t="shared" si="3"/>
        <v>53.8</v>
      </c>
      <c r="O89">
        <f t="shared" si="17"/>
        <v>621.50530712983118</v>
      </c>
      <c r="P89" s="14">
        <f>_xlfn.XLOOKUP($N89,'Q1 Base'!$C$8:$C$208,'Q1 Base'!$D$8:$D$208,,0,)</f>
        <v>2.297199716114048E-3</v>
      </c>
      <c r="Q89" s="29">
        <f t="shared" si="4"/>
        <v>-28.335705668257731</v>
      </c>
      <c r="S89" s="4">
        <f t="shared" si="18"/>
        <v>13.8</v>
      </c>
      <c r="T89" s="5">
        <f t="shared" si="5"/>
        <v>53.8</v>
      </c>
      <c r="U89">
        <f t="shared" si="19"/>
        <v>-469.57910106506029</v>
      </c>
      <c r="V89" s="14">
        <f>_xlfn.XLOOKUP($T89,'Q1 Base'!$C$8:$C$208,'Q1 Base'!$D$8:$D$208,,0,)</f>
        <v>2.297199716114048E-3</v>
      </c>
      <c r="W89" s="32">
        <f t="shared" si="6"/>
        <v>62000</v>
      </c>
      <c r="X89" s="29">
        <f t="shared" si="7"/>
        <v>3.6243635487150527</v>
      </c>
      <c r="Y89" s="48">
        <f t="shared" si="25"/>
        <v>-1.9324195334802745</v>
      </c>
      <c r="Z89" s="51">
        <f t="shared" si="20"/>
        <v>-973.1926400396751</v>
      </c>
      <c r="AB89" s="4">
        <f t="shared" si="21"/>
        <v>6.2</v>
      </c>
      <c r="AC89" s="5">
        <f t="shared" si="8"/>
        <v>46.2</v>
      </c>
      <c r="AD89" s="13">
        <f t="shared" si="22"/>
        <v>1.2914186135692147E-3</v>
      </c>
      <c r="AE89" s="14">
        <f t="shared" si="23"/>
        <v>0.99385568379550915</v>
      </c>
      <c r="AF89" s="4">
        <f t="shared" si="9"/>
        <v>1</v>
      </c>
      <c r="AG89">
        <f t="shared" si="24"/>
        <v>0.64791225548535059</v>
      </c>
      <c r="AH89">
        <f t="shared" si="10"/>
        <v>8.3158483790040803E-4</v>
      </c>
      <c r="AI89" s="5">
        <f t="shared" si="11"/>
        <v>0.64393127771488368</v>
      </c>
    </row>
    <row r="90" spans="1:35" x14ac:dyDescent="0.45">
      <c r="A90" s="4">
        <f t="shared" si="12"/>
        <v>6.3</v>
      </c>
      <c r="B90" s="5">
        <f t="shared" si="0"/>
        <v>46.3</v>
      </c>
      <c r="C90" s="14">
        <f>_xlfn.XLOOKUP($B90,'Q1 Base'!$C$8:$C$208,'Q1 Base'!$D$8:$D$208,,0,)</f>
        <v>1.3024974021483328E-3</v>
      </c>
      <c r="D90">
        <f t="shared" si="26"/>
        <v>0.99372733542258362</v>
      </c>
      <c r="E90" s="5">
        <f t="shared" si="1"/>
        <v>-1.2943272728317E-3</v>
      </c>
      <c r="G90" s="4">
        <f t="shared" si="14"/>
        <v>13.7</v>
      </c>
      <c r="H90" s="5">
        <f t="shared" si="2"/>
        <v>53.7</v>
      </c>
      <c r="I90">
        <f t="shared" si="15"/>
        <v>504.94455127505654</v>
      </c>
      <c r="J90" s="14">
        <f>_xlfn.XLOOKUP($H90,'Q1 Base'!$C$8:$C$208,'Q1 Base'!$D$8:$D$208,,0,)</f>
        <v>2.2820276283281229E-3</v>
      </c>
      <c r="K90" s="29" cm="1">
        <f t="array" ref="K90">I90*$B$7+$E$6-J90*(SumAssdTA-I90)</f>
        <v>-11.704346826774895</v>
      </c>
      <c r="M90" s="4">
        <f t="shared" si="16"/>
        <v>13.7</v>
      </c>
      <c r="N90" s="5">
        <f t="shared" si="3"/>
        <v>53.7</v>
      </c>
      <c r="O90">
        <f t="shared" si="17"/>
        <v>624.33887769665694</v>
      </c>
      <c r="P90" s="14">
        <f>_xlfn.XLOOKUP($N90,'Q1 Base'!$C$8:$C$208,'Q1 Base'!$D$8:$D$208,,0,)</f>
        <v>2.2820276283281229E-3</v>
      </c>
      <c r="Q90" s="29">
        <f t="shared" si="4"/>
        <v>-26.623110196746296</v>
      </c>
      <c r="S90" s="4">
        <f t="shared" si="18"/>
        <v>13.7</v>
      </c>
      <c r="T90" s="5">
        <f t="shared" si="5"/>
        <v>53.7</v>
      </c>
      <c r="U90">
        <f t="shared" si="19"/>
        <v>-469.94153741993182</v>
      </c>
      <c r="V90" s="14">
        <f>_xlfn.XLOOKUP($T90,'Q1 Base'!$C$8:$C$208,'Q1 Base'!$D$8:$D$208,,0,)</f>
        <v>2.2820276283281229E-3</v>
      </c>
      <c r="W90" s="32">
        <f t="shared" si="6"/>
        <v>63000</v>
      </c>
      <c r="X90" s="29">
        <f t="shared" si="7"/>
        <v>2.2639322238417492</v>
      </c>
      <c r="Y90" s="48">
        <f t="shared" si="25"/>
        <v>-1.9306794899227309</v>
      </c>
      <c r="Z90" s="51">
        <f t="shared" si="20"/>
        <v>-974.8860886949883</v>
      </c>
      <c r="AB90" s="4">
        <f t="shared" si="21"/>
        <v>6.3</v>
      </c>
      <c r="AC90" s="5">
        <f t="shared" si="8"/>
        <v>46.3</v>
      </c>
      <c r="AD90" s="13">
        <f t="shared" si="22"/>
        <v>1.3024974021483328E-3</v>
      </c>
      <c r="AE90" s="14">
        <f t="shared" si="23"/>
        <v>0.99372733542258362</v>
      </c>
      <c r="AF90" s="4">
        <f t="shared" si="9"/>
        <v>1</v>
      </c>
      <c r="AG90">
        <f t="shared" si="24"/>
        <v>0.64339270657295622</v>
      </c>
      <c r="AH90">
        <f t="shared" si="10"/>
        <v>8.3276072725838057E-4</v>
      </c>
      <c r="AI90" s="5">
        <f t="shared" si="11"/>
        <v>0.63935691993306798</v>
      </c>
    </row>
    <row r="91" spans="1:35" x14ac:dyDescent="0.45">
      <c r="A91" s="4">
        <f t="shared" si="12"/>
        <v>6.4</v>
      </c>
      <c r="B91" s="5">
        <f t="shared" ref="B91:B154" si="27">$B$8+A91</f>
        <v>46.4</v>
      </c>
      <c r="C91" s="14">
        <f>_xlfn.XLOOKUP($B91,'Q1 Base'!$C$8:$C$208,'Q1 Base'!$D$8:$D$208,,0,)</f>
        <v>1.3135761907274524E-3</v>
      </c>
      <c r="D91">
        <f t="shared" si="26"/>
        <v>0.99359790269530046</v>
      </c>
      <c r="E91" s="5">
        <f t="shared" ref="E91:E154" si="28">-D91*C91</f>
        <v>-1.3051665481372786E-3</v>
      </c>
      <c r="G91" s="4">
        <f t="shared" si="14"/>
        <v>13.6</v>
      </c>
      <c r="H91" s="5">
        <f t="shared" ref="H91:H154" si="29">$B$8+G91</f>
        <v>53.6</v>
      </c>
      <c r="I91">
        <f t="shared" si="15"/>
        <v>506.11498595773401</v>
      </c>
      <c r="J91" s="14">
        <f>_xlfn.XLOOKUP($H91,'Q1 Base'!$C$8:$C$208,'Q1 Base'!$D$8:$D$208,,0,)</f>
        <v>2.2668555405421969E-3</v>
      </c>
      <c r="K91" s="29" cm="1">
        <f t="array" ref="K91">I91*$B$7+$E$6-J91*(SumAssdTA-I91)</f>
        <v>-10.110215477108596</v>
      </c>
      <c r="M91" s="4">
        <f t="shared" si="16"/>
        <v>13.6</v>
      </c>
      <c r="N91" s="5">
        <f t="shared" ref="N91:N154" si="30">$B$8+M91</f>
        <v>53.6</v>
      </c>
      <c r="O91">
        <f t="shared" si="17"/>
        <v>627.00118871633151</v>
      </c>
      <c r="P91" s="14">
        <f>_xlfn.XLOOKUP($N91,'Q1 Base'!$C$8:$C$208,'Q1 Base'!$D$8:$D$208,,0,)</f>
        <v>2.2668555405421969E-3</v>
      </c>
      <c r="Q91" s="29">
        <f t="shared" ref="Q91:Q154" si="31">O91*$B$7+$N$18-P91*(SumAssdTA-O91)</f>
        <v>-24.922977096551477</v>
      </c>
      <c r="S91" s="4">
        <f t="shared" si="18"/>
        <v>13.6</v>
      </c>
      <c r="T91" s="5">
        <f t="shared" ref="T91:T154" si="32">$B$8+S91</f>
        <v>53.6</v>
      </c>
      <c r="U91">
        <f t="shared" si="19"/>
        <v>-470.16793064231598</v>
      </c>
      <c r="V91" s="14">
        <f>_xlfn.XLOOKUP($T91,'Q1 Base'!$C$8:$C$208,'Q1 Base'!$D$8:$D$208,,0,)</f>
        <v>2.2668555405421969E-3</v>
      </c>
      <c r="W91" s="32">
        <f t="shared" ref="W91:W154" si="33">StartDecSA+(FinalDecSA-StartDecSA)*(S91/TermOfDecSA)</f>
        <v>64000</v>
      </c>
      <c r="X91" s="29">
        <f t="shared" ref="X91:X154" si="34">U91*$B$7+$E$6-V91*(W91-U91)-Expenses</f>
        <v>0.94368748177549833</v>
      </c>
      <c r="Y91" s="48">
        <f t="shared" si="25"/>
        <v>-1.9289745288861688</v>
      </c>
      <c r="Z91" s="51">
        <f t="shared" si="20"/>
        <v>-976.28291660004993</v>
      </c>
      <c r="AB91" s="4">
        <f t="shared" si="21"/>
        <v>6.4</v>
      </c>
      <c r="AC91" s="5">
        <f t="shared" ref="AC91:AC154" si="35">$B$8+AB91</f>
        <v>46.4</v>
      </c>
      <c r="AD91" s="13">
        <f t="shared" si="22"/>
        <v>1.3135761907274524E-3</v>
      </c>
      <c r="AE91" s="14">
        <f t="shared" si="23"/>
        <v>0.99359790269530046</v>
      </c>
      <c r="AF91" s="4">
        <f t="shared" ref="AF91:AF154" si="36">IF(OR(AB91=0,AB91=TermOfDecSA),0.5,1)</f>
        <v>1</v>
      </c>
      <c r="AG91">
        <f t="shared" si="24"/>
        <v>0.63890468403191614</v>
      </c>
      <c r="AH91">
        <f t="shared" ref="AH91:AH154" si="37">AD91*AE91*AF91*AG91</f>
        <v>8.3387702104667462E-4</v>
      </c>
      <c r="AI91" s="5">
        <f t="shared" ref="AI91:AI154" si="38">AE91*AF91*AG91</f>
        <v>0.63481435407631548</v>
      </c>
    </row>
    <row r="92" spans="1:35" x14ac:dyDescent="0.45">
      <c r="A92" s="4">
        <f t="shared" ref="A92:A155" si="39">ROUND(A91+StepSizeQ1,2)</f>
        <v>6.5</v>
      </c>
      <c r="B92" s="5">
        <f t="shared" si="27"/>
        <v>46.5</v>
      </c>
      <c r="C92" s="14">
        <f>_xlfn.XLOOKUP($B92,'Q1 Base'!$C$8:$C$208,'Q1 Base'!$D$8:$D$208,,0,)</f>
        <v>1.3246549793065716E-3</v>
      </c>
      <c r="D92">
        <f t="shared" ref="D92:D123" si="40">D91+StepSizeQ1*E91</f>
        <v>0.99346738604048679</v>
      </c>
      <c r="E92" s="5">
        <f t="shared" si="28"/>
        <v>-1.3160015196972148E-3</v>
      </c>
      <c r="G92" s="4">
        <f t="shared" ref="G92:G155" si="41">ROUND(G91-StepSizeQ1,2)</f>
        <v>13.5</v>
      </c>
      <c r="H92" s="5">
        <f t="shared" si="29"/>
        <v>53.5</v>
      </c>
      <c r="I92">
        <f t="shared" ref="I92:I155" si="42">I91-StepSizeQ1*K91</f>
        <v>507.12600750544487</v>
      </c>
      <c r="J92" s="14">
        <f>_xlfn.XLOOKUP($H92,'Q1 Base'!$C$8:$C$208,'Q1 Base'!$D$8:$D$208,,0,)</f>
        <v>2.2516834527562708E-3</v>
      </c>
      <c r="K92" s="29" cm="1">
        <f t="array" ref="K92">I92*$B$7+$E$6-J92*(SumAssdTA-I92)</f>
        <v>-8.5276375106835758</v>
      </c>
      <c r="M92" s="4">
        <f t="shared" ref="M92:M155" si="43">ROUND(M91-StepSizeQ1,2)</f>
        <v>13.5</v>
      </c>
      <c r="N92" s="5">
        <f t="shared" si="30"/>
        <v>53.5</v>
      </c>
      <c r="O92">
        <f t="shared" ref="O92:O155" si="44">O91-StepSizeQ1*Q91</f>
        <v>629.4934864259867</v>
      </c>
      <c r="P92" s="14">
        <f>_xlfn.XLOOKUP($N92,'Q1 Base'!$C$8:$C$208,'Q1 Base'!$D$8:$D$208,,0,)</f>
        <v>2.2516834527562708E-3</v>
      </c>
      <c r="Q92" s="29">
        <f t="shared" si="31"/>
        <v>-23.235208529847938</v>
      </c>
      <c r="S92" s="4">
        <f t="shared" ref="S92:S155" si="45">ROUND(S91-StepSizeQ1,2)</f>
        <v>13.5</v>
      </c>
      <c r="T92" s="5">
        <f t="shared" si="32"/>
        <v>53.5</v>
      </c>
      <c r="U92">
        <f t="shared" ref="U92:U155" si="46">U91-StepSizeQ1*X91</f>
        <v>-470.26229939049352</v>
      </c>
      <c r="V92" s="14">
        <f>_xlfn.XLOOKUP($T92,'Q1 Base'!$C$8:$C$208,'Q1 Base'!$D$8:$D$208,,0,)</f>
        <v>2.2516834527562708E-3</v>
      </c>
      <c r="W92" s="32">
        <f t="shared" si="33"/>
        <v>65000</v>
      </c>
      <c r="X92" s="29">
        <f t="shared" si="34"/>
        <v>-0.33666722448484165</v>
      </c>
      <c r="Y92" s="48">
        <f t="shared" si="25"/>
        <v>-1.9273085829372385</v>
      </c>
      <c r="Z92" s="51">
        <f t="shared" ref="Z92:Z155" si="47">U92-I92</f>
        <v>-977.3883068959384</v>
      </c>
      <c r="AB92" s="4">
        <f t="shared" ref="AB92:AB155" si="48">ROUND(AB91+StepSizeQ1,2)</f>
        <v>6.5</v>
      </c>
      <c r="AC92" s="5">
        <f t="shared" si="35"/>
        <v>46.5</v>
      </c>
      <c r="AD92" s="13">
        <f t="shared" ref="AD92:AD155" si="49">C92</f>
        <v>1.3246549793065716E-3</v>
      </c>
      <c r="AE92" s="14">
        <f t="shared" ref="AE92:AE155" si="50">D92</f>
        <v>0.99346738604048679</v>
      </c>
      <c r="AF92" s="4">
        <f t="shared" si="36"/>
        <v>1</v>
      </c>
      <c r="AG92">
        <f t="shared" ref="AG92:AG155" si="51">EXP(-AB92*$B$7)</f>
        <v>0.63444796794822811</v>
      </c>
      <c r="AH92">
        <f t="shared" si="37"/>
        <v>8.3493448998867795E-4</v>
      </c>
      <c r="AI92" s="5">
        <f t="shared" si="38"/>
        <v>0.63030336429622469</v>
      </c>
    </row>
    <row r="93" spans="1:35" x14ac:dyDescent="0.45">
      <c r="A93" s="4">
        <f t="shared" si="39"/>
        <v>6.6</v>
      </c>
      <c r="B93" s="5">
        <f t="shared" si="27"/>
        <v>46.6</v>
      </c>
      <c r="C93" s="14">
        <f>_xlfn.XLOOKUP($B93,'Q1 Base'!$C$8:$C$208,'Q1 Base'!$D$8:$D$208,,0,)</f>
        <v>1.335733767885691E-3</v>
      </c>
      <c r="D93">
        <f t="shared" si="40"/>
        <v>0.99333578588851712</v>
      </c>
      <c r="E93" s="5">
        <f t="shared" si="28"/>
        <v>-1.3268321520605629E-3</v>
      </c>
      <c r="G93" s="4">
        <f t="shared" si="41"/>
        <v>13.4</v>
      </c>
      <c r="H93" s="5">
        <f t="shared" si="29"/>
        <v>53.4</v>
      </c>
      <c r="I93">
        <f t="shared" si="42"/>
        <v>507.97877125651326</v>
      </c>
      <c r="J93" s="14">
        <f>_xlfn.XLOOKUP($H93,'Q1 Base'!$C$8:$C$208,'Q1 Base'!$D$8:$D$208,,0,)</f>
        <v>2.2365113649703448E-3</v>
      </c>
      <c r="K93" s="29" cm="1">
        <f t="array" ref="K93">I93*$B$7+$E$6-J93*(SumAssdTA-I93)</f>
        <v>-6.9565222139996763</v>
      </c>
      <c r="M93" s="4">
        <f t="shared" si="43"/>
        <v>13.4</v>
      </c>
      <c r="N93" s="5">
        <f t="shared" si="30"/>
        <v>53.4</v>
      </c>
      <c r="O93">
        <f t="shared" si="44"/>
        <v>631.81700727897146</v>
      </c>
      <c r="P93" s="14">
        <f>_xlfn.XLOOKUP($N93,'Q1 Base'!$C$8:$C$208,'Q1 Base'!$D$8:$D$208,,0,)</f>
        <v>2.2365113649703448E-3</v>
      </c>
      <c r="Q93" s="29">
        <f t="shared" si="31"/>
        <v>-21.559707441188664</v>
      </c>
      <c r="S93" s="4">
        <f t="shared" si="45"/>
        <v>13.4</v>
      </c>
      <c r="T93" s="5">
        <f t="shared" si="32"/>
        <v>53.4</v>
      </c>
      <c r="U93">
        <f t="shared" si="46"/>
        <v>-470.22863266804507</v>
      </c>
      <c r="V93" s="14">
        <f>_xlfn.XLOOKUP($T93,'Q1 Base'!$C$8:$C$208,'Q1 Base'!$D$8:$D$208,,0,)</f>
        <v>2.2365113649703448E-3</v>
      </c>
      <c r="W93" s="32">
        <f t="shared" si="33"/>
        <v>66000</v>
      </c>
      <c r="X93" s="29">
        <f t="shared" si="34"/>
        <v>-1.577426055902464</v>
      </c>
      <c r="Y93" s="48">
        <f t="shared" ref="Y93:Y156" si="52">U93/I93-1</f>
        <v>-1.9256855980514871</v>
      </c>
      <c r="Z93" s="51">
        <f t="shared" si="47"/>
        <v>-978.20740392455832</v>
      </c>
      <c r="AB93" s="4">
        <f t="shared" si="48"/>
        <v>6.6</v>
      </c>
      <c r="AC93" s="5">
        <f t="shared" si="35"/>
        <v>46.6</v>
      </c>
      <c r="AD93" s="13">
        <f t="shared" si="49"/>
        <v>1.335733767885691E-3</v>
      </c>
      <c r="AE93" s="14">
        <f t="shared" si="50"/>
        <v>0.99333578588851712</v>
      </c>
      <c r="AF93" s="4">
        <f t="shared" si="36"/>
        <v>1</v>
      </c>
      <c r="AG93">
        <f t="shared" si="51"/>
        <v>0.63002233994191226</v>
      </c>
      <c r="AH93">
        <f t="shared" si="37"/>
        <v>8.3593389715135903E-4</v>
      </c>
      <c r="AI93" s="5">
        <f t="shared" si="38"/>
        <v>0.62582373617352194</v>
      </c>
    </row>
    <row r="94" spans="1:35" x14ac:dyDescent="0.45">
      <c r="A94" s="4">
        <f t="shared" si="39"/>
        <v>6.7</v>
      </c>
      <c r="B94" s="5">
        <f t="shared" si="27"/>
        <v>46.7</v>
      </c>
      <c r="C94" s="14">
        <f>_xlfn.XLOOKUP($B94,'Q1 Base'!$C$8:$C$208,'Q1 Base'!$D$8:$D$208,,0,)</f>
        <v>1.3468125564648102E-3</v>
      </c>
      <c r="D94">
        <f t="shared" si="40"/>
        <v>0.99320310267331102</v>
      </c>
      <c r="E94" s="5">
        <f t="shared" si="28"/>
        <v>-1.3376584098002233E-3</v>
      </c>
      <c r="G94" s="4">
        <f t="shared" si="41"/>
        <v>13.3</v>
      </c>
      <c r="H94" s="5">
        <f t="shared" si="29"/>
        <v>53.3</v>
      </c>
      <c r="I94">
        <f t="shared" si="42"/>
        <v>508.67442347791325</v>
      </c>
      <c r="J94" s="14">
        <f>_xlfn.XLOOKUP($H94,'Q1 Base'!$C$8:$C$208,'Q1 Base'!$D$8:$D$208,,0,)</f>
        <v>2.2213392771844188E-3</v>
      </c>
      <c r="K94" s="29" cm="1">
        <f t="array" ref="K94">I94*$B$7+$E$6-J94*(SumAssdTA-I94)</f>
        <v>-5.3967795988173179</v>
      </c>
      <c r="M94" s="4">
        <f t="shared" si="43"/>
        <v>13.3</v>
      </c>
      <c r="N94" s="5">
        <f t="shared" si="30"/>
        <v>53.3</v>
      </c>
      <c r="O94">
        <f t="shared" si="44"/>
        <v>633.97297802309038</v>
      </c>
      <c r="P94" s="14">
        <f>_xlfn.XLOOKUP($N94,'Q1 Base'!$C$8:$C$208,'Q1 Base'!$D$8:$D$208,,0,)</f>
        <v>2.2213392771844188E-3</v>
      </c>
      <c r="Q94" s="29">
        <f t="shared" si="31"/>
        <v>-19.896377551112437</v>
      </c>
      <c r="S94" s="4">
        <f t="shared" si="45"/>
        <v>13.3</v>
      </c>
      <c r="T94" s="5">
        <f t="shared" si="32"/>
        <v>53.3</v>
      </c>
      <c r="U94">
        <f t="shared" si="46"/>
        <v>-470.07089006245479</v>
      </c>
      <c r="V94" s="14">
        <f>_xlfn.XLOOKUP($T94,'Q1 Base'!$C$8:$C$208,'Q1 Base'!$D$8:$D$208,,0,)</f>
        <v>2.2213392771844188E-3</v>
      </c>
      <c r="W94" s="32">
        <f t="shared" si="33"/>
        <v>67000</v>
      </c>
      <c r="X94" s="29">
        <f t="shared" si="34"/>
        <v>-2.7788808068847004</v>
      </c>
      <c r="Y94" s="48">
        <f t="shared" si="52"/>
        <v>-1.9241095450572923</v>
      </c>
      <c r="Z94" s="51">
        <f t="shared" si="47"/>
        <v>-978.74531354036799</v>
      </c>
      <c r="AB94" s="4">
        <f t="shared" si="48"/>
        <v>6.7</v>
      </c>
      <c r="AC94" s="5">
        <f t="shared" si="35"/>
        <v>46.7</v>
      </c>
      <c r="AD94" s="13">
        <f t="shared" si="49"/>
        <v>1.3468125564648102E-3</v>
      </c>
      <c r="AE94" s="14">
        <f t="shared" si="50"/>
        <v>0.99320310267331102</v>
      </c>
      <c r="AF94" s="4">
        <f t="shared" si="36"/>
        <v>1</v>
      </c>
      <c r="AG94">
        <f t="shared" si="51"/>
        <v>0.62562758315631073</v>
      </c>
      <c r="AH94">
        <f t="shared" si="37"/>
        <v>8.3687599801202757E-4</v>
      </c>
      <c r="AI94" s="5">
        <f t="shared" si="38"/>
        <v>0.62137525670885274</v>
      </c>
    </row>
    <row r="95" spans="1:35" x14ac:dyDescent="0.45">
      <c r="A95" s="4">
        <f t="shared" si="39"/>
        <v>6.8</v>
      </c>
      <c r="B95" s="5">
        <f t="shared" si="27"/>
        <v>46.8</v>
      </c>
      <c r="C95" s="14">
        <f>_xlfn.XLOOKUP($B95,'Q1 Base'!$C$8:$C$208,'Q1 Base'!$D$8:$D$208,,0,)</f>
        <v>1.3578913450439289E-3</v>
      </c>
      <c r="D95">
        <f t="shared" si="40"/>
        <v>0.99306933683233101</v>
      </c>
      <c r="E95" s="5">
        <f t="shared" si="28"/>
        <v>-1.3484802575131365E-3</v>
      </c>
      <c r="G95" s="4">
        <f t="shared" si="41"/>
        <v>13.2</v>
      </c>
      <c r="H95" s="5">
        <f t="shared" si="29"/>
        <v>53.2</v>
      </c>
      <c r="I95">
        <f t="shared" si="42"/>
        <v>509.21410143779497</v>
      </c>
      <c r="J95" s="14">
        <f>_xlfn.XLOOKUP($H95,'Q1 Base'!$C$8:$C$208,'Q1 Base'!$D$8:$D$208,,0,)</f>
        <v>2.206167189398494E-3</v>
      </c>
      <c r="K95" s="29" cm="1">
        <f t="array" ref="K95">I95*$B$7+$E$6-J95*(SumAssdTA-I95)</f>
        <v>-3.8483203962326229</v>
      </c>
      <c r="M95" s="4">
        <f t="shared" si="43"/>
        <v>13.2</v>
      </c>
      <c r="N95" s="5">
        <f t="shared" si="30"/>
        <v>53.2</v>
      </c>
      <c r="O95">
        <f t="shared" si="44"/>
        <v>635.96261577820167</v>
      </c>
      <c r="P95" s="14">
        <f>_xlfn.XLOOKUP($N95,'Q1 Base'!$C$8:$C$208,'Q1 Base'!$D$8:$D$208,,0,)</f>
        <v>2.206167189398494E-3</v>
      </c>
      <c r="Q95" s="29">
        <f t="shared" si="31"/>
        <v>-18.245123349804544</v>
      </c>
      <c r="S95" s="4">
        <f t="shared" si="45"/>
        <v>13.2</v>
      </c>
      <c r="T95" s="5">
        <f t="shared" si="32"/>
        <v>53.2</v>
      </c>
      <c r="U95">
        <f t="shared" si="46"/>
        <v>-469.79300198176634</v>
      </c>
      <c r="V95" s="14">
        <f>_xlfn.XLOOKUP($T95,'Q1 Base'!$C$8:$C$208,'Q1 Base'!$D$8:$D$208,,0,)</f>
        <v>2.206167189398494E-3</v>
      </c>
      <c r="W95" s="32">
        <f t="shared" si="33"/>
        <v>68000.000000000029</v>
      </c>
      <c r="X95" s="29">
        <f t="shared" si="34"/>
        <v>-3.9413209246025076</v>
      </c>
      <c r="Y95" s="48">
        <f t="shared" si="52"/>
        <v>-1.9225844309010278</v>
      </c>
      <c r="Z95" s="51">
        <f t="shared" si="47"/>
        <v>-979.0071034195613</v>
      </c>
      <c r="AB95" s="4">
        <f t="shared" si="48"/>
        <v>6.8</v>
      </c>
      <c r="AC95" s="5">
        <f t="shared" si="35"/>
        <v>46.8</v>
      </c>
      <c r="AD95" s="13">
        <f t="shared" si="49"/>
        <v>1.3578913450439289E-3</v>
      </c>
      <c r="AE95" s="14">
        <f t="shared" si="50"/>
        <v>0.99306933683233101</v>
      </c>
      <c r="AF95" s="4">
        <f t="shared" si="36"/>
        <v>1</v>
      </c>
      <c r="AG95">
        <f t="shared" si="51"/>
        <v>0.62126348224746164</v>
      </c>
      <c r="AH95">
        <f t="shared" si="37"/>
        <v>8.377615405245649E-4</v>
      </c>
      <c r="AI95" s="5">
        <f t="shared" si="38"/>
        <v>0.61695771431363133</v>
      </c>
    </row>
    <row r="96" spans="1:35" x14ac:dyDescent="0.45">
      <c r="A96" s="4">
        <f t="shared" si="39"/>
        <v>6.9</v>
      </c>
      <c r="B96" s="5">
        <f t="shared" si="27"/>
        <v>46.9</v>
      </c>
      <c r="C96" s="14">
        <f>_xlfn.XLOOKUP($B96,'Q1 Base'!$C$8:$C$208,'Q1 Base'!$D$8:$D$208,,0,)</f>
        <v>1.3689701336230479E-3</v>
      </c>
      <c r="D96">
        <f t="shared" si="40"/>
        <v>0.99293448880657964</v>
      </c>
      <c r="E96" s="5">
        <f t="shared" si="28"/>
        <v>-1.359297659820476E-3</v>
      </c>
      <c r="G96" s="4">
        <f t="shared" si="41"/>
        <v>13.1</v>
      </c>
      <c r="H96" s="5">
        <f t="shared" si="29"/>
        <v>53.1</v>
      </c>
      <c r="I96">
        <f t="shared" si="42"/>
        <v>509.5989334774182</v>
      </c>
      <c r="J96" s="14">
        <f>_xlfn.XLOOKUP($H96,'Q1 Base'!$C$8:$C$208,'Q1 Base'!$D$8:$D$208,,0,)</f>
        <v>2.1909951016125676E-3</v>
      </c>
      <c r="K96" s="29" cm="1">
        <f t="array" ref="K96">I96*$B$7+$E$6-J96*(SumAssdTA-I96)</f>
        <v>-2.3110560508014544</v>
      </c>
      <c r="M96" s="4">
        <f t="shared" si="43"/>
        <v>13.1</v>
      </c>
      <c r="N96" s="5">
        <f t="shared" si="30"/>
        <v>53.1</v>
      </c>
      <c r="O96">
        <f t="shared" si="44"/>
        <v>637.78712811318212</v>
      </c>
      <c r="P96" s="14">
        <f>_xlfn.XLOOKUP($N96,'Q1 Base'!$C$8:$C$208,'Q1 Base'!$D$8:$D$208,,0,)</f>
        <v>2.1909951016125676E-3</v>
      </c>
      <c r="Q96" s="29">
        <f t="shared" si="31"/>
        <v>-16.605850090809639</v>
      </c>
      <c r="S96" s="4">
        <f t="shared" si="45"/>
        <v>13.1</v>
      </c>
      <c r="T96" s="5">
        <f t="shared" si="32"/>
        <v>53.1</v>
      </c>
      <c r="U96">
        <f t="shared" si="46"/>
        <v>-469.39886988930607</v>
      </c>
      <c r="V96" s="14">
        <f>_xlfn.XLOOKUP($T96,'Q1 Base'!$C$8:$C$208,'Q1 Base'!$D$8:$D$208,,0,)</f>
        <v>2.1909951016125676E-3</v>
      </c>
      <c r="W96" s="32">
        <f t="shared" si="33"/>
        <v>69000</v>
      </c>
      <c r="X96" s="29">
        <f t="shared" si="34"/>
        <v>-5.0650335281485468</v>
      </c>
      <c r="Y96" s="48">
        <f t="shared" si="52"/>
        <v>-1.9211143098087087</v>
      </c>
      <c r="Z96" s="51">
        <f t="shared" si="47"/>
        <v>-978.99780336672427</v>
      </c>
      <c r="AB96" s="4">
        <f t="shared" si="48"/>
        <v>6.9</v>
      </c>
      <c r="AC96" s="5">
        <f t="shared" si="35"/>
        <v>46.9</v>
      </c>
      <c r="AD96" s="13">
        <f t="shared" si="49"/>
        <v>1.3689701336230479E-3</v>
      </c>
      <c r="AE96" s="14">
        <f t="shared" si="50"/>
        <v>0.99293448880657964</v>
      </c>
      <c r="AF96" s="4">
        <f t="shared" si="36"/>
        <v>1</v>
      </c>
      <c r="AG96">
        <f t="shared" si="51"/>
        <v>0.6169298233735474</v>
      </c>
      <c r="AH96">
        <f t="shared" si="37"/>
        <v>8.3859126518512263E-4</v>
      </c>
      <c r="AI96" s="5">
        <f t="shared" si="38"/>
        <v>0.61257089880094673</v>
      </c>
    </row>
    <row r="97" spans="1:35" x14ac:dyDescent="0.45">
      <c r="A97" s="4">
        <f t="shared" si="39"/>
        <v>7</v>
      </c>
      <c r="B97" s="5">
        <f t="shared" si="27"/>
        <v>47</v>
      </c>
      <c r="C97" s="14">
        <f>_xlfn.XLOOKUP($B97,'Q1 Base'!$C$8:$C$208,'Q1 Base'!$D$8:$D$208,,0,)</f>
        <v>1.3800489222021673E-3</v>
      </c>
      <c r="D97">
        <f t="shared" si="40"/>
        <v>0.99279855904059755</v>
      </c>
      <c r="E97" s="5">
        <f t="shared" si="28"/>
        <v>-1.3701105813678414E-3</v>
      </c>
      <c r="G97" s="4">
        <f t="shared" si="41"/>
        <v>13</v>
      </c>
      <c r="H97" s="5">
        <f t="shared" si="29"/>
        <v>53</v>
      </c>
      <c r="I97">
        <f t="shared" si="42"/>
        <v>509.83003908249833</v>
      </c>
      <c r="J97" s="14">
        <f>_xlfn.XLOOKUP($H97,'Q1 Base'!$C$8:$C$208,'Q1 Base'!$D$8:$D$208,,0,)</f>
        <v>2.1758230138266416E-3</v>
      </c>
      <c r="K97" s="29" cm="1">
        <f t="array" ref="K97">I97*$B$7+$E$6-J97*(SumAssdTA-I97)</f>
        <v>-0.78489871471342099</v>
      </c>
      <c r="M97" s="4">
        <f t="shared" si="43"/>
        <v>13</v>
      </c>
      <c r="N97" s="5">
        <f t="shared" si="30"/>
        <v>53</v>
      </c>
      <c r="O97">
        <f t="shared" si="44"/>
        <v>639.44771312226305</v>
      </c>
      <c r="P97" s="14">
        <f>_xlfn.XLOOKUP($N97,'Q1 Base'!$C$8:$C$208,'Q1 Base'!$D$8:$D$208,,0,)</f>
        <v>2.1758230138266416E-3</v>
      </c>
      <c r="Q97" s="29">
        <f t="shared" si="31"/>
        <v>-14.978463784798663</v>
      </c>
      <c r="S97" s="4">
        <f t="shared" si="45"/>
        <v>13</v>
      </c>
      <c r="T97" s="5">
        <f t="shared" si="32"/>
        <v>53</v>
      </c>
      <c r="U97">
        <f t="shared" si="46"/>
        <v>-468.89236653649124</v>
      </c>
      <c r="V97" s="14">
        <f>_xlfn.XLOOKUP($T97,'Q1 Base'!$C$8:$C$208,'Q1 Base'!$D$8:$D$208,,0,)</f>
        <v>2.1758230138266416E-3</v>
      </c>
      <c r="W97" s="32">
        <f t="shared" si="33"/>
        <v>70000</v>
      </c>
      <c r="X97" s="29">
        <f t="shared" si="34"/>
        <v>-6.1503034275370396</v>
      </c>
      <c r="Y97" s="48">
        <f t="shared" si="52"/>
        <v>-1.9197032944161561</v>
      </c>
      <c r="Z97" s="51">
        <f t="shared" si="47"/>
        <v>-978.72240561898957</v>
      </c>
      <c r="AB97" s="4">
        <f t="shared" si="48"/>
        <v>7</v>
      </c>
      <c r="AC97" s="5">
        <f t="shared" si="35"/>
        <v>47</v>
      </c>
      <c r="AD97" s="13">
        <f t="shared" si="49"/>
        <v>1.3800489222021673E-3</v>
      </c>
      <c r="AE97" s="14">
        <f t="shared" si="50"/>
        <v>0.99279855904059755</v>
      </c>
      <c r="AF97" s="4">
        <f t="shared" si="36"/>
        <v>1</v>
      </c>
      <c r="AG97">
        <f t="shared" si="51"/>
        <v>0.612626394184416</v>
      </c>
      <c r="AH97">
        <f t="shared" si="37"/>
        <v>8.3936590509729454E-4</v>
      </c>
      <c r="AI97" s="5">
        <f t="shared" si="38"/>
        <v>0.60821460137652528</v>
      </c>
    </row>
    <row r="98" spans="1:35" x14ac:dyDescent="0.45">
      <c r="A98" s="4">
        <f t="shared" si="39"/>
        <v>7.1</v>
      </c>
      <c r="B98" s="5">
        <f t="shared" si="27"/>
        <v>47.1</v>
      </c>
      <c r="C98" s="14">
        <f>_xlfn.XLOOKUP($B98,'Q1 Base'!$C$8:$C$208,'Q1 Base'!$D$8:$D$208,,0,)</f>
        <v>1.3918118411802574E-3</v>
      </c>
      <c r="D98">
        <f t="shared" si="40"/>
        <v>0.99266154798246076</v>
      </c>
      <c r="E98" s="5">
        <f t="shared" si="28"/>
        <v>-1.381598096766313E-3</v>
      </c>
      <c r="G98" s="4">
        <f t="shared" si="41"/>
        <v>12.9</v>
      </c>
      <c r="H98" s="5">
        <f t="shared" si="29"/>
        <v>52.9</v>
      </c>
      <c r="I98">
        <f t="shared" si="42"/>
        <v>509.90852895396966</v>
      </c>
      <c r="J98" s="14">
        <f>_xlfn.XLOOKUP($H98,'Q1 Base'!$C$8:$C$208,'Q1 Base'!$D$8:$D$208,,0,)</f>
        <v>2.1611378198745416E-3</v>
      </c>
      <c r="K98" s="29" cm="1">
        <f t="array" ref="K98">I98*$B$7+$E$6-J98*(SumAssdTA-I98)</f>
        <v>0.68179764592272818</v>
      </c>
      <c r="M98" s="4">
        <f t="shared" si="43"/>
        <v>12.9</v>
      </c>
      <c r="N98" s="5">
        <f t="shared" si="30"/>
        <v>52.9</v>
      </c>
      <c r="O98">
        <f t="shared" si="44"/>
        <v>640.94555950074289</v>
      </c>
      <c r="P98" s="14">
        <f>_xlfn.XLOOKUP($N98,'Q1 Base'!$C$8:$C$208,'Q1 Base'!$D$8:$D$208,,0,)</f>
        <v>2.1611378198745416E-3</v>
      </c>
      <c r="Q98" s="29">
        <f t="shared" si="31"/>
        <v>-13.411248504327602</v>
      </c>
      <c r="S98" s="4">
        <f t="shared" si="45"/>
        <v>12.9</v>
      </c>
      <c r="T98" s="5">
        <f t="shared" si="32"/>
        <v>52.9</v>
      </c>
      <c r="U98">
        <f t="shared" si="46"/>
        <v>-468.27733619373754</v>
      </c>
      <c r="V98" s="14">
        <f>_xlfn.XLOOKUP($T98,'Q1 Base'!$C$8:$C$208,'Q1 Base'!$D$8:$D$208,,0,)</f>
        <v>2.1611378198745416E-3</v>
      </c>
      <c r="W98" s="32">
        <f t="shared" si="33"/>
        <v>71000</v>
      </c>
      <c r="X98" s="29">
        <f t="shared" si="34"/>
        <v>-7.2322106060924796</v>
      </c>
      <c r="Y98" s="48">
        <f t="shared" si="52"/>
        <v>-1.9183555669373982</v>
      </c>
      <c r="Z98" s="51">
        <f t="shared" si="47"/>
        <v>-978.1858651477072</v>
      </c>
      <c r="AB98" s="4">
        <f t="shared" si="48"/>
        <v>7.1</v>
      </c>
      <c r="AC98" s="5">
        <f t="shared" si="35"/>
        <v>47.1</v>
      </c>
      <c r="AD98" s="13">
        <f t="shared" si="49"/>
        <v>1.3918118411802574E-3</v>
      </c>
      <c r="AE98" s="14">
        <f t="shared" si="50"/>
        <v>0.99266154798246076</v>
      </c>
      <c r="AF98" s="4">
        <f t="shared" si="36"/>
        <v>1</v>
      </c>
      <c r="AG98">
        <f t="shared" si="51"/>
        <v>0.60835298381117631</v>
      </c>
      <c r="AH98">
        <f t="shared" si="37"/>
        <v>8.4049932459562878E-4</v>
      </c>
      <c r="AI98" s="5">
        <f t="shared" si="38"/>
        <v>0.60388861462975119</v>
      </c>
    </row>
    <row r="99" spans="1:35" x14ac:dyDescent="0.45">
      <c r="A99" s="4">
        <f t="shared" si="39"/>
        <v>7.2</v>
      </c>
      <c r="B99" s="5">
        <f t="shared" si="27"/>
        <v>47.2</v>
      </c>
      <c r="C99" s="14">
        <f>_xlfn.XLOOKUP($B99,'Q1 Base'!$C$8:$C$208,'Q1 Base'!$D$8:$D$208,,0,)</f>
        <v>1.4035747601583472E-3</v>
      </c>
      <c r="D99">
        <f t="shared" si="40"/>
        <v>0.99252338817278407</v>
      </c>
      <c r="E99" s="5">
        <f t="shared" si="28"/>
        <v>-1.3930807765061655E-3</v>
      </c>
      <c r="G99" s="4">
        <f t="shared" si="41"/>
        <v>12.8</v>
      </c>
      <c r="H99" s="5">
        <f t="shared" si="29"/>
        <v>52.8</v>
      </c>
      <c r="I99">
        <f t="shared" si="42"/>
        <v>509.84034918937738</v>
      </c>
      <c r="J99" s="14">
        <f>_xlfn.XLOOKUP($H99,'Q1 Base'!$C$8:$C$208,'Q1 Base'!$D$8:$D$208,,0,)</f>
        <v>2.1464526259224411E-3</v>
      </c>
      <c r="K99" s="29" cm="1">
        <f t="array" ref="K99">I99*$B$7+$E$6-J99*(SumAssdTA-I99)</f>
        <v>2.1379100073310724</v>
      </c>
      <c r="M99" s="4">
        <f t="shared" si="43"/>
        <v>12.8</v>
      </c>
      <c r="N99" s="5">
        <f t="shared" si="30"/>
        <v>52.8</v>
      </c>
      <c r="O99">
        <f t="shared" si="44"/>
        <v>642.28668435117561</v>
      </c>
      <c r="P99" s="14">
        <f>_xlfn.XLOOKUP($N99,'Q1 Base'!$C$8:$C$208,'Q1 Base'!$D$8:$D$208,,0,)</f>
        <v>2.1464526259224411E-3</v>
      </c>
      <c r="Q99" s="29">
        <f t="shared" si="31"/>
        <v>-11.85538411848438</v>
      </c>
      <c r="S99" s="4">
        <f t="shared" si="45"/>
        <v>12.8</v>
      </c>
      <c r="T99" s="5">
        <f t="shared" si="32"/>
        <v>52.8</v>
      </c>
      <c r="U99">
        <f t="shared" si="46"/>
        <v>-467.55411513312828</v>
      </c>
      <c r="V99" s="14">
        <f>_xlfn.XLOOKUP($T99,'Q1 Base'!$C$8:$C$208,'Q1 Base'!$D$8:$D$208,,0,)</f>
        <v>2.1464526259224411E-3</v>
      </c>
      <c r="W99" s="32">
        <f t="shared" si="33"/>
        <v>72000</v>
      </c>
      <c r="X99" s="29">
        <f t="shared" si="34"/>
        <v>-8.276959883923098</v>
      </c>
      <c r="Y99" s="48">
        <f t="shared" si="52"/>
        <v>-1.9170598519252502</v>
      </c>
      <c r="Z99" s="51">
        <f t="shared" si="47"/>
        <v>-977.39446432250566</v>
      </c>
      <c r="AB99" s="4">
        <f t="shared" si="48"/>
        <v>7.2</v>
      </c>
      <c r="AC99" s="5">
        <f t="shared" si="35"/>
        <v>47.2</v>
      </c>
      <c r="AD99" s="13">
        <f t="shared" si="49"/>
        <v>1.4035747601583472E-3</v>
      </c>
      <c r="AE99" s="14">
        <f t="shared" si="50"/>
        <v>0.99252338817278407</v>
      </c>
      <c r="AF99" s="4">
        <f t="shared" si="36"/>
        <v>1</v>
      </c>
      <c r="AG99">
        <f t="shared" si="51"/>
        <v>0.60410938285586468</v>
      </c>
      <c r="AH99">
        <f t="shared" si="37"/>
        <v>8.4157316816350837E-4</v>
      </c>
      <c r="AI99" s="5">
        <f t="shared" si="38"/>
        <v>0.59959269149907246</v>
      </c>
    </row>
    <row r="100" spans="1:35" x14ac:dyDescent="0.45">
      <c r="A100" s="4">
        <f t="shared" si="39"/>
        <v>7.3</v>
      </c>
      <c r="B100" s="5">
        <f t="shared" si="27"/>
        <v>47.3</v>
      </c>
      <c r="C100" s="14">
        <f>_xlfn.XLOOKUP($B100,'Q1 Base'!$C$8:$C$208,'Q1 Base'!$D$8:$D$208,,0,)</f>
        <v>1.4153376791364361E-3</v>
      </c>
      <c r="D100">
        <f t="shared" si="40"/>
        <v>0.99238408009513346</v>
      </c>
      <c r="E100" s="5">
        <f t="shared" si="28"/>
        <v>-1.4045585807337933E-3</v>
      </c>
      <c r="G100" s="4">
        <f t="shared" si="41"/>
        <v>12.7</v>
      </c>
      <c r="H100" s="5">
        <f t="shared" si="29"/>
        <v>52.7</v>
      </c>
      <c r="I100">
        <f t="shared" si="42"/>
        <v>509.62655818864425</v>
      </c>
      <c r="J100" s="14">
        <f>_xlfn.XLOOKUP($H100,'Q1 Base'!$C$8:$C$208,'Q1 Base'!$D$8:$D$208,,0,)</f>
        <v>2.131767431970342E-3</v>
      </c>
      <c r="K100" s="29" cm="1">
        <f t="array" ref="K100">I100*$B$7+$E$6-J100*(SumAssdTA-I100)</f>
        <v>3.5835211753845897</v>
      </c>
      <c r="M100" s="4">
        <f t="shared" si="43"/>
        <v>12.7</v>
      </c>
      <c r="N100" s="5">
        <f t="shared" si="30"/>
        <v>52.7</v>
      </c>
      <c r="O100">
        <f t="shared" si="44"/>
        <v>643.47222276302409</v>
      </c>
      <c r="P100" s="14">
        <f>_xlfn.XLOOKUP($N100,'Q1 Base'!$C$8:$C$208,'Q1 Base'!$D$8:$D$208,,0,)</f>
        <v>2.131767431970342E-3</v>
      </c>
      <c r="Q100" s="29">
        <f t="shared" si="31"/>
        <v>-10.310781846801888</v>
      </c>
      <c r="S100" s="4">
        <f t="shared" si="45"/>
        <v>12.7</v>
      </c>
      <c r="T100" s="5">
        <f t="shared" si="32"/>
        <v>52.7</v>
      </c>
      <c r="U100">
        <f t="shared" si="46"/>
        <v>-466.72641914473598</v>
      </c>
      <c r="V100" s="14">
        <f>_xlfn.XLOOKUP($T100,'Q1 Base'!$C$8:$C$208,'Q1 Base'!$D$8:$D$208,,0,)</f>
        <v>2.131767431970342E-3</v>
      </c>
      <c r="W100" s="32">
        <f t="shared" si="33"/>
        <v>73000</v>
      </c>
      <c r="X100" s="29">
        <f t="shared" si="34"/>
        <v>-9.2848240539393601</v>
      </c>
      <c r="Y100" s="48">
        <f t="shared" si="52"/>
        <v>-1.9158204407627668</v>
      </c>
      <c r="Z100" s="51">
        <f t="shared" si="47"/>
        <v>-976.3529773333803</v>
      </c>
      <c r="AB100" s="4">
        <f t="shared" si="48"/>
        <v>7.3</v>
      </c>
      <c r="AC100" s="5">
        <f t="shared" si="35"/>
        <v>47.3</v>
      </c>
      <c r="AD100" s="13">
        <f t="shared" si="49"/>
        <v>1.4153376791364361E-3</v>
      </c>
      <c r="AE100" s="14">
        <f t="shared" si="50"/>
        <v>0.99238408009513346</v>
      </c>
      <c r="AF100" s="4">
        <f t="shared" si="36"/>
        <v>1</v>
      </c>
      <c r="AG100">
        <f t="shared" si="51"/>
        <v>0.59989538338118553</v>
      </c>
      <c r="AH100">
        <f t="shared" si="37"/>
        <v>8.4258820827063275E-4</v>
      </c>
      <c r="AI100" s="5">
        <f t="shared" si="38"/>
        <v>0.59532662819005522</v>
      </c>
    </row>
    <row r="101" spans="1:35" x14ac:dyDescent="0.45">
      <c r="A101" s="4">
        <f t="shared" si="39"/>
        <v>7.4</v>
      </c>
      <c r="B101" s="5">
        <f t="shared" si="27"/>
        <v>47.4</v>
      </c>
      <c r="C101" s="14">
        <f>_xlfn.XLOOKUP($B101,'Q1 Base'!$C$8:$C$208,'Q1 Base'!$D$8:$D$208,,0,)</f>
        <v>1.4271005981145259E-3</v>
      </c>
      <c r="D101">
        <f t="shared" si="40"/>
        <v>0.99224362423706003</v>
      </c>
      <c r="E101" s="5">
        <f t="shared" si="28"/>
        <v>-1.4160314696240333E-3</v>
      </c>
      <c r="G101" s="4">
        <f t="shared" si="41"/>
        <v>12.6</v>
      </c>
      <c r="H101" s="5">
        <f t="shared" si="29"/>
        <v>52.6</v>
      </c>
      <c r="I101">
        <f t="shared" si="42"/>
        <v>509.26820607110579</v>
      </c>
      <c r="J101" s="14">
        <f>_xlfn.XLOOKUP($H101,'Q1 Base'!$C$8:$C$208,'Q1 Base'!$D$8:$D$208,,0,)</f>
        <v>2.117082238018242E-3</v>
      </c>
      <c r="K101" s="29" cm="1">
        <f t="array" ref="K101">I101*$B$7+$E$6-J101*(SumAssdTA-I101)</f>
        <v>5.018713296613754</v>
      </c>
      <c r="M101" s="4">
        <f t="shared" si="43"/>
        <v>12.6</v>
      </c>
      <c r="N101" s="5">
        <f t="shared" si="30"/>
        <v>52.6</v>
      </c>
      <c r="O101">
        <f t="shared" si="44"/>
        <v>644.50330094770425</v>
      </c>
      <c r="P101" s="14">
        <f>_xlfn.XLOOKUP($N101,'Q1 Base'!$C$8:$C$208,'Q1 Base'!$D$8:$D$208,,0,)</f>
        <v>2.117082238018242E-3</v>
      </c>
      <c r="Q101" s="29">
        <f t="shared" si="31"/>
        <v>-8.7773536157475576</v>
      </c>
      <c r="S101" s="4">
        <f t="shared" si="45"/>
        <v>12.6</v>
      </c>
      <c r="T101" s="5">
        <f t="shared" si="32"/>
        <v>52.6</v>
      </c>
      <c r="U101">
        <f t="shared" si="46"/>
        <v>-465.79793673934205</v>
      </c>
      <c r="V101" s="14">
        <f>_xlfn.XLOOKUP($T101,'Q1 Base'!$C$8:$C$208,'Q1 Base'!$D$8:$D$208,,0,)</f>
        <v>2.117082238018242E-3</v>
      </c>
      <c r="W101" s="32">
        <f t="shared" si="33"/>
        <v>74000</v>
      </c>
      <c r="X101" s="29">
        <f t="shared" si="34"/>
        <v>-10.256073723480256</v>
      </c>
      <c r="Y101" s="48">
        <f t="shared" si="52"/>
        <v>-1.9146416980020655</v>
      </c>
      <c r="Z101" s="51">
        <f t="shared" si="47"/>
        <v>-975.0661428104479</v>
      </c>
      <c r="AB101" s="4">
        <f t="shared" si="48"/>
        <v>7.4</v>
      </c>
      <c r="AC101" s="5">
        <f t="shared" si="35"/>
        <v>47.4</v>
      </c>
      <c r="AD101" s="13">
        <f t="shared" si="49"/>
        <v>1.4271005981145259E-3</v>
      </c>
      <c r="AE101" s="14">
        <f t="shared" si="50"/>
        <v>0.99224362423706003</v>
      </c>
      <c r="AF101" s="4">
        <f t="shared" si="36"/>
        <v>1</v>
      </c>
      <c r="AG101">
        <f t="shared" si="51"/>
        <v>0.5957107789003212</v>
      </c>
      <c r="AH101">
        <f t="shared" si="37"/>
        <v>8.4354520971709939E-4</v>
      </c>
      <c r="AI101" s="5">
        <f t="shared" si="38"/>
        <v>0.59109022225313668</v>
      </c>
    </row>
    <row r="102" spans="1:35" x14ac:dyDescent="0.45">
      <c r="A102" s="4">
        <f t="shared" si="39"/>
        <v>7.5</v>
      </c>
      <c r="B102" s="5">
        <f t="shared" si="27"/>
        <v>47.5</v>
      </c>
      <c r="C102" s="14">
        <f>_xlfn.XLOOKUP($B102,'Q1 Base'!$C$8:$C$208,'Q1 Base'!$D$8:$D$208,,0,)</f>
        <v>1.4388635170926155E-3</v>
      </c>
      <c r="D102">
        <f t="shared" si="40"/>
        <v>0.9921020210900976</v>
      </c>
      <c r="E102" s="5">
        <f t="shared" si="28"/>
        <v>-1.4274994033803901E-3</v>
      </c>
      <c r="G102" s="4">
        <f t="shared" si="41"/>
        <v>12.5</v>
      </c>
      <c r="H102" s="5">
        <f t="shared" si="29"/>
        <v>52.5</v>
      </c>
      <c r="I102">
        <f t="shared" si="42"/>
        <v>508.76633474144444</v>
      </c>
      <c r="J102" s="14">
        <f>_xlfn.XLOOKUP($H102,'Q1 Base'!$C$8:$C$208,'Q1 Base'!$D$8:$D$208,,0,)</f>
        <v>2.102397044066142E-3</v>
      </c>
      <c r="K102" s="29" cm="1">
        <f t="array" ref="K102">I102*$B$7+$E$6-J102*(SumAssdTA-I102)</f>
        <v>6.443567863567722</v>
      </c>
      <c r="M102" s="4">
        <f t="shared" si="43"/>
        <v>12.5</v>
      </c>
      <c r="N102" s="5">
        <f t="shared" si="30"/>
        <v>52.5</v>
      </c>
      <c r="O102">
        <f t="shared" si="44"/>
        <v>645.38103630927901</v>
      </c>
      <c r="P102" s="14">
        <f>_xlfn.XLOOKUP($N102,'Q1 Base'!$C$8:$C$208,'Q1 Base'!$D$8:$D$208,,0,)</f>
        <v>2.102397044066142E-3</v>
      </c>
      <c r="Q102" s="29">
        <f t="shared" si="31"/>
        <v>-7.2550120529748483</v>
      </c>
      <c r="S102" s="4">
        <f t="shared" si="45"/>
        <v>12.5</v>
      </c>
      <c r="T102" s="5">
        <f t="shared" si="32"/>
        <v>52.5</v>
      </c>
      <c r="U102">
        <f t="shared" si="46"/>
        <v>-464.77232936699403</v>
      </c>
      <c r="V102" s="14">
        <f>_xlfn.XLOOKUP($T102,'Q1 Base'!$C$8:$C$208,'Q1 Base'!$D$8:$D$208,,0,)</f>
        <v>2.102397044066142E-3</v>
      </c>
      <c r="W102" s="32">
        <f t="shared" si="33"/>
        <v>75000</v>
      </c>
      <c r="X102" s="29">
        <f t="shared" si="34"/>
        <v>-11.190977332075136</v>
      </c>
      <c r="Y102" s="48">
        <f t="shared" si="52"/>
        <v>-1.9135280729673116</v>
      </c>
      <c r="Z102" s="51">
        <f t="shared" si="47"/>
        <v>-973.53866410843852</v>
      </c>
      <c r="AB102" s="4">
        <f t="shared" si="48"/>
        <v>7.5</v>
      </c>
      <c r="AC102" s="5">
        <f t="shared" si="35"/>
        <v>47.5</v>
      </c>
      <c r="AD102" s="13">
        <f t="shared" si="49"/>
        <v>1.4388635170926155E-3</v>
      </c>
      <c r="AE102" s="14">
        <f t="shared" si="50"/>
        <v>0.9921020210900976</v>
      </c>
      <c r="AF102" s="4">
        <f t="shared" si="36"/>
        <v>1</v>
      </c>
      <c r="AG102">
        <f t="shared" si="51"/>
        <v>0.59155536436681511</v>
      </c>
      <c r="AH102">
        <f t="shared" si="37"/>
        <v>8.444449297000978E-4</v>
      </c>
      <c r="AI102" s="5">
        <f t="shared" si="38"/>
        <v>0.58688327257500639</v>
      </c>
    </row>
    <row r="103" spans="1:35" x14ac:dyDescent="0.45">
      <c r="A103" s="4">
        <f t="shared" si="39"/>
        <v>7.6</v>
      </c>
      <c r="B103" s="5">
        <f t="shared" si="27"/>
        <v>47.6</v>
      </c>
      <c r="C103" s="14">
        <f>_xlfn.XLOOKUP($B103,'Q1 Base'!$C$8:$C$208,'Q1 Base'!$D$8:$D$208,,0,)</f>
        <v>1.4506264360707058E-3</v>
      </c>
      <c r="D103">
        <f t="shared" si="40"/>
        <v>0.99195927114975957</v>
      </c>
      <c r="E103" s="5">
        <f t="shared" si="28"/>
        <v>-1.4389623422352705E-3</v>
      </c>
      <c r="G103" s="4">
        <f t="shared" si="41"/>
        <v>12.4</v>
      </c>
      <c r="H103" s="5">
        <f t="shared" si="29"/>
        <v>52.4</v>
      </c>
      <c r="I103">
        <f t="shared" si="42"/>
        <v>508.12197795508769</v>
      </c>
      <c r="J103" s="14">
        <f>_xlfn.XLOOKUP($H103,'Q1 Base'!$C$8:$C$208,'Q1 Base'!$D$8:$D$208,,0,)</f>
        <v>2.087711850114042E-3</v>
      </c>
      <c r="K103" s="29" cm="1">
        <f t="array" ref="K103">I103*$B$7+$E$6-J103*(SumAssdTA-I103)</f>
        <v>7.8581657201321775</v>
      </c>
      <c r="M103" s="4">
        <f t="shared" si="43"/>
        <v>12.4</v>
      </c>
      <c r="N103" s="5">
        <f t="shared" si="30"/>
        <v>52.4</v>
      </c>
      <c r="O103">
        <f t="shared" si="44"/>
        <v>646.10653751457653</v>
      </c>
      <c r="P103" s="14">
        <f>_xlfn.XLOOKUP($N103,'Q1 Base'!$C$8:$C$208,'Q1 Base'!$D$8:$D$208,,0,)</f>
        <v>2.087711850114042E-3</v>
      </c>
      <c r="Q103" s="29">
        <f t="shared" si="31"/>
        <v>-5.7436704816216775</v>
      </c>
      <c r="S103" s="4">
        <f t="shared" si="45"/>
        <v>12.4</v>
      </c>
      <c r="T103" s="5">
        <f t="shared" si="32"/>
        <v>52.4</v>
      </c>
      <c r="U103">
        <f t="shared" si="46"/>
        <v>-463.6532316337865</v>
      </c>
      <c r="V103" s="14">
        <f>_xlfn.XLOOKUP($T103,'Q1 Base'!$C$8:$C$208,'Q1 Base'!$D$8:$D$208,,0,)</f>
        <v>2.087711850114042E-3</v>
      </c>
      <c r="W103" s="32">
        <f t="shared" si="33"/>
        <v>76000</v>
      </c>
      <c r="X103" s="29">
        <f t="shared" si="34"/>
        <v>-12.089801169057779</v>
      </c>
      <c r="Y103" s="48">
        <f t="shared" si="52"/>
        <v>-1.912484111590167</v>
      </c>
      <c r="Z103" s="51">
        <f t="shared" si="47"/>
        <v>-971.77520958887419</v>
      </c>
      <c r="AB103" s="4">
        <f t="shared" si="48"/>
        <v>7.6</v>
      </c>
      <c r="AC103" s="5">
        <f t="shared" si="35"/>
        <v>47.6</v>
      </c>
      <c r="AD103" s="13">
        <f t="shared" si="49"/>
        <v>1.4506264360707058E-3</v>
      </c>
      <c r="AE103" s="14">
        <f t="shared" si="50"/>
        <v>0.99195927114975957</v>
      </c>
      <c r="AF103" s="4">
        <f t="shared" si="36"/>
        <v>1</v>
      </c>
      <c r="AG103">
        <f t="shared" si="51"/>
        <v>0.58742893616452341</v>
      </c>
      <c r="AH103">
        <f t="shared" si="37"/>
        <v>8.4528811788007585E-4</v>
      </c>
      <c r="AI103" s="5">
        <f t="shared" si="38"/>
        <v>0.58270557937003931</v>
      </c>
    </row>
    <row r="104" spans="1:35" x14ac:dyDescent="0.45">
      <c r="A104" s="4">
        <f t="shared" si="39"/>
        <v>7.7</v>
      </c>
      <c r="B104" s="5">
        <f t="shared" si="27"/>
        <v>47.7</v>
      </c>
      <c r="C104" s="14">
        <f>_xlfn.XLOOKUP($B104,'Q1 Base'!$C$8:$C$208,'Q1 Base'!$D$8:$D$208,,0,)</f>
        <v>1.4623893550487954E-3</v>
      </c>
      <c r="D104">
        <f t="shared" si="40"/>
        <v>0.99181537491553606</v>
      </c>
      <c r="E104" s="5">
        <f t="shared" si="28"/>
        <v>-1.4504202464502101E-3</v>
      </c>
      <c r="G104" s="4">
        <f t="shared" si="41"/>
        <v>12.3</v>
      </c>
      <c r="H104" s="5">
        <f t="shared" si="29"/>
        <v>52.3</v>
      </c>
      <c r="I104">
        <f t="shared" si="42"/>
        <v>507.33616138307445</v>
      </c>
      <c r="J104" s="14">
        <f>_xlfn.XLOOKUP($H104,'Q1 Base'!$C$8:$C$208,'Q1 Base'!$D$8:$D$208,,0,)</f>
        <v>2.0730266561619416E-3</v>
      </c>
      <c r="K104" s="29" cm="1">
        <f t="array" ref="K104">I104*$B$7+$E$6-J104*(SumAssdTA-I104)</f>
        <v>9.2625870668030643</v>
      </c>
      <c r="M104" s="4">
        <f t="shared" si="43"/>
        <v>12.3</v>
      </c>
      <c r="N104" s="5">
        <f t="shared" si="30"/>
        <v>52.3</v>
      </c>
      <c r="O104">
        <f t="shared" si="44"/>
        <v>646.68090456273865</v>
      </c>
      <c r="P104" s="14">
        <f>_xlfn.XLOOKUP($N104,'Q1 Base'!$C$8:$C$208,'Q1 Base'!$D$8:$D$208,,0,)</f>
        <v>2.0730266561619416E-3</v>
      </c>
      <c r="Q104" s="29">
        <f t="shared" si="31"/>
        <v>-4.2432429146561219</v>
      </c>
      <c r="S104" s="4">
        <f t="shared" si="45"/>
        <v>12.3</v>
      </c>
      <c r="T104" s="5">
        <f t="shared" si="32"/>
        <v>52.3</v>
      </c>
      <c r="U104">
        <f t="shared" si="46"/>
        <v>-462.44425151688074</v>
      </c>
      <c r="V104" s="14">
        <f>_xlfn.XLOOKUP($T104,'Q1 Base'!$C$8:$C$208,'Q1 Base'!$D$8:$D$208,,0,)</f>
        <v>2.0730266561619416E-3</v>
      </c>
      <c r="W104" s="32">
        <f t="shared" si="33"/>
        <v>77000</v>
      </c>
      <c r="X104" s="29">
        <f t="shared" si="34"/>
        <v>-12.952809391034492</v>
      </c>
      <c r="Y104" s="48">
        <f t="shared" si="52"/>
        <v>-1.911514468545251</v>
      </c>
      <c r="Z104" s="51">
        <f t="shared" si="47"/>
        <v>-969.78041289995519</v>
      </c>
      <c r="AB104" s="4">
        <f t="shared" si="48"/>
        <v>7.7</v>
      </c>
      <c r="AC104" s="5">
        <f t="shared" si="35"/>
        <v>47.7</v>
      </c>
      <c r="AD104" s="13">
        <f t="shared" si="49"/>
        <v>1.4623893550487954E-3</v>
      </c>
      <c r="AE104" s="14">
        <f t="shared" si="50"/>
        <v>0.99181537491553606</v>
      </c>
      <c r="AF104" s="4">
        <f t="shared" si="36"/>
        <v>1</v>
      </c>
      <c r="AG104">
        <f t="shared" si="51"/>
        <v>0.58333129209763879</v>
      </c>
      <c r="AH104">
        <f t="shared" si="37"/>
        <v>8.4607551644637672E-4</v>
      </c>
      <c r="AI104" s="5">
        <f t="shared" si="38"/>
        <v>0.57855694417178372</v>
      </c>
    </row>
    <row r="105" spans="1:35" x14ac:dyDescent="0.45">
      <c r="A105" s="4">
        <f t="shared" si="39"/>
        <v>7.8</v>
      </c>
      <c r="B105" s="5">
        <f t="shared" si="27"/>
        <v>47.8</v>
      </c>
      <c r="C105" s="14">
        <f>_xlfn.XLOOKUP($B105,'Q1 Base'!$C$8:$C$208,'Q1 Base'!$D$8:$D$208,,0,)</f>
        <v>1.4741522740268844E-3</v>
      </c>
      <c r="D105">
        <f t="shared" si="40"/>
        <v>0.99167033289089102</v>
      </c>
      <c r="E105" s="5">
        <f t="shared" si="28"/>
        <v>-1.4618730763161043E-3</v>
      </c>
      <c r="G105" s="4">
        <f t="shared" si="41"/>
        <v>12.2</v>
      </c>
      <c r="H105" s="5">
        <f t="shared" si="29"/>
        <v>52.2</v>
      </c>
      <c r="I105">
        <f t="shared" si="42"/>
        <v>506.40990267639415</v>
      </c>
      <c r="J105" s="14">
        <f>_xlfn.XLOOKUP($H105,'Q1 Base'!$C$8:$C$208,'Q1 Base'!$D$8:$D$208,,0,)</f>
        <v>2.0583414622098424E-3</v>
      </c>
      <c r="K105" s="29" cm="1">
        <f t="array" ref="K105">I105*$B$7+$E$6-J105*(SumAssdTA-I105)</f>
        <v>10.656911465915812</v>
      </c>
      <c r="M105" s="4">
        <f t="shared" si="43"/>
        <v>12.2</v>
      </c>
      <c r="N105" s="5">
        <f t="shared" si="30"/>
        <v>52.2</v>
      </c>
      <c r="O105">
        <f t="shared" si="44"/>
        <v>647.10522885420426</v>
      </c>
      <c r="P105" s="14">
        <f>_xlfn.XLOOKUP($N105,'Q1 Base'!$C$8:$C$208,'Q1 Base'!$D$8:$D$208,,0,)</f>
        <v>2.0583414622098424E-3</v>
      </c>
      <c r="Q105" s="29">
        <f t="shared" si="31"/>
        <v>-2.7536440492696954</v>
      </c>
      <c r="S105" s="4">
        <f t="shared" si="45"/>
        <v>12.2</v>
      </c>
      <c r="T105" s="5">
        <f t="shared" si="32"/>
        <v>52.2</v>
      </c>
      <c r="U105">
        <f t="shared" si="46"/>
        <v>-461.14897057777728</v>
      </c>
      <c r="V105" s="14">
        <f>_xlfn.XLOOKUP($T105,'Q1 Base'!$C$8:$C$208,'Q1 Base'!$D$8:$D$208,,0,)</f>
        <v>2.0583414622098424E-3</v>
      </c>
      <c r="W105" s="32">
        <f t="shared" si="33"/>
        <v>78000</v>
      </c>
      <c r="X105" s="29">
        <f t="shared" si="34"/>
        <v>-13.780264039207736</v>
      </c>
      <c r="Y105" s="48">
        <f t="shared" si="52"/>
        <v>-1.9106239197547061</v>
      </c>
      <c r="Z105" s="51">
        <f t="shared" si="47"/>
        <v>-967.55887325417143</v>
      </c>
      <c r="AB105" s="4">
        <f t="shared" si="48"/>
        <v>7.8</v>
      </c>
      <c r="AC105" s="5">
        <f t="shared" si="35"/>
        <v>47.8</v>
      </c>
      <c r="AD105" s="13">
        <f t="shared" si="49"/>
        <v>1.4741522740268844E-3</v>
      </c>
      <c r="AE105" s="14">
        <f t="shared" si="50"/>
        <v>0.99167033289089102</v>
      </c>
      <c r="AF105" s="4">
        <f t="shared" si="36"/>
        <v>1</v>
      </c>
      <c r="AG105">
        <f t="shared" si="51"/>
        <v>0.57926223138078203</v>
      </c>
      <c r="AH105">
        <f t="shared" si="37"/>
        <v>8.468078601823548E-4</v>
      </c>
      <c r="AI105" s="5">
        <f t="shared" si="38"/>
        <v>0.57443716982450044</v>
      </c>
    </row>
    <row r="106" spans="1:35" x14ac:dyDescent="0.45">
      <c r="A106" s="4">
        <f t="shared" si="39"/>
        <v>7.9</v>
      </c>
      <c r="B106" s="5">
        <f t="shared" si="27"/>
        <v>47.9</v>
      </c>
      <c r="C106" s="14">
        <f>_xlfn.XLOOKUP($B106,'Q1 Base'!$C$8:$C$208,'Q1 Base'!$D$8:$D$208,,0,)</f>
        <v>1.4859151930049742E-3</v>
      </c>
      <c r="D106">
        <f t="shared" si="40"/>
        <v>0.99152414558325941</v>
      </c>
      <c r="E106" s="5">
        <f t="shared" si="28"/>
        <v>-1.4733207921534411E-3</v>
      </c>
      <c r="G106" s="4">
        <f t="shared" si="41"/>
        <v>12.1</v>
      </c>
      <c r="H106" s="5">
        <f t="shared" si="29"/>
        <v>52.1</v>
      </c>
      <c r="I106">
        <f t="shared" si="42"/>
        <v>505.34421152980258</v>
      </c>
      <c r="J106" s="14">
        <f>_xlfn.XLOOKUP($H106,'Q1 Base'!$C$8:$C$208,'Q1 Base'!$D$8:$D$208,,0,)</f>
        <v>2.0436562682577429E-3</v>
      </c>
      <c r="K106" s="29" cm="1">
        <f t="array" ref="K106">I106*$B$7+$E$6-J106*(SumAssdTA-I106)</f>
        <v>12.041217846832552</v>
      </c>
      <c r="M106" s="4">
        <f t="shared" si="43"/>
        <v>12.1</v>
      </c>
      <c r="N106" s="5">
        <f t="shared" si="30"/>
        <v>52.1</v>
      </c>
      <c r="O106">
        <f t="shared" si="44"/>
        <v>647.38059325913127</v>
      </c>
      <c r="P106" s="14">
        <f>_xlfn.XLOOKUP($N106,'Q1 Base'!$C$8:$C$208,'Q1 Base'!$D$8:$D$208,,0,)</f>
        <v>2.0436562682577429E-3</v>
      </c>
      <c r="Q106" s="29">
        <f t="shared" si="31"/>
        <v>-1.2747892613157887</v>
      </c>
      <c r="S106" s="4">
        <f t="shared" si="45"/>
        <v>12.1</v>
      </c>
      <c r="T106" s="5">
        <f t="shared" si="32"/>
        <v>52.1</v>
      </c>
      <c r="U106">
        <f t="shared" si="46"/>
        <v>-459.77094417385649</v>
      </c>
      <c r="V106" s="14">
        <f>_xlfn.XLOOKUP($T106,'Q1 Base'!$C$8:$C$208,'Q1 Base'!$D$8:$D$208,,0,)</f>
        <v>2.0436562682577429E-3</v>
      </c>
      <c r="W106" s="32">
        <f t="shared" si="33"/>
        <v>79000</v>
      </c>
      <c r="X106" s="29">
        <f t="shared" si="34"/>
        <v>-14.572425056555318</v>
      </c>
      <c r="Y106" s="48">
        <f t="shared" si="52"/>
        <v>-1.9098173753331724</v>
      </c>
      <c r="Z106" s="51">
        <f t="shared" si="47"/>
        <v>-965.11515570365907</v>
      </c>
      <c r="AB106" s="4">
        <f t="shared" si="48"/>
        <v>7.9</v>
      </c>
      <c r="AC106" s="5">
        <f t="shared" si="35"/>
        <v>47.9</v>
      </c>
      <c r="AD106" s="13">
        <f t="shared" si="49"/>
        <v>1.4859151930049742E-3</v>
      </c>
      <c r="AE106" s="14">
        <f t="shared" si="50"/>
        <v>0.99152414558325941</v>
      </c>
      <c r="AF106" s="4">
        <f t="shared" si="36"/>
        <v>1</v>
      </c>
      <c r="AG106">
        <f t="shared" si="51"/>
        <v>0.5752215546291638</v>
      </c>
      <c r="AH106">
        <f t="shared" si="37"/>
        <v>8.4748587652997353E-4</v>
      </c>
      <c r="AI106" s="5">
        <f t="shared" si="38"/>
        <v>0.57034606047475578</v>
      </c>
    </row>
    <row r="107" spans="1:35" x14ac:dyDescent="0.45">
      <c r="A107" s="4">
        <f t="shared" si="39"/>
        <v>8</v>
      </c>
      <c r="B107" s="5">
        <f t="shared" si="27"/>
        <v>48</v>
      </c>
      <c r="C107" s="14">
        <f>_xlfn.XLOOKUP($B107,'Q1 Base'!$C$8:$C$208,'Q1 Base'!$D$8:$D$208,,0,)</f>
        <v>1.497678111983064E-3</v>
      </c>
      <c r="D107">
        <f t="shared" si="40"/>
        <v>0.99137681350404405</v>
      </c>
      <c r="E107" s="5">
        <f t="shared" si="28"/>
        <v>-1.4847633543125227E-3</v>
      </c>
      <c r="G107" s="4">
        <f t="shared" si="41"/>
        <v>12</v>
      </c>
      <c r="H107" s="5">
        <f t="shared" si="29"/>
        <v>52</v>
      </c>
      <c r="I107">
        <f t="shared" si="42"/>
        <v>504.14008974511933</v>
      </c>
      <c r="J107" s="14">
        <f>_xlfn.XLOOKUP($H107,'Q1 Base'!$C$8:$C$208,'Q1 Base'!$D$8:$D$208,,0,)</f>
        <v>2.0289710743056424E-3</v>
      </c>
      <c r="K107" s="29" cm="1">
        <f t="array" ref="K107">I107*$B$7+$E$6-J107*(SumAssdTA-I107)</f>
        <v>13.41558451108483</v>
      </c>
      <c r="M107" s="4">
        <f t="shared" si="43"/>
        <v>12</v>
      </c>
      <c r="N107" s="5">
        <f t="shared" si="30"/>
        <v>52</v>
      </c>
      <c r="O107">
        <f t="shared" si="44"/>
        <v>647.5080721852629</v>
      </c>
      <c r="P107" s="14">
        <f>_xlfn.XLOOKUP($N107,'Q1 Base'!$C$8:$C$208,'Q1 Base'!$D$8:$D$208,,0,)</f>
        <v>2.0289710743056424E-3</v>
      </c>
      <c r="Q107" s="29">
        <f t="shared" si="31"/>
        <v>0.19340540020431263</v>
      </c>
      <c r="S107" s="4">
        <f t="shared" si="45"/>
        <v>12</v>
      </c>
      <c r="T107" s="5">
        <f t="shared" si="32"/>
        <v>52</v>
      </c>
      <c r="U107">
        <f t="shared" si="46"/>
        <v>-458.31370166820096</v>
      </c>
      <c r="V107" s="14">
        <f>_xlfn.XLOOKUP($T107,'Q1 Base'!$C$8:$C$208,'Q1 Base'!$D$8:$D$208,,0,)</f>
        <v>2.0289710743056424E-3</v>
      </c>
      <c r="W107" s="32">
        <f t="shared" si="33"/>
        <v>80000</v>
      </c>
      <c r="X107" s="29">
        <f t="shared" si="34"/>
        <v>-15.329550304868206</v>
      </c>
      <c r="Y107" s="48">
        <f t="shared" si="52"/>
        <v>-1.9090998930474126</v>
      </c>
      <c r="Z107" s="51">
        <f t="shared" si="47"/>
        <v>-962.45379141332023</v>
      </c>
      <c r="AB107" s="4">
        <f t="shared" si="48"/>
        <v>8</v>
      </c>
      <c r="AC107" s="5">
        <f t="shared" si="35"/>
        <v>48</v>
      </c>
      <c r="AD107" s="13">
        <f t="shared" si="49"/>
        <v>1.497678111983064E-3</v>
      </c>
      <c r="AE107" s="14">
        <f t="shared" si="50"/>
        <v>0.99137681350404405</v>
      </c>
      <c r="AF107" s="4">
        <f t="shared" si="36"/>
        <v>1</v>
      </c>
      <c r="AG107">
        <f t="shared" si="51"/>
        <v>0.57120906384881487</v>
      </c>
      <c r="AH107">
        <f t="shared" si="37"/>
        <v>8.4811028565388229E-4</v>
      </c>
      <c r="AI107" s="5">
        <f t="shared" si="38"/>
        <v>0.5662834215630661</v>
      </c>
    </row>
    <row r="108" spans="1:35" x14ac:dyDescent="0.45">
      <c r="A108" s="4">
        <f t="shared" si="39"/>
        <v>8.1</v>
      </c>
      <c r="B108" s="5">
        <f t="shared" si="27"/>
        <v>48.1</v>
      </c>
      <c r="C108" s="14">
        <f>_xlfn.XLOOKUP($B108,'Q1 Base'!$C$8:$C$208,'Q1 Base'!$D$8:$D$208,,0,)</f>
        <v>1.5101511340786329E-3</v>
      </c>
      <c r="D108">
        <f t="shared" si="40"/>
        <v>0.99122833716861281</v>
      </c>
      <c r="E108" s="5">
        <f t="shared" si="28"/>
        <v>-1.4969045975060582E-3</v>
      </c>
      <c r="G108" s="4">
        <f t="shared" si="41"/>
        <v>11.9</v>
      </c>
      <c r="H108" s="5">
        <f t="shared" si="29"/>
        <v>51.9</v>
      </c>
      <c r="I108">
        <f t="shared" si="42"/>
        <v>502.79853129401084</v>
      </c>
      <c r="J108" s="14">
        <f>_xlfn.XLOOKUP($H108,'Q1 Base'!$C$8:$C$208,'Q1 Base'!$D$8:$D$208,,0,)</f>
        <v>2.0148473408738163E-3</v>
      </c>
      <c r="K108" s="29" cm="1">
        <f t="array" ref="K108">I108*$B$7+$E$6-J108*(SumAssdTA-I108)</f>
        <v>14.724225386972137</v>
      </c>
      <c r="M108" s="4">
        <f t="shared" si="43"/>
        <v>11.9</v>
      </c>
      <c r="N108" s="5">
        <f t="shared" si="30"/>
        <v>51.9</v>
      </c>
      <c r="O108">
        <f t="shared" si="44"/>
        <v>647.48873164524252</v>
      </c>
      <c r="P108" s="14">
        <f>_xlfn.XLOOKUP($N108,'Q1 Base'!$C$8:$C$208,'Q1 Base'!$D$8:$D$208,,0,)</f>
        <v>2.0148473408738163E-3</v>
      </c>
      <c r="Q108" s="29">
        <f t="shared" si="31"/>
        <v>1.5952407059433824</v>
      </c>
      <c r="S108" s="4">
        <f t="shared" si="45"/>
        <v>11.9</v>
      </c>
      <c r="T108" s="5">
        <f t="shared" si="32"/>
        <v>51.9</v>
      </c>
      <c r="U108">
        <f t="shared" si="46"/>
        <v>-456.78074663771412</v>
      </c>
      <c r="V108" s="14">
        <f>_xlfn.XLOOKUP($T108,'Q1 Base'!$C$8:$C$208,'Q1 Base'!$D$8:$D$208,,0,)</f>
        <v>2.0148473408738163E-3</v>
      </c>
      <c r="W108" s="32">
        <f t="shared" si="33"/>
        <v>81000</v>
      </c>
      <c r="X108" s="29">
        <f t="shared" si="34"/>
        <v>-16.097630348144463</v>
      </c>
      <c r="Y108" s="48">
        <f t="shared" si="52"/>
        <v>-1.9084766923684828</v>
      </c>
      <c r="Z108" s="51">
        <f t="shared" si="47"/>
        <v>-959.57927793172496</v>
      </c>
      <c r="AB108" s="4">
        <f t="shared" si="48"/>
        <v>8.1</v>
      </c>
      <c r="AC108" s="5">
        <f t="shared" si="35"/>
        <v>48.1</v>
      </c>
      <c r="AD108" s="13">
        <f t="shared" si="49"/>
        <v>1.5101511340786329E-3</v>
      </c>
      <c r="AE108" s="14">
        <f t="shared" si="50"/>
        <v>0.99122833716861281</v>
      </c>
      <c r="AF108" s="4">
        <f t="shared" si="36"/>
        <v>1</v>
      </c>
      <c r="AG108">
        <f t="shared" si="51"/>
        <v>0.56722456242688413</v>
      </c>
      <c r="AH108">
        <f t="shared" si="37"/>
        <v>8.4908105531516489E-4</v>
      </c>
      <c r="AI108" s="5">
        <f t="shared" si="38"/>
        <v>0.56224905981559437</v>
      </c>
    </row>
    <row r="109" spans="1:35" x14ac:dyDescent="0.45">
      <c r="A109" s="4">
        <f t="shared" si="39"/>
        <v>8.1999999999999993</v>
      </c>
      <c r="B109" s="5">
        <f t="shared" si="27"/>
        <v>48.2</v>
      </c>
      <c r="C109" s="14">
        <f>_xlfn.XLOOKUP($B109,'Q1 Base'!$C$8:$C$208,'Q1 Base'!$D$8:$D$208,,0,)</f>
        <v>1.522624156174202E-3</v>
      </c>
      <c r="D109">
        <f t="shared" si="40"/>
        <v>0.99107864670886225</v>
      </c>
      <c r="E109" s="5">
        <f t="shared" si="28"/>
        <v>-1.5090402881473514E-3</v>
      </c>
      <c r="G109" s="4">
        <f t="shared" si="41"/>
        <v>11.8</v>
      </c>
      <c r="H109" s="5">
        <f t="shared" si="29"/>
        <v>51.8</v>
      </c>
      <c r="I109">
        <f t="shared" si="42"/>
        <v>501.32610875531361</v>
      </c>
      <c r="J109" s="14">
        <f>_xlfn.XLOOKUP($H109,'Q1 Base'!$C$8:$C$208,'Q1 Base'!$D$8:$D$208,,0,)</f>
        <v>2.0007236074419902E-3</v>
      </c>
      <c r="K109" s="29" cm="1">
        <f t="array" ref="K109">I109*$B$7+$E$6-J109*(SumAssdTA-I109)</f>
        <v>16.023481849486728</v>
      </c>
      <c r="M109" s="4">
        <f t="shared" si="43"/>
        <v>11.8</v>
      </c>
      <c r="N109" s="5">
        <f t="shared" si="30"/>
        <v>51.8</v>
      </c>
      <c r="O109">
        <f t="shared" si="44"/>
        <v>647.32920757464819</v>
      </c>
      <c r="P109" s="14">
        <f>_xlfn.XLOOKUP($N109,'Q1 Base'!$C$8:$C$208,'Q1 Base'!$D$8:$D$208,,0,)</f>
        <v>2.0007236074419902E-3</v>
      </c>
      <c r="Q109" s="29">
        <f t="shared" si="31"/>
        <v>2.986983242364488</v>
      </c>
      <c r="S109" s="4">
        <f t="shared" si="45"/>
        <v>11.8</v>
      </c>
      <c r="T109" s="5">
        <f t="shared" si="32"/>
        <v>51.8</v>
      </c>
      <c r="U109">
        <f t="shared" si="46"/>
        <v>-455.1709836028997</v>
      </c>
      <c r="V109" s="14">
        <f>_xlfn.XLOOKUP($T109,'Q1 Base'!$C$8:$C$208,'Q1 Base'!$D$8:$D$208,,0,)</f>
        <v>2.0007236074419902E-3</v>
      </c>
      <c r="W109" s="32">
        <f t="shared" si="33"/>
        <v>81999.999999999985</v>
      </c>
      <c r="X109" s="29">
        <f t="shared" si="34"/>
        <v>-16.83197599476307</v>
      </c>
      <c r="Y109" s="48">
        <f t="shared" si="52"/>
        <v>-1.9079339289409696</v>
      </c>
      <c r="Z109" s="51">
        <f t="shared" si="47"/>
        <v>-956.49709235821331</v>
      </c>
      <c r="AB109" s="4">
        <f t="shared" si="48"/>
        <v>8.1999999999999993</v>
      </c>
      <c r="AC109" s="5">
        <f t="shared" si="35"/>
        <v>48.2</v>
      </c>
      <c r="AD109" s="13">
        <f t="shared" si="49"/>
        <v>1.522624156174202E-3</v>
      </c>
      <c r="AE109" s="14">
        <f t="shared" si="50"/>
        <v>0.99107864670886225</v>
      </c>
      <c r="AF109" s="4">
        <f t="shared" si="36"/>
        <v>1</v>
      </c>
      <c r="AG109">
        <f t="shared" si="51"/>
        <v>0.56326785512200472</v>
      </c>
      <c r="AH109">
        <f t="shared" si="37"/>
        <v>8.4999388639745062E-4</v>
      </c>
      <c r="AI109" s="5">
        <f t="shared" si="38"/>
        <v>0.5582427435889199</v>
      </c>
    </row>
    <row r="110" spans="1:35" x14ac:dyDescent="0.45">
      <c r="A110" s="4">
        <f t="shared" si="39"/>
        <v>8.3000000000000007</v>
      </c>
      <c r="B110" s="5">
        <f t="shared" si="27"/>
        <v>48.3</v>
      </c>
      <c r="C110" s="14">
        <f>_xlfn.XLOOKUP($B110,'Q1 Base'!$C$8:$C$208,'Q1 Base'!$D$8:$D$208,,0,)</f>
        <v>1.5350971782697703E-3</v>
      </c>
      <c r="D110">
        <f t="shared" si="40"/>
        <v>0.99092774268004757</v>
      </c>
      <c r="E110" s="5">
        <f t="shared" si="28"/>
        <v>-1.521170381657374E-3</v>
      </c>
      <c r="G110" s="4">
        <f t="shared" si="41"/>
        <v>11.7</v>
      </c>
      <c r="H110" s="5">
        <f t="shared" si="29"/>
        <v>51.7</v>
      </c>
      <c r="I110">
        <f t="shared" si="42"/>
        <v>499.72376057036496</v>
      </c>
      <c r="J110" s="14">
        <f>_xlfn.XLOOKUP($H110,'Q1 Base'!$C$8:$C$208,'Q1 Base'!$D$8:$D$208,,0,)</f>
        <v>1.9865998740101649E-3</v>
      </c>
      <c r="K110" s="29" cm="1">
        <f t="array" ref="K110">I110*$B$7+$E$6-J110*(SumAssdTA-I110)</f>
        <v>17.313426998698048</v>
      </c>
      <c r="M110" s="4">
        <f t="shared" si="43"/>
        <v>11.7</v>
      </c>
      <c r="N110" s="5">
        <f t="shared" si="30"/>
        <v>51.7</v>
      </c>
      <c r="O110">
        <f t="shared" si="44"/>
        <v>647.0305092504118</v>
      </c>
      <c r="P110" s="14">
        <f>_xlfn.XLOOKUP($N110,'Q1 Base'!$C$8:$C$208,'Q1 Base'!$D$8:$D$208,,0,)</f>
        <v>1.9865998740101649E-3</v>
      </c>
      <c r="Q110" s="29">
        <f t="shared" si="31"/>
        <v>4.3687116036267639</v>
      </c>
      <c r="S110" s="4">
        <f t="shared" si="45"/>
        <v>11.7</v>
      </c>
      <c r="T110" s="5">
        <f t="shared" si="32"/>
        <v>51.7</v>
      </c>
      <c r="U110">
        <f t="shared" si="46"/>
        <v>-453.48778600342337</v>
      </c>
      <c r="V110" s="14">
        <f>_xlfn.XLOOKUP($T110,'Q1 Base'!$C$8:$C$208,'Q1 Base'!$D$8:$D$208,,0,)</f>
        <v>1.9865998740101649E-3</v>
      </c>
      <c r="W110" s="32">
        <f t="shared" si="33"/>
        <v>83000</v>
      </c>
      <c r="X110" s="29">
        <f t="shared" si="34"/>
        <v>-17.532833341622876</v>
      </c>
      <c r="Y110" s="48">
        <f t="shared" si="52"/>
        <v>-1.9074769338280619</v>
      </c>
      <c r="Z110" s="51">
        <f t="shared" si="47"/>
        <v>-953.21154657378838</v>
      </c>
      <c r="AB110" s="4">
        <f t="shared" si="48"/>
        <v>8.3000000000000007</v>
      </c>
      <c r="AC110" s="5">
        <f t="shared" si="35"/>
        <v>48.3</v>
      </c>
      <c r="AD110" s="13">
        <f t="shared" si="49"/>
        <v>1.5350971782697703E-3</v>
      </c>
      <c r="AE110" s="14">
        <f t="shared" si="50"/>
        <v>0.99092774268004757</v>
      </c>
      <c r="AF110" s="4">
        <f t="shared" si="36"/>
        <v>1</v>
      </c>
      <c r="AG110">
        <f t="shared" si="51"/>
        <v>0.55933874805472683</v>
      </c>
      <c r="AH110">
        <f t="shared" si="37"/>
        <v>8.5084953685416658E-4</v>
      </c>
      <c r="AI110" s="5">
        <f t="shared" si="38"/>
        <v>0.55426428300335429</v>
      </c>
    </row>
    <row r="111" spans="1:35" x14ac:dyDescent="0.45">
      <c r="A111" s="4">
        <f t="shared" si="39"/>
        <v>8.4</v>
      </c>
      <c r="B111" s="5">
        <f t="shared" si="27"/>
        <v>48.4</v>
      </c>
      <c r="C111" s="14">
        <f>_xlfn.XLOOKUP($B111,'Q1 Base'!$C$8:$C$208,'Q1 Base'!$D$8:$D$208,,0,)</f>
        <v>1.5475702003653394E-3</v>
      </c>
      <c r="D111">
        <f t="shared" si="40"/>
        <v>0.99077562564188182</v>
      </c>
      <c r="E111" s="5">
        <f t="shared" si="28"/>
        <v>-1.5332948334917016E-3</v>
      </c>
      <c r="G111" s="4">
        <f t="shared" si="41"/>
        <v>11.6</v>
      </c>
      <c r="H111" s="5">
        <f t="shared" si="29"/>
        <v>51.6</v>
      </c>
      <c r="I111">
        <f t="shared" si="42"/>
        <v>497.99241787049516</v>
      </c>
      <c r="J111" s="14">
        <f>_xlfn.XLOOKUP($H111,'Q1 Base'!$C$8:$C$208,'Q1 Base'!$D$8:$D$208,,0,)</f>
        <v>1.9724761405783384E-3</v>
      </c>
      <c r="K111" s="29" cm="1">
        <f t="array" ref="K111">I111*$B$7+$E$6-J111*(SumAssdTA-I111)</f>
        <v>18.594133355539299</v>
      </c>
      <c r="M111" s="4">
        <f t="shared" si="43"/>
        <v>11.6</v>
      </c>
      <c r="N111" s="5">
        <f t="shared" si="30"/>
        <v>51.6</v>
      </c>
      <c r="O111">
        <f t="shared" si="44"/>
        <v>646.59363809004913</v>
      </c>
      <c r="P111" s="14">
        <f>_xlfn.XLOOKUP($N111,'Q1 Base'!$C$8:$C$208,'Q1 Base'!$D$8:$D$208,,0,)</f>
        <v>1.9724761405783384E-3</v>
      </c>
      <c r="Q111" s="29">
        <f t="shared" si="31"/>
        <v>5.7405037612088279</v>
      </c>
      <c r="S111" s="4">
        <f t="shared" si="45"/>
        <v>11.6</v>
      </c>
      <c r="T111" s="5">
        <f t="shared" si="32"/>
        <v>51.6</v>
      </c>
      <c r="U111">
        <f t="shared" si="46"/>
        <v>-451.73450266926108</v>
      </c>
      <c r="V111" s="14">
        <f>_xlfn.XLOOKUP($T111,'Q1 Base'!$C$8:$C$208,'Q1 Base'!$D$8:$D$208,,0,)</f>
        <v>1.9724761405783384E-3</v>
      </c>
      <c r="W111" s="32">
        <f t="shared" si="33"/>
        <v>84000.000000000015</v>
      </c>
      <c r="X111" s="29">
        <f t="shared" si="34"/>
        <v>-18.200446523819892</v>
      </c>
      <c r="Y111" s="48">
        <f t="shared" si="52"/>
        <v>-1.9071112058311224</v>
      </c>
      <c r="Z111" s="51">
        <f t="shared" si="47"/>
        <v>-949.72692053975629</v>
      </c>
      <c r="AB111" s="4">
        <f t="shared" si="48"/>
        <v>8.4</v>
      </c>
      <c r="AC111" s="5">
        <f t="shared" si="35"/>
        <v>48.4</v>
      </c>
      <c r="AD111" s="13">
        <f t="shared" si="49"/>
        <v>1.5475702003653394E-3</v>
      </c>
      <c r="AE111" s="14">
        <f t="shared" si="50"/>
        <v>0.99077562564188182</v>
      </c>
      <c r="AF111" s="4">
        <f t="shared" si="36"/>
        <v>1</v>
      </c>
      <c r="AG111">
        <f t="shared" si="51"/>
        <v>0.55543704869801824</v>
      </c>
      <c r="AH111">
        <f t="shared" si="37"/>
        <v>8.5164875709855007E-4</v>
      </c>
      <c r="AI111" s="5">
        <f t="shared" si="38"/>
        <v>0.55031348942845937</v>
      </c>
    </row>
    <row r="112" spans="1:35" x14ac:dyDescent="0.45">
      <c r="A112" s="4">
        <f t="shared" si="39"/>
        <v>8.5</v>
      </c>
      <c r="B112" s="5">
        <f t="shared" si="27"/>
        <v>48.5</v>
      </c>
      <c r="C112" s="14">
        <f>_xlfn.XLOOKUP($B112,'Q1 Base'!$C$8:$C$208,'Q1 Base'!$D$8:$D$208,,0,)</f>
        <v>1.5600432224609085E-3</v>
      </c>
      <c r="D112">
        <f t="shared" si="40"/>
        <v>0.9906222961585327</v>
      </c>
      <c r="E112" s="5">
        <f t="shared" si="28"/>
        <v>-1.5454135991407817E-3</v>
      </c>
      <c r="G112" s="4">
        <f t="shared" si="41"/>
        <v>11.5</v>
      </c>
      <c r="H112" s="5">
        <f t="shared" si="29"/>
        <v>51.5</v>
      </c>
      <c r="I112">
        <f t="shared" si="42"/>
        <v>496.13300453494122</v>
      </c>
      <c r="J112" s="14">
        <f>_xlfn.XLOOKUP($H112,'Q1 Base'!$C$8:$C$208,'Q1 Base'!$D$8:$D$208,,0,)</f>
        <v>1.9583524071465127E-3</v>
      </c>
      <c r="K112" s="29" cm="1">
        <f t="array" ref="K112">I112*$B$7+$E$6-J112*(SumAssdTA-I112)</f>
        <v>19.865672866490456</v>
      </c>
      <c r="M112" s="4">
        <f t="shared" si="43"/>
        <v>11.5</v>
      </c>
      <c r="N112" s="5">
        <f t="shared" si="30"/>
        <v>51.5</v>
      </c>
      <c r="O112">
        <f t="shared" si="44"/>
        <v>646.01958771392822</v>
      </c>
      <c r="P112" s="14">
        <f>_xlfn.XLOOKUP($N112,'Q1 Base'!$C$8:$C$208,'Q1 Base'!$D$8:$D$208,,0,)</f>
        <v>1.9583524071465127E-3</v>
      </c>
      <c r="Q112" s="29">
        <f t="shared" si="31"/>
        <v>7.1024370689439138</v>
      </c>
      <c r="S112" s="4">
        <f t="shared" si="45"/>
        <v>11.5</v>
      </c>
      <c r="T112" s="5">
        <f t="shared" si="32"/>
        <v>51.5</v>
      </c>
      <c r="U112">
        <f t="shared" si="46"/>
        <v>-449.91445801687911</v>
      </c>
      <c r="V112" s="14">
        <f>_xlfn.XLOOKUP($T112,'Q1 Base'!$C$8:$C$208,'Q1 Base'!$D$8:$D$208,,0,)</f>
        <v>1.9583524071465127E-3</v>
      </c>
      <c r="W112" s="32">
        <f t="shared" si="33"/>
        <v>85000.000000000015</v>
      </c>
      <c r="X112" s="29">
        <f t="shared" si="34"/>
        <v>-18.835057730502513</v>
      </c>
      <c r="Y112" s="48">
        <f t="shared" si="52"/>
        <v>-1.9068424271403073</v>
      </c>
      <c r="Z112" s="51">
        <f t="shared" si="47"/>
        <v>-946.04746255182033</v>
      </c>
      <c r="AB112" s="4">
        <f t="shared" si="48"/>
        <v>8.5</v>
      </c>
      <c r="AC112" s="5">
        <f t="shared" si="35"/>
        <v>48.5</v>
      </c>
      <c r="AD112" s="13">
        <f t="shared" si="49"/>
        <v>1.5600432224609085E-3</v>
      </c>
      <c r="AE112" s="14">
        <f t="shared" si="50"/>
        <v>0.9906222961585327</v>
      </c>
      <c r="AF112" s="4">
        <f t="shared" si="36"/>
        <v>1</v>
      </c>
      <c r="AG112">
        <f t="shared" si="51"/>
        <v>0.5515625658678297</v>
      </c>
      <c r="AH112">
        <f t="shared" si="37"/>
        <v>8.5239229006912724E-4</v>
      </c>
      <c r="AI112" s="5">
        <f t="shared" si="38"/>
        <v>0.5463901754750814</v>
      </c>
    </row>
    <row r="113" spans="1:35" x14ac:dyDescent="0.45">
      <c r="A113" s="4">
        <f t="shared" si="39"/>
        <v>8.6</v>
      </c>
      <c r="B113" s="5">
        <f t="shared" si="27"/>
        <v>48.6</v>
      </c>
      <c r="C113" s="14">
        <f>_xlfn.XLOOKUP($B113,'Q1 Base'!$C$8:$C$208,'Q1 Base'!$D$8:$D$208,,0,)</f>
        <v>1.5725162445564774E-3</v>
      </c>
      <c r="D113">
        <f t="shared" si="40"/>
        <v>0.99046775479861859</v>
      </c>
      <c r="E113" s="5">
        <f t="shared" si="28"/>
        <v>-1.5575266341302095E-3</v>
      </c>
      <c r="G113" s="4">
        <f t="shared" si="41"/>
        <v>11.4</v>
      </c>
      <c r="H113" s="5">
        <f t="shared" si="29"/>
        <v>51.4</v>
      </c>
      <c r="I113">
        <f t="shared" si="42"/>
        <v>494.14643724829216</v>
      </c>
      <c r="J113" s="14">
        <f>_xlfn.XLOOKUP($H113,'Q1 Base'!$C$8:$C$208,'Q1 Base'!$D$8:$D$208,,0,)</f>
        <v>1.9442286737146866E-3</v>
      </c>
      <c r="K113" s="29" cm="1">
        <f t="array" ref="K113">I113*$B$7+$E$6-J113*(SumAssdTA-I113)</f>
        <v>21.128116908223888</v>
      </c>
      <c r="M113" s="4">
        <f t="shared" si="43"/>
        <v>11.4</v>
      </c>
      <c r="N113" s="5">
        <f t="shared" si="30"/>
        <v>51.4</v>
      </c>
      <c r="O113">
        <f t="shared" si="44"/>
        <v>645.30934400703381</v>
      </c>
      <c r="P113" s="14">
        <f>_xlfn.XLOOKUP($N113,'Q1 Base'!$C$8:$C$208,'Q1 Base'!$D$8:$D$208,,0,)</f>
        <v>1.9442286737146866E-3</v>
      </c>
      <c r="Q113" s="29">
        <f t="shared" si="31"/>
        <v>8.4545882680150442</v>
      </c>
      <c r="S113" s="4">
        <f t="shared" si="45"/>
        <v>11.4</v>
      </c>
      <c r="T113" s="5">
        <f t="shared" si="32"/>
        <v>51.4</v>
      </c>
      <c r="U113">
        <f t="shared" si="46"/>
        <v>-448.03095224382884</v>
      </c>
      <c r="V113" s="14">
        <f>_xlfn.XLOOKUP($T113,'Q1 Base'!$C$8:$C$208,'Q1 Base'!$D$8:$D$208,,0,)</f>
        <v>1.9442286737146866E-3</v>
      </c>
      <c r="W113" s="32">
        <f t="shared" si="33"/>
        <v>85999.999999999985</v>
      </c>
      <c r="X113" s="29">
        <f t="shared" si="34"/>
        <v>-19.436907220595202</v>
      </c>
      <c r="Y113" s="48">
        <f t="shared" si="52"/>
        <v>-1.9066764798279991</v>
      </c>
      <c r="Z113" s="51">
        <f t="shared" si="47"/>
        <v>-942.17738949212094</v>
      </c>
      <c r="AB113" s="4">
        <f t="shared" si="48"/>
        <v>8.6</v>
      </c>
      <c r="AC113" s="5">
        <f t="shared" si="35"/>
        <v>48.6</v>
      </c>
      <c r="AD113" s="13">
        <f t="shared" si="49"/>
        <v>1.5725162445564774E-3</v>
      </c>
      <c r="AE113" s="14">
        <f t="shared" si="50"/>
        <v>0.99046775479861859</v>
      </c>
      <c r="AF113" s="4">
        <f t="shared" si="36"/>
        <v>1</v>
      </c>
      <c r="AG113">
        <f t="shared" si="51"/>
        <v>0.5477151097137275</v>
      </c>
      <c r="AH113">
        <f t="shared" si="37"/>
        <v>8.5308087129468038E-4</v>
      </c>
      <c r="AI113" s="5">
        <f t="shared" si="38"/>
        <v>0.5424941549874347</v>
      </c>
    </row>
    <row r="114" spans="1:35" x14ac:dyDescent="0.45">
      <c r="A114" s="4">
        <f t="shared" si="39"/>
        <v>8.6999999999999993</v>
      </c>
      <c r="B114" s="5">
        <f t="shared" si="27"/>
        <v>48.7</v>
      </c>
      <c r="C114" s="14">
        <f>_xlfn.XLOOKUP($B114,'Q1 Base'!$C$8:$C$208,'Q1 Base'!$D$8:$D$208,,0,)</f>
        <v>1.5849892666520466E-3</v>
      </c>
      <c r="D114">
        <f t="shared" si="40"/>
        <v>0.99031200213520554</v>
      </c>
      <c r="E114" s="5">
        <f t="shared" si="28"/>
        <v>-1.5696338940209993E-3</v>
      </c>
      <c r="G114" s="4">
        <f t="shared" si="41"/>
        <v>11.3</v>
      </c>
      <c r="H114" s="5">
        <f t="shared" si="29"/>
        <v>51.3</v>
      </c>
      <c r="I114">
        <f t="shared" si="42"/>
        <v>492.03362555746975</v>
      </c>
      <c r="J114" s="14">
        <f>_xlfn.XLOOKUP($H114,'Q1 Base'!$C$8:$C$208,'Q1 Base'!$D$8:$D$208,,0,)</f>
        <v>1.9301049402828602E-3</v>
      </c>
      <c r="K114" s="29" cm="1">
        <f t="array" ref="K114">I114*$B$7+$E$6-J114*(SumAssdTA-I114)</f>
        <v>22.381536292210626</v>
      </c>
      <c r="M114" s="4">
        <f t="shared" si="43"/>
        <v>11.3</v>
      </c>
      <c r="N114" s="5">
        <f t="shared" si="30"/>
        <v>51.3</v>
      </c>
      <c r="O114">
        <f t="shared" si="44"/>
        <v>644.4638851802323</v>
      </c>
      <c r="P114" s="14">
        <f>_xlfn.XLOOKUP($N114,'Q1 Base'!$C$8:$C$208,'Q1 Base'!$D$8:$D$208,,0,)</f>
        <v>1.9301049402828602E-3</v>
      </c>
      <c r="Q114" s="29">
        <f t="shared" si="31"/>
        <v>9.7970334919073423</v>
      </c>
      <c r="S114" s="4">
        <f t="shared" si="45"/>
        <v>11.3</v>
      </c>
      <c r="T114" s="5">
        <f t="shared" si="32"/>
        <v>51.3</v>
      </c>
      <c r="U114">
        <f t="shared" si="46"/>
        <v>-446.08726152176934</v>
      </c>
      <c r="V114" s="14">
        <f>_xlfn.XLOOKUP($T114,'Q1 Base'!$C$8:$C$208,'Q1 Base'!$D$8:$D$208,,0,)</f>
        <v>1.9301049402828602E-3</v>
      </c>
      <c r="W114" s="32">
        <f t="shared" si="33"/>
        <v>86999.999999999985</v>
      </c>
      <c r="X114" s="29">
        <f t="shared" si="34"/>
        <v>-20.006233338393088</v>
      </c>
      <c r="Y114" s="48">
        <f t="shared" si="52"/>
        <v>-1.9066194632863891</v>
      </c>
      <c r="Z114" s="51">
        <f t="shared" si="47"/>
        <v>-938.12088707923908</v>
      </c>
      <c r="AB114" s="4">
        <f t="shared" si="48"/>
        <v>8.6999999999999993</v>
      </c>
      <c r="AC114" s="5">
        <f t="shared" si="35"/>
        <v>48.7</v>
      </c>
      <c r="AD114" s="13">
        <f t="shared" si="49"/>
        <v>1.5849892666520466E-3</v>
      </c>
      <c r="AE114" s="14">
        <f t="shared" si="50"/>
        <v>0.99031200213520554</v>
      </c>
      <c r="AF114" s="4">
        <f t="shared" si="36"/>
        <v>1</v>
      </c>
      <c r="AG114">
        <f t="shared" si="51"/>
        <v>0.54389449170958992</v>
      </c>
      <c r="AH114">
        <f t="shared" si="37"/>
        <v>8.5371522895869576E-4</v>
      </c>
      <c r="AI114" s="5">
        <f t="shared" si="38"/>
        <v>0.53862524303523396</v>
      </c>
    </row>
    <row r="115" spans="1:35" x14ac:dyDescent="0.45">
      <c r="A115" s="4">
        <f t="shared" si="39"/>
        <v>8.8000000000000007</v>
      </c>
      <c r="B115" s="5">
        <f t="shared" si="27"/>
        <v>48.8</v>
      </c>
      <c r="C115" s="14">
        <f>_xlfn.XLOOKUP($B115,'Q1 Base'!$C$8:$C$208,'Q1 Base'!$D$8:$D$208,,0,)</f>
        <v>1.5974622887476146E-3</v>
      </c>
      <c r="D115">
        <f t="shared" si="40"/>
        <v>0.99015503874580346</v>
      </c>
      <c r="E115" s="5">
        <f t="shared" si="28"/>
        <v>-1.5817353344098541E-3</v>
      </c>
      <c r="G115" s="4">
        <f t="shared" si="41"/>
        <v>11.2</v>
      </c>
      <c r="H115" s="5">
        <f t="shared" si="29"/>
        <v>51.2</v>
      </c>
      <c r="I115">
        <f t="shared" si="42"/>
        <v>489.79547192824867</v>
      </c>
      <c r="J115" s="14">
        <f>_xlfn.XLOOKUP($H115,'Q1 Base'!$C$8:$C$208,'Q1 Base'!$D$8:$D$208,,0,)</f>
        <v>1.9159812068510352E-3</v>
      </c>
      <c r="K115" s="29" cm="1">
        <f t="array" ref="K115">I115*$B$7+$E$6-J115*(SumAssdTA-I115)</f>
        <v>23.626001269289134</v>
      </c>
      <c r="M115" s="4">
        <f t="shared" si="43"/>
        <v>11.2</v>
      </c>
      <c r="N115" s="5">
        <f t="shared" si="30"/>
        <v>51.2</v>
      </c>
      <c r="O115">
        <f t="shared" si="44"/>
        <v>643.48418183104161</v>
      </c>
      <c r="P115" s="14">
        <f>_xlfn.XLOOKUP($N115,'Q1 Base'!$C$8:$C$208,'Q1 Base'!$D$8:$D$208,,0,)</f>
        <v>1.9159812068510352E-3</v>
      </c>
      <c r="Q115" s="29">
        <f t="shared" si="31"/>
        <v>11.129848271320412</v>
      </c>
      <c r="S115" s="4">
        <f t="shared" si="45"/>
        <v>11.2</v>
      </c>
      <c r="T115" s="5">
        <f t="shared" si="32"/>
        <v>51.2</v>
      </c>
      <c r="U115">
        <f t="shared" si="46"/>
        <v>-444.08663818793002</v>
      </c>
      <c r="V115" s="14">
        <f>_xlfn.XLOOKUP($T115,'Q1 Base'!$C$8:$C$208,'Q1 Base'!$D$8:$D$208,,0,)</f>
        <v>1.9159812068510352E-3</v>
      </c>
      <c r="W115" s="32">
        <f t="shared" si="33"/>
        <v>88000.000000000015</v>
      </c>
      <c r="X115" s="29">
        <f t="shared" si="34"/>
        <v>-20.543272529027973</v>
      </c>
      <c r="Y115" s="48">
        <f t="shared" si="52"/>
        <v>-1.9066777127188006</v>
      </c>
      <c r="Z115" s="51">
        <f t="shared" si="47"/>
        <v>-933.88211011617864</v>
      </c>
      <c r="AB115" s="4">
        <f t="shared" si="48"/>
        <v>8.8000000000000007</v>
      </c>
      <c r="AC115" s="5">
        <f t="shared" si="35"/>
        <v>48.8</v>
      </c>
      <c r="AD115" s="13">
        <f t="shared" si="49"/>
        <v>1.5974622887476146E-3</v>
      </c>
      <c r="AE115" s="14">
        <f t="shared" si="50"/>
        <v>0.99015503874580346</v>
      </c>
      <c r="AF115" s="4">
        <f t="shared" si="36"/>
        <v>1</v>
      </c>
      <c r="AG115">
        <f t="shared" si="51"/>
        <v>0.54010052464437053</v>
      </c>
      <c r="AH115">
        <f t="shared" si="37"/>
        <v>8.542960839633011E-4</v>
      </c>
      <c r="AI115" s="5">
        <f t="shared" si="38"/>
        <v>0.5347832559058755</v>
      </c>
    </row>
    <row r="116" spans="1:35" x14ac:dyDescent="0.45">
      <c r="A116" s="4">
        <f t="shared" si="39"/>
        <v>8.9</v>
      </c>
      <c r="B116" s="5">
        <f t="shared" si="27"/>
        <v>48.9</v>
      </c>
      <c r="C116" s="14">
        <f>_xlfn.XLOOKUP($B116,'Q1 Base'!$C$8:$C$208,'Q1 Base'!$D$8:$D$208,,0,)</f>
        <v>1.6099353108431837E-3</v>
      </c>
      <c r="D116">
        <f t="shared" si="40"/>
        <v>0.98999686521236252</v>
      </c>
      <c r="E116" s="5">
        <f t="shared" si="28"/>
        <v>-1.5938309109294424E-3</v>
      </c>
      <c r="G116" s="4">
        <f t="shared" si="41"/>
        <v>11.1</v>
      </c>
      <c r="H116" s="5">
        <f t="shared" si="29"/>
        <v>51.1</v>
      </c>
      <c r="I116">
        <f t="shared" si="42"/>
        <v>487.43287180131978</v>
      </c>
      <c r="J116" s="14">
        <f>_xlfn.XLOOKUP($H116,'Q1 Base'!$C$8:$C$208,'Q1 Base'!$D$8:$D$208,,0,)</f>
        <v>1.9018574734192091E-3</v>
      </c>
      <c r="K116" s="29" cm="1">
        <f t="array" ref="K116">I116*$B$7+$E$6-J116*(SumAssdTA-I116)</f>
        <v>24.861581534197001</v>
      </c>
      <c r="M116" s="4">
        <f t="shared" si="43"/>
        <v>11.1</v>
      </c>
      <c r="N116" s="5">
        <f t="shared" si="30"/>
        <v>51.1</v>
      </c>
      <c r="O116">
        <f t="shared" si="44"/>
        <v>642.37119700390951</v>
      </c>
      <c r="P116" s="14">
        <f>_xlfn.XLOOKUP($N116,'Q1 Base'!$C$8:$C$208,'Q1 Base'!$D$8:$D$208,,0,)</f>
        <v>1.9018574734192091E-3</v>
      </c>
      <c r="Q116" s="29">
        <f t="shared" si="31"/>
        <v>12.45310753904073</v>
      </c>
      <c r="S116" s="4">
        <f t="shared" si="45"/>
        <v>11.1</v>
      </c>
      <c r="T116" s="5">
        <f t="shared" si="32"/>
        <v>51.1</v>
      </c>
      <c r="U116">
        <f t="shared" si="46"/>
        <v>-442.03231093502723</v>
      </c>
      <c r="V116" s="14">
        <f>_xlfn.XLOOKUP($T116,'Q1 Base'!$C$8:$C$208,'Q1 Base'!$D$8:$D$208,,0,)</f>
        <v>1.9018574734192091E-3</v>
      </c>
      <c r="W116" s="32">
        <f t="shared" si="33"/>
        <v>89000.000000000015</v>
      </c>
      <c r="X116" s="29">
        <f t="shared" si="34"/>
        <v>-21.048259353806088</v>
      </c>
      <c r="Y116" s="48">
        <f t="shared" si="52"/>
        <v>-1.9068578188038208</v>
      </c>
      <c r="Z116" s="51">
        <f t="shared" si="47"/>
        <v>-929.46518273634706</v>
      </c>
      <c r="AB116" s="4">
        <f t="shared" si="48"/>
        <v>8.9</v>
      </c>
      <c r="AC116" s="5">
        <f t="shared" si="35"/>
        <v>48.9</v>
      </c>
      <c r="AD116" s="13">
        <f t="shared" si="49"/>
        <v>1.6099353108431837E-3</v>
      </c>
      <c r="AE116" s="14">
        <f t="shared" si="50"/>
        <v>0.98999686521236252</v>
      </c>
      <c r="AF116" s="4">
        <f t="shared" si="36"/>
        <v>1</v>
      </c>
      <c r="AG116">
        <f t="shared" si="51"/>
        <v>0.53633302261292404</v>
      </c>
      <c r="AH116">
        <f t="shared" si="37"/>
        <v>8.5482414999269796E-4</v>
      </c>
      <c r="AI116" s="5">
        <f t="shared" si="38"/>
        <v>0.53096801109666592</v>
      </c>
    </row>
    <row r="117" spans="1:35" x14ac:dyDescent="0.45">
      <c r="A117" s="4">
        <f t="shared" si="39"/>
        <v>9</v>
      </c>
      <c r="B117" s="5">
        <f t="shared" si="27"/>
        <v>49</v>
      </c>
      <c r="C117" s="14">
        <f>_xlfn.XLOOKUP($B117,'Q1 Base'!$C$8:$C$208,'Q1 Base'!$D$8:$D$208,,0,)</f>
        <v>1.6224083329387526E-3</v>
      </c>
      <c r="D117">
        <f t="shared" si="40"/>
        <v>0.98983748212126954</v>
      </c>
      <c r="E117" s="5">
        <f t="shared" si="28"/>
        <v>-1.6059205792486612E-3</v>
      </c>
      <c r="G117" s="4">
        <f t="shared" si="41"/>
        <v>11</v>
      </c>
      <c r="H117" s="5">
        <f t="shared" si="29"/>
        <v>51</v>
      </c>
      <c r="I117">
        <f t="shared" si="42"/>
        <v>484.94671364790008</v>
      </c>
      <c r="J117" s="14">
        <f>_xlfn.XLOOKUP($H117,'Q1 Base'!$C$8:$C$208,'Q1 Base'!$D$8:$D$208,,0,)</f>
        <v>1.8877337399873827E-3</v>
      </c>
      <c r="K117" s="29" cm="1">
        <f t="array" ref="K117">I117*$B$7+$E$6-J117*(SumAssdTA-I117)</f>
        <v>26.088346230063905</v>
      </c>
      <c r="M117" s="4">
        <f t="shared" si="43"/>
        <v>11</v>
      </c>
      <c r="N117" s="5">
        <f t="shared" si="30"/>
        <v>51</v>
      </c>
      <c r="O117">
        <f t="shared" si="44"/>
        <v>641.12588625000546</v>
      </c>
      <c r="P117" s="14">
        <f>_xlfn.XLOOKUP($N117,'Q1 Base'!$C$8:$C$208,'Q1 Base'!$D$8:$D$208,,0,)</f>
        <v>1.8877337399873827E-3</v>
      </c>
      <c r="Q117" s="29">
        <f t="shared" si="31"/>
        <v>13.766885634772393</v>
      </c>
      <c r="S117" s="4">
        <f t="shared" si="45"/>
        <v>11</v>
      </c>
      <c r="T117" s="5">
        <f t="shared" si="32"/>
        <v>51</v>
      </c>
      <c r="U117">
        <f t="shared" si="46"/>
        <v>-439.92748499964659</v>
      </c>
      <c r="V117" s="14">
        <f>_xlfn.XLOOKUP($T117,'Q1 Base'!$C$8:$C$208,'Q1 Base'!$D$8:$D$208,,0,)</f>
        <v>1.8877337399873827E-3</v>
      </c>
      <c r="W117" s="32">
        <f t="shared" si="33"/>
        <v>89999.999999999985</v>
      </c>
      <c r="X117" s="29">
        <f t="shared" si="34"/>
        <v>-21.521426505421317</v>
      </c>
      <c r="Y117" s="48">
        <f t="shared" si="52"/>
        <v>-1.9071666486620629</v>
      </c>
      <c r="Z117" s="51">
        <f t="shared" si="47"/>
        <v>-924.87419864754668</v>
      </c>
      <c r="AB117" s="4">
        <f t="shared" si="48"/>
        <v>9</v>
      </c>
      <c r="AC117" s="5">
        <f t="shared" si="35"/>
        <v>49</v>
      </c>
      <c r="AD117" s="13">
        <f t="shared" si="49"/>
        <v>1.6224083329387526E-3</v>
      </c>
      <c r="AE117" s="14">
        <f t="shared" si="50"/>
        <v>0.98983748212126954</v>
      </c>
      <c r="AF117" s="4">
        <f t="shared" si="36"/>
        <v>1</v>
      </c>
      <c r="AG117">
        <f t="shared" si="51"/>
        <v>0.53259180100689718</v>
      </c>
      <c r="AH117">
        <f t="shared" si="37"/>
        <v>8.5530013357608403E-4</v>
      </c>
      <c r="AI117" s="5">
        <f t="shared" si="38"/>
        <v>0.52717932730709938</v>
      </c>
    </row>
    <row r="118" spans="1:35" x14ac:dyDescent="0.45">
      <c r="A118" s="4">
        <f t="shared" si="39"/>
        <v>9.1</v>
      </c>
      <c r="B118" s="5">
        <f t="shared" si="27"/>
        <v>49.1</v>
      </c>
      <c r="C118" s="14">
        <f>_xlfn.XLOOKUP($B118,'Q1 Base'!$C$8:$C$208,'Q1 Base'!$D$8:$D$208,,0,)</f>
        <v>1.6352868916114454E-3</v>
      </c>
      <c r="D118">
        <f t="shared" si="40"/>
        <v>0.98967689006334469</v>
      </c>
      <c r="E118" s="5">
        <f t="shared" si="28"/>
        <v>-1.6184056452513691E-3</v>
      </c>
      <c r="G118" s="4">
        <f t="shared" si="41"/>
        <v>10.9</v>
      </c>
      <c r="H118" s="5">
        <f t="shared" si="29"/>
        <v>50.9</v>
      </c>
      <c r="I118">
        <f t="shared" si="42"/>
        <v>482.33787902489371</v>
      </c>
      <c r="J118" s="14">
        <f>_xlfn.XLOOKUP($H118,'Q1 Base'!$C$8:$C$208,'Q1 Base'!$D$8:$D$208,,0,)</f>
        <v>1.8740797579552119E-3</v>
      </c>
      <c r="K118" s="29" cm="1">
        <f t="array" ref="K118">I118*$B$7+$E$6-J118*(SumAssdTA-I118)</f>
        <v>27.259615391796984</v>
      </c>
      <c r="M118" s="4">
        <f t="shared" si="43"/>
        <v>10.9</v>
      </c>
      <c r="N118" s="5">
        <f t="shared" si="30"/>
        <v>50.9</v>
      </c>
      <c r="O118">
        <f t="shared" si="44"/>
        <v>639.74919768652819</v>
      </c>
      <c r="P118" s="14">
        <f>_xlfn.XLOOKUP($N118,'Q1 Base'!$C$8:$C$208,'Q1 Base'!$D$8:$D$208,,0,)</f>
        <v>1.8740797579552119E-3</v>
      </c>
      <c r="Q118" s="29">
        <f t="shared" si="31"/>
        <v>15.024581693045036</v>
      </c>
      <c r="S118" s="4">
        <f t="shared" si="45"/>
        <v>10.9</v>
      </c>
      <c r="T118" s="5">
        <f t="shared" si="32"/>
        <v>50.9</v>
      </c>
      <c r="U118">
        <f t="shared" si="46"/>
        <v>-437.77534234910445</v>
      </c>
      <c r="V118" s="14">
        <f>_xlfn.XLOOKUP($T118,'Q1 Base'!$C$8:$C$208,'Q1 Base'!$D$8:$D$208,,0,)</f>
        <v>1.8740797579552119E-3</v>
      </c>
      <c r="W118" s="32">
        <f t="shared" si="33"/>
        <v>90999.999999999985</v>
      </c>
      <c r="X118" s="29">
        <f t="shared" si="34"/>
        <v>-22.00595784598994</v>
      </c>
      <c r="Y118" s="48">
        <f t="shared" si="52"/>
        <v>-1.9076113682676592</v>
      </c>
      <c r="Z118" s="51">
        <f t="shared" si="47"/>
        <v>-920.11322137399816</v>
      </c>
      <c r="AB118" s="4">
        <f t="shared" si="48"/>
        <v>9.1</v>
      </c>
      <c r="AC118" s="5">
        <f t="shared" si="35"/>
        <v>49.1</v>
      </c>
      <c r="AD118" s="13">
        <f t="shared" si="49"/>
        <v>1.6352868916114454E-3</v>
      </c>
      <c r="AE118" s="14">
        <f t="shared" si="50"/>
        <v>0.98967689006334469</v>
      </c>
      <c r="AF118" s="4">
        <f t="shared" si="36"/>
        <v>1</v>
      </c>
      <c r="AG118">
        <f t="shared" si="51"/>
        <v>0.52887667650568249</v>
      </c>
      <c r="AH118">
        <f t="shared" si="37"/>
        <v>8.5593699889857872E-4</v>
      </c>
      <c r="AI118" s="5">
        <f t="shared" si="38"/>
        <v>0.52341702443118143</v>
      </c>
    </row>
    <row r="119" spans="1:35" x14ac:dyDescent="0.45">
      <c r="A119" s="4">
        <f t="shared" si="39"/>
        <v>9.1999999999999993</v>
      </c>
      <c r="B119" s="5">
        <f t="shared" si="27"/>
        <v>49.2</v>
      </c>
      <c r="C119" s="14">
        <f>_xlfn.XLOOKUP($B119,'Q1 Base'!$C$8:$C$208,'Q1 Base'!$D$8:$D$208,,0,)</f>
        <v>1.6481654502841379E-3</v>
      </c>
      <c r="D119">
        <f t="shared" si="40"/>
        <v>0.98951504949881952</v>
      </c>
      <c r="E119" s="5">
        <f t="shared" si="28"/>
        <v>-1.6308845171201529E-3</v>
      </c>
      <c r="G119" s="4">
        <f t="shared" si="41"/>
        <v>10.8</v>
      </c>
      <c r="H119" s="5">
        <f t="shared" si="29"/>
        <v>50.8</v>
      </c>
      <c r="I119">
        <f t="shared" si="42"/>
        <v>479.611917485714</v>
      </c>
      <c r="J119" s="14">
        <f>_xlfn.XLOOKUP($H119,'Q1 Base'!$C$8:$C$208,'Q1 Base'!$D$8:$D$208,,0,)</f>
        <v>1.8604257759230413E-3</v>
      </c>
      <c r="K119" s="29" cm="1">
        <f t="array" ref="K119">I119*$B$7+$E$6-J119*(SumAssdTA-I119)</f>
        <v>28.42253900542616</v>
      </c>
      <c r="M119" s="4">
        <f t="shared" si="43"/>
        <v>10.8</v>
      </c>
      <c r="N119" s="5">
        <f t="shared" si="30"/>
        <v>50.8</v>
      </c>
      <c r="O119">
        <f t="shared" si="44"/>
        <v>638.24673951722366</v>
      </c>
      <c r="P119" s="14">
        <f>_xlfn.XLOOKUP($N119,'Q1 Base'!$C$8:$C$208,'Q1 Base'!$D$8:$D$208,,0,)</f>
        <v>1.8604257759230413E-3</v>
      </c>
      <c r="Q119" s="29">
        <f t="shared" si="31"/>
        <v>16.273277488455051</v>
      </c>
      <c r="S119" s="4">
        <f t="shared" si="45"/>
        <v>10.8</v>
      </c>
      <c r="T119" s="5">
        <f t="shared" si="32"/>
        <v>50.8</v>
      </c>
      <c r="U119">
        <f t="shared" si="46"/>
        <v>-435.57474656450546</v>
      </c>
      <c r="V119" s="14">
        <f>_xlfn.XLOOKUP($T119,'Q1 Base'!$C$8:$C$208,'Q1 Base'!$D$8:$D$208,,0,)</f>
        <v>1.8604257759230413E-3</v>
      </c>
      <c r="W119" s="32">
        <f t="shared" si="33"/>
        <v>92000</v>
      </c>
      <c r="X119" s="29">
        <f t="shared" si="34"/>
        <v>-22.459758130284939</v>
      </c>
      <c r="Y119" s="48">
        <f t="shared" si="52"/>
        <v>-1.9081816583039344</v>
      </c>
      <c r="Z119" s="51">
        <f t="shared" si="47"/>
        <v>-915.18666405021941</v>
      </c>
      <c r="AB119" s="4">
        <f t="shared" si="48"/>
        <v>9.1999999999999993</v>
      </c>
      <c r="AC119" s="5">
        <f t="shared" si="35"/>
        <v>49.2</v>
      </c>
      <c r="AD119" s="13">
        <f t="shared" si="49"/>
        <v>1.6481654502841379E-3</v>
      </c>
      <c r="AE119" s="14">
        <f t="shared" si="50"/>
        <v>0.98951504949881952</v>
      </c>
      <c r="AF119" s="4">
        <f t="shared" si="36"/>
        <v>1</v>
      </c>
      <c r="AG119">
        <f t="shared" si="51"/>
        <v>0.52518746706743613</v>
      </c>
      <c r="AH119">
        <f t="shared" si="37"/>
        <v>8.5652010862583179E-4</v>
      </c>
      <c r="AI119" s="5">
        <f t="shared" si="38"/>
        <v>0.51968090247139376</v>
      </c>
    </row>
    <row r="120" spans="1:35" x14ac:dyDescent="0.45">
      <c r="A120" s="4">
        <f t="shared" si="39"/>
        <v>9.3000000000000007</v>
      </c>
      <c r="B120" s="5">
        <f t="shared" si="27"/>
        <v>49.3</v>
      </c>
      <c r="C120" s="14">
        <f>_xlfn.XLOOKUP($B120,'Q1 Base'!$C$8:$C$208,'Q1 Base'!$D$8:$D$208,,0,)</f>
        <v>1.6610440089568298E-3</v>
      </c>
      <c r="D120">
        <f t="shared" si="40"/>
        <v>0.98935196104710754</v>
      </c>
      <c r="E120" s="5">
        <f t="shared" si="28"/>
        <v>-1.6433571476469888E-3</v>
      </c>
      <c r="G120" s="4">
        <f t="shared" si="41"/>
        <v>10.7</v>
      </c>
      <c r="H120" s="5">
        <f t="shared" si="29"/>
        <v>50.7</v>
      </c>
      <c r="I120">
        <f t="shared" si="42"/>
        <v>476.76966358517137</v>
      </c>
      <c r="J120" s="14">
        <f>_xlfn.XLOOKUP($H120,'Q1 Base'!$C$8:$C$208,'Q1 Base'!$D$8:$D$208,,0,)</f>
        <v>1.8467717938908715E-3</v>
      </c>
      <c r="K120" s="29" cm="1">
        <f t="array" ref="K120">I120*$B$7+$E$6-J120*(SumAssdTA-I120)</f>
        <v>29.577181828766783</v>
      </c>
      <c r="M120" s="4">
        <f t="shared" si="43"/>
        <v>10.7</v>
      </c>
      <c r="N120" s="5">
        <f t="shared" si="30"/>
        <v>50.7</v>
      </c>
      <c r="O120">
        <f t="shared" si="44"/>
        <v>636.6194117683782</v>
      </c>
      <c r="P120" s="14">
        <f>_xlfn.XLOOKUP($N120,'Q1 Base'!$C$8:$C$208,'Q1 Base'!$D$8:$D$208,,0,)</f>
        <v>1.8467717938908715E-3</v>
      </c>
      <c r="Q120" s="29">
        <f t="shared" si="31"/>
        <v>17.513042836753385</v>
      </c>
      <c r="S120" s="4">
        <f t="shared" si="45"/>
        <v>10.7</v>
      </c>
      <c r="T120" s="5">
        <f t="shared" si="32"/>
        <v>50.7</v>
      </c>
      <c r="U120">
        <f t="shared" si="46"/>
        <v>-433.32877075147695</v>
      </c>
      <c r="V120" s="14">
        <f>_xlfn.XLOOKUP($T120,'Q1 Base'!$C$8:$C$208,'Q1 Base'!$D$8:$D$208,,0,)</f>
        <v>1.8467717938908715E-3</v>
      </c>
      <c r="W120" s="32">
        <f t="shared" si="33"/>
        <v>93000.000000000015</v>
      </c>
      <c r="X120" s="29">
        <f t="shared" si="34"/>
        <v>-22.883050135759703</v>
      </c>
      <c r="Y120" s="48">
        <f t="shared" si="52"/>
        <v>-1.9088849476977385</v>
      </c>
      <c r="Z120" s="51">
        <f t="shared" si="47"/>
        <v>-910.09843433664832</v>
      </c>
      <c r="AB120" s="4">
        <f t="shared" si="48"/>
        <v>9.3000000000000007</v>
      </c>
      <c r="AC120" s="5">
        <f t="shared" si="35"/>
        <v>49.3</v>
      </c>
      <c r="AD120" s="13">
        <f t="shared" si="49"/>
        <v>1.6610440089568298E-3</v>
      </c>
      <c r="AE120" s="14">
        <f t="shared" si="50"/>
        <v>0.98935196104710754</v>
      </c>
      <c r="AF120" s="4">
        <f t="shared" si="36"/>
        <v>1</v>
      </c>
      <c r="AG120">
        <f t="shared" si="51"/>
        <v>0.52152399192015741</v>
      </c>
      <c r="AH120">
        <f t="shared" si="37"/>
        <v>8.5705017979138115E-4</v>
      </c>
      <c r="AI120" s="5">
        <f t="shared" si="38"/>
        <v>0.51597078413932362</v>
      </c>
    </row>
    <row r="121" spans="1:35" x14ac:dyDescent="0.45">
      <c r="A121" s="4">
        <f t="shared" si="39"/>
        <v>9.4</v>
      </c>
      <c r="B121" s="5">
        <f t="shared" si="27"/>
        <v>49.4</v>
      </c>
      <c r="C121" s="14">
        <f>_xlfn.XLOOKUP($B121,'Q1 Base'!$C$8:$C$208,'Q1 Base'!$D$8:$D$208,,0,)</f>
        <v>1.6739225676295226E-3</v>
      </c>
      <c r="D121">
        <f t="shared" si="40"/>
        <v>0.98918762533234283</v>
      </c>
      <c r="E121" s="5">
        <f t="shared" si="28"/>
        <v>-1.6558234896636656E-3</v>
      </c>
      <c r="G121" s="4">
        <f t="shared" si="41"/>
        <v>10.6</v>
      </c>
      <c r="H121" s="5">
        <f t="shared" si="29"/>
        <v>50.6</v>
      </c>
      <c r="I121">
        <f t="shared" si="42"/>
        <v>473.81194540229467</v>
      </c>
      <c r="J121" s="14">
        <f>_xlfn.XLOOKUP($H121,'Q1 Base'!$C$8:$C$208,'Q1 Base'!$D$8:$D$208,,0,)</f>
        <v>1.8331178118587009E-3</v>
      </c>
      <c r="K121" s="29" cm="1">
        <f t="array" ref="K121">I121*$B$7+$E$6-J121*(SumAssdTA-I121)</f>
        <v>30.723608108878892</v>
      </c>
      <c r="M121" s="4">
        <f t="shared" si="43"/>
        <v>10.6</v>
      </c>
      <c r="N121" s="5">
        <f t="shared" si="30"/>
        <v>50.6</v>
      </c>
      <c r="O121">
        <f t="shared" si="44"/>
        <v>634.86810748470282</v>
      </c>
      <c r="P121" s="14">
        <f>_xlfn.XLOOKUP($N121,'Q1 Base'!$C$8:$C$208,'Q1 Base'!$D$8:$D$208,,0,)</f>
        <v>1.8331178118587009E-3</v>
      </c>
      <c r="Q121" s="29">
        <f t="shared" si="31"/>
        <v>18.743947003027159</v>
      </c>
      <c r="S121" s="4">
        <f t="shared" si="45"/>
        <v>10.6</v>
      </c>
      <c r="T121" s="5">
        <f t="shared" si="32"/>
        <v>50.6</v>
      </c>
      <c r="U121">
        <f t="shared" si="46"/>
        <v>-431.040465737901</v>
      </c>
      <c r="V121" s="14">
        <f>_xlfn.XLOOKUP($T121,'Q1 Base'!$C$8:$C$208,'Q1 Base'!$D$8:$D$208,,0,)</f>
        <v>1.8331178118587009E-3</v>
      </c>
      <c r="W121" s="32">
        <f t="shared" si="33"/>
        <v>94000</v>
      </c>
      <c r="X121" s="29">
        <f t="shared" si="34"/>
        <v>-23.276054871746993</v>
      </c>
      <c r="Y121" s="48">
        <f t="shared" si="52"/>
        <v>-1.9097289967476905</v>
      </c>
      <c r="Z121" s="51">
        <f t="shared" si="47"/>
        <v>-904.85241114019573</v>
      </c>
      <c r="AB121" s="4">
        <f t="shared" si="48"/>
        <v>9.4</v>
      </c>
      <c r="AC121" s="5">
        <f t="shared" si="35"/>
        <v>49.4</v>
      </c>
      <c r="AD121" s="13">
        <f t="shared" si="49"/>
        <v>1.6739225676295226E-3</v>
      </c>
      <c r="AE121" s="14">
        <f t="shared" si="50"/>
        <v>0.98918762533234283</v>
      </c>
      <c r="AF121" s="4">
        <f t="shared" si="36"/>
        <v>1</v>
      </c>
      <c r="AG121">
        <f t="shared" si="51"/>
        <v>0.5178860715528314</v>
      </c>
      <c r="AH121">
        <f t="shared" si="37"/>
        <v>8.575279222468161E-4</v>
      </c>
      <c r="AI121" s="5">
        <f t="shared" si="38"/>
        <v>0.51228649331204112</v>
      </c>
    </row>
    <row r="122" spans="1:35" x14ac:dyDescent="0.45">
      <c r="A122" s="4">
        <f t="shared" si="39"/>
        <v>9.5</v>
      </c>
      <c r="B122" s="5">
        <f t="shared" si="27"/>
        <v>49.5</v>
      </c>
      <c r="C122" s="14">
        <f>_xlfn.XLOOKUP($B122,'Q1 Base'!$C$8:$C$208,'Q1 Base'!$D$8:$D$208,,0,)</f>
        <v>1.6868011263022151E-3</v>
      </c>
      <c r="D122">
        <f t="shared" si="40"/>
        <v>0.98902204298337648</v>
      </c>
      <c r="E122" s="5">
        <f t="shared" si="28"/>
        <v>-1.6682834960420772E-3</v>
      </c>
      <c r="G122" s="4">
        <f t="shared" si="41"/>
        <v>10.5</v>
      </c>
      <c r="H122" s="5">
        <f t="shared" si="29"/>
        <v>50.5</v>
      </c>
      <c r="I122">
        <f t="shared" si="42"/>
        <v>470.73958459140675</v>
      </c>
      <c r="J122" s="14">
        <f>_xlfn.XLOOKUP($H122,'Q1 Base'!$C$8:$C$208,'Q1 Base'!$D$8:$D$208,,0,)</f>
        <v>1.8194638298265301E-3</v>
      </c>
      <c r="K122" s="29" cm="1">
        <f t="array" ref="K122">I122*$B$7+$E$6-J122*(SumAssdTA-I122)</f>
        <v>31.861881586177077</v>
      </c>
      <c r="M122" s="4">
        <f t="shared" si="43"/>
        <v>10.5</v>
      </c>
      <c r="N122" s="5">
        <f t="shared" si="30"/>
        <v>50.5</v>
      </c>
      <c r="O122">
        <f t="shared" si="44"/>
        <v>632.99371278440015</v>
      </c>
      <c r="P122" s="14">
        <f>_xlfn.XLOOKUP($N122,'Q1 Base'!$C$8:$C$208,'Q1 Base'!$D$8:$D$208,,0,)</f>
        <v>1.8194638298265301E-3</v>
      </c>
      <c r="Q122" s="29">
        <f t="shared" si="31"/>
        <v>19.966058706130667</v>
      </c>
      <c r="S122" s="4">
        <f t="shared" si="45"/>
        <v>10.5</v>
      </c>
      <c r="T122" s="5">
        <f t="shared" si="32"/>
        <v>50.5</v>
      </c>
      <c r="U122">
        <f t="shared" si="46"/>
        <v>-428.71286025072629</v>
      </c>
      <c r="V122" s="14">
        <f>_xlfn.XLOOKUP($T122,'Q1 Base'!$C$8:$C$208,'Q1 Base'!$D$8:$D$208,,0,)</f>
        <v>1.8194638298265301E-3</v>
      </c>
      <c r="W122" s="32">
        <f t="shared" si="33"/>
        <v>95000</v>
      </c>
      <c r="X122" s="29">
        <f t="shared" si="34"/>
        <v>-23.638991593678867</v>
      </c>
      <c r="Y122" s="48">
        <f t="shared" si="52"/>
        <v>-1.9107219241458973</v>
      </c>
      <c r="Z122" s="51">
        <f t="shared" si="47"/>
        <v>-899.45244484213299</v>
      </c>
      <c r="AB122" s="4">
        <f t="shared" si="48"/>
        <v>9.5</v>
      </c>
      <c r="AC122" s="5">
        <f t="shared" si="35"/>
        <v>49.5</v>
      </c>
      <c r="AD122" s="13">
        <f t="shared" si="49"/>
        <v>1.6868011263022151E-3</v>
      </c>
      <c r="AE122" s="14">
        <f t="shared" si="50"/>
        <v>0.98902204298337648</v>
      </c>
      <c r="AF122" s="4">
        <f t="shared" si="36"/>
        <v>1</v>
      </c>
      <c r="AG122">
        <f t="shared" si="51"/>
        <v>0.51427352770663193</v>
      </c>
      <c r="AH122">
        <f t="shared" si="37"/>
        <v>8.5795403872431192E-4</v>
      </c>
      <c r="AI122" s="5">
        <f t="shared" si="38"/>
        <v>0.50862785502468122</v>
      </c>
    </row>
    <row r="123" spans="1:35" x14ac:dyDescent="0.45">
      <c r="A123" s="4">
        <f t="shared" si="39"/>
        <v>9.6</v>
      </c>
      <c r="B123" s="5">
        <f t="shared" si="27"/>
        <v>49.6</v>
      </c>
      <c r="C123" s="14">
        <f>_xlfn.XLOOKUP($B123,'Q1 Base'!$C$8:$C$208,'Q1 Base'!$D$8:$D$208,,0,)</f>
        <v>1.6996796849749077E-3</v>
      </c>
      <c r="D123">
        <f t="shared" si="40"/>
        <v>0.98885521463377224</v>
      </c>
      <c r="E123" s="5">
        <f t="shared" si="28"/>
        <v>-1.6807371196945248E-3</v>
      </c>
      <c r="G123" s="4">
        <f t="shared" si="41"/>
        <v>10.4</v>
      </c>
      <c r="H123" s="5">
        <f t="shared" si="29"/>
        <v>50.4</v>
      </c>
      <c r="I123">
        <f t="shared" si="42"/>
        <v>467.55339643278904</v>
      </c>
      <c r="J123" s="14">
        <f>_xlfn.XLOOKUP($H123,'Q1 Base'!$C$8:$C$208,'Q1 Base'!$D$8:$D$208,,0,)</f>
        <v>1.8058098477943595E-3</v>
      </c>
      <c r="K123" s="29" cm="1">
        <f t="array" ref="K123">I123*$B$7+$E$6-J123*(SumAssdTA-I123)</f>
        <v>32.992065498507316</v>
      </c>
      <c r="M123" s="4">
        <f t="shared" si="43"/>
        <v>10.4</v>
      </c>
      <c r="N123" s="5">
        <f t="shared" si="30"/>
        <v>50.4</v>
      </c>
      <c r="O123">
        <f t="shared" si="44"/>
        <v>630.99710691378709</v>
      </c>
      <c r="P123" s="14">
        <f>_xlfn.XLOOKUP($N123,'Q1 Base'!$C$8:$C$208,'Q1 Base'!$D$8:$D$208,,0,)</f>
        <v>1.8058098477943595E-3</v>
      </c>
      <c r="Q123" s="29">
        <f t="shared" si="31"/>
        <v>21.179446123080652</v>
      </c>
      <c r="S123" s="4">
        <f t="shared" si="45"/>
        <v>10.4</v>
      </c>
      <c r="T123" s="5">
        <f t="shared" si="32"/>
        <v>50.4</v>
      </c>
      <c r="U123">
        <f t="shared" si="46"/>
        <v>-426.34896109135843</v>
      </c>
      <c r="V123" s="14">
        <f>_xlfn.XLOOKUP($T123,'Q1 Base'!$C$8:$C$208,'Q1 Base'!$D$8:$D$208,,0,)</f>
        <v>1.8058098477943595E-3</v>
      </c>
      <c r="W123" s="32">
        <f t="shared" si="33"/>
        <v>96000</v>
      </c>
      <c r="X123" s="29">
        <f t="shared" si="34"/>
        <v>-23.972077817189273</v>
      </c>
      <c r="Y123" s="48">
        <f t="shared" si="52"/>
        <v>-1.9118722360787004</v>
      </c>
      <c r="Z123" s="51">
        <f t="shared" si="47"/>
        <v>-893.90235752414742</v>
      </c>
      <c r="AB123" s="4">
        <f t="shared" si="48"/>
        <v>9.6</v>
      </c>
      <c r="AC123" s="5">
        <f t="shared" si="35"/>
        <v>49.6</v>
      </c>
      <c r="AD123" s="13">
        <f t="shared" si="49"/>
        <v>1.6996796849749077E-3</v>
      </c>
      <c r="AE123" s="14">
        <f t="shared" si="50"/>
        <v>0.98885521463377224</v>
      </c>
      <c r="AF123" s="4">
        <f t="shared" si="36"/>
        <v>1</v>
      </c>
      <c r="AG123">
        <f t="shared" si="51"/>
        <v>0.51068618336618787</v>
      </c>
      <c r="AH123">
        <f t="shared" si="37"/>
        <v>8.5832922489867652E-4</v>
      </c>
      <c r="AI123" s="5">
        <f t="shared" si="38"/>
        <v>0.50499469546307363</v>
      </c>
    </row>
    <row r="124" spans="1:35" x14ac:dyDescent="0.45">
      <c r="A124" s="4">
        <f t="shared" si="39"/>
        <v>9.6999999999999993</v>
      </c>
      <c r="B124" s="5">
        <f t="shared" si="27"/>
        <v>49.7</v>
      </c>
      <c r="C124" s="14">
        <f>_xlfn.XLOOKUP($B124,'Q1 Base'!$C$8:$C$208,'Q1 Base'!$D$8:$D$208,,0,)</f>
        <v>1.7125582436476005E-3</v>
      </c>
      <c r="D124">
        <f t="shared" ref="D124:D155" si="53">D123+StepSizeQ1*E123</f>
        <v>0.98868714092180277</v>
      </c>
      <c r="E124" s="5">
        <f t="shared" si="28"/>
        <v>-1.6931843135740102E-3</v>
      </c>
      <c r="G124" s="4">
        <f t="shared" si="41"/>
        <v>10.3</v>
      </c>
      <c r="H124" s="5">
        <f t="shared" si="29"/>
        <v>50.3</v>
      </c>
      <c r="I124">
        <f t="shared" si="42"/>
        <v>464.25418988293831</v>
      </c>
      <c r="J124" s="14">
        <f>_xlfn.XLOOKUP($H124,'Q1 Base'!$C$8:$C$208,'Q1 Base'!$D$8:$D$208,,0,)</f>
        <v>1.7921558657621889E-3</v>
      </c>
      <c r="K124" s="29" cm="1">
        <f t="array" ref="K124">I124*$B$7+$E$6-J124*(SumAssdTA-I124)</f>
        <v>34.114222585190191</v>
      </c>
      <c r="M124" s="4">
        <f t="shared" si="43"/>
        <v>10.3</v>
      </c>
      <c r="N124" s="5">
        <f t="shared" si="30"/>
        <v>50.3</v>
      </c>
      <c r="O124">
        <f t="shared" si="44"/>
        <v>628.87916230147903</v>
      </c>
      <c r="P124" s="14">
        <f>_xlfn.XLOOKUP($N124,'Q1 Base'!$C$8:$C$208,'Q1 Base'!$D$8:$D$208,,0,)</f>
        <v>1.7921558657621889E-3</v>
      </c>
      <c r="Q124" s="29">
        <f t="shared" si="31"/>
        <v>22.384176893415713</v>
      </c>
      <c r="S124" s="4">
        <f t="shared" si="45"/>
        <v>10.3</v>
      </c>
      <c r="T124" s="5">
        <f t="shared" si="32"/>
        <v>50.3</v>
      </c>
      <c r="U124">
        <f t="shared" si="46"/>
        <v>-423.95175330963951</v>
      </c>
      <c r="V124" s="14">
        <f>_xlfn.XLOOKUP($T124,'Q1 Base'!$C$8:$C$208,'Q1 Base'!$D$8:$D$208,,0,)</f>
        <v>1.7921558657621889E-3</v>
      </c>
      <c r="W124" s="32">
        <f t="shared" si="33"/>
        <v>97000</v>
      </c>
      <c r="X124" s="29">
        <f t="shared" si="34"/>
        <v>-24.275529332101115</v>
      </c>
      <c r="Y124" s="48">
        <f t="shared" si="52"/>
        <v>-1.9131888576310727</v>
      </c>
      <c r="Z124" s="51">
        <f t="shared" si="47"/>
        <v>-888.20594319257782</v>
      </c>
      <c r="AB124" s="4">
        <f t="shared" si="48"/>
        <v>9.6999999999999993</v>
      </c>
      <c r="AC124" s="5">
        <f t="shared" si="35"/>
        <v>49.7</v>
      </c>
      <c r="AD124" s="13">
        <f t="shared" si="49"/>
        <v>1.7125582436476005E-3</v>
      </c>
      <c r="AE124" s="14">
        <f t="shared" si="50"/>
        <v>0.98868714092180277</v>
      </c>
      <c r="AF124" s="4">
        <f t="shared" si="36"/>
        <v>1</v>
      </c>
      <c r="AG124">
        <f t="shared" si="51"/>
        <v>0.50712386275090859</v>
      </c>
      <c r="AH124">
        <f t="shared" si="37"/>
        <v>8.5865416944889777E-4</v>
      </c>
      <c r="AI124" s="5">
        <f t="shared" si="38"/>
        <v>0.50138684195641647</v>
      </c>
    </row>
    <row r="125" spans="1:35" x14ac:dyDescent="0.45">
      <c r="A125" s="4">
        <f t="shared" si="39"/>
        <v>9.8000000000000007</v>
      </c>
      <c r="B125" s="5">
        <f t="shared" si="27"/>
        <v>49.8</v>
      </c>
      <c r="C125" s="14">
        <f>_xlfn.XLOOKUP($B125,'Q1 Base'!$C$8:$C$208,'Q1 Base'!$D$8:$D$208,,0,)</f>
        <v>1.7254368023202923E-3</v>
      </c>
      <c r="D125">
        <f t="shared" si="53"/>
        <v>0.9885178224904454</v>
      </c>
      <c r="E125" s="5">
        <f t="shared" si="28"/>
        <v>-1.7056250306745325E-3</v>
      </c>
      <c r="G125" s="4">
        <f t="shared" si="41"/>
        <v>10.199999999999999</v>
      </c>
      <c r="H125" s="5">
        <f t="shared" si="29"/>
        <v>50.2</v>
      </c>
      <c r="I125">
        <f t="shared" si="42"/>
        <v>460.84276762441931</v>
      </c>
      <c r="J125" s="14">
        <f>_xlfn.XLOOKUP($H125,'Q1 Base'!$C$8:$C$208,'Q1 Base'!$D$8:$D$208,,0,)</f>
        <v>1.7785018837300189E-3</v>
      </c>
      <c r="K125" s="29" cm="1">
        <f t="array" ref="K125">I125*$B$7+$E$6-J125*(SumAssdTA-I125)</f>
        <v>35.228415091030854</v>
      </c>
      <c r="M125" s="4">
        <f t="shared" si="43"/>
        <v>10.199999999999999</v>
      </c>
      <c r="N125" s="5">
        <f t="shared" si="30"/>
        <v>50.2</v>
      </c>
      <c r="O125">
        <f t="shared" si="44"/>
        <v>626.6407446121375</v>
      </c>
      <c r="P125" s="14">
        <f>_xlfn.XLOOKUP($N125,'Q1 Base'!$C$8:$C$208,'Q1 Base'!$D$8:$D$208,,0,)</f>
        <v>1.7785018837300189E-3</v>
      </c>
      <c r="Q125" s="29">
        <f t="shared" si="31"/>
        <v>23.580318123519277</v>
      </c>
      <c r="S125" s="4">
        <f t="shared" si="45"/>
        <v>10.199999999999999</v>
      </c>
      <c r="T125" s="5">
        <f t="shared" si="32"/>
        <v>50.2</v>
      </c>
      <c r="U125">
        <f t="shared" si="46"/>
        <v>-421.52420037642941</v>
      </c>
      <c r="V125" s="14">
        <f>_xlfn.XLOOKUP($T125,'Q1 Base'!$C$8:$C$208,'Q1 Base'!$D$8:$D$208,,0,)</f>
        <v>1.7785018837300189E-3</v>
      </c>
      <c r="W125" s="32">
        <f t="shared" si="33"/>
        <v>98000</v>
      </c>
      <c r="X125" s="29">
        <f t="shared" si="34"/>
        <v>-24.54956021629917</v>
      </c>
      <c r="Y125" s="48">
        <f t="shared" si="52"/>
        <v>-1.9146811667444155</v>
      </c>
      <c r="Z125" s="51">
        <f t="shared" si="47"/>
        <v>-882.36696800084871</v>
      </c>
      <c r="AB125" s="4">
        <f t="shared" si="48"/>
        <v>9.8000000000000007</v>
      </c>
      <c r="AC125" s="5">
        <f t="shared" si="35"/>
        <v>49.8</v>
      </c>
      <c r="AD125" s="13">
        <f t="shared" si="49"/>
        <v>1.7254368023202923E-3</v>
      </c>
      <c r="AE125" s="14">
        <f t="shared" si="50"/>
        <v>0.9885178224904454</v>
      </c>
      <c r="AF125" s="4">
        <f t="shared" si="36"/>
        <v>1</v>
      </c>
      <c r="AG125">
        <f t="shared" si="51"/>
        <v>0.50358639130637139</v>
      </c>
      <c r="AH125">
        <f t="shared" si="37"/>
        <v>8.5892955411920682E-4</v>
      </c>
      <c r="AI125" s="5">
        <f t="shared" si="38"/>
        <v>0.4978041229699956</v>
      </c>
    </row>
    <row r="126" spans="1:35" x14ac:dyDescent="0.45">
      <c r="A126" s="4">
        <f t="shared" si="39"/>
        <v>9.9</v>
      </c>
      <c r="B126" s="5">
        <f t="shared" si="27"/>
        <v>49.9</v>
      </c>
      <c r="C126" s="14">
        <f>_xlfn.XLOOKUP($B126,'Q1 Base'!$C$8:$C$208,'Q1 Base'!$D$8:$D$208,,0,)</f>
        <v>1.7383153609929847E-3</v>
      </c>
      <c r="D126">
        <f t="shared" si="53"/>
        <v>0.98834725998737794</v>
      </c>
      <c r="E126" s="5">
        <f t="shared" si="28"/>
        <v>-1.7180592240313862E-3</v>
      </c>
      <c r="G126" s="4">
        <f t="shared" si="41"/>
        <v>10.1</v>
      </c>
      <c r="H126" s="5">
        <f t="shared" si="29"/>
        <v>50.1</v>
      </c>
      <c r="I126">
        <f t="shared" si="42"/>
        <v>457.31992611531621</v>
      </c>
      <c r="J126" s="14">
        <f>_xlfn.XLOOKUP($H126,'Q1 Base'!$C$8:$C$208,'Q1 Base'!$D$8:$D$208,,0,)</f>
        <v>1.7648479016978483E-3</v>
      </c>
      <c r="K126" s="29" cm="1">
        <f t="array" ref="K126">I126*$B$7+$E$6-J126*(SumAssdTA-I126)</f>
        <v>36.334704770296554</v>
      </c>
      <c r="M126" s="4">
        <f t="shared" si="43"/>
        <v>10.1</v>
      </c>
      <c r="N126" s="5">
        <f t="shared" si="30"/>
        <v>50.1</v>
      </c>
      <c r="O126">
        <f t="shared" si="44"/>
        <v>624.2827127997856</v>
      </c>
      <c r="P126" s="14">
        <f>_xlfn.XLOOKUP($N126,'Q1 Base'!$C$8:$C$208,'Q1 Base'!$D$8:$D$208,,0,)</f>
        <v>1.7648479016978483E-3</v>
      </c>
      <c r="Q126" s="29">
        <f t="shared" si="31"/>
        <v>24.767936390907948</v>
      </c>
      <c r="S126" s="4">
        <f t="shared" si="45"/>
        <v>10.1</v>
      </c>
      <c r="T126" s="5">
        <f t="shared" si="32"/>
        <v>50.1</v>
      </c>
      <c r="U126">
        <f t="shared" si="46"/>
        <v>-419.06924435479948</v>
      </c>
      <c r="V126" s="14">
        <f>_xlfn.XLOOKUP($T126,'Q1 Base'!$C$8:$C$208,'Q1 Base'!$D$8:$D$208,,0,)</f>
        <v>1.7648479016978483E-3</v>
      </c>
      <c r="W126" s="32">
        <f t="shared" si="33"/>
        <v>99000</v>
      </c>
      <c r="X126" s="29">
        <f t="shared" si="34"/>
        <v>-24.794382849488642</v>
      </c>
      <c r="Y126" s="48">
        <f t="shared" si="52"/>
        <v>-1.9163590310060719</v>
      </c>
      <c r="Z126" s="51">
        <f t="shared" si="47"/>
        <v>-876.38917047011569</v>
      </c>
      <c r="AB126" s="4">
        <f t="shared" si="48"/>
        <v>9.9</v>
      </c>
      <c r="AC126" s="5">
        <f t="shared" si="35"/>
        <v>49.9</v>
      </c>
      <c r="AD126" s="13">
        <f t="shared" si="49"/>
        <v>1.7383153609929847E-3</v>
      </c>
      <c r="AE126" s="14">
        <f t="shared" si="50"/>
        <v>0.98834725998737794</v>
      </c>
      <c r="AF126" s="4">
        <f t="shared" si="36"/>
        <v>1</v>
      </c>
      <c r="AG126">
        <f t="shared" si="51"/>
        <v>0.50007359569576759</v>
      </c>
      <c r="AH126">
        <f t="shared" si="37"/>
        <v>8.5915605377965556E-4</v>
      </c>
      <c r="AI126" s="5">
        <f t="shared" si="38"/>
        <v>0.49424636809794775</v>
      </c>
    </row>
    <row r="127" spans="1:35" x14ac:dyDescent="0.45">
      <c r="A127" s="4">
        <f t="shared" si="39"/>
        <v>10</v>
      </c>
      <c r="B127" s="5">
        <f t="shared" si="27"/>
        <v>50</v>
      </c>
      <c r="C127" s="14">
        <f>_xlfn.XLOOKUP($B127,'Q1 Base'!$C$8:$C$208,'Q1 Base'!$D$8:$D$208,,0,)</f>
        <v>1.7511939196656774E-3</v>
      </c>
      <c r="D127">
        <f t="shared" si="53"/>
        <v>0.98817545406497476</v>
      </c>
      <c r="E127" s="5">
        <f t="shared" si="28"/>
        <v>-1.7304868467214536E-3</v>
      </c>
      <c r="G127" s="4">
        <f t="shared" si="41"/>
        <v>10</v>
      </c>
      <c r="H127" s="5">
        <f t="shared" si="29"/>
        <v>50</v>
      </c>
      <c r="I127">
        <f t="shared" si="42"/>
        <v>453.68645563828653</v>
      </c>
      <c r="J127" s="14">
        <f>_xlfn.XLOOKUP($H127,'Q1 Base'!$C$8:$C$208,'Q1 Base'!$D$8:$D$208,,0,)</f>
        <v>1.7511939196656774E-3</v>
      </c>
      <c r="K127" s="29" cm="1">
        <f t="array" ref="K127">I127*$B$7+$E$6-J127*(SumAssdTA-I127)</f>
        <v>37.43315289066075</v>
      </c>
      <c r="M127" s="4">
        <f t="shared" si="43"/>
        <v>10</v>
      </c>
      <c r="N127" s="5">
        <f t="shared" si="30"/>
        <v>50</v>
      </c>
      <c r="O127">
        <f t="shared" si="44"/>
        <v>621.80591916069477</v>
      </c>
      <c r="P127" s="14">
        <f>_xlfn.XLOOKUP($N127,'Q1 Base'!$C$8:$C$208,'Q1 Base'!$D$8:$D$208,,0,)</f>
        <v>1.7511939196656774E-3</v>
      </c>
      <c r="Q127" s="29">
        <f t="shared" si="31"/>
        <v>25.947097748484083</v>
      </c>
      <c r="S127" s="4">
        <f t="shared" si="45"/>
        <v>10</v>
      </c>
      <c r="T127" s="5">
        <f t="shared" si="32"/>
        <v>50</v>
      </c>
      <c r="U127">
        <f t="shared" si="46"/>
        <v>-416.58980606985062</v>
      </c>
      <c r="V127" s="14">
        <f>_xlfn.XLOOKUP($T127,'Q1 Base'!$C$8:$C$208,'Q1 Base'!$D$8:$D$208,,0,)</f>
        <v>1.7511939196656774E-3</v>
      </c>
      <c r="W127" s="32">
        <f t="shared" si="33"/>
        <v>100000</v>
      </c>
      <c r="X127" s="29">
        <f t="shared" si="34"/>
        <v>-25.010207926841503</v>
      </c>
      <c r="Y127" s="48">
        <f t="shared" si="52"/>
        <v>-1.9182328475813875</v>
      </c>
      <c r="Z127" s="51">
        <f t="shared" si="47"/>
        <v>-870.2762617081371</v>
      </c>
      <c r="AB127" s="4">
        <f t="shared" si="48"/>
        <v>10</v>
      </c>
      <c r="AC127" s="5">
        <f t="shared" si="35"/>
        <v>50</v>
      </c>
      <c r="AD127" s="13">
        <f t="shared" si="49"/>
        <v>1.7511939196656774E-3</v>
      </c>
      <c r="AE127" s="14">
        <f t="shared" si="50"/>
        <v>0.98817545406497476</v>
      </c>
      <c r="AF127" s="4">
        <f t="shared" si="36"/>
        <v>1</v>
      </c>
      <c r="AG127">
        <f t="shared" si="51"/>
        <v>0.49658530379140947</v>
      </c>
      <c r="AH127">
        <f t="shared" si="37"/>
        <v>8.593343364862113E-4</v>
      </c>
      <c r="AI127" s="5">
        <f t="shared" si="38"/>
        <v>0.4907134080560695</v>
      </c>
    </row>
    <row r="128" spans="1:35" x14ac:dyDescent="0.45">
      <c r="A128" s="4">
        <f t="shared" si="39"/>
        <v>10.1</v>
      </c>
      <c r="B128" s="5">
        <f t="shared" si="27"/>
        <v>50.1</v>
      </c>
      <c r="C128" s="14">
        <f>_xlfn.XLOOKUP($B128,'Q1 Base'!$C$8:$C$208,'Q1 Base'!$D$8:$D$208,,0,)</f>
        <v>1.7648479016978483E-3</v>
      </c>
      <c r="D128">
        <f t="shared" si="53"/>
        <v>0.9880024053803026</v>
      </c>
      <c r="E128" s="5">
        <f t="shared" si="28"/>
        <v>-1.7436739720078538E-3</v>
      </c>
      <c r="G128" s="4">
        <f t="shared" si="41"/>
        <v>9.9</v>
      </c>
      <c r="H128" s="5">
        <f t="shared" si="29"/>
        <v>49.9</v>
      </c>
      <c r="I128">
        <f t="shared" si="42"/>
        <v>449.94314034922047</v>
      </c>
      <c r="J128" s="14">
        <f>_xlfn.XLOOKUP($H128,'Q1 Base'!$C$8:$C$208,'Q1 Base'!$D$8:$D$208,,0,)</f>
        <v>1.7383153609929847E-3</v>
      </c>
      <c r="K128" s="29" cm="1">
        <f t="array" ref="K128">I128*$B$7+$E$6-J128*(SumAssdTA-I128)</f>
        <v>38.446626797589431</v>
      </c>
      <c r="M128" s="4">
        <f t="shared" si="43"/>
        <v>9.9</v>
      </c>
      <c r="N128" s="5">
        <f t="shared" si="30"/>
        <v>49.9</v>
      </c>
      <c r="O128">
        <f t="shared" si="44"/>
        <v>619.21120938584636</v>
      </c>
      <c r="P128" s="14">
        <f>_xlfn.XLOOKUP($N128,'Q1 Base'!$C$8:$C$208,'Q1 Base'!$D$8:$D$208,,0,)</f>
        <v>1.7383153609929847E-3</v>
      </c>
      <c r="Q128" s="29">
        <f t="shared" si="31"/>
        <v>27.04080554364208</v>
      </c>
      <c r="S128" s="4">
        <f t="shared" si="45"/>
        <v>9.9</v>
      </c>
      <c r="T128" s="5">
        <f t="shared" si="32"/>
        <v>49.9</v>
      </c>
      <c r="U128">
        <f t="shared" si="46"/>
        <v>-414.08878527716649</v>
      </c>
      <c r="V128" s="14">
        <f>_xlfn.XLOOKUP($T128,'Q1 Base'!$C$8:$C$208,'Q1 Base'!$D$8:$D$208,,0,)</f>
        <v>1.7383153609929847E-3</v>
      </c>
      <c r="W128" s="32">
        <f t="shared" si="33"/>
        <v>101000</v>
      </c>
      <c r="X128" s="29">
        <f t="shared" si="34"/>
        <v>-25.275883325955334</v>
      </c>
      <c r="Y128" s="48">
        <f t="shared" si="52"/>
        <v>-1.9203135866362451</v>
      </c>
      <c r="Z128" s="51">
        <f t="shared" si="47"/>
        <v>-864.03192562638696</v>
      </c>
      <c r="AB128" s="4">
        <f t="shared" si="48"/>
        <v>10.1</v>
      </c>
      <c r="AC128" s="5">
        <f t="shared" si="35"/>
        <v>50.1</v>
      </c>
      <c r="AD128" s="13">
        <f t="shared" si="49"/>
        <v>1.7648479016978483E-3</v>
      </c>
      <c r="AE128" s="14">
        <f t="shared" si="50"/>
        <v>0.9880024053803026</v>
      </c>
      <c r="AF128" s="4">
        <f t="shared" si="36"/>
        <v>1</v>
      </c>
      <c r="AG128">
        <f t="shared" si="51"/>
        <v>0.4931213446662957</v>
      </c>
      <c r="AH128">
        <f t="shared" si="37"/>
        <v>8.5984285373613375E-4</v>
      </c>
      <c r="AI128" s="5">
        <f t="shared" si="38"/>
        <v>0.48720507467466939</v>
      </c>
    </row>
    <row r="129" spans="1:35" x14ac:dyDescent="0.45">
      <c r="A129" s="4">
        <f t="shared" si="39"/>
        <v>10.199999999999999</v>
      </c>
      <c r="B129" s="5">
        <f t="shared" si="27"/>
        <v>50.2</v>
      </c>
      <c r="C129" s="14">
        <f>_xlfn.XLOOKUP($B129,'Q1 Base'!$C$8:$C$208,'Q1 Base'!$D$8:$D$208,,0,)</f>
        <v>1.7785018837300189E-3</v>
      </c>
      <c r="D129">
        <f t="shared" si="53"/>
        <v>0.98782803798310181</v>
      </c>
      <c r="E129" s="5">
        <f t="shared" si="28"/>
        <v>-1.7568540263542753E-3</v>
      </c>
      <c r="G129" s="4">
        <f t="shared" si="41"/>
        <v>9.8000000000000007</v>
      </c>
      <c r="H129" s="5">
        <f t="shared" si="29"/>
        <v>49.8</v>
      </c>
      <c r="I129">
        <f t="shared" si="42"/>
        <v>446.09847766946154</v>
      </c>
      <c r="J129" s="14">
        <f>_xlfn.XLOOKUP($H129,'Q1 Base'!$C$8:$C$208,'Q1 Base'!$D$8:$D$208,,0,)</f>
        <v>1.7254368023202923E-3</v>
      </c>
      <c r="K129" s="29" cm="1">
        <f t="array" ref="K129">I129*$B$7+$E$6-J129*(SumAssdTA-I129)</f>
        <v>39.452927935663041</v>
      </c>
      <c r="M129" s="4">
        <f t="shared" si="43"/>
        <v>9.8000000000000007</v>
      </c>
      <c r="N129" s="5">
        <f t="shared" si="30"/>
        <v>49.8</v>
      </c>
      <c r="O129">
        <f t="shared" si="44"/>
        <v>616.50712883148219</v>
      </c>
      <c r="P129" s="14">
        <f>_xlfn.XLOOKUP($N129,'Q1 Base'!$C$8:$C$208,'Q1 Base'!$D$8:$D$208,,0,)</f>
        <v>1.7254368023202923E-3</v>
      </c>
      <c r="Q129" s="29">
        <f t="shared" si="31"/>
        <v>28.126735504110002</v>
      </c>
      <c r="S129" s="4">
        <f t="shared" si="45"/>
        <v>9.8000000000000007</v>
      </c>
      <c r="T129" s="5">
        <f t="shared" si="32"/>
        <v>49.8</v>
      </c>
      <c r="U129">
        <f t="shared" si="46"/>
        <v>-411.56119694457095</v>
      </c>
      <c r="V129" s="14">
        <f>_xlfn.XLOOKUP($T129,'Q1 Base'!$C$8:$C$208,'Q1 Base'!$D$8:$D$208,,0,)</f>
        <v>1.7254368023202923E-3</v>
      </c>
      <c r="W129" s="32">
        <f t="shared" si="33"/>
        <v>101999.99999999999</v>
      </c>
      <c r="X129" s="29">
        <f t="shared" si="34"/>
        <v>-25.513960458404938</v>
      </c>
      <c r="Y129" s="48">
        <f t="shared" si="52"/>
        <v>-1.9225792454945765</v>
      </c>
      <c r="Z129" s="51">
        <f t="shared" si="47"/>
        <v>-857.6596746140325</v>
      </c>
      <c r="AB129" s="4">
        <f t="shared" si="48"/>
        <v>10.199999999999999</v>
      </c>
      <c r="AC129" s="5">
        <f t="shared" si="35"/>
        <v>50.2</v>
      </c>
      <c r="AD129" s="13">
        <f t="shared" si="49"/>
        <v>1.7785018837300189E-3</v>
      </c>
      <c r="AE129" s="14">
        <f t="shared" si="50"/>
        <v>0.98782803798310181</v>
      </c>
      <c r="AF129" s="4">
        <f t="shared" si="36"/>
        <v>1</v>
      </c>
      <c r="AG129">
        <f t="shared" si="51"/>
        <v>0.4896815485857362</v>
      </c>
      <c r="AH129">
        <f t="shared" si="37"/>
        <v>8.6029900026424731E-4</v>
      </c>
      <c r="AI129" s="5">
        <f t="shared" si="38"/>
        <v>0.48372116337597476</v>
      </c>
    </row>
    <row r="130" spans="1:35" x14ac:dyDescent="0.45">
      <c r="A130" s="4">
        <f t="shared" si="39"/>
        <v>10.3</v>
      </c>
      <c r="B130" s="5">
        <f t="shared" si="27"/>
        <v>50.3</v>
      </c>
      <c r="C130" s="14">
        <f>_xlfn.XLOOKUP($B130,'Q1 Base'!$C$8:$C$208,'Q1 Base'!$D$8:$D$208,,0,)</f>
        <v>1.7921558657621889E-3</v>
      </c>
      <c r="D130">
        <f t="shared" si="53"/>
        <v>0.98765235258046635</v>
      </c>
      <c r="E130" s="5">
        <f t="shared" si="28"/>
        <v>-1.7700269570109083E-3</v>
      </c>
      <c r="G130" s="4">
        <f t="shared" si="41"/>
        <v>9.6999999999999993</v>
      </c>
      <c r="H130" s="5">
        <f t="shared" si="29"/>
        <v>49.7</v>
      </c>
      <c r="I130">
        <f t="shared" si="42"/>
        <v>442.15318487589525</v>
      </c>
      <c r="J130" s="14">
        <f>_xlfn.XLOOKUP($H130,'Q1 Base'!$C$8:$C$208,'Q1 Base'!$D$8:$D$208,,0,)</f>
        <v>1.7125582436476005E-3</v>
      </c>
      <c r="K130" s="29" cm="1">
        <f t="array" ref="K130">I130*$B$7+$E$6-J130*(SumAssdTA-I130)</f>
        <v>40.452111658266887</v>
      </c>
      <c r="M130" s="4">
        <f t="shared" si="43"/>
        <v>9.6999999999999993</v>
      </c>
      <c r="N130" s="5">
        <f t="shared" si="30"/>
        <v>49.7</v>
      </c>
      <c r="O130">
        <f t="shared" si="44"/>
        <v>613.69445528107121</v>
      </c>
      <c r="P130" s="14">
        <f>_xlfn.XLOOKUP($N130,'Q1 Base'!$C$8:$C$208,'Q1 Base'!$D$8:$D$208,,0,)</f>
        <v>1.7125582436476005E-3</v>
      </c>
      <c r="Q130" s="29">
        <f t="shared" si="31"/>
        <v>29.204947632344215</v>
      </c>
      <c r="S130" s="4">
        <f t="shared" si="45"/>
        <v>9.6999999999999993</v>
      </c>
      <c r="T130" s="5">
        <f t="shared" si="32"/>
        <v>49.7</v>
      </c>
      <c r="U130">
        <f t="shared" si="46"/>
        <v>-409.00980089873048</v>
      </c>
      <c r="V130" s="14">
        <f>_xlfn.XLOOKUP($T130,'Q1 Base'!$C$8:$C$208,'Q1 Base'!$D$8:$D$208,,0,)</f>
        <v>1.7125582436476005E-3</v>
      </c>
      <c r="W130" s="32">
        <f t="shared" si="33"/>
        <v>103000</v>
      </c>
      <c r="X130" s="29">
        <f t="shared" si="34"/>
        <v>-25.72463826487575</v>
      </c>
      <c r="Y130" s="48">
        <f t="shared" si="52"/>
        <v>-1.9250409470951395</v>
      </c>
      <c r="Z130" s="51">
        <f t="shared" si="47"/>
        <v>-851.16298577462567</v>
      </c>
      <c r="AB130" s="4">
        <f t="shared" si="48"/>
        <v>10.3</v>
      </c>
      <c r="AC130" s="5">
        <f t="shared" si="35"/>
        <v>50.3</v>
      </c>
      <c r="AD130" s="13">
        <f t="shared" si="49"/>
        <v>1.7921558657621889E-3</v>
      </c>
      <c r="AE130" s="14">
        <f t="shared" si="50"/>
        <v>0.98765235258046635</v>
      </c>
      <c r="AF130" s="4">
        <f t="shared" si="36"/>
        <v>1</v>
      </c>
      <c r="AG130">
        <f t="shared" si="51"/>
        <v>0.48626574699903452</v>
      </c>
      <c r="AH130">
        <f t="shared" si="37"/>
        <v>8.6070348045933723E-4</v>
      </c>
      <c r="AI130" s="5">
        <f t="shared" si="38"/>
        <v>0.48026150900289427</v>
      </c>
    </row>
    <row r="131" spans="1:35" x14ac:dyDescent="0.45">
      <c r="A131" s="4">
        <f t="shared" si="39"/>
        <v>10.4</v>
      </c>
      <c r="B131" s="5">
        <f t="shared" si="27"/>
        <v>50.4</v>
      </c>
      <c r="C131" s="14">
        <f>_xlfn.XLOOKUP($B131,'Q1 Base'!$C$8:$C$208,'Q1 Base'!$D$8:$D$208,,0,)</f>
        <v>1.8058098477943595E-3</v>
      </c>
      <c r="D131">
        <f t="shared" si="53"/>
        <v>0.98747534988476526</v>
      </c>
      <c r="E131" s="5">
        <f t="shared" si="28"/>
        <v>-1.7831927112760897E-3</v>
      </c>
      <c r="G131" s="4">
        <f t="shared" si="41"/>
        <v>9.6</v>
      </c>
      <c r="H131" s="5">
        <f t="shared" si="29"/>
        <v>49.6</v>
      </c>
      <c r="I131">
        <f t="shared" si="42"/>
        <v>438.10797371006856</v>
      </c>
      <c r="J131" s="14">
        <f>_xlfn.XLOOKUP($H131,'Q1 Base'!$C$8:$C$208,'Q1 Base'!$D$8:$D$208,,0,)</f>
        <v>1.6996796849749077E-3</v>
      </c>
      <c r="K131" s="29" cm="1">
        <f t="array" ref="K131">I131*$B$7+$E$6-J131*(SumAssdTA-I131)</f>
        <v>41.444232884954573</v>
      </c>
      <c r="M131" s="4">
        <f t="shared" si="43"/>
        <v>9.6</v>
      </c>
      <c r="N131" s="5">
        <f t="shared" si="30"/>
        <v>49.6</v>
      </c>
      <c r="O131">
        <f t="shared" si="44"/>
        <v>610.77396051783683</v>
      </c>
      <c r="P131" s="14">
        <f>_xlfn.XLOOKUP($N131,'Q1 Base'!$C$8:$C$208,'Q1 Base'!$D$8:$D$208,,0,)</f>
        <v>1.6996796849749077E-3</v>
      </c>
      <c r="Q131" s="29">
        <f t="shared" si="31"/>
        <v>30.275501460518484</v>
      </c>
      <c r="S131" s="4">
        <f t="shared" si="45"/>
        <v>9.6</v>
      </c>
      <c r="T131" s="5">
        <f t="shared" si="32"/>
        <v>49.6</v>
      </c>
      <c r="U131">
        <f t="shared" si="46"/>
        <v>-406.43733707224288</v>
      </c>
      <c r="V131" s="14">
        <f>_xlfn.XLOOKUP($T131,'Q1 Base'!$C$8:$C$208,'Q1 Base'!$D$8:$D$208,,0,)</f>
        <v>1.6996796849749077E-3</v>
      </c>
      <c r="W131" s="32">
        <f t="shared" si="33"/>
        <v>104000</v>
      </c>
      <c r="X131" s="29">
        <f t="shared" si="34"/>
        <v>-25.908114117484388</v>
      </c>
      <c r="Y131" s="48">
        <f t="shared" si="52"/>
        <v>-1.9277104309021669</v>
      </c>
      <c r="Z131" s="51">
        <f t="shared" si="47"/>
        <v>-844.54531078231139</v>
      </c>
      <c r="AB131" s="4">
        <f t="shared" si="48"/>
        <v>10.4</v>
      </c>
      <c r="AC131" s="5">
        <f t="shared" si="35"/>
        <v>50.4</v>
      </c>
      <c r="AD131" s="13">
        <f t="shared" si="49"/>
        <v>1.8058098477943595E-3</v>
      </c>
      <c r="AE131" s="14">
        <f t="shared" si="50"/>
        <v>0.98747534988476526</v>
      </c>
      <c r="AF131" s="4">
        <f t="shared" si="36"/>
        <v>1</v>
      </c>
      <c r="AG131">
        <f t="shared" si="51"/>
        <v>0.48287377253122971</v>
      </c>
      <c r="AH131">
        <f t="shared" si="37"/>
        <v>8.6105699164407731E-4</v>
      </c>
      <c r="AI131" s="5">
        <f t="shared" si="38"/>
        <v>0.47682594748045259</v>
      </c>
    </row>
    <row r="132" spans="1:35" x14ac:dyDescent="0.45">
      <c r="A132" s="4">
        <f t="shared" si="39"/>
        <v>10.5</v>
      </c>
      <c r="B132" s="5">
        <f t="shared" si="27"/>
        <v>50.5</v>
      </c>
      <c r="C132" s="14">
        <f>_xlfn.XLOOKUP($B132,'Q1 Base'!$C$8:$C$208,'Q1 Base'!$D$8:$D$208,,0,)</f>
        <v>1.8194638298265301E-3</v>
      </c>
      <c r="D132">
        <f t="shared" si="53"/>
        <v>0.98729703061363761</v>
      </c>
      <c r="E132" s="5">
        <f t="shared" si="28"/>
        <v>-1.79635123649665E-3</v>
      </c>
      <c r="G132" s="4">
        <f t="shared" si="41"/>
        <v>9.5</v>
      </c>
      <c r="H132" s="5">
        <f t="shared" si="29"/>
        <v>49.5</v>
      </c>
      <c r="I132">
        <f t="shared" si="42"/>
        <v>433.96355042157313</v>
      </c>
      <c r="J132" s="14">
        <f>_xlfn.XLOOKUP($H132,'Q1 Base'!$C$8:$C$208,'Q1 Base'!$D$8:$D$208,,0,)</f>
        <v>1.6868011263022151E-3</v>
      </c>
      <c r="K132" s="29" cm="1">
        <f t="array" ref="K132">I132*$B$7+$E$6-J132*(SumAssdTA-I132)</f>
        <v>42.429346104913833</v>
      </c>
      <c r="M132" s="4">
        <f t="shared" si="43"/>
        <v>9.5</v>
      </c>
      <c r="N132" s="5">
        <f t="shared" si="30"/>
        <v>49.5</v>
      </c>
      <c r="O132">
        <f t="shared" si="44"/>
        <v>607.74641037178503</v>
      </c>
      <c r="P132" s="14">
        <f>_xlfn.XLOOKUP($N132,'Q1 Base'!$C$8:$C$208,'Q1 Base'!$D$8:$D$208,,0,)</f>
        <v>1.6868011263022151E-3</v>
      </c>
      <c r="Q132" s="29">
        <f t="shared" si="31"/>
        <v>31.338456054281522</v>
      </c>
      <c r="S132" s="4">
        <f t="shared" si="45"/>
        <v>9.5</v>
      </c>
      <c r="T132" s="5">
        <f t="shared" si="32"/>
        <v>49.5</v>
      </c>
      <c r="U132">
        <f t="shared" si="46"/>
        <v>-403.84652566049442</v>
      </c>
      <c r="V132" s="14">
        <f>_xlfn.XLOOKUP($T132,'Q1 Base'!$C$8:$C$208,'Q1 Base'!$D$8:$D$208,,0,)</f>
        <v>1.6868011263022151E-3</v>
      </c>
      <c r="W132" s="32">
        <f t="shared" si="33"/>
        <v>105000</v>
      </c>
      <c r="X132" s="29">
        <f t="shared" si="34"/>
        <v>-26.06458383230455</v>
      </c>
      <c r="Y132" s="48">
        <f t="shared" si="52"/>
        <v>-1.9306001051659256</v>
      </c>
      <c r="Z132" s="51">
        <f t="shared" si="47"/>
        <v>-837.81007608206755</v>
      </c>
      <c r="AB132" s="4">
        <f t="shared" si="48"/>
        <v>10.5</v>
      </c>
      <c r="AC132" s="5">
        <f t="shared" si="35"/>
        <v>50.5</v>
      </c>
      <c r="AD132" s="13">
        <f t="shared" si="49"/>
        <v>1.8194638298265301E-3</v>
      </c>
      <c r="AE132" s="14">
        <f t="shared" si="50"/>
        <v>0.98729703061363761</v>
      </c>
      <c r="AF132" s="4">
        <f t="shared" si="36"/>
        <v>1</v>
      </c>
      <c r="AG132">
        <f t="shared" si="51"/>
        <v>0.47950545897489405</v>
      </c>
      <c r="AH132">
        <f t="shared" si="37"/>
        <v>8.6136022413644457E-4</v>
      </c>
      <c r="AI132" s="5">
        <f t="shared" si="38"/>
        <v>0.47341431580894233</v>
      </c>
    </row>
    <row r="133" spans="1:35" x14ac:dyDescent="0.45">
      <c r="A133" s="4">
        <f t="shared" si="39"/>
        <v>10.6</v>
      </c>
      <c r="B133" s="5">
        <f t="shared" si="27"/>
        <v>50.6</v>
      </c>
      <c r="C133" s="14">
        <f>_xlfn.XLOOKUP($B133,'Q1 Base'!$C$8:$C$208,'Q1 Base'!$D$8:$D$208,,0,)</f>
        <v>1.8331178118587009E-3</v>
      </c>
      <c r="D133">
        <f t="shared" si="53"/>
        <v>0.98711739548998789</v>
      </c>
      <c r="E133" s="5">
        <f t="shared" si="28"/>
        <v>-1.8095024800682665E-3</v>
      </c>
      <c r="G133" s="4">
        <f t="shared" si="41"/>
        <v>9.4</v>
      </c>
      <c r="H133" s="5">
        <f t="shared" si="29"/>
        <v>49.4</v>
      </c>
      <c r="I133">
        <f t="shared" si="42"/>
        <v>429.72061581108176</v>
      </c>
      <c r="J133" s="14">
        <f>_xlfn.XLOOKUP($H133,'Q1 Base'!$C$8:$C$208,'Q1 Base'!$D$8:$D$208,,0,)</f>
        <v>1.6739225676295226E-3</v>
      </c>
      <c r="K133" s="29" cm="1">
        <f t="array" ref="K133">I133*$B$7+$E$6-J133*(SumAssdTA-I133)</f>
        <v>43.407505380405297</v>
      </c>
      <c r="M133" s="4">
        <f t="shared" si="43"/>
        <v>9.4</v>
      </c>
      <c r="N133" s="5">
        <f t="shared" si="30"/>
        <v>49.4</v>
      </c>
      <c r="O133">
        <f t="shared" si="44"/>
        <v>604.61256476635685</v>
      </c>
      <c r="P133" s="14">
        <f>_xlfn.XLOOKUP($N133,'Q1 Base'!$C$8:$C$208,'Q1 Base'!$D$8:$D$208,,0,)</f>
        <v>1.6739225676295226E-3</v>
      </c>
      <c r="Q133" s="29">
        <f t="shared" si="31"/>
        <v>32.393870016484357</v>
      </c>
      <c r="S133" s="4">
        <f t="shared" si="45"/>
        <v>9.4</v>
      </c>
      <c r="T133" s="5">
        <f t="shared" si="32"/>
        <v>49.4</v>
      </c>
      <c r="U133">
        <f t="shared" si="46"/>
        <v>-401.24006727726396</v>
      </c>
      <c r="V133" s="14">
        <f>_xlfn.XLOOKUP($T133,'Q1 Base'!$C$8:$C$208,'Q1 Base'!$D$8:$D$208,,0,)</f>
        <v>1.6739225676295226E-3</v>
      </c>
      <c r="W133" s="32">
        <f t="shared" si="33"/>
        <v>106000</v>
      </c>
      <c r="X133" s="29">
        <f t="shared" si="34"/>
        <v>-26.194241681790487</v>
      </c>
      <c r="Y133" s="48">
        <f t="shared" si="52"/>
        <v>-1.9337231040682985</v>
      </c>
      <c r="Z133" s="51">
        <f t="shared" si="47"/>
        <v>-830.96068308834572</v>
      </c>
      <c r="AB133" s="4">
        <f t="shared" si="48"/>
        <v>10.6</v>
      </c>
      <c r="AC133" s="5">
        <f t="shared" si="35"/>
        <v>50.6</v>
      </c>
      <c r="AD133" s="13">
        <f t="shared" si="49"/>
        <v>1.8331178118587009E-3</v>
      </c>
      <c r="AE133" s="14">
        <f t="shared" si="50"/>
        <v>0.98711739548998789</v>
      </c>
      <c r="AF133" s="4">
        <f t="shared" si="36"/>
        <v>1</v>
      </c>
      <c r="AG133">
        <f t="shared" si="51"/>
        <v>0.47616064128198943</v>
      </c>
      <c r="AH133">
        <f t="shared" si="37"/>
        <v>8.6161386131065605E-4</v>
      </c>
      <c r="AI133" s="5">
        <f t="shared" si="38"/>
        <v>0.47002645205711979</v>
      </c>
    </row>
    <row r="134" spans="1:35" x14ac:dyDescent="0.45">
      <c r="A134" s="4">
        <f t="shared" si="39"/>
        <v>10.7</v>
      </c>
      <c r="B134" s="5">
        <f t="shared" si="27"/>
        <v>50.7</v>
      </c>
      <c r="C134" s="14">
        <f>_xlfn.XLOOKUP($B134,'Q1 Base'!$C$8:$C$208,'Q1 Base'!$D$8:$D$208,,0,)</f>
        <v>1.8467717938908715E-3</v>
      </c>
      <c r="D134">
        <f t="shared" si="53"/>
        <v>0.9869364452419811</v>
      </c>
      <c r="E134" s="5">
        <f t="shared" si="28"/>
        <v>-1.8226463894358133E-3</v>
      </c>
      <c r="G134" s="4">
        <f t="shared" si="41"/>
        <v>9.3000000000000007</v>
      </c>
      <c r="H134" s="5">
        <f t="shared" si="29"/>
        <v>49.3</v>
      </c>
      <c r="I134">
        <f t="shared" si="42"/>
        <v>425.37986527304122</v>
      </c>
      <c r="J134" s="14">
        <f>_xlfn.XLOOKUP($H134,'Q1 Base'!$C$8:$C$208,'Q1 Base'!$D$8:$D$208,,0,)</f>
        <v>1.6610440089568298E-3</v>
      </c>
      <c r="K134" s="29" cm="1">
        <f t="array" ref="K134">I134*$B$7+$E$6-J134*(SumAssdTA-I134)</f>
        <v>44.378764350172588</v>
      </c>
      <c r="M134" s="4">
        <f t="shared" si="43"/>
        <v>9.3000000000000007</v>
      </c>
      <c r="N134" s="5">
        <f t="shared" si="30"/>
        <v>49.3</v>
      </c>
      <c r="O134">
        <f t="shared" si="44"/>
        <v>601.37317776470843</v>
      </c>
      <c r="P134" s="14">
        <f>_xlfn.XLOOKUP($N134,'Q1 Base'!$C$8:$C$208,'Q1 Base'!$D$8:$D$208,,0,)</f>
        <v>1.6610440089568298E-3</v>
      </c>
      <c r="Q134" s="29">
        <f t="shared" si="31"/>
        <v>33.441801490876855</v>
      </c>
      <c r="S134" s="4">
        <f t="shared" si="45"/>
        <v>9.3000000000000007</v>
      </c>
      <c r="T134" s="5">
        <f t="shared" si="32"/>
        <v>49.3</v>
      </c>
      <c r="U134">
        <f t="shared" si="46"/>
        <v>-398.62064310908494</v>
      </c>
      <c r="V134" s="14">
        <f>_xlfn.XLOOKUP($T134,'Q1 Base'!$C$8:$C$208,'Q1 Base'!$D$8:$D$208,,0,)</f>
        <v>1.6610440089568298E-3</v>
      </c>
      <c r="W134" s="32">
        <f t="shared" si="33"/>
        <v>107000</v>
      </c>
      <c r="X134" s="29">
        <f t="shared" si="34"/>
        <v>-26.297280407099606</v>
      </c>
      <c r="Y134" s="48">
        <f t="shared" si="52"/>
        <v>-1.9370933503239978</v>
      </c>
      <c r="Z134" s="51">
        <f t="shared" si="47"/>
        <v>-824.0005083821261</v>
      </c>
      <c r="AB134" s="4">
        <f t="shared" si="48"/>
        <v>10.7</v>
      </c>
      <c r="AC134" s="5">
        <f t="shared" si="35"/>
        <v>50.7</v>
      </c>
      <c r="AD134" s="13">
        <f t="shared" si="49"/>
        <v>1.8467717938908715E-3</v>
      </c>
      <c r="AE134" s="14">
        <f t="shared" si="50"/>
        <v>0.9869364452419811</v>
      </c>
      <c r="AF134" s="4">
        <f t="shared" si="36"/>
        <v>1</v>
      </c>
      <c r="AG134">
        <f t="shared" si="51"/>
        <v>0.47283915555577954</v>
      </c>
      <c r="AH134">
        <f t="shared" si="37"/>
        <v>8.6181857965762049E-4</v>
      </c>
      <c r="AI134" s="5">
        <f t="shared" si="38"/>
        <v>0.46666219535544118</v>
      </c>
    </row>
    <row r="135" spans="1:35" x14ac:dyDescent="0.45">
      <c r="A135" s="4">
        <f t="shared" si="39"/>
        <v>10.8</v>
      </c>
      <c r="B135" s="5">
        <f t="shared" si="27"/>
        <v>50.8</v>
      </c>
      <c r="C135" s="14">
        <f>_xlfn.XLOOKUP($B135,'Q1 Base'!$C$8:$C$208,'Q1 Base'!$D$8:$D$208,,0,)</f>
        <v>1.8604257759230413E-3</v>
      </c>
      <c r="D135">
        <f t="shared" si="53"/>
        <v>0.98675418060303755</v>
      </c>
      <c r="E135" s="5">
        <f t="shared" si="28"/>
        <v>-1.8357829120937109E-3</v>
      </c>
      <c r="G135" s="4">
        <f t="shared" si="41"/>
        <v>9.1999999999999993</v>
      </c>
      <c r="H135" s="5">
        <f t="shared" si="29"/>
        <v>49.2</v>
      </c>
      <c r="I135">
        <f t="shared" si="42"/>
        <v>420.94198883802397</v>
      </c>
      <c r="J135" s="14">
        <f>_xlfn.XLOOKUP($H135,'Q1 Base'!$C$8:$C$208,'Q1 Base'!$D$8:$D$208,,0,)</f>
        <v>1.6481654502841379E-3</v>
      </c>
      <c r="K135" s="29" cm="1">
        <f t="array" ref="K135">I135*$B$7+$E$6-J135*(SumAssdTA-I135)</f>
        <v>45.34317623282459</v>
      </c>
      <c r="M135" s="4">
        <f t="shared" si="43"/>
        <v>9.1999999999999993</v>
      </c>
      <c r="N135" s="5">
        <f t="shared" si="30"/>
        <v>49.2</v>
      </c>
      <c r="O135">
        <f t="shared" si="44"/>
        <v>598.02899761562071</v>
      </c>
      <c r="P135" s="14">
        <f>_xlfn.XLOOKUP($N135,'Q1 Base'!$C$8:$C$208,'Q1 Base'!$D$8:$D$208,,0,)</f>
        <v>1.6481654502841379E-3</v>
      </c>
      <c r="Q135" s="29">
        <f t="shared" si="31"/>
        <v>34.48230816577464</v>
      </c>
      <c r="S135" s="4">
        <f t="shared" si="45"/>
        <v>9.1999999999999993</v>
      </c>
      <c r="T135" s="5">
        <f t="shared" si="32"/>
        <v>49.2</v>
      </c>
      <c r="U135">
        <f t="shared" si="46"/>
        <v>-395.99091506837499</v>
      </c>
      <c r="V135" s="14">
        <f>_xlfn.XLOOKUP($T135,'Q1 Base'!$C$8:$C$208,'Q1 Base'!$D$8:$D$208,,0,)</f>
        <v>1.6481654502841379E-3</v>
      </c>
      <c r="W135" s="32">
        <f t="shared" si="33"/>
        <v>108000</v>
      </c>
      <c r="X135" s="29">
        <f t="shared" si="34"/>
        <v>-26.373891230315252</v>
      </c>
      <c r="Y135" s="48">
        <f t="shared" si="52"/>
        <v>-1.9407256238834134</v>
      </c>
      <c r="Z135" s="51">
        <f t="shared" si="47"/>
        <v>-816.93290390639891</v>
      </c>
      <c r="AB135" s="4">
        <f t="shared" si="48"/>
        <v>10.8</v>
      </c>
      <c r="AC135" s="5">
        <f t="shared" si="35"/>
        <v>50.8</v>
      </c>
      <c r="AD135" s="13">
        <f t="shared" si="49"/>
        <v>1.8604257759230413E-3</v>
      </c>
      <c r="AE135" s="14">
        <f t="shared" si="50"/>
        <v>0.98675418060303755</v>
      </c>
      <c r="AF135" s="4">
        <f t="shared" si="36"/>
        <v>1</v>
      </c>
      <c r="AG135">
        <f t="shared" si="51"/>
        <v>0.4695408390427992</v>
      </c>
      <c r="AH135">
        <f t="shared" si="37"/>
        <v>8.6197504884491429E-4</v>
      </c>
      <c r="AI135" s="5">
        <f t="shared" si="38"/>
        <v>0.46332138588934008</v>
      </c>
    </row>
    <row r="136" spans="1:35" x14ac:dyDescent="0.45">
      <c r="A136" s="4">
        <f t="shared" si="39"/>
        <v>10.9</v>
      </c>
      <c r="B136" s="5">
        <f t="shared" si="27"/>
        <v>50.9</v>
      </c>
      <c r="C136" s="14">
        <f>_xlfn.XLOOKUP($B136,'Q1 Base'!$C$8:$C$208,'Q1 Base'!$D$8:$D$208,,0,)</f>
        <v>1.8740797579552119E-3</v>
      </c>
      <c r="D136">
        <f t="shared" si="53"/>
        <v>0.98657060231182814</v>
      </c>
      <c r="E136" s="5">
        <f t="shared" si="28"/>
        <v>-1.8489119955862785E-3</v>
      </c>
      <c r="G136" s="4">
        <f t="shared" si="41"/>
        <v>9.1</v>
      </c>
      <c r="H136" s="5">
        <f t="shared" si="29"/>
        <v>49.1</v>
      </c>
      <c r="I136">
        <f t="shared" si="42"/>
        <v>416.40767121474153</v>
      </c>
      <c r="J136" s="14">
        <f>_xlfn.XLOOKUP($H136,'Q1 Base'!$C$8:$C$208,'Q1 Base'!$D$8:$D$208,,0,)</f>
        <v>1.6352868916114454E-3</v>
      </c>
      <c r="K136" s="29" cm="1">
        <f t="array" ref="K136">I136*$B$7+$E$6-J136*(SumAssdTA-I136)</f>
        <v>46.300793830191282</v>
      </c>
      <c r="M136" s="4">
        <f t="shared" si="43"/>
        <v>9.1</v>
      </c>
      <c r="N136" s="5">
        <f t="shared" si="30"/>
        <v>49.1</v>
      </c>
      <c r="O136">
        <f t="shared" si="44"/>
        <v>594.5807667990432</v>
      </c>
      <c r="P136" s="14">
        <f>_xlfn.XLOOKUP($N136,'Q1 Base'!$C$8:$C$208,'Q1 Base'!$D$8:$D$208,,0,)</f>
        <v>1.6352868916114454E-3</v>
      </c>
      <c r="Q136" s="29">
        <f t="shared" si="31"/>
        <v>35.515447277696097</v>
      </c>
      <c r="S136" s="4">
        <f t="shared" si="45"/>
        <v>9.1</v>
      </c>
      <c r="T136" s="5">
        <f t="shared" si="32"/>
        <v>49.1</v>
      </c>
      <c r="U136">
        <f t="shared" si="46"/>
        <v>-393.35352594534345</v>
      </c>
      <c r="V136" s="14">
        <f>_xlfn.XLOOKUP($T136,'Q1 Base'!$C$8:$C$208,'Q1 Base'!$D$8:$D$208,,0,)</f>
        <v>1.6352868916114454E-3</v>
      </c>
      <c r="W136" s="32">
        <f t="shared" si="33"/>
        <v>109000.00000000001</v>
      </c>
      <c r="X136" s="29">
        <f t="shared" si="34"/>
        <v>-26.424263866569191</v>
      </c>
      <c r="Y136" s="48">
        <f t="shared" si="52"/>
        <v>-1.9446356374700189</v>
      </c>
      <c r="Z136" s="51">
        <f t="shared" si="47"/>
        <v>-809.76119716008498</v>
      </c>
      <c r="AB136" s="4">
        <f t="shared" si="48"/>
        <v>10.9</v>
      </c>
      <c r="AC136" s="5">
        <f t="shared" si="35"/>
        <v>50.9</v>
      </c>
      <c r="AD136" s="13">
        <f t="shared" si="49"/>
        <v>1.8740797579552119E-3</v>
      </c>
      <c r="AE136" s="14">
        <f t="shared" si="50"/>
        <v>0.98657060231182814</v>
      </c>
      <c r="AF136" s="4">
        <f t="shared" si="36"/>
        <v>1</v>
      </c>
      <c r="AG136">
        <f t="shared" si="51"/>
        <v>0.46626553012487948</v>
      </c>
      <c r="AH136">
        <f t="shared" si="37"/>
        <v>8.6208393177628496E-4</v>
      </c>
      <c r="AI136" s="5">
        <f t="shared" si="38"/>
        <v>0.46000386489254619</v>
      </c>
    </row>
    <row r="137" spans="1:35" x14ac:dyDescent="0.45">
      <c r="A137" s="4">
        <f t="shared" si="39"/>
        <v>11</v>
      </c>
      <c r="B137" s="5">
        <f t="shared" si="27"/>
        <v>51</v>
      </c>
      <c r="C137" s="14">
        <f>_xlfn.XLOOKUP($B137,'Q1 Base'!$C$8:$C$208,'Q1 Base'!$D$8:$D$208,,0,)</f>
        <v>1.8877337399873827E-3</v>
      </c>
      <c r="D137">
        <f t="shared" si="53"/>
        <v>0.98638571111226947</v>
      </c>
      <c r="E137" s="5">
        <f t="shared" si="28"/>
        <v>-1.8620335875080786E-3</v>
      </c>
      <c r="G137" s="4">
        <f t="shared" si="41"/>
        <v>9</v>
      </c>
      <c r="H137" s="5">
        <f t="shared" si="29"/>
        <v>49</v>
      </c>
      <c r="I137">
        <f t="shared" si="42"/>
        <v>411.77759183172242</v>
      </c>
      <c r="J137" s="14">
        <f>_xlfn.XLOOKUP($H137,'Q1 Base'!$C$8:$C$208,'Q1 Base'!$D$8:$D$208,,0,)</f>
        <v>1.6224083329387526E-3</v>
      </c>
      <c r="K137" s="29" cm="1">
        <f t="array" ref="K137">I137*$B$7+$E$6-J137*(SumAssdTA-I137)</f>
        <v>47.25166953065056</v>
      </c>
      <c r="M137" s="4">
        <f t="shared" si="43"/>
        <v>9</v>
      </c>
      <c r="N137" s="5">
        <f t="shared" si="30"/>
        <v>49</v>
      </c>
      <c r="O137">
        <f t="shared" si="44"/>
        <v>591.02922207127358</v>
      </c>
      <c r="P137" s="14">
        <f>_xlfn.XLOOKUP($N137,'Q1 Base'!$C$8:$C$208,'Q1 Base'!$D$8:$D$208,,0,)</f>
        <v>1.6224083329387526E-3</v>
      </c>
      <c r="Q137" s="29">
        <f t="shared" si="31"/>
        <v>36.541275614969493</v>
      </c>
      <c r="S137" s="4">
        <f t="shared" si="45"/>
        <v>9</v>
      </c>
      <c r="T137" s="5">
        <f t="shared" si="32"/>
        <v>49</v>
      </c>
      <c r="U137">
        <f t="shared" si="46"/>
        <v>-390.71109955868656</v>
      </c>
      <c r="V137" s="14">
        <f>_xlfn.XLOOKUP($T137,'Q1 Base'!$C$8:$C$208,'Q1 Base'!$D$8:$D$208,,0,)</f>
        <v>1.6224083329387526E-3</v>
      </c>
      <c r="W137" s="32">
        <f t="shared" si="33"/>
        <v>110000</v>
      </c>
      <c r="X137" s="29">
        <f t="shared" si="34"/>
        <v>-26.448586536066529</v>
      </c>
      <c r="Y137" s="48">
        <f t="shared" si="52"/>
        <v>-1.9488401197857192</v>
      </c>
      <c r="Z137" s="51">
        <f t="shared" si="47"/>
        <v>-802.48869139040903</v>
      </c>
      <c r="AB137" s="4">
        <f t="shared" si="48"/>
        <v>11</v>
      </c>
      <c r="AC137" s="5">
        <f t="shared" si="35"/>
        <v>51</v>
      </c>
      <c r="AD137" s="13">
        <f t="shared" si="49"/>
        <v>1.8877337399873827E-3</v>
      </c>
      <c r="AE137" s="14">
        <f t="shared" si="50"/>
        <v>0.98638571111226947</v>
      </c>
      <c r="AF137" s="4">
        <f t="shared" si="36"/>
        <v>1</v>
      </c>
      <c r="AG137">
        <f t="shared" si="51"/>
        <v>0.46301306831122807</v>
      </c>
      <c r="AH137">
        <f t="shared" si="37"/>
        <v>8.6214588465067903E-4</v>
      </c>
      <c r="AI137" s="5">
        <f t="shared" si="38"/>
        <v>0.45670947464044448</v>
      </c>
    </row>
    <row r="138" spans="1:35" x14ac:dyDescent="0.45">
      <c r="A138" s="4">
        <f t="shared" si="39"/>
        <v>11.1</v>
      </c>
      <c r="B138" s="5">
        <f t="shared" si="27"/>
        <v>51.1</v>
      </c>
      <c r="C138" s="14">
        <f>_xlfn.XLOOKUP($B138,'Q1 Base'!$C$8:$C$208,'Q1 Base'!$D$8:$D$208,,0,)</f>
        <v>1.9018574734192091E-3</v>
      </c>
      <c r="D138">
        <f t="shared" si="53"/>
        <v>0.98619950775351861</v>
      </c>
      <c r="E138" s="5">
        <f t="shared" si="28"/>
        <v>-1.8756109041033746E-3</v>
      </c>
      <c r="G138" s="4">
        <f t="shared" si="41"/>
        <v>8.9</v>
      </c>
      <c r="H138" s="5">
        <f t="shared" si="29"/>
        <v>48.9</v>
      </c>
      <c r="I138">
        <f t="shared" si="42"/>
        <v>407.05242487865735</v>
      </c>
      <c r="J138" s="14">
        <f>_xlfn.XLOOKUP($H138,'Q1 Base'!$C$8:$C$208,'Q1 Base'!$D$8:$D$208,,0,)</f>
        <v>1.6099353108431837E-3</v>
      </c>
      <c r="K138" s="29" cm="1">
        <f t="array" ref="K138">I138*$B$7+$E$6-J138*(SumAssdTA-I138)</f>
        <v>48.155466729364122</v>
      </c>
      <c r="M138" s="4">
        <f t="shared" si="43"/>
        <v>8.9</v>
      </c>
      <c r="N138" s="5">
        <f t="shared" si="30"/>
        <v>48.9</v>
      </c>
      <c r="O138">
        <f t="shared" si="44"/>
        <v>587.37509450977666</v>
      </c>
      <c r="P138" s="14">
        <f>_xlfn.XLOOKUP($N138,'Q1 Base'!$C$8:$C$208,'Q1 Base'!$D$8:$D$208,,0,)</f>
        <v>1.6099353108431837E-3</v>
      </c>
      <c r="Q138" s="29">
        <f t="shared" si="31"/>
        <v>37.519534065683956</v>
      </c>
      <c r="S138" s="4">
        <f t="shared" si="45"/>
        <v>8.9</v>
      </c>
      <c r="T138" s="5">
        <f t="shared" si="32"/>
        <v>48.9</v>
      </c>
      <c r="U138">
        <f t="shared" si="46"/>
        <v>-388.06624090507989</v>
      </c>
      <c r="V138" s="14">
        <f>_xlfn.XLOOKUP($T138,'Q1 Base'!$C$8:$C$208,'Q1 Base'!$D$8:$D$208,,0,)</f>
        <v>1.6099353108431837E-3</v>
      </c>
      <c r="W138" s="32">
        <f t="shared" si="33"/>
        <v>111000</v>
      </c>
      <c r="X138" s="29">
        <f t="shared" si="34"/>
        <v>-26.492217911128279</v>
      </c>
      <c r="Y138" s="48">
        <f t="shared" si="52"/>
        <v>-1.9533569073338963</v>
      </c>
      <c r="Z138" s="51">
        <f t="shared" si="47"/>
        <v>-795.11866578373724</v>
      </c>
      <c r="AB138" s="4">
        <f t="shared" si="48"/>
        <v>11.1</v>
      </c>
      <c r="AC138" s="5">
        <f t="shared" si="35"/>
        <v>51.1</v>
      </c>
      <c r="AD138" s="13">
        <f t="shared" si="49"/>
        <v>1.9018574734192091E-3</v>
      </c>
      <c r="AE138" s="14">
        <f t="shared" si="50"/>
        <v>0.98619950775351861</v>
      </c>
      <c r="AF138" s="4">
        <f t="shared" si="36"/>
        <v>1</v>
      </c>
      <c r="AG138">
        <f t="shared" si="51"/>
        <v>0.45978329423056519</v>
      </c>
      <c r="AH138">
        <f t="shared" si="37"/>
        <v>8.6237456018341827E-4</v>
      </c>
      <c r="AI138" s="5">
        <f t="shared" si="38"/>
        <v>0.45343805844347462</v>
      </c>
    </row>
    <row r="139" spans="1:35" x14ac:dyDescent="0.45">
      <c r="A139" s="4">
        <f t="shared" si="39"/>
        <v>11.2</v>
      </c>
      <c r="B139" s="5">
        <f t="shared" si="27"/>
        <v>51.2</v>
      </c>
      <c r="C139" s="14">
        <f>_xlfn.XLOOKUP($B139,'Q1 Base'!$C$8:$C$208,'Q1 Base'!$D$8:$D$208,,0,)</f>
        <v>1.9159812068510352E-3</v>
      </c>
      <c r="D139">
        <f t="shared" si="53"/>
        <v>0.98601194666310832</v>
      </c>
      <c r="E139" s="5">
        <f t="shared" si="28"/>
        <v>-1.8891803595371208E-3</v>
      </c>
      <c r="G139" s="4">
        <f t="shared" si="41"/>
        <v>8.8000000000000007</v>
      </c>
      <c r="H139" s="5">
        <f t="shared" si="29"/>
        <v>48.8</v>
      </c>
      <c r="I139">
        <f t="shared" si="42"/>
        <v>402.23687820572093</v>
      </c>
      <c r="J139" s="14">
        <f>_xlfn.XLOOKUP($H139,'Q1 Base'!$C$8:$C$208,'Q1 Base'!$D$8:$D$208,,0,)</f>
        <v>1.5974622887476146E-3</v>
      </c>
      <c r="K139" s="29" cm="1">
        <f t="array" ref="K139">I139*$B$7+$E$6-J139*(SumAssdTA-I139)</f>
        <v>49.052910843716205</v>
      </c>
      <c r="M139" s="4">
        <f t="shared" si="43"/>
        <v>8.8000000000000007</v>
      </c>
      <c r="N139" s="5">
        <f t="shared" si="30"/>
        <v>48.8</v>
      </c>
      <c r="O139">
        <f t="shared" si="44"/>
        <v>583.62314110320824</v>
      </c>
      <c r="P139" s="14">
        <f>_xlfn.XLOOKUP($N139,'Q1 Base'!$C$8:$C$208,'Q1 Base'!$D$8:$D$208,,0,)</f>
        <v>1.5974622887476146E-3</v>
      </c>
      <c r="Q139" s="29">
        <f t="shared" si="31"/>
        <v>38.490879590172767</v>
      </c>
      <c r="S139" s="4">
        <f t="shared" si="45"/>
        <v>8.8000000000000007</v>
      </c>
      <c r="T139" s="5">
        <f t="shared" si="32"/>
        <v>48.8</v>
      </c>
      <c r="U139">
        <f t="shared" si="46"/>
        <v>-385.41701911396706</v>
      </c>
      <c r="V139" s="14">
        <f>_xlfn.XLOOKUP($T139,'Q1 Base'!$C$8:$C$208,'Q1 Base'!$D$8:$D$208,,0,)</f>
        <v>1.5974622887476146E-3</v>
      </c>
      <c r="W139" s="32">
        <f t="shared" si="33"/>
        <v>111999.99999999999</v>
      </c>
      <c r="X139" s="29">
        <f t="shared" si="34"/>
        <v>-26.510656831186566</v>
      </c>
      <c r="Y139" s="48">
        <f t="shared" si="52"/>
        <v>-1.9581841944309455</v>
      </c>
      <c r="Z139" s="51">
        <f t="shared" si="47"/>
        <v>-787.65389731968799</v>
      </c>
      <c r="AB139" s="4">
        <f t="shared" si="48"/>
        <v>11.2</v>
      </c>
      <c r="AC139" s="5">
        <f t="shared" si="35"/>
        <v>51.2</v>
      </c>
      <c r="AD139" s="13">
        <f t="shared" si="49"/>
        <v>1.9159812068510352E-3</v>
      </c>
      <c r="AE139" s="14">
        <f t="shared" si="50"/>
        <v>0.98601194666310832</v>
      </c>
      <c r="AF139" s="4">
        <f t="shared" si="36"/>
        <v>1</v>
      </c>
      <c r="AG139">
        <f t="shared" si="51"/>
        <v>0.45657604962331472</v>
      </c>
      <c r="AH139">
        <f t="shared" si="37"/>
        <v>8.6255450558341202E-4</v>
      </c>
      <c r="AI139" s="5">
        <f t="shared" si="38"/>
        <v>0.4501894394888365</v>
      </c>
    </row>
    <row r="140" spans="1:35" x14ac:dyDescent="0.45">
      <c r="A140" s="4">
        <f t="shared" si="39"/>
        <v>11.3</v>
      </c>
      <c r="B140" s="5">
        <f t="shared" si="27"/>
        <v>51.3</v>
      </c>
      <c r="C140" s="14">
        <f>_xlfn.XLOOKUP($B140,'Q1 Base'!$C$8:$C$208,'Q1 Base'!$D$8:$D$208,,0,)</f>
        <v>1.9301049402828602E-3</v>
      </c>
      <c r="D140">
        <f t="shared" si="53"/>
        <v>0.98582302862715465</v>
      </c>
      <c r="E140" s="5">
        <f t="shared" si="28"/>
        <v>-1.9027418977978828E-3</v>
      </c>
      <c r="G140" s="4">
        <f t="shared" si="41"/>
        <v>8.6999999999999993</v>
      </c>
      <c r="H140" s="5">
        <f t="shared" si="29"/>
        <v>48.7</v>
      </c>
      <c r="I140">
        <f t="shared" si="42"/>
        <v>397.33158712134929</v>
      </c>
      <c r="J140" s="14">
        <f>_xlfn.XLOOKUP($H140,'Q1 Base'!$C$8:$C$208,'Q1 Base'!$D$8:$D$208,,0,)</f>
        <v>1.5849892666520466E-3</v>
      </c>
      <c r="K140" s="29" cm="1">
        <f t="array" ref="K140">I140*$B$7+$E$6-J140*(SumAssdTA-I140)</f>
        <v>49.944050734178973</v>
      </c>
      <c r="M140" s="4">
        <f t="shared" si="43"/>
        <v>8.6999999999999993</v>
      </c>
      <c r="N140" s="5">
        <f t="shared" si="30"/>
        <v>48.7</v>
      </c>
      <c r="O140">
        <f t="shared" si="44"/>
        <v>579.77405314419093</v>
      </c>
      <c r="P140" s="14">
        <f>_xlfn.XLOOKUP($N140,'Q1 Base'!$C$8:$C$208,'Q1 Base'!$D$8:$D$208,,0,)</f>
        <v>1.5849892666520466E-3</v>
      </c>
      <c r="Q140" s="29">
        <f t="shared" si="31"/>
        <v>39.45536533516244</v>
      </c>
      <c r="S140" s="4">
        <f t="shared" si="45"/>
        <v>8.6999999999999993</v>
      </c>
      <c r="T140" s="5">
        <f t="shared" si="32"/>
        <v>48.7</v>
      </c>
      <c r="U140">
        <f t="shared" si="46"/>
        <v>-382.76595343084841</v>
      </c>
      <c r="V140" s="14">
        <f>_xlfn.XLOOKUP($T140,'Q1 Base'!$C$8:$C$208,'Q1 Base'!$D$8:$D$208,,0,)</f>
        <v>1.5849892666520466E-3</v>
      </c>
      <c r="W140" s="32">
        <f t="shared" si="33"/>
        <v>113000.00000000001</v>
      </c>
      <c r="X140" s="29">
        <f t="shared" si="34"/>
        <v>-26.504083799668422</v>
      </c>
      <c r="Y140" s="48">
        <f t="shared" si="52"/>
        <v>-1.9633413648382998</v>
      </c>
      <c r="Z140" s="51">
        <f t="shared" si="47"/>
        <v>-780.09754055219764</v>
      </c>
      <c r="AB140" s="4">
        <f t="shared" si="48"/>
        <v>11.3</v>
      </c>
      <c r="AC140" s="5">
        <f t="shared" si="35"/>
        <v>51.3</v>
      </c>
      <c r="AD140" s="13">
        <f t="shared" si="49"/>
        <v>1.9301049402828602E-3</v>
      </c>
      <c r="AE140" s="14">
        <f t="shared" si="50"/>
        <v>0.98582302862715465</v>
      </c>
      <c r="AF140" s="4">
        <f t="shared" si="36"/>
        <v>1</v>
      </c>
      <c r="AG140">
        <f t="shared" si="51"/>
        <v>0.45339117733384915</v>
      </c>
      <c r="AH140">
        <f t="shared" si="37"/>
        <v>8.6268638920502453E-4</v>
      </c>
      <c r="AI140" s="5">
        <f t="shared" si="38"/>
        <v>0.4469634635920865</v>
      </c>
    </row>
    <row r="141" spans="1:35" x14ac:dyDescent="0.45">
      <c r="A141" s="4">
        <f t="shared" si="39"/>
        <v>11.4</v>
      </c>
      <c r="B141" s="5">
        <f t="shared" si="27"/>
        <v>51.4</v>
      </c>
      <c r="C141" s="14">
        <f>_xlfn.XLOOKUP($B141,'Q1 Base'!$C$8:$C$208,'Q1 Base'!$D$8:$D$208,,0,)</f>
        <v>1.9442286737146866E-3</v>
      </c>
      <c r="D141">
        <f t="shared" si="53"/>
        <v>0.98563275443737486</v>
      </c>
      <c r="E141" s="5">
        <f t="shared" si="28"/>
        <v>-1.9162954629295306E-3</v>
      </c>
      <c r="G141" s="4">
        <f t="shared" si="41"/>
        <v>8.6</v>
      </c>
      <c r="H141" s="5">
        <f t="shared" si="29"/>
        <v>48.6</v>
      </c>
      <c r="I141">
        <f t="shared" si="42"/>
        <v>392.33718204793138</v>
      </c>
      <c r="J141" s="14">
        <f>_xlfn.XLOOKUP($H141,'Q1 Base'!$C$8:$C$208,'Q1 Base'!$D$8:$D$208,,0,)</f>
        <v>1.5725162445564774E-3</v>
      </c>
      <c r="K141" s="29" cm="1">
        <f t="array" ref="K141">I141*$B$7+$E$6-J141*(SumAssdTA-I141)</f>
        <v>50.828934879821361</v>
      </c>
      <c r="M141" s="4">
        <f t="shared" si="43"/>
        <v>8.6</v>
      </c>
      <c r="N141" s="5">
        <f t="shared" si="30"/>
        <v>48.6</v>
      </c>
      <c r="O141">
        <f t="shared" si="44"/>
        <v>575.82851661067468</v>
      </c>
      <c r="P141" s="14">
        <f>_xlfn.XLOOKUP($N141,'Q1 Base'!$C$8:$C$208,'Q1 Base'!$D$8:$D$208,,0,)</f>
        <v>1.5725162445564774E-3</v>
      </c>
      <c r="Q141" s="29">
        <f t="shared" si="31"/>
        <v>40.413044032505468</v>
      </c>
      <c r="S141" s="4">
        <f t="shared" si="45"/>
        <v>8.6</v>
      </c>
      <c r="T141" s="5">
        <f t="shared" si="32"/>
        <v>48.6</v>
      </c>
      <c r="U141">
        <f t="shared" si="46"/>
        <v>-380.11554505088156</v>
      </c>
      <c r="V141" s="14">
        <f>_xlfn.XLOOKUP($T141,'Q1 Base'!$C$8:$C$208,'Q1 Base'!$D$8:$D$208,,0,)</f>
        <v>1.5725162445564774E-3</v>
      </c>
      <c r="W141" s="32">
        <f t="shared" si="33"/>
        <v>114000</v>
      </c>
      <c r="X141" s="29">
        <f t="shared" si="34"/>
        <v>-26.472677902401074</v>
      </c>
      <c r="Y141" s="48">
        <f t="shared" si="52"/>
        <v>-1.9688491492617268</v>
      </c>
      <c r="Z141" s="51">
        <f t="shared" si="47"/>
        <v>-772.45272709881294</v>
      </c>
      <c r="AB141" s="4">
        <f t="shared" si="48"/>
        <v>11.4</v>
      </c>
      <c r="AC141" s="5">
        <f t="shared" si="35"/>
        <v>51.4</v>
      </c>
      <c r="AD141" s="13">
        <f t="shared" si="49"/>
        <v>1.9442286737146866E-3</v>
      </c>
      <c r="AE141" s="14">
        <f t="shared" si="50"/>
        <v>0.98563275443737486</v>
      </c>
      <c r="AF141" s="4">
        <f t="shared" si="36"/>
        <v>1</v>
      </c>
      <c r="AG141">
        <f t="shared" si="51"/>
        <v>0.45022852130278918</v>
      </c>
      <c r="AH141">
        <f t="shared" si="37"/>
        <v>8.6277087265400636E-4</v>
      </c>
      <c r="AI141" s="5">
        <f t="shared" si="38"/>
        <v>0.44375997757793439</v>
      </c>
    </row>
    <row r="142" spans="1:35" x14ac:dyDescent="0.45">
      <c r="A142" s="4">
        <f t="shared" si="39"/>
        <v>11.5</v>
      </c>
      <c r="B142" s="5">
        <f t="shared" si="27"/>
        <v>51.5</v>
      </c>
      <c r="C142" s="14">
        <f>_xlfn.XLOOKUP($B142,'Q1 Base'!$C$8:$C$208,'Q1 Base'!$D$8:$D$208,,0,)</f>
        <v>1.9583524071465127E-3</v>
      </c>
      <c r="D142">
        <f t="shared" si="53"/>
        <v>0.98544112489108193</v>
      </c>
      <c r="E142" s="5">
        <f t="shared" si="28"/>
        <v>-1.9298409990316176E-3</v>
      </c>
      <c r="G142" s="4">
        <f t="shared" si="41"/>
        <v>8.5</v>
      </c>
      <c r="H142" s="5">
        <f t="shared" si="29"/>
        <v>48.5</v>
      </c>
      <c r="I142">
        <f t="shared" si="42"/>
        <v>387.25428855994926</v>
      </c>
      <c r="J142" s="14">
        <f>_xlfn.XLOOKUP($H142,'Q1 Base'!$C$8:$C$208,'Q1 Base'!$D$8:$D$208,,0,)</f>
        <v>1.5600432224609085E-3</v>
      </c>
      <c r="K142" s="29" cm="1">
        <f t="array" ref="K142">I142*$B$7+$E$6-J142*(SumAssdTA-I142)</f>
        <v>51.707611381342474</v>
      </c>
      <c r="M142" s="4">
        <f t="shared" si="43"/>
        <v>8.5</v>
      </c>
      <c r="N142" s="5">
        <f t="shared" si="30"/>
        <v>48.5</v>
      </c>
      <c r="O142">
        <f t="shared" si="44"/>
        <v>571.78721220742409</v>
      </c>
      <c r="P142" s="14">
        <f>_xlfn.XLOOKUP($N142,'Q1 Base'!$C$8:$C$208,'Q1 Base'!$D$8:$D$208,,0,)</f>
        <v>1.5600432224609085E-3</v>
      </c>
      <c r="Q142" s="29">
        <f t="shared" si="31"/>
        <v>41.36396800247968</v>
      </c>
      <c r="S142" s="4">
        <f t="shared" si="45"/>
        <v>8.5</v>
      </c>
      <c r="T142" s="5">
        <f t="shared" si="32"/>
        <v>48.5</v>
      </c>
      <c r="U142">
        <f t="shared" si="46"/>
        <v>-377.46827726064146</v>
      </c>
      <c r="V142" s="14">
        <f>_xlfn.XLOOKUP($T142,'Q1 Base'!$C$8:$C$208,'Q1 Base'!$D$8:$D$208,,0,)</f>
        <v>1.5600432224609085E-3</v>
      </c>
      <c r="W142" s="32">
        <f t="shared" si="33"/>
        <v>115000</v>
      </c>
      <c r="X142" s="29">
        <f t="shared" si="34"/>
        <v>-26.416616818883853</v>
      </c>
      <c r="Y142" s="48">
        <f t="shared" si="52"/>
        <v>-1.9747297535794937</v>
      </c>
      <c r="Z142" s="51">
        <f t="shared" si="47"/>
        <v>-764.72256582059072</v>
      </c>
      <c r="AB142" s="4">
        <f t="shared" si="48"/>
        <v>11.5</v>
      </c>
      <c r="AC142" s="5">
        <f t="shared" si="35"/>
        <v>51.5</v>
      </c>
      <c r="AD142" s="13">
        <f t="shared" si="49"/>
        <v>1.9583524071465127E-3</v>
      </c>
      <c r="AE142" s="14">
        <f t="shared" si="50"/>
        <v>0.98544112489108193</v>
      </c>
      <c r="AF142" s="4">
        <f t="shared" si="36"/>
        <v>1</v>
      </c>
      <c r="AG142">
        <f t="shared" si="51"/>
        <v>0.44708792655935642</v>
      </c>
      <c r="AH142">
        <f t="shared" si="37"/>
        <v>8.6280861084628291E-4</v>
      </c>
      <c r="AI142" s="5">
        <f t="shared" si="38"/>
        <v>0.4405788292738736</v>
      </c>
    </row>
    <row r="143" spans="1:35" x14ac:dyDescent="0.45">
      <c r="A143" s="4">
        <f t="shared" si="39"/>
        <v>11.6</v>
      </c>
      <c r="B143" s="5">
        <f t="shared" si="27"/>
        <v>51.6</v>
      </c>
      <c r="C143" s="14">
        <f>_xlfn.XLOOKUP($B143,'Q1 Base'!$C$8:$C$208,'Q1 Base'!$D$8:$D$208,,0,)</f>
        <v>1.9724761405783384E-3</v>
      </c>
      <c r="D143">
        <f t="shared" si="53"/>
        <v>0.98524814079117873</v>
      </c>
      <c r="E143" s="5">
        <f t="shared" si="28"/>
        <v>-1.9433784502597676E-3</v>
      </c>
      <c r="G143" s="4">
        <f t="shared" si="41"/>
        <v>8.4</v>
      </c>
      <c r="H143" s="5">
        <f t="shared" si="29"/>
        <v>48.4</v>
      </c>
      <c r="I143">
        <f t="shared" si="42"/>
        <v>382.08352742181501</v>
      </c>
      <c r="J143" s="14">
        <f>_xlfn.XLOOKUP($H143,'Q1 Base'!$C$8:$C$208,'Q1 Base'!$D$8:$D$208,,0,)</f>
        <v>1.5475702003653394E-3</v>
      </c>
      <c r="K143" s="29" cm="1">
        <f t="array" ref="K143">I143*$B$7+$E$6-J143*(SumAssdTA-I143)</f>
        <v>52.580127964081584</v>
      </c>
      <c r="M143" s="4">
        <f t="shared" si="43"/>
        <v>8.4</v>
      </c>
      <c r="N143" s="5">
        <f t="shared" si="30"/>
        <v>48.4</v>
      </c>
      <c r="O143">
        <f t="shared" si="44"/>
        <v>567.65081540717608</v>
      </c>
      <c r="P143" s="14">
        <f>_xlfn.XLOOKUP($N143,'Q1 Base'!$C$8:$C$208,'Q1 Base'!$D$8:$D$208,,0,)</f>
        <v>1.5475702003653394E-3</v>
      </c>
      <c r="Q143" s="29">
        <f t="shared" si="31"/>
        <v>42.308189157062458</v>
      </c>
      <c r="S143" s="4">
        <f t="shared" si="45"/>
        <v>8.4</v>
      </c>
      <c r="T143" s="5">
        <f t="shared" si="32"/>
        <v>48.4</v>
      </c>
      <c r="U143">
        <f t="shared" si="46"/>
        <v>-374.82661557875309</v>
      </c>
      <c r="V143" s="14">
        <f>_xlfn.XLOOKUP($T143,'Q1 Base'!$C$8:$C$208,'Q1 Base'!$D$8:$D$208,,0,)</f>
        <v>1.5475702003653394E-3</v>
      </c>
      <c r="W143" s="32">
        <f t="shared" si="33"/>
        <v>115999.99999999999</v>
      </c>
      <c r="X143" s="29">
        <f t="shared" si="34"/>
        <v>-26.33607683346554</v>
      </c>
      <c r="Y143" s="48">
        <f t="shared" si="52"/>
        <v>-1.9810070015526988</v>
      </c>
      <c r="Z143" s="51">
        <f t="shared" si="47"/>
        <v>-756.91014300056804</v>
      </c>
      <c r="AB143" s="4">
        <f t="shared" si="48"/>
        <v>11.6</v>
      </c>
      <c r="AC143" s="5">
        <f t="shared" si="35"/>
        <v>51.6</v>
      </c>
      <c r="AD143" s="13">
        <f t="shared" si="49"/>
        <v>1.9724761405783384E-3</v>
      </c>
      <c r="AE143" s="14">
        <f t="shared" si="50"/>
        <v>0.98524814079117873</v>
      </c>
      <c r="AF143" s="4">
        <f t="shared" si="36"/>
        <v>1</v>
      </c>
      <c r="AG143">
        <f t="shared" si="51"/>
        <v>0.44396923921378006</v>
      </c>
      <c r="AH143">
        <f t="shared" si="37"/>
        <v>8.6280025206628391E-4</v>
      </c>
      <c r="AI143" s="5">
        <f t="shared" si="38"/>
        <v>0.43741986750385087</v>
      </c>
    </row>
    <row r="144" spans="1:35" x14ac:dyDescent="0.45">
      <c r="A144" s="4">
        <f t="shared" si="39"/>
        <v>11.7</v>
      </c>
      <c r="B144" s="5">
        <f t="shared" si="27"/>
        <v>51.7</v>
      </c>
      <c r="C144" s="14">
        <f>_xlfn.XLOOKUP($B144,'Q1 Base'!$C$8:$C$208,'Q1 Base'!$D$8:$D$208,,0,)</f>
        <v>1.9865998740101649E-3</v>
      </c>
      <c r="D144">
        <f t="shared" si="53"/>
        <v>0.98505380294615275</v>
      </c>
      <c r="E144" s="5">
        <f t="shared" si="28"/>
        <v>-1.9569077608260609E-3</v>
      </c>
      <c r="G144" s="4">
        <f t="shared" si="41"/>
        <v>8.3000000000000007</v>
      </c>
      <c r="H144" s="5">
        <f t="shared" si="29"/>
        <v>48.3</v>
      </c>
      <c r="I144">
        <f t="shared" si="42"/>
        <v>376.82551462540687</v>
      </c>
      <c r="J144" s="14">
        <f>_xlfn.XLOOKUP($H144,'Q1 Base'!$C$8:$C$208,'Q1 Base'!$D$8:$D$208,,0,)</f>
        <v>1.5350971782697703E-3</v>
      </c>
      <c r="K144" s="29" cm="1">
        <f t="array" ref="K144">I144*$B$7+$E$6-J144*(SumAssdTA-I144)</f>
        <v>53.446531981002948</v>
      </c>
      <c r="M144" s="4">
        <f t="shared" si="43"/>
        <v>8.3000000000000007</v>
      </c>
      <c r="N144" s="5">
        <f t="shared" si="30"/>
        <v>48.3</v>
      </c>
      <c r="O144">
        <f t="shared" si="44"/>
        <v>563.41999649146987</v>
      </c>
      <c r="P144" s="14">
        <f>_xlfn.XLOOKUP($N144,'Q1 Base'!$C$8:$C$208,'Q1 Base'!$D$8:$D$208,,0,)</f>
        <v>1.5350971782697703E-3</v>
      </c>
      <c r="Q144" s="29">
        <f t="shared" si="31"/>
        <v>43.24575900317754</v>
      </c>
      <c r="S144" s="4">
        <f t="shared" si="45"/>
        <v>8.3000000000000007</v>
      </c>
      <c r="T144" s="5">
        <f t="shared" si="32"/>
        <v>48.3</v>
      </c>
      <c r="U144">
        <f t="shared" si="46"/>
        <v>-372.19300789540654</v>
      </c>
      <c r="V144" s="14">
        <f>_xlfn.XLOOKUP($T144,'Q1 Base'!$C$8:$C$208,'Q1 Base'!$D$8:$D$208,,0,)</f>
        <v>1.5350971782697703E-3</v>
      </c>
      <c r="W144" s="32">
        <f t="shared" si="33"/>
        <v>117000</v>
      </c>
      <c r="X144" s="29">
        <f t="shared" si="34"/>
        <v>-26.231232846433556</v>
      </c>
      <c r="Y144" s="48">
        <f t="shared" si="52"/>
        <v>-1.9877064939867317</v>
      </c>
      <c r="Z144" s="51">
        <f t="shared" si="47"/>
        <v>-749.01852252081335</v>
      </c>
      <c r="AB144" s="4">
        <f t="shared" si="48"/>
        <v>11.7</v>
      </c>
      <c r="AC144" s="5">
        <f t="shared" si="35"/>
        <v>51.7</v>
      </c>
      <c r="AD144" s="13">
        <f t="shared" si="49"/>
        <v>1.9865998740101649E-3</v>
      </c>
      <c r="AE144" s="14">
        <f t="shared" si="50"/>
        <v>0.98505380294615275</v>
      </c>
      <c r="AF144" s="4">
        <f t="shared" si="36"/>
        <v>1</v>
      </c>
      <c r="AG144">
        <f t="shared" si="51"/>
        <v>0.44087230644975611</v>
      </c>
      <c r="AH144">
        <f t="shared" si="37"/>
        <v>8.6274643802481321E-4</v>
      </c>
      <c r="AI144" s="5">
        <f t="shared" si="38"/>
        <v>0.43428294208197393</v>
      </c>
    </row>
    <row r="145" spans="1:35" x14ac:dyDescent="0.45">
      <c r="A145" s="4">
        <f t="shared" si="39"/>
        <v>11.8</v>
      </c>
      <c r="B145" s="5">
        <f t="shared" si="27"/>
        <v>51.8</v>
      </c>
      <c r="C145" s="14">
        <f>_xlfn.XLOOKUP($B145,'Q1 Base'!$C$8:$C$208,'Q1 Base'!$D$8:$D$208,,0,)</f>
        <v>2.0007236074419902E-3</v>
      </c>
      <c r="D145">
        <f t="shared" si="53"/>
        <v>0.98485811217007013</v>
      </c>
      <c r="E145" s="5">
        <f t="shared" si="28"/>
        <v>-1.9704288749994108E-3</v>
      </c>
      <c r="G145" s="4">
        <f t="shared" si="41"/>
        <v>8.1999999999999993</v>
      </c>
      <c r="H145" s="5">
        <f t="shared" si="29"/>
        <v>48.2</v>
      </c>
      <c r="I145">
        <f t="shared" si="42"/>
        <v>371.48086142730659</v>
      </c>
      <c r="J145" s="14">
        <f>_xlfn.XLOOKUP($H145,'Q1 Base'!$C$8:$C$208,'Q1 Base'!$D$8:$D$208,,0,)</f>
        <v>1.522624156174202E-3</v>
      </c>
      <c r="K145" s="29" cm="1">
        <f t="array" ref="K145">I145*$B$7+$E$6-J145*(SumAssdTA-I145)</f>
        <v>54.306870415656903</v>
      </c>
      <c r="M145" s="4">
        <f t="shared" si="43"/>
        <v>8.1999999999999993</v>
      </c>
      <c r="N145" s="5">
        <f t="shared" si="30"/>
        <v>48.2</v>
      </c>
      <c r="O145">
        <f t="shared" si="44"/>
        <v>559.09542059115211</v>
      </c>
      <c r="P145" s="14">
        <f>_xlfn.XLOOKUP($N145,'Q1 Base'!$C$8:$C$208,'Q1 Base'!$D$8:$D$208,,0,)</f>
        <v>1.522624156174202E-3</v>
      </c>
      <c r="Q145" s="29">
        <f t="shared" si="31"/>
        <v>44.176728645915745</v>
      </c>
      <c r="S145" s="4">
        <f t="shared" si="45"/>
        <v>8.1999999999999993</v>
      </c>
      <c r="T145" s="5">
        <f t="shared" si="32"/>
        <v>48.2</v>
      </c>
      <c r="U145">
        <f t="shared" si="46"/>
        <v>-369.56988461076321</v>
      </c>
      <c r="V145" s="14">
        <f>_xlfn.XLOOKUP($T145,'Q1 Base'!$C$8:$C$208,'Q1 Base'!$D$8:$D$208,,0,)</f>
        <v>1.522624156174202E-3</v>
      </c>
      <c r="W145" s="32">
        <f t="shared" si="33"/>
        <v>118000</v>
      </c>
      <c r="X145" s="29">
        <f t="shared" si="34"/>
        <v>-26.102258385012135</v>
      </c>
      <c r="Y145" s="48">
        <f t="shared" si="52"/>
        <v>-1.9948557866232974</v>
      </c>
      <c r="Z145" s="51">
        <f t="shared" si="47"/>
        <v>-741.05074603806975</v>
      </c>
      <c r="AB145" s="4">
        <f t="shared" si="48"/>
        <v>11.8</v>
      </c>
      <c r="AC145" s="5">
        <f t="shared" si="35"/>
        <v>51.8</v>
      </c>
      <c r="AD145" s="13">
        <f t="shared" si="49"/>
        <v>2.0007236074419902E-3</v>
      </c>
      <c r="AE145" s="14">
        <f t="shared" si="50"/>
        <v>0.98485811217007013</v>
      </c>
      <c r="AF145" s="4">
        <f t="shared" si="36"/>
        <v>1</v>
      </c>
      <c r="AG145">
        <f t="shared" si="51"/>
        <v>0.43779697651695954</v>
      </c>
      <c r="AH145">
        <f t="shared" si="37"/>
        <v>8.62647803916456E-4</v>
      </c>
      <c r="AI145" s="5">
        <f t="shared" si="38"/>
        <v>0.4311679038062573</v>
      </c>
    </row>
    <row r="146" spans="1:35" x14ac:dyDescent="0.45">
      <c r="A146" s="4">
        <f t="shared" si="39"/>
        <v>11.9</v>
      </c>
      <c r="B146" s="5">
        <f t="shared" si="27"/>
        <v>51.9</v>
      </c>
      <c r="C146" s="14">
        <f>_xlfn.XLOOKUP($B146,'Q1 Base'!$C$8:$C$208,'Q1 Base'!$D$8:$D$208,,0,)</f>
        <v>2.0148473408738163E-3</v>
      </c>
      <c r="D146">
        <f t="shared" si="53"/>
        <v>0.98466106928257024</v>
      </c>
      <c r="E146" s="5">
        <f t="shared" si="28"/>
        <v>-1.9839417371059552E-3</v>
      </c>
      <c r="G146" s="4">
        <f t="shared" si="41"/>
        <v>8.1</v>
      </c>
      <c r="H146" s="5">
        <f t="shared" si="29"/>
        <v>48.1</v>
      </c>
      <c r="I146">
        <f t="shared" si="42"/>
        <v>366.05017438574089</v>
      </c>
      <c r="J146" s="14">
        <f>_xlfn.XLOOKUP($H146,'Q1 Base'!$C$8:$C$208,'Q1 Base'!$D$8:$D$208,,0,)</f>
        <v>1.5101511340786329E-3</v>
      </c>
      <c r="K146" s="29" cm="1">
        <f t="array" ref="K146">I146*$B$7+$E$6-J146*(SumAssdTA-I146)</f>
        <v>55.161189885116869</v>
      </c>
      <c r="M146" s="4">
        <f t="shared" si="43"/>
        <v>8.1</v>
      </c>
      <c r="N146" s="5">
        <f t="shared" si="30"/>
        <v>48.1</v>
      </c>
      <c r="O146">
        <f t="shared" si="44"/>
        <v>554.67774772656048</v>
      </c>
      <c r="P146" s="14">
        <f>_xlfn.XLOOKUP($N146,'Q1 Base'!$C$8:$C$208,'Q1 Base'!$D$8:$D$208,,0,)</f>
        <v>1.5101511340786329E-3</v>
      </c>
      <c r="Q146" s="29">
        <f t="shared" si="31"/>
        <v>45.101148791730253</v>
      </c>
      <c r="S146" s="4">
        <f t="shared" si="45"/>
        <v>8.1</v>
      </c>
      <c r="T146" s="5">
        <f t="shared" si="32"/>
        <v>48.1</v>
      </c>
      <c r="U146">
        <f t="shared" si="46"/>
        <v>-366.959658772262</v>
      </c>
      <c r="V146" s="14">
        <f>_xlfn.XLOOKUP($T146,'Q1 Base'!$C$8:$C$208,'Q1 Base'!$D$8:$D$208,,0,)</f>
        <v>1.5101511340786329E-3</v>
      </c>
      <c r="W146" s="32">
        <f t="shared" si="33"/>
        <v>119000</v>
      </c>
      <c r="X146" s="29">
        <f t="shared" si="34"/>
        <v>-25.949325614271686</v>
      </c>
      <c r="Y146" s="48">
        <f t="shared" si="52"/>
        <v>-2.0024845894092178</v>
      </c>
      <c r="Z146" s="51">
        <f t="shared" si="47"/>
        <v>-733.00983315800295</v>
      </c>
      <c r="AB146" s="4">
        <f t="shared" si="48"/>
        <v>11.9</v>
      </c>
      <c r="AC146" s="5">
        <f t="shared" si="35"/>
        <v>51.9</v>
      </c>
      <c r="AD146" s="13">
        <f t="shared" si="49"/>
        <v>2.0148473408738163E-3</v>
      </c>
      <c r="AE146" s="14">
        <f t="shared" si="50"/>
        <v>0.98466106928257024</v>
      </c>
      <c r="AF146" s="4">
        <f t="shared" si="36"/>
        <v>1</v>
      </c>
      <c r="AG146">
        <f t="shared" si="51"/>
        <v>0.43474309872360839</v>
      </c>
      <c r="AH146">
        <f t="shared" si="37"/>
        <v>8.6250497847654138E-4</v>
      </c>
      <c r="AI146" s="5">
        <f t="shared" si="38"/>
        <v>0.42807460445240625</v>
      </c>
    </row>
    <row r="147" spans="1:35" x14ac:dyDescent="0.45">
      <c r="A147" s="4">
        <f t="shared" si="39"/>
        <v>12</v>
      </c>
      <c r="B147" s="5">
        <f t="shared" si="27"/>
        <v>52</v>
      </c>
      <c r="C147" s="14">
        <f>_xlfn.XLOOKUP($B147,'Q1 Base'!$C$8:$C$208,'Q1 Base'!$D$8:$D$208,,0,)</f>
        <v>2.0289710743056424E-3</v>
      </c>
      <c r="D147">
        <f t="shared" si="53"/>
        <v>0.98446267510885965</v>
      </c>
      <c r="E147" s="5">
        <f t="shared" si="28"/>
        <v>-1.9974462915294294E-3</v>
      </c>
      <c r="G147" s="4">
        <f t="shared" si="41"/>
        <v>8</v>
      </c>
      <c r="H147" s="5">
        <f t="shared" si="29"/>
        <v>48</v>
      </c>
      <c r="I147">
        <f t="shared" si="42"/>
        <v>360.53405539722922</v>
      </c>
      <c r="J147" s="14">
        <f>_xlfn.XLOOKUP($H147,'Q1 Base'!$C$8:$C$208,'Q1 Base'!$D$8:$D$208,,0,)</f>
        <v>1.497678111983064E-3</v>
      </c>
      <c r="K147" s="29" cm="1">
        <f t="array" ref="K147">I147*$B$7+$E$6-J147*(SumAssdTA-I147)</f>
        <v>56.009536642892584</v>
      </c>
      <c r="M147" s="4">
        <f t="shared" si="43"/>
        <v>8</v>
      </c>
      <c r="N147" s="5">
        <f t="shared" si="30"/>
        <v>48</v>
      </c>
      <c r="O147">
        <f t="shared" si="44"/>
        <v>550.16763284738749</v>
      </c>
      <c r="P147" s="14">
        <f>_xlfn.XLOOKUP($N147,'Q1 Base'!$C$8:$C$208,'Q1 Base'!$D$8:$D$208,,0,)</f>
        <v>1.497678111983064E-3</v>
      </c>
      <c r="Q147" s="29">
        <f t="shared" si="31"/>
        <v>46.019069751604633</v>
      </c>
      <c r="S147" s="4">
        <f t="shared" si="45"/>
        <v>8</v>
      </c>
      <c r="T147" s="5">
        <f t="shared" si="32"/>
        <v>48</v>
      </c>
      <c r="U147">
        <f t="shared" si="46"/>
        <v>-364.36472621083482</v>
      </c>
      <c r="V147" s="14">
        <f>_xlfn.XLOOKUP($T147,'Q1 Base'!$C$8:$C$208,'Q1 Base'!$D$8:$D$208,,0,)</f>
        <v>1.497678111983064E-3</v>
      </c>
      <c r="W147" s="32">
        <f t="shared" si="33"/>
        <v>120000</v>
      </c>
      <c r="X147" s="29">
        <f t="shared" si="34"/>
        <v>-25.772605347950787</v>
      </c>
      <c r="Y147" s="48">
        <f t="shared" si="52"/>
        <v>-2.0106249902228654</v>
      </c>
      <c r="Z147" s="51">
        <f t="shared" si="47"/>
        <v>-724.89878160806404</v>
      </c>
      <c r="AB147" s="4">
        <f t="shared" si="48"/>
        <v>12</v>
      </c>
      <c r="AC147" s="5">
        <f t="shared" si="35"/>
        <v>52</v>
      </c>
      <c r="AD147" s="13">
        <f t="shared" si="49"/>
        <v>2.0289710743056424E-3</v>
      </c>
      <c r="AE147" s="14">
        <f t="shared" si="50"/>
        <v>0.98446267510885965</v>
      </c>
      <c r="AF147" s="4">
        <f t="shared" si="36"/>
        <v>1</v>
      </c>
      <c r="AG147">
        <f t="shared" si="51"/>
        <v>0.43171052342907967</v>
      </c>
      <c r="AH147">
        <f t="shared" si="37"/>
        <v>8.6231858403764403E-4</v>
      </c>
      <c r="AI147" s="5">
        <f t="shared" si="38"/>
        <v>0.42500289676763781</v>
      </c>
    </row>
    <row r="148" spans="1:35" x14ac:dyDescent="0.45">
      <c r="A148" s="4">
        <f t="shared" si="39"/>
        <v>12.1</v>
      </c>
      <c r="B148" s="5">
        <f t="shared" si="27"/>
        <v>52.1</v>
      </c>
      <c r="C148" s="14">
        <f>_xlfn.XLOOKUP($B148,'Q1 Base'!$C$8:$C$208,'Q1 Base'!$D$8:$D$208,,0,)</f>
        <v>2.0436562682577429E-3</v>
      </c>
      <c r="D148">
        <f t="shared" si="53"/>
        <v>0.9842629304797067</v>
      </c>
      <c r="E148" s="5">
        <f t="shared" si="28"/>
        <v>-2.0114951074885878E-3</v>
      </c>
      <c r="G148" s="4">
        <f t="shared" si="41"/>
        <v>7.9</v>
      </c>
      <c r="H148" s="5">
        <f t="shared" si="29"/>
        <v>47.9</v>
      </c>
      <c r="I148">
        <f t="shared" si="42"/>
        <v>354.93310173293997</v>
      </c>
      <c r="J148" s="14">
        <f>_xlfn.XLOOKUP($H148,'Q1 Base'!$C$8:$C$208,'Q1 Base'!$D$8:$D$208,,0,)</f>
        <v>1.4859151930049742E-3</v>
      </c>
      <c r="K148" s="29" cm="1">
        <f t="array" ref="K148">I148*$B$7+$E$6-J148*(SumAssdTA-I148)</f>
        <v>56.78119830917376</v>
      </c>
      <c r="M148" s="4">
        <f t="shared" si="43"/>
        <v>7.9</v>
      </c>
      <c r="N148" s="5">
        <f t="shared" si="30"/>
        <v>47.9</v>
      </c>
      <c r="O148">
        <f t="shared" si="44"/>
        <v>545.56572587222706</v>
      </c>
      <c r="P148" s="14">
        <f>_xlfn.XLOOKUP($N148,'Q1 Base'!$C$8:$C$208,'Q1 Base'!$D$8:$D$208,,0,)</f>
        <v>1.4859151930049742E-3</v>
      </c>
      <c r="Q148" s="29">
        <f t="shared" si="31"/>
        <v>46.859918540371638</v>
      </c>
      <c r="S148" s="4">
        <f t="shared" si="45"/>
        <v>7.9</v>
      </c>
      <c r="T148" s="5">
        <f t="shared" si="32"/>
        <v>47.9</v>
      </c>
      <c r="U148">
        <f t="shared" si="46"/>
        <v>-361.78746567603974</v>
      </c>
      <c r="V148" s="14">
        <f>_xlfn.XLOOKUP($T148,'Q1 Base'!$C$8:$C$208,'Q1 Base'!$D$8:$D$208,,0,)</f>
        <v>1.4859151930049742E-3</v>
      </c>
      <c r="W148" s="32">
        <f t="shared" si="33"/>
        <v>121000</v>
      </c>
      <c r="X148" s="29">
        <f t="shared" si="34"/>
        <v>-25.658446442811453</v>
      </c>
      <c r="Y148" s="48">
        <f t="shared" si="52"/>
        <v>-2.0193117066557997</v>
      </c>
      <c r="Z148" s="51">
        <f t="shared" si="47"/>
        <v>-716.72056740897972</v>
      </c>
      <c r="AB148" s="4">
        <f t="shared" si="48"/>
        <v>12.1</v>
      </c>
      <c r="AC148" s="5">
        <f t="shared" si="35"/>
        <v>52.1</v>
      </c>
      <c r="AD148" s="13">
        <f t="shared" si="49"/>
        <v>2.0436562682577429E-3</v>
      </c>
      <c r="AE148" s="14">
        <f t="shared" si="50"/>
        <v>0.9842629304797067</v>
      </c>
      <c r="AF148" s="4">
        <f t="shared" si="36"/>
        <v>1</v>
      </c>
      <c r="AG148">
        <f t="shared" si="51"/>
        <v>0.42869910203657718</v>
      </c>
      <c r="AH148">
        <f t="shared" si="37"/>
        <v>8.6232614633132592E-4</v>
      </c>
      <c r="AI148" s="5">
        <f t="shared" si="38"/>
        <v>0.42195263446454023</v>
      </c>
    </row>
    <row r="149" spans="1:35" x14ac:dyDescent="0.45">
      <c r="A149" s="4">
        <f t="shared" si="39"/>
        <v>12.2</v>
      </c>
      <c r="B149" s="5">
        <f t="shared" si="27"/>
        <v>52.2</v>
      </c>
      <c r="C149" s="14">
        <f>_xlfn.XLOOKUP($B149,'Q1 Base'!$C$8:$C$208,'Q1 Base'!$D$8:$D$208,,0,)</f>
        <v>2.0583414622098424E-3</v>
      </c>
      <c r="D149">
        <f t="shared" si="53"/>
        <v>0.9840617809689578</v>
      </c>
      <c r="E149" s="5">
        <f t="shared" si="28"/>
        <v>-2.0255351651444664E-3</v>
      </c>
      <c r="G149" s="4">
        <f t="shared" si="41"/>
        <v>7.8</v>
      </c>
      <c r="H149" s="5">
        <f t="shared" si="29"/>
        <v>47.8</v>
      </c>
      <c r="I149">
        <f t="shared" si="42"/>
        <v>349.25498190202262</v>
      </c>
      <c r="J149" s="14">
        <f>_xlfn.XLOOKUP($H149,'Q1 Base'!$C$8:$C$208,'Q1 Base'!$D$8:$D$208,,0,)</f>
        <v>1.4741522740268844E-3</v>
      </c>
      <c r="K149" s="29" cm="1">
        <f t="array" ref="K149">I149*$B$7+$E$6-J149*(SumAssdTA-I149)</f>
        <v>57.54747635623923</v>
      </c>
      <c r="M149" s="4">
        <f t="shared" si="43"/>
        <v>7.8</v>
      </c>
      <c r="N149" s="5">
        <f t="shared" si="30"/>
        <v>47.8</v>
      </c>
      <c r="O149">
        <f t="shared" si="44"/>
        <v>540.87973401818988</v>
      </c>
      <c r="P149" s="14">
        <f>_xlfn.XLOOKUP($N149,'Q1 Base'!$C$8:$C$208,'Q1 Base'!$D$8:$D$208,,0,)</f>
        <v>1.4741522740268844E-3</v>
      </c>
      <c r="Q149" s="29">
        <f t="shared" si="31"/>
        <v>47.694865697419687</v>
      </c>
      <c r="S149" s="4">
        <f t="shared" si="45"/>
        <v>7.8</v>
      </c>
      <c r="T149" s="5">
        <f t="shared" si="32"/>
        <v>47.8</v>
      </c>
      <c r="U149">
        <f t="shared" si="46"/>
        <v>-359.22162103175862</v>
      </c>
      <c r="V149" s="14">
        <f>_xlfn.XLOOKUP($T149,'Q1 Base'!$C$8:$C$208,'Q1 Base'!$D$8:$D$208,,0,)</f>
        <v>1.4741522740268844E-3</v>
      </c>
      <c r="W149" s="32">
        <f t="shared" si="33"/>
        <v>122000</v>
      </c>
      <c r="X149" s="29">
        <f t="shared" si="34"/>
        <v>-25.521638273026582</v>
      </c>
      <c r="Y149" s="48">
        <f t="shared" si="52"/>
        <v>-2.0285368560112107</v>
      </c>
      <c r="Z149" s="51">
        <f t="shared" si="47"/>
        <v>-708.47660293378124</v>
      </c>
      <c r="AB149" s="4">
        <f t="shared" si="48"/>
        <v>12.2</v>
      </c>
      <c r="AC149" s="5">
        <f t="shared" si="35"/>
        <v>52.2</v>
      </c>
      <c r="AD149" s="13">
        <f t="shared" si="49"/>
        <v>2.0583414622098424E-3</v>
      </c>
      <c r="AE149" s="14">
        <f t="shared" si="50"/>
        <v>0.9840617809689578</v>
      </c>
      <c r="AF149" s="4">
        <f t="shared" si="36"/>
        <v>1</v>
      </c>
      <c r="AG149">
        <f t="shared" si="51"/>
        <v>0.42570868698585018</v>
      </c>
      <c r="AH149">
        <f t="shared" si="37"/>
        <v>8.6228791559731801E-4</v>
      </c>
      <c r="AI149" s="5">
        <f t="shared" si="38"/>
        <v>0.4189236486892523</v>
      </c>
    </row>
    <row r="150" spans="1:35" x14ac:dyDescent="0.45">
      <c r="A150" s="4">
        <f t="shared" si="39"/>
        <v>12.3</v>
      </c>
      <c r="B150" s="5">
        <f t="shared" si="27"/>
        <v>52.3</v>
      </c>
      <c r="C150" s="14">
        <f>_xlfn.XLOOKUP($B150,'Q1 Base'!$C$8:$C$208,'Q1 Base'!$D$8:$D$208,,0,)</f>
        <v>2.0730266561619416E-3</v>
      </c>
      <c r="D150">
        <f t="shared" si="53"/>
        <v>0.98385922745244336</v>
      </c>
      <c r="E150" s="5">
        <f t="shared" si="28"/>
        <v>-2.0395664044198097E-3</v>
      </c>
      <c r="G150" s="4">
        <f t="shared" si="41"/>
        <v>7.7</v>
      </c>
      <c r="H150" s="5">
        <f t="shared" si="29"/>
        <v>47.7</v>
      </c>
      <c r="I150">
        <f t="shared" si="42"/>
        <v>343.50023426639871</v>
      </c>
      <c r="J150" s="14">
        <f>_xlfn.XLOOKUP($H150,'Q1 Base'!$C$8:$C$208,'Q1 Base'!$D$8:$D$208,,0,)</f>
        <v>1.4623893550487954E-3</v>
      </c>
      <c r="K150" s="29" cm="1">
        <f t="array" ref="K150">I150*$B$7+$E$6-J150*(SumAssdTA-I150)</f>
        <v>58.308411979816299</v>
      </c>
      <c r="M150" s="4">
        <f t="shared" si="43"/>
        <v>7.7</v>
      </c>
      <c r="N150" s="5">
        <f t="shared" si="30"/>
        <v>47.7</v>
      </c>
      <c r="O150">
        <f t="shared" si="44"/>
        <v>536.11024744844792</v>
      </c>
      <c r="P150" s="14">
        <f>_xlfn.XLOOKUP($N150,'Q1 Base'!$C$8:$C$208,'Q1 Base'!$D$8:$D$208,,0,)</f>
        <v>1.4623893550487954E-3</v>
      </c>
      <c r="Q150" s="29">
        <f t="shared" si="31"/>
        <v>48.523956364469825</v>
      </c>
      <c r="S150" s="4">
        <f t="shared" si="45"/>
        <v>7.7</v>
      </c>
      <c r="T150" s="5">
        <f t="shared" si="32"/>
        <v>47.7</v>
      </c>
      <c r="U150">
        <f t="shared" si="46"/>
        <v>-356.66945720445597</v>
      </c>
      <c r="V150" s="14">
        <f>_xlfn.XLOOKUP($T150,'Q1 Base'!$C$8:$C$208,'Q1 Base'!$D$8:$D$208,,0,)</f>
        <v>1.4623893550487954E-3</v>
      </c>
      <c r="W150" s="32">
        <f t="shared" si="33"/>
        <v>123000</v>
      </c>
      <c r="X150" s="29">
        <f t="shared" si="34"/>
        <v>-25.362342292800548</v>
      </c>
      <c r="Y150" s="48">
        <f t="shared" si="52"/>
        <v>-2.0383383230179808</v>
      </c>
      <c r="Z150" s="51">
        <f t="shared" si="47"/>
        <v>-700.16969147085467</v>
      </c>
      <c r="AB150" s="4">
        <f t="shared" si="48"/>
        <v>12.3</v>
      </c>
      <c r="AC150" s="5">
        <f t="shared" si="35"/>
        <v>52.3</v>
      </c>
      <c r="AD150" s="13">
        <f t="shared" si="49"/>
        <v>2.0730266561619416E-3</v>
      </c>
      <c r="AE150" s="14">
        <f t="shared" si="50"/>
        <v>0.98385922745244336</v>
      </c>
      <c r="AF150" s="4">
        <f t="shared" si="36"/>
        <v>1</v>
      </c>
      <c r="AG150">
        <f t="shared" si="51"/>
        <v>0.42273913174596278</v>
      </c>
      <c r="AH150">
        <f t="shared" si="37"/>
        <v>8.6220453094266558E-4</v>
      </c>
      <c r="AI150" s="5">
        <f t="shared" si="38"/>
        <v>0.41591579557349961</v>
      </c>
    </row>
    <row r="151" spans="1:35" x14ac:dyDescent="0.45">
      <c r="A151" s="4">
        <f t="shared" si="39"/>
        <v>12.4</v>
      </c>
      <c r="B151" s="5">
        <f t="shared" si="27"/>
        <v>52.4</v>
      </c>
      <c r="C151" s="14">
        <f>_xlfn.XLOOKUP($B151,'Q1 Base'!$C$8:$C$208,'Q1 Base'!$D$8:$D$208,,0,)</f>
        <v>2.087711850114042E-3</v>
      </c>
      <c r="D151">
        <f t="shared" si="53"/>
        <v>0.98365527081200144</v>
      </c>
      <c r="E151" s="5">
        <f t="shared" si="28"/>
        <v>-2.0535887653013525E-3</v>
      </c>
      <c r="G151" s="4">
        <f t="shared" si="41"/>
        <v>7.6</v>
      </c>
      <c r="H151" s="5">
        <f t="shared" si="29"/>
        <v>47.6</v>
      </c>
      <c r="I151">
        <f t="shared" si="42"/>
        <v>337.66939306841709</v>
      </c>
      <c r="J151" s="14">
        <f>_xlfn.XLOOKUP($H151,'Q1 Base'!$C$8:$C$208,'Q1 Base'!$D$8:$D$208,,0,)</f>
        <v>1.4506264360707058E-3</v>
      </c>
      <c r="K151" s="29" cm="1">
        <f t="array" ref="K151">I151*$B$7+$E$6-J151*(SumAssdTA-I151)</f>
        <v>59.0640460559556</v>
      </c>
      <c r="M151" s="4">
        <f t="shared" si="43"/>
        <v>7.6</v>
      </c>
      <c r="N151" s="5">
        <f t="shared" si="30"/>
        <v>47.6</v>
      </c>
      <c r="O151">
        <f t="shared" si="44"/>
        <v>531.25785181200092</v>
      </c>
      <c r="P151" s="14">
        <f>_xlfn.XLOOKUP($N151,'Q1 Base'!$C$8:$C$208,'Q1 Base'!$D$8:$D$208,,0,)</f>
        <v>1.4506264360707058E-3</v>
      </c>
      <c r="Q151" s="29">
        <f t="shared" si="31"/>
        <v>49.347235332934957</v>
      </c>
      <c r="S151" s="4">
        <f t="shared" si="45"/>
        <v>7.6</v>
      </c>
      <c r="T151" s="5">
        <f t="shared" si="32"/>
        <v>47.6</v>
      </c>
      <c r="U151">
        <f t="shared" si="46"/>
        <v>-354.1332229751759</v>
      </c>
      <c r="V151" s="14">
        <f>_xlfn.XLOOKUP($T151,'Q1 Base'!$C$8:$C$208,'Q1 Base'!$D$8:$D$208,,0,)</f>
        <v>1.4506264360707058E-3</v>
      </c>
      <c r="W151" s="32">
        <f t="shared" si="33"/>
        <v>124000</v>
      </c>
      <c r="X151" s="29">
        <f t="shared" si="34"/>
        <v>-25.180718696168555</v>
      </c>
      <c r="Y151" s="48">
        <f t="shared" si="52"/>
        <v>-2.0487572467174218</v>
      </c>
      <c r="Z151" s="51">
        <f t="shared" si="47"/>
        <v>-691.80261604359293</v>
      </c>
      <c r="AB151" s="4">
        <f t="shared" si="48"/>
        <v>12.4</v>
      </c>
      <c r="AC151" s="5">
        <f t="shared" si="35"/>
        <v>52.4</v>
      </c>
      <c r="AD151" s="13">
        <f t="shared" si="49"/>
        <v>2.087711850114042E-3</v>
      </c>
      <c r="AE151" s="14">
        <f t="shared" si="50"/>
        <v>0.98365527081200144</v>
      </c>
      <c r="AF151" s="4">
        <f t="shared" si="36"/>
        <v>1</v>
      </c>
      <c r="AG151">
        <f t="shared" si="51"/>
        <v>0.4197902908081142</v>
      </c>
      <c r="AH151">
        <f t="shared" si="37"/>
        <v>8.6207662498613091E-4</v>
      </c>
      <c r="AI151" s="5">
        <f t="shared" si="38"/>
        <v>0.41292893218910443</v>
      </c>
    </row>
    <row r="152" spans="1:35" x14ac:dyDescent="0.45">
      <c r="A152" s="4">
        <f t="shared" si="39"/>
        <v>12.5</v>
      </c>
      <c r="B152" s="5">
        <f t="shared" si="27"/>
        <v>52.5</v>
      </c>
      <c r="C152" s="14">
        <f>_xlfn.XLOOKUP($B152,'Q1 Base'!$C$8:$C$208,'Q1 Base'!$D$8:$D$208,,0,)</f>
        <v>2.102397044066142E-3</v>
      </c>
      <c r="D152">
        <f t="shared" si="53"/>
        <v>0.98344991193547127</v>
      </c>
      <c r="E152" s="5">
        <f t="shared" si="28"/>
        <v>-2.0676021878402425E-3</v>
      </c>
      <c r="G152" s="4">
        <f t="shared" si="41"/>
        <v>7.5</v>
      </c>
      <c r="H152" s="5">
        <f t="shared" si="29"/>
        <v>47.5</v>
      </c>
      <c r="I152">
        <f t="shared" si="42"/>
        <v>331.76298846282151</v>
      </c>
      <c r="J152" s="14">
        <f>_xlfn.XLOOKUP($H152,'Q1 Base'!$C$8:$C$208,'Q1 Base'!$D$8:$D$208,,0,)</f>
        <v>1.4388635170926155E-3</v>
      </c>
      <c r="K152" s="29" cm="1">
        <f t="array" ref="K152">I152*$B$7+$E$6-J152*(SumAssdTA-I152)</f>
        <v>59.814419143556734</v>
      </c>
      <c r="M152" s="4">
        <f t="shared" si="43"/>
        <v>7.5</v>
      </c>
      <c r="N152" s="5">
        <f t="shared" si="30"/>
        <v>47.5</v>
      </c>
      <c r="O152">
        <f t="shared" si="44"/>
        <v>526.32312827870737</v>
      </c>
      <c r="P152" s="14">
        <f>_xlfn.XLOOKUP($N152,'Q1 Base'!$C$8:$C$208,'Q1 Base'!$D$8:$D$208,,0,)</f>
        <v>1.4388635170926155E-3</v>
      </c>
      <c r="Q152" s="29">
        <f t="shared" si="31"/>
        <v>50.164747046687097</v>
      </c>
      <c r="S152" s="4">
        <f t="shared" si="45"/>
        <v>7.5</v>
      </c>
      <c r="T152" s="5">
        <f t="shared" si="32"/>
        <v>47.5</v>
      </c>
      <c r="U152">
        <f t="shared" si="46"/>
        <v>-351.61515110555905</v>
      </c>
      <c r="V152" s="14">
        <f>_xlfn.XLOOKUP($T152,'Q1 Base'!$C$8:$C$208,'Q1 Base'!$D$8:$D$208,,0,)</f>
        <v>1.4388635170926155E-3</v>
      </c>
      <c r="W152" s="32">
        <f t="shared" si="33"/>
        <v>125000</v>
      </c>
      <c r="X152" s="29">
        <f t="shared" si="34"/>
        <v>-24.976926426948893</v>
      </c>
      <c r="Y152" s="48">
        <f t="shared" si="52"/>
        <v>-2.0598383886482328</v>
      </c>
      <c r="Z152" s="51">
        <f t="shared" si="47"/>
        <v>-683.37813956838056</v>
      </c>
      <c r="AB152" s="4">
        <f t="shared" si="48"/>
        <v>12.5</v>
      </c>
      <c r="AC152" s="5">
        <f t="shared" si="35"/>
        <v>52.5</v>
      </c>
      <c r="AD152" s="13">
        <f t="shared" si="49"/>
        <v>2.102397044066142E-3</v>
      </c>
      <c r="AE152" s="14">
        <f t="shared" si="50"/>
        <v>0.98344991193547127</v>
      </c>
      <c r="AF152" s="4">
        <f t="shared" si="36"/>
        <v>1</v>
      </c>
      <c r="AG152">
        <f t="shared" si="51"/>
        <v>0.41686201967850833</v>
      </c>
      <c r="AH152">
        <f t="shared" si="37"/>
        <v>8.6190482391478604E-4</v>
      </c>
      <c r="AI152" s="5">
        <f t="shared" si="38"/>
        <v>0.40996291654207173</v>
      </c>
    </row>
    <row r="153" spans="1:35" x14ac:dyDescent="0.45">
      <c r="A153" s="4">
        <f t="shared" si="39"/>
        <v>12.6</v>
      </c>
      <c r="B153" s="5">
        <f t="shared" si="27"/>
        <v>52.6</v>
      </c>
      <c r="C153" s="14">
        <f>_xlfn.XLOOKUP($B153,'Q1 Base'!$C$8:$C$208,'Q1 Base'!$D$8:$D$208,,0,)</f>
        <v>2.117082238018242E-3</v>
      </c>
      <c r="D153">
        <f t="shared" si="53"/>
        <v>0.98324315171668719</v>
      </c>
      <c r="E153" s="5">
        <f t="shared" si="28"/>
        <v>-2.0816066121524738E-3</v>
      </c>
      <c r="G153" s="4">
        <f t="shared" si="41"/>
        <v>7.4</v>
      </c>
      <c r="H153" s="5">
        <f t="shared" si="29"/>
        <v>47.4</v>
      </c>
      <c r="I153">
        <f t="shared" si="42"/>
        <v>325.78154654846583</v>
      </c>
      <c r="J153" s="14">
        <f>_xlfn.XLOOKUP($H153,'Q1 Base'!$C$8:$C$208,'Q1 Base'!$D$8:$D$208,,0,)</f>
        <v>1.4271005981145259E-3</v>
      </c>
      <c r="K153" s="29" cm="1">
        <f t="array" ref="K153">I153*$B$7+$E$6-J153*(SumAssdTA-I153)</f>
        <v>60.559571486874006</v>
      </c>
      <c r="M153" s="4">
        <f t="shared" si="43"/>
        <v>7.4</v>
      </c>
      <c r="N153" s="5">
        <f t="shared" si="30"/>
        <v>47.4</v>
      </c>
      <c r="O153">
        <f t="shared" si="44"/>
        <v>521.30665357403871</v>
      </c>
      <c r="P153" s="14">
        <f>_xlfn.XLOOKUP($N153,'Q1 Base'!$C$8:$C$208,'Q1 Base'!$D$8:$D$208,,0,)</f>
        <v>1.4271005981145259E-3</v>
      </c>
      <c r="Q153" s="29">
        <f t="shared" si="31"/>
        <v>50.976535604803558</v>
      </c>
      <c r="S153" s="4">
        <f t="shared" si="45"/>
        <v>7.4</v>
      </c>
      <c r="T153" s="5">
        <f t="shared" si="32"/>
        <v>47.4</v>
      </c>
      <c r="U153">
        <f t="shared" si="46"/>
        <v>-349.11745846286414</v>
      </c>
      <c r="V153" s="14">
        <f>_xlfn.XLOOKUP($T153,'Q1 Base'!$C$8:$C$208,'Q1 Base'!$D$8:$D$208,,0,)</f>
        <v>1.4271005981145259E-3</v>
      </c>
      <c r="W153" s="32">
        <f t="shared" si="33"/>
        <v>126000</v>
      </c>
      <c r="X153" s="29">
        <f t="shared" si="34"/>
        <v>-24.75112318861531</v>
      </c>
      <c r="Y153" s="48">
        <f t="shared" si="52"/>
        <v>-2.0716305517044584</v>
      </c>
      <c r="Z153" s="51">
        <f t="shared" si="47"/>
        <v>-674.89900501133002</v>
      </c>
      <c r="AB153" s="4">
        <f t="shared" si="48"/>
        <v>12.6</v>
      </c>
      <c r="AC153" s="5">
        <f t="shared" si="35"/>
        <v>52.6</v>
      </c>
      <c r="AD153" s="13">
        <f t="shared" si="49"/>
        <v>2.117082238018242E-3</v>
      </c>
      <c r="AE153" s="14">
        <f t="shared" si="50"/>
        <v>0.98324315171668719</v>
      </c>
      <c r="AF153" s="4">
        <f t="shared" si="36"/>
        <v>1</v>
      </c>
      <c r="AG153">
        <f t="shared" si="51"/>
        <v>0.41395417487127412</v>
      </c>
      <c r="AH153">
        <f t="shared" si="37"/>
        <v>8.6168974754016563E-4</v>
      </c>
      <c r="AI153" s="5">
        <f t="shared" si="38"/>
        <v>0.40701760756671224</v>
      </c>
    </row>
    <row r="154" spans="1:35" x14ac:dyDescent="0.45">
      <c r="A154" s="4">
        <f t="shared" si="39"/>
        <v>12.7</v>
      </c>
      <c r="B154" s="5">
        <f t="shared" si="27"/>
        <v>52.7</v>
      </c>
      <c r="C154" s="14">
        <f>_xlfn.XLOOKUP($B154,'Q1 Base'!$C$8:$C$208,'Q1 Base'!$D$8:$D$208,,0,)</f>
        <v>2.131767431970342E-3</v>
      </c>
      <c r="D154">
        <f t="shared" si="53"/>
        <v>0.98303499105547198</v>
      </c>
      <c r="E154" s="5">
        <f t="shared" si="28"/>
        <v>-2.0956019784193116E-3</v>
      </c>
      <c r="G154" s="4">
        <f t="shared" si="41"/>
        <v>7.3</v>
      </c>
      <c r="H154" s="5">
        <f t="shared" si="29"/>
        <v>47.3</v>
      </c>
      <c r="I154">
        <f t="shared" si="42"/>
        <v>319.72558939977841</v>
      </c>
      <c r="J154" s="14">
        <f>_xlfn.XLOOKUP($H154,'Q1 Base'!$C$8:$C$208,'Q1 Base'!$D$8:$D$208,,0,)</f>
        <v>1.4153376791364361E-3</v>
      </c>
      <c r="K154" s="29" cm="1">
        <f t="array" ref="K154">I154*$B$7+$E$6-J154*(SumAssdTA-I154)</f>
        <v>61.29954301800251</v>
      </c>
      <c r="M154" s="4">
        <f t="shared" si="43"/>
        <v>7.3</v>
      </c>
      <c r="N154" s="5">
        <f t="shared" si="30"/>
        <v>47.3</v>
      </c>
      <c r="O154">
        <f t="shared" si="44"/>
        <v>516.20900001355835</v>
      </c>
      <c r="P154" s="14">
        <f>_xlfn.XLOOKUP($N154,'Q1 Base'!$C$8:$C$208,'Q1 Base'!$D$8:$D$208,,0,)</f>
        <v>1.4153376791364361E-3</v>
      </c>
      <c r="Q154" s="29">
        <f t="shared" si="31"/>
        <v>51.782644764290836</v>
      </c>
      <c r="S154" s="4">
        <f t="shared" si="45"/>
        <v>7.3</v>
      </c>
      <c r="T154" s="5">
        <f t="shared" si="32"/>
        <v>47.3</v>
      </c>
      <c r="U154">
        <f t="shared" si="46"/>
        <v>-346.6423461440026</v>
      </c>
      <c r="V154" s="14">
        <f>_xlfn.XLOOKUP($T154,'Q1 Base'!$C$8:$C$208,'Q1 Base'!$D$8:$D$208,,0,)</f>
        <v>1.4153376791364361E-3</v>
      </c>
      <c r="W154" s="32">
        <f t="shared" si="33"/>
        <v>127000</v>
      </c>
      <c r="X154" s="29">
        <f t="shared" si="34"/>
        <v>-24.503465454089422</v>
      </c>
      <c r="Y154" s="48">
        <f t="shared" si="52"/>
        <v>-2.0841870580167043</v>
      </c>
      <c r="Z154" s="51">
        <f t="shared" si="47"/>
        <v>-666.36793554378096</v>
      </c>
      <c r="AB154" s="4">
        <f t="shared" si="48"/>
        <v>12.7</v>
      </c>
      <c r="AC154" s="5">
        <f t="shared" si="35"/>
        <v>52.7</v>
      </c>
      <c r="AD154" s="13">
        <f t="shared" si="49"/>
        <v>2.131767431970342E-3</v>
      </c>
      <c r="AE154" s="14">
        <f t="shared" si="50"/>
        <v>0.98303499105547198</v>
      </c>
      <c r="AF154" s="4">
        <f t="shared" si="36"/>
        <v>1</v>
      </c>
      <c r="AG154">
        <f t="shared" si="51"/>
        <v>0.41106661390143395</v>
      </c>
      <c r="AH154">
        <f t="shared" si="37"/>
        <v>8.6143200935397232E-4</v>
      </c>
      <c r="AI154" s="5">
        <f t="shared" si="38"/>
        <v>0.4040928651197993</v>
      </c>
    </row>
    <row r="155" spans="1:35" x14ac:dyDescent="0.45">
      <c r="A155" s="4">
        <f t="shared" si="39"/>
        <v>12.8</v>
      </c>
      <c r="B155" s="5">
        <f t="shared" ref="B155:B218" si="54">$B$8+A155</f>
        <v>52.8</v>
      </c>
      <c r="C155" s="14">
        <f>_xlfn.XLOOKUP($B155,'Q1 Base'!$C$8:$C$208,'Q1 Base'!$D$8:$D$208,,0,)</f>
        <v>2.1464526259224411E-3</v>
      </c>
      <c r="D155">
        <f t="shared" si="53"/>
        <v>0.98282543085763008</v>
      </c>
      <c r="E155" s="5">
        <f t="shared" ref="E155:E218" si="55">-D155*C155</f>
        <v>-2.1095882268877147E-3</v>
      </c>
      <c r="G155" s="4">
        <f t="shared" si="41"/>
        <v>7.2</v>
      </c>
      <c r="H155" s="5">
        <f t="shared" ref="H155:H218" si="56">$B$8+G155</f>
        <v>47.2</v>
      </c>
      <c r="I155">
        <f t="shared" si="42"/>
        <v>313.59563509797817</v>
      </c>
      <c r="J155" s="14">
        <f>_xlfn.XLOOKUP($H155,'Q1 Base'!$C$8:$C$208,'Q1 Base'!$D$8:$D$208,,0,)</f>
        <v>1.4035747601583472E-3</v>
      </c>
      <c r="K155" s="29" cm="1">
        <f t="array" ref="K155">I155*$B$7+$E$6-J155*(SumAssdTA-I155)</f>
        <v>62.034373359343107</v>
      </c>
      <c r="M155" s="4">
        <f t="shared" si="43"/>
        <v>7.2</v>
      </c>
      <c r="N155" s="5">
        <f t="shared" ref="N155:N218" si="57">$B$8+M155</f>
        <v>47.2</v>
      </c>
      <c r="O155">
        <f t="shared" si="44"/>
        <v>511.03073553712926</v>
      </c>
      <c r="P155" s="14">
        <f>_xlfn.XLOOKUP($N155,'Q1 Base'!$C$8:$C$208,'Q1 Base'!$D$8:$D$208,,0,)</f>
        <v>1.4035747601583472E-3</v>
      </c>
      <c r="Q155" s="29">
        <f t="shared" ref="Q155:Q218" si="58">O155*$B$7+$N$18-P155*(SumAssdTA-O155)</f>
        <v>52.583117942786231</v>
      </c>
      <c r="S155" s="4">
        <f t="shared" si="45"/>
        <v>7.2</v>
      </c>
      <c r="T155" s="5">
        <f t="shared" ref="T155:T218" si="59">$B$8+S155</f>
        <v>47.2</v>
      </c>
      <c r="U155">
        <f t="shared" si="46"/>
        <v>-344.19199959859367</v>
      </c>
      <c r="V155" s="14">
        <f>_xlfn.XLOOKUP($T155,'Q1 Base'!$C$8:$C$208,'Q1 Base'!$D$8:$D$208,,0,)</f>
        <v>1.4035747601583472E-3</v>
      </c>
      <c r="W155" s="32">
        <f t="shared" ref="W155:W218" si="60">StartDecSA+(FinalDecSA-StartDecSA)*(S155/TermOfDecSA)</f>
        <v>128000</v>
      </c>
      <c r="X155" s="29">
        <f t="shared" ref="X155:X218" si="61">U155*$B$7+$E$6-V155*(W155-U155)-Expenses</f>
        <v>-24.234108475455002</v>
      </c>
      <c r="Y155" s="48">
        <f t="shared" si="52"/>
        <v>-2.0975662958161267</v>
      </c>
      <c r="Z155" s="51">
        <f t="shared" si="47"/>
        <v>-657.78763469657179</v>
      </c>
      <c r="AB155" s="4">
        <f t="shared" si="48"/>
        <v>12.8</v>
      </c>
      <c r="AC155" s="5">
        <f t="shared" ref="AC155:AC218" si="62">$B$8+AB155</f>
        <v>52.8</v>
      </c>
      <c r="AD155" s="13">
        <f t="shared" si="49"/>
        <v>2.1464526259224411E-3</v>
      </c>
      <c r="AE155" s="14">
        <f t="shared" si="50"/>
        <v>0.98282543085763008</v>
      </c>
      <c r="AF155" s="4">
        <f t="shared" ref="AF155:AF218" si="63">IF(OR(AB155=0,AB155=TermOfDecSA),0.5,1)</f>
        <v>1</v>
      </c>
      <c r="AG155">
        <f t="shared" si="51"/>
        <v>0.40819919527792264</v>
      </c>
      <c r="AH155">
        <f t="shared" ref="AH155:AH218" si="64">AD155*AE155*AF155*AG155</f>
        <v>8.6113221658334481E-4</v>
      </c>
      <c r="AI155" s="5">
        <f t="shared" ref="AI155:AI218" si="65">AE155*AF155*AG155</f>
        <v>0.40118854997476222</v>
      </c>
    </row>
    <row r="156" spans="1:35" x14ac:dyDescent="0.45">
      <c r="A156" s="4">
        <f t="shared" ref="A156:A219" si="66">ROUND(A155+StepSizeQ1,2)</f>
        <v>12.9</v>
      </c>
      <c r="B156" s="5">
        <f t="shared" si="54"/>
        <v>52.9</v>
      </c>
      <c r="C156" s="14">
        <f>_xlfn.XLOOKUP($B156,'Q1 Base'!$C$8:$C$208,'Q1 Base'!$D$8:$D$208,,0,)</f>
        <v>2.1611378198745416E-3</v>
      </c>
      <c r="D156">
        <f t="shared" ref="D156:D187" si="67">D155+StepSizeQ1*E155</f>
        <v>0.98261447203494134</v>
      </c>
      <c r="E156" s="5">
        <f t="shared" si="55"/>
        <v>-2.1235652978707667E-3</v>
      </c>
      <c r="G156" s="4">
        <f t="shared" ref="G156:G219" si="68">ROUND(G155-StepSizeQ1,2)</f>
        <v>7.1</v>
      </c>
      <c r="H156" s="5">
        <f t="shared" si="56"/>
        <v>47.1</v>
      </c>
      <c r="I156">
        <f t="shared" ref="I156:I219" si="69">I155-StepSizeQ1*K155</f>
        <v>307.39219776204385</v>
      </c>
      <c r="J156" s="14">
        <f>_xlfn.XLOOKUP($H156,'Q1 Base'!$C$8:$C$208,'Q1 Base'!$D$8:$D$208,,0,)</f>
        <v>1.3918118411802574E-3</v>
      </c>
      <c r="K156" s="29" cm="1">
        <f t="array" ref="K156">I156*$B$7+$E$6-J156*(SumAssdTA-I156)</f>
        <v>62.764101826048972</v>
      </c>
      <c r="M156" s="4">
        <f t="shared" ref="M156:M219" si="70">ROUND(M155-StepSizeQ1,2)</f>
        <v>7.1</v>
      </c>
      <c r="N156" s="5">
        <f t="shared" si="57"/>
        <v>47.1</v>
      </c>
      <c r="O156">
        <f t="shared" ref="O156:O219" si="71">O155-StepSizeQ1*Q155</f>
        <v>505.77242374285066</v>
      </c>
      <c r="P156" s="14">
        <f>_xlfn.XLOOKUP($N156,'Q1 Base'!$C$8:$C$208,'Q1 Base'!$D$8:$D$208,,0,)</f>
        <v>1.3918118411802574E-3</v>
      </c>
      <c r="Q156" s="29">
        <f t="shared" si="58"/>
        <v>53.377998221238386</v>
      </c>
      <c r="S156" s="4">
        <f t="shared" ref="S156:S219" si="72">ROUND(S155-StepSizeQ1,2)</f>
        <v>7.1</v>
      </c>
      <c r="T156" s="5">
        <f t="shared" si="59"/>
        <v>47.1</v>
      </c>
      <c r="U156">
        <f t="shared" ref="U156:U219" si="73">U155-StepSizeQ1*X155</f>
        <v>-341.76858875104818</v>
      </c>
      <c r="V156" s="14">
        <f>_xlfn.XLOOKUP($T156,'Q1 Base'!$C$8:$C$208,'Q1 Base'!$D$8:$D$208,,0,)</f>
        <v>1.3918118411802574E-3</v>
      </c>
      <c r="W156" s="32">
        <f t="shared" si="60"/>
        <v>129000</v>
      </c>
      <c r="X156" s="29">
        <f t="shared" si="61"/>
        <v>-23.943206293593761</v>
      </c>
      <c r="Y156" s="48">
        <f t="shared" si="52"/>
        <v>-2.1118323472075096</v>
      </c>
      <c r="Z156" s="51">
        <f t="shared" ref="Z156:Z219" si="74">U156-I156</f>
        <v>-649.16078651309203</v>
      </c>
      <c r="AB156" s="4">
        <f t="shared" ref="AB156:AB219" si="75">ROUND(AB155+StepSizeQ1,2)</f>
        <v>12.9</v>
      </c>
      <c r="AC156" s="5">
        <f t="shared" si="62"/>
        <v>52.9</v>
      </c>
      <c r="AD156" s="13">
        <f t="shared" ref="AD156:AD219" si="76">C156</f>
        <v>2.1611378198745416E-3</v>
      </c>
      <c r="AE156" s="14">
        <f t="shared" ref="AE156:AE219" si="77">D156</f>
        <v>0.98261447203494134</v>
      </c>
      <c r="AF156" s="4">
        <f t="shared" si="63"/>
        <v>1</v>
      </c>
      <c r="AG156">
        <f t="shared" ref="AG156:AG219" si="78">EXP(-AB156*$B$7)</f>
        <v>0.40535177849665399</v>
      </c>
      <c r="AH156">
        <f t="shared" si="64"/>
        <v>8.6079097024569211E-4</v>
      </c>
      <c r="AI156" s="5">
        <f t="shared" si="65"/>
        <v>0.39830452381591414</v>
      </c>
    </row>
    <row r="157" spans="1:35" x14ac:dyDescent="0.45">
      <c r="A157" s="4">
        <f t="shared" si="66"/>
        <v>13</v>
      </c>
      <c r="B157" s="5">
        <f t="shared" si="54"/>
        <v>53</v>
      </c>
      <c r="C157" s="14">
        <f>_xlfn.XLOOKUP($B157,'Q1 Base'!$C$8:$C$208,'Q1 Base'!$D$8:$D$208,,0,)</f>
        <v>2.1758230138266416E-3</v>
      </c>
      <c r="D157">
        <f t="shared" si="67"/>
        <v>0.98240211550515422</v>
      </c>
      <c r="E157" s="5">
        <f t="shared" si="55"/>
        <v>-2.137533131748093E-3</v>
      </c>
      <c r="G157" s="4">
        <f t="shared" si="68"/>
        <v>7</v>
      </c>
      <c r="H157" s="5">
        <f t="shared" si="56"/>
        <v>47</v>
      </c>
      <c r="I157">
        <f t="shared" si="69"/>
        <v>301.11578757943897</v>
      </c>
      <c r="J157" s="14">
        <f>_xlfn.XLOOKUP($H157,'Q1 Base'!$C$8:$C$208,'Q1 Base'!$D$8:$D$208,,0,)</f>
        <v>1.3800489222021673E-3</v>
      </c>
      <c r="K157" s="29" cm="1">
        <f t="array" ref="K157">I157*$B$7+$E$6-J157*(SumAssdTA-I157)</f>
        <v>63.488767428451069</v>
      </c>
      <c r="M157" s="4">
        <f t="shared" si="70"/>
        <v>7</v>
      </c>
      <c r="N157" s="5">
        <f t="shared" si="57"/>
        <v>47</v>
      </c>
      <c r="O157">
        <f t="shared" si="71"/>
        <v>500.43462392072684</v>
      </c>
      <c r="P157" s="14">
        <f>_xlfn.XLOOKUP($N157,'Q1 Base'!$C$8:$C$208,'Q1 Base'!$D$8:$D$208,,0,)</f>
        <v>1.3800489222021673E-3</v>
      </c>
      <c r="Q157" s="29">
        <f t="shared" si="58"/>
        <v>54.167328346565427</v>
      </c>
      <c r="S157" s="4">
        <f t="shared" si="72"/>
        <v>7</v>
      </c>
      <c r="T157" s="5">
        <f t="shared" si="59"/>
        <v>47</v>
      </c>
      <c r="U157">
        <f t="shared" si="73"/>
        <v>-339.37426812168883</v>
      </c>
      <c r="V157" s="14">
        <f>_xlfn.XLOOKUP($T157,'Q1 Base'!$C$8:$C$208,'Q1 Base'!$D$8:$D$208,,0,)</f>
        <v>1.3800489222021673E-3</v>
      </c>
      <c r="W157" s="32">
        <f t="shared" si="60"/>
        <v>130000</v>
      </c>
      <c r="X157" s="29">
        <f t="shared" si="61"/>
        <v>-23.630911747744449</v>
      </c>
      <c r="Y157" s="48">
        <f t="shared" ref="Y157:Y220" si="79">U157/I157-1</f>
        <v>-2.1270557111926811</v>
      </c>
      <c r="Z157" s="51">
        <f t="shared" si="74"/>
        <v>-640.49005570112786</v>
      </c>
      <c r="AB157" s="4">
        <f t="shared" si="75"/>
        <v>13</v>
      </c>
      <c r="AC157" s="5">
        <f t="shared" si="62"/>
        <v>53</v>
      </c>
      <c r="AD157" s="13">
        <f t="shared" si="76"/>
        <v>2.1758230138266416E-3</v>
      </c>
      <c r="AE157" s="14">
        <f t="shared" si="77"/>
        <v>0.98240211550515422</v>
      </c>
      <c r="AF157" s="4">
        <f t="shared" si="63"/>
        <v>1</v>
      </c>
      <c r="AG157">
        <f t="shared" si="78"/>
        <v>0.40252422403363591</v>
      </c>
      <c r="AH157">
        <f t="shared" si="64"/>
        <v>8.6040886520308876E-4</v>
      </c>
      <c r="AI157" s="5">
        <f t="shared" si="65"/>
        <v>0.39544064923271455</v>
      </c>
    </row>
    <row r="158" spans="1:35" x14ac:dyDescent="0.45">
      <c r="A158" s="4">
        <f t="shared" si="66"/>
        <v>13.1</v>
      </c>
      <c r="B158" s="5">
        <f t="shared" si="54"/>
        <v>53.1</v>
      </c>
      <c r="C158" s="14">
        <f>_xlfn.XLOOKUP($B158,'Q1 Base'!$C$8:$C$208,'Q1 Base'!$D$8:$D$208,,0,)</f>
        <v>2.1909951016125676E-3</v>
      </c>
      <c r="D158">
        <f t="shared" si="67"/>
        <v>0.98218836219197936</v>
      </c>
      <c r="E158" s="5">
        <f t="shared" si="55"/>
        <v>-2.1519698904234972E-3</v>
      </c>
      <c r="G158" s="4">
        <f t="shared" si="68"/>
        <v>6.9</v>
      </c>
      <c r="H158" s="5">
        <f t="shared" si="56"/>
        <v>46.9</v>
      </c>
      <c r="I158">
        <f t="shared" si="69"/>
        <v>294.76691083659387</v>
      </c>
      <c r="J158" s="14">
        <f>_xlfn.XLOOKUP($H158,'Q1 Base'!$C$8:$C$208,'Q1 Base'!$D$8:$D$208,,0,)</f>
        <v>1.3689701336230479E-3</v>
      </c>
      <c r="K158" s="29" cm="1">
        <f t="array" ref="K158">I158*$B$7+$E$6-J158*(SumAssdTA-I158)</f>
        <v>64.140197493572401</v>
      </c>
      <c r="M158" s="4">
        <f t="shared" si="70"/>
        <v>6.9</v>
      </c>
      <c r="N158" s="5">
        <f t="shared" si="57"/>
        <v>46.9</v>
      </c>
      <c r="O158">
        <f t="shared" si="71"/>
        <v>495.01789108607028</v>
      </c>
      <c r="P158" s="14">
        <f>_xlfn.XLOOKUP($N158,'Q1 Base'!$C$8:$C$208,'Q1 Base'!$D$8:$D$208,,0,)</f>
        <v>1.3689701336230479E-3</v>
      </c>
      <c r="Q158" s="29">
        <f t="shared" si="58"/>
        <v>54.883076351182865</v>
      </c>
      <c r="S158" s="4">
        <f t="shared" si="72"/>
        <v>6.9</v>
      </c>
      <c r="T158" s="5">
        <f t="shared" si="59"/>
        <v>46.9</v>
      </c>
      <c r="U158">
        <f t="shared" si="73"/>
        <v>-337.01117694691436</v>
      </c>
      <c r="V158" s="14">
        <f>_xlfn.XLOOKUP($T158,'Q1 Base'!$C$8:$C$208,'Q1 Base'!$D$8:$D$208,,0,)</f>
        <v>1.3689701336230479E-3</v>
      </c>
      <c r="W158" s="32">
        <f t="shared" si="60"/>
        <v>131000</v>
      </c>
      <c r="X158" s="29">
        <f t="shared" si="61"/>
        <v>-23.387228126840796</v>
      </c>
      <c r="Y158" s="48">
        <f t="shared" si="79"/>
        <v>-2.143314139264902</v>
      </c>
      <c r="Z158" s="51">
        <f t="shared" si="74"/>
        <v>-631.77808778350823</v>
      </c>
      <c r="AB158" s="4">
        <f t="shared" si="75"/>
        <v>13.1</v>
      </c>
      <c r="AC158" s="5">
        <f t="shared" si="62"/>
        <v>53.1</v>
      </c>
      <c r="AD158" s="13">
        <f t="shared" si="76"/>
        <v>2.1909951016125676E-3</v>
      </c>
      <c r="AE158" s="14">
        <f t="shared" si="77"/>
        <v>0.98218836219197936</v>
      </c>
      <c r="AF158" s="4">
        <f t="shared" si="63"/>
        <v>1</v>
      </c>
      <c r="AG158">
        <f t="shared" si="78"/>
        <v>0.39971639333813408</v>
      </c>
      <c r="AH158">
        <f t="shared" si="64"/>
        <v>8.6017764317233988E-4</v>
      </c>
      <c r="AI158" s="5">
        <f t="shared" si="65"/>
        <v>0.39259678971406692</v>
      </c>
    </row>
    <row r="159" spans="1:35" x14ac:dyDescent="0.45">
      <c r="A159" s="4">
        <f t="shared" si="66"/>
        <v>13.2</v>
      </c>
      <c r="B159" s="5">
        <f t="shared" si="54"/>
        <v>53.2</v>
      </c>
      <c r="C159" s="14">
        <f>_xlfn.XLOOKUP($B159,'Q1 Base'!$C$8:$C$208,'Q1 Base'!$D$8:$D$208,,0,)</f>
        <v>2.206167189398494E-3</v>
      </c>
      <c r="D159">
        <f t="shared" si="67"/>
        <v>0.98197316520293698</v>
      </c>
      <c r="E159" s="5">
        <f t="shared" si="55"/>
        <v>-2.1663969779405065E-3</v>
      </c>
      <c r="G159" s="4">
        <f t="shared" si="68"/>
        <v>6.8</v>
      </c>
      <c r="H159" s="5">
        <f t="shared" si="56"/>
        <v>46.8</v>
      </c>
      <c r="I159">
        <f t="shared" si="69"/>
        <v>288.35289108723663</v>
      </c>
      <c r="J159" s="14">
        <f>_xlfn.XLOOKUP($H159,'Q1 Base'!$C$8:$C$208,'Q1 Base'!$D$8:$D$208,,0,)</f>
        <v>1.3578913450439289E-3</v>
      </c>
      <c r="K159" s="29" cm="1">
        <f t="array" ref="K159">I159*$B$7+$E$6-J159*(SumAssdTA-I159)</f>
        <v>64.787119766839425</v>
      </c>
      <c r="M159" s="4">
        <f t="shared" si="70"/>
        <v>6.8</v>
      </c>
      <c r="N159" s="5">
        <f t="shared" si="57"/>
        <v>46.8</v>
      </c>
      <c r="O159">
        <f t="shared" si="71"/>
        <v>489.52958345095198</v>
      </c>
      <c r="P159" s="14">
        <f>_xlfn.XLOOKUP($N159,'Q1 Base'!$C$8:$C$208,'Q1 Base'!$D$8:$D$208,,0,)</f>
        <v>1.3578913450439289E-3</v>
      </c>
      <c r="Q159" s="29">
        <f t="shared" si="58"/>
        <v>55.593836950641588</v>
      </c>
      <c r="S159" s="4">
        <f t="shared" si="72"/>
        <v>6.8</v>
      </c>
      <c r="T159" s="5">
        <f t="shared" si="59"/>
        <v>46.8</v>
      </c>
      <c r="U159">
        <f t="shared" si="73"/>
        <v>-334.67245413423029</v>
      </c>
      <c r="V159" s="14">
        <f>_xlfn.XLOOKUP($T159,'Q1 Base'!$C$8:$C$208,'Q1 Base'!$D$8:$D$208,,0,)</f>
        <v>1.3578913450439289E-3</v>
      </c>
      <c r="W159" s="32">
        <f t="shared" si="60"/>
        <v>132000</v>
      </c>
      <c r="X159" s="29">
        <f t="shared" si="61"/>
        <v>-23.123178164088216</v>
      </c>
      <c r="Y159" s="48">
        <f t="shared" si="79"/>
        <v>-2.1606349874708917</v>
      </c>
      <c r="Z159" s="51">
        <f t="shared" si="74"/>
        <v>-623.02534522146698</v>
      </c>
      <c r="AB159" s="4">
        <f t="shared" si="75"/>
        <v>13.2</v>
      </c>
      <c r="AC159" s="5">
        <f t="shared" si="62"/>
        <v>53.2</v>
      </c>
      <c r="AD159" s="13">
        <f t="shared" si="76"/>
        <v>2.206167189398494E-3</v>
      </c>
      <c r="AE159" s="14">
        <f t="shared" si="77"/>
        <v>0.98197316520293698</v>
      </c>
      <c r="AF159" s="4">
        <f t="shared" si="63"/>
        <v>1</v>
      </c>
      <c r="AG159">
        <f t="shared" si="78"/>
        <v>0.39692814882588245</v>
      </c>
      <c r="AH159">
        <f t="shared" si="64"/>
        <v>8.5990394207591139E-4</v>
      </c>
      <c r="AI159" s="5">
        <f t="shared" si="65"/>
        <v>0.3897727906606942</v>
      </c>
    </row>
    <row r="160" spans="1:35" x14ac:dyDescent="0.45">
      <c r="A160" s="4">
        <f t="shared" si="66"/>
        <v>13.3</v>
      </c>
      <c r="B160" s="5">
        <f t="shared" si="54"/>
        <v>53.3</v>
      </c>
      <c r="C160" s="14">
        <f>_xlfn.XLOOKUP($B160,'Q1 Base'!$C$8:$C$208,'Q1 Base'!$D$8:$D$208,,0,)</f>
        <v>2.2213392771844188E-3</v>
      </c>
      <c r="D160">
        <f t="shared" si="67"/>
        <v>0.98175652550514292</v>
      </c>
      <c r="E160" s="5">
        <f t="shared" si="55"/>
        <v>-2.1808143307366808E-3</v>
      </c>
      <c r="G160" s="4">
        <f t="shared" si="68"/>
        <v>6.7</v>
      </c>
      <c r="H160" s="5">
        <f t="shared" si="56"/>
        <v>46.7</v>
      </c>
      <c r="I160">
        <f t="shared" si="69"/>
        <v>281.87417911055269</v>
      </c>
      <c r="J160" s="14">
        <f>_xlfn.XLOOKUP($H160,'Q1 Base'!$C$8:$C$208,'Q1 Base'!$D$8:$D$208,,0,)</f>
        <v>1.3468125564648102E-3</v>
      </c>
      <c r="K160" s="29" cm="1">
        <f t="array" ref="K160">I160*$B$7+$E$6-J160*(SumAssdTA-I160)</f>
        <v>65.429568575026963</v>
      </c>
      <c r="M160" s="4">
        <f t="shared" si="70"/>
        <v>6.7</v>
      </c>
      <c r="N160" s="5">
        <f t="shared" si="57"/>
        <v>46.7</v>
      </c>
      <c r="O160">
        <f t="shared" si="71"/>
        <v>483.97019975588779</v>
      </c>
      <c r="P160" s="14">
        <f>_xlfn.XLOOKUP($N160,'Q1 Base'!$C$8:$C$208,'Q1 Base'!$D$8:$D$208,,0,)</f>
        <v>1.3468125564648102E-3</v>
      </c>
      <c r="Q160" s="29">
        <f t="shared" si="58"/>
        <v>56.299648107373997</v>
      </c>
      <c r="S160" s="4">
        <f t="shared" si="72"/>
        <v>6.7</v>
      </c>
      <c r="T160" s="5">
        <f t="shared" si="59"/>
        <v>46.7</v>
      </c>
      <c r="U160">
        <f t="shared" si="73"/>
        <v>-332.36013631782146</v>
      </c>
      <c r="V160" s="14">
        <f>_xlfn.XLOOKUP($T160,'Q1 Base'!$C$8:$C$208,'Q1 Base'!$D$8:$D$208,,0,)</f>
        <v>1.3468125564648102E-3</v>
      </c>
      <c r="W160" s="32">
        <f t="shared" si="60"/>
        <v>133000</v>
      </c>
      <c r="X160" s="29">
        <f t="shared" si="61"/>
        <v>-22.838906356928447</v>
      </c>
      <c r="Y160" s="48">
        <f t="shared" si="79"/>
        <v>-2.1791081303245869</v>
      </c>
      <c r="Z160" s="51">
        <f t="shared" si="74"/>
        <v>-614.2343154283742</v>
      </c>
      <c r="AB160" s="4">
        <f t="shared" si="75"/>
        <v>13.3</v>
      </c>
      <c r="AC160" s="5">
        <f t="shared" si="62"/>
        <v>53.3</v>
      </c>
      <c r="AD160" s="13">
        <f t="shared" si="76"/>
        <v>2.2213392771844188E-3</v>
      </c>
      <c r="AE160" s="14">
        <f t="shared" si="77"/>
        <v>0.98175652550514292</v>
      </c>
      <c r="AF160" s="4">
        <f t="shared" si="63"/>
        <v>1</v>
      </c>
      <c r="AG160">
        <f t="shared" si="78"/>
        <v>0.39415935387234213</v>
      </c>
      <c r="AH160">
        <f t="shared" si="64"/>
        <v>8.5958836751871435E-4</v>
      </c>
      <c r="AI160" s="5">
        <f t="shared" si="65"/>
        <v>0.38696851775306274</v>
      </c>
    </row>
    <row r="161" spans="1:35" x14ac:dyDescent="0.45">
      <c r="A161" s="4">
        <f t="shared" si="66"/>
        <v>13.4</v>
      </c>
      <c r="B161" s="5">
        <f t="shared" si="54"/>
        <v>53.4</v>
      </c>
      <c r="C161" s="14">
        <f>_xlfn.XLOOKUP($B161,'Q1 Base'!$C$8:$C$208,'Q1 Base'!$D$8:$D$208,,0,)</f>
        <v>2.2365113649703448E-3</v>
      </c>
      <c r="D161">
        <f t="shared" si="67"/>
        <v>0.98153844407206925</v>
      </c>
      <c r="E161" s="5">
        <f t="shared" si="55"/>
        <v>-2.1952218853224922E-3</v>
      </c>
      <c r="G161" s="4">
        <f t="shared" si="68"/>
        <v>6.6</v>
      </c>
      <c r="H161" s="5">
        <f t="shared" si="56"/>
        <v>46.6</v>
      </c>
      <c r="I161">
        <f t="shared" si="69"/>
        <v>275.33122225304999</v>
      </c>
      <c r="J161" s="14">
        <f>_xlfn.XLOOKUP($H161,'Q1 Base'!$C$8:$C$208,'Q1 Base'!$D$8:$D$208,,0,)</f>
        <v>1.335733767885691E-3</v>
      </c>
      <c r="K161" s="29" cm="1">
        <f t="array" ref="K161">I161*$B$7+$E$6-J161*(SumAssdTA-I161)</f>
        <v>66.06757798006106</v>
      </c>
      <c r="M161" s="4">
        <f t="shared" si="70"/>
        <v>6.6</v>
      </c>
      <c r="N161" s="5">
        <f t="shared" si="57"/>
        <v>46.6</v>
      </c>
      <c r="O161">
        <f t="shared" si="71"/>
        <v>478.34023494515037</v>
      </c>
      <c r="P161" s="14">
        <f>_xlfn.XLOOKUP($N161,'Q1 Base'!$C$8:$C$208,'Q1 Base'!$D$8:$D$208,,0,)</f>
        <v>1.335733767885691E-3</v>
      </c>
      <c r="Q161" s="29">
        <f t="shared" si="58"/>
        <v>57.000547490902875</v>
      </c>
      <c r="S161" s="4">
        <f t="shared" si="72"/>
        <v>6.6</v>
      </c>
      <c r="T161" s="5">
        <f t="shared" si="59"/>
        <v>46.6</v>
      </c>
      <c r="U161">
        <f t="shared" si="73"/>
        <v>-330.07624568212862</v>
      </c>
      <c r="V161" s="14">
        <f>_xlfn.XLOOKUP($T161,'Q1 Base'!$C$8:$C$208,'Q1 Base'!$D$8:$D$208,,0,)</f>
        <v>1.335733767885691E-3</v>
      </c>
      <c r="W161" s="32">
        <f t="shared" si="60"/>
        <v>134000</v>
      </c>
      <c r="X161" s="29">
        <f t="shared" si="61"/>
        <v>-22.534556081766169</v>
      </c>
      <c r="Y161" s="48">
        <f t="shared" si="79"/>
        <v>-2.1988333287489055</v>
      </c>
      <c r="Z161" s="51">
        <f t="shared" si="74"/>
        <v>-605.4074679351786</v>
      </c>
      <c r="AB161" s="4">
        <f t="shared" si="75"/>
        <v>13.4</v>
      </c>
      <c r="AC161" s="5">
        <f t="shared" si="62"/>
        <v>53.4</v>
      </c>
      <c r="AD161" s="13">
        <f t="shared" si="76"/>
        <v>2.2365113649703448E-3</v>
      </c>
      <c r="AE161" s="14">
        <f t="shared" si="77"/>
        <v>0.98153844407206925</v>
      </c>
      <c r="AF161" s="4">
        <f t="shared" si="63"/>
        <v>1</v>
      </c>
      <c r="AG161">
        <f t="shared" si="78"/>
        <v>0.39140987280600642</v>
      </c>
      <c r="AH161">
        <f t="shared" si="64"/>
        <v>8.5923151891503834E-4</v>
      </c>
      <c r="AI161" s="5">
        <f t="shared" si="65"/>
        <v>0.38418383754845409</v>
      </c>
    </row>
    <row r="162" spans="1:35" x14ac:dyDescent="0.45">
      <c r="A162" s="4">
        <f t="shared" si="66"/>
        <v>13.5</v>
      </c>
      <c r="B162" s="5">
        <f t="shared" si="54"/>
        <v>53.5</v>
      </c>
      <c r="C162" s="14">
        <f>_xlfn.XLOOKUP($B162,'Q1 Base'!$C$8:$C$208,'Q1 Base'!$D$8:$D$208,,0,)</f>
        <v>2.2516834527562708E-3</v>
      </c>
      <c r="D162">
        <f t="shared" si="67"/>
        <v>0.98131892188353698</v>
      </c>
      <c r="E162" s="5">
        <f t="shared" si="55"/>
        <v>-2.2096195782817839E-3</v>
      </c>
      <c r="G162" s="4">
        <f t="shared" si="68"/>
        <v>6.5</v>
      </c>
      <c r="H162" s="5">
        <f t="shared" si="56"/>
        <v>46.5</v>
      </c>
      <c r="I162">
        <f t="shared" si="69"/>
        <v>268.72446445504386</v>
      </c>
      <c r="J162" s="14">
        <f>_xlfn.XLOOKUP($H162,'Q1 Base'!$C$8:$C$208,'Q1 Base'!$D$8:$D$208,,0,)</f>
        <v>1.3246549793065716E-3</v>
      </c>
      <c r="K162" s="29" cm="1">
        <f t="array" ref="K162">I162*$B$7+$E$6-J162*(SumAssdTA-I162)</f>
        <v>66.701181781097773</v>
      </c>
      <c r="M162" s="4">
        <f t="shared" si="70"/>
        <v>6.5</v>
      </c>
      <c r="N162" s="5">
        <f t="shared" si="57"/>
        <v>46.5</v>
      </c>
      <c r="O162">
        <f t="shared" si="71"/>
        <v>472.6401801960601</v>
      </c>
      <c r="P162" s="14">
        <f>_xlfn.XLOOKUP($N162,'Q1 Base'!$C$8:$C$208,'Q1 Base'!$D$8:$D$208,,0,)</f>
        <v>1.3246549793065716E-3</v>
      </c>
      <c r="Q162" s="29">
        <f t="shared" si="58"/>
        <v>57.696572480140958</v>
      </c>
      <c r="S162" s="4">
        <f t="shared" si="72"/>
        <v>6.5</v>
      </c>
      <c r="T162" s="5">
        <f t="shared" si="59"/>
        <v>46.5</v>
      </c>
      <c r="U162">
        <f t="shared" si="73"/>
        <v>-327.82279007395198</v>
      </c>
      <c r="V162" s="14">
        <f>_xlfn.XLOOKUP($T162,'Q1 Base'!$C$8:$C$208,'Q1 Base'!$D$8:$D$208,,0,)</f>
        <v>1.3246549793065716E-3</v>
      </c>
      <c r="W162" s="32">
        <f t="shared" si="60"/>
        <v>135000</v>
      </c>
      <c r="X162" s="29">
        <f t="shared" si="61"/>
        <v>-22.210269602765436</v>
      </c>
      <c r="Y162" s="48">
        <f t="shared" si="79"/>
        <v>-2.2199216425596227</v>
      </c>
      <c r="Z162" s="51">
        <f t="shared" si="74"/>
        <v>-596.54725452899584</v>
      </c>
      <c r="AB162" s="4">
        <f t="shared" si="75"/>
        <v>13.5</v>
      </c>
      <c r="AC162" s="5">
        <f t="shared" si="62"/>
        <v>53.5</v>
      </c>
      <c r="AD162" s="13">
        <f t="shared" si="76"/>
        <v>2.2516834527562708E-3</v>
      </c>
      <c r="AE162" s="14">
        <f t="shared" si="77"/>
        <v>0.98131892188353698</v>
      </c>
      <c r="AF162" s="4">
        <f t="shared" si="63"/>
        <v>1</v>
      </c>
      <c r="AG162">
        <f t="shared" si="78"/>
        <v>0.38867957090175298</v>
      </c>
      <c r="AH162">
        <f t="shared" si="64"/>
        <v>8.5883398954267613E-4</v>
      </c>
      <c r="AI162" s="5">
        <f t="shared" si="65"/>
        <v>0.38141861747546402</v>
      </c>
    </row>
    <row r="163" spans="1:35" x14ac:dyDescent="0.45">
      <c r="A163" s="4">
        <f t="shared" si="66"/>
        <v>13.6</v>
      </c>
      <c r="B163" s="5">
        <f t="shared" si="54"/>
        <v>53.6</v>
      </c>
      <c r="C163" s="14">
        <f>_xlfn.XLOOKUP($B163,'Q1 Base'!$C$8:$C$208,'Q1 Base'!$D$8:$D$208,,0,)</f>
        <v>2.2668555405421969E-3</v>
      </c>
      <c r="D163">
        <f t="shared" si="67"/>
        <v>0.98109795992570881</v>
      </c>
      <c r="E163" s="5">
        <f t="shared" si="55"/>
        <v>-2.2240073462722392E-3</v>
      </c>
      <c r="G163" s="4">
        <f t="shared" si="68"/>
        <v>6.4</v>
      </c>
      <c r="H163" s="5">
        <f t="shared" si="56"/>
        <v>46.4</v>
      </c>
      <c r="I163">
        <f t="shared" si="69"/>
        <v>262.0543462769341</v>
      </c>
      <c r="J163" s="14">
        <f>_xlfn.XLOOKUP($H163,'Q1 Base'!$C$8:$C$208,'Q1 Base'!$D$8:$D$208,,0,)</f>
        <v>1.3135761907274524E-3</v>
      </c>
      <c r="K163" s="29" cm="1">
        <f t="array" ref="K163">I163*$B$7+$E$6-J163*(SumAssdTA-I163)</f>
        <v>67.330413516586162</v>
      </c>
      <c r="M163" s="4">
        <f t="shared" si="70"/>
        <v>6.4</v>
      </c>
      <c r="N163" s="5">
        <f t="shared" si="57"/>
        <v>46.4</v>
      </c>
      <c r="O163">
        <f t="shared" si="71"/>
        <v>466.87052294804602</v>
      </c>
      <c r="P163" s="14">
        <f>_xlfn.XLOOKUP($N163,'Q1 Base'!$C$8:$C$208,'Q1 Base'!$D$8:$D$208,,0,)</f>
        <v>1.3135761907274524E-3</v>
      </c>
      <c r="Q163" s="29">
        <f t="shared" si="58"/>
        <v>58.387760165671835</v>
      </c>
      <c r="S163" s="4">
        <f t="shared" si="72"/>
        <v>6.4</v>
      </c>
      <c r="T163" s="5">
        <f t="shared" si="59"/>
        <v>46.4</v>
      </c>
      <c r="U163">
        <f t="shared" si="73"/>
        <v>-325.60176311367542</v>
      </c>
      <c r="V163" s="14">
        <f>_xlfn.XLOOKUP($T163,'Q1 Base'!$C$8:$C$208,'Q1 Base'!$D$8:$D$208,,0,)</f>
        <v>1.3135761907274524E-3</v>
      </c>
      <c r="W163" s="32">
        <f t="shared" si="60"/>
        <v>136000</v>
      </c>
      <c r="X163" s="29">
        <f t="shared" si="61"/>
        <v>-21.866188080575796</v>
      </c>
      <c r="Y163" s="48">
        <f t="shared" si="79"/>
        <v>-2.2424970916894682</v>
      </c>
      <c r="Z163" s="51">
        <f t="shared" si="74"/>
        <v>-587.65610939060957</v>
      </c>
      <c r="AB163" s="4">
        <f t="shared" si="75"/>
        <v>13.6</v>
      </c>
      <c r="AC163" s="5">
        <f t="shared" si="62"/>
        <v>53.6</v>
      </c>
      <c r="AD163" s="13">
        <f t="shared" si="76"/>
        <v>2.2668555405421969E-3</v>
      </c>
      <c r="AE163" s="14">
        <f t="shared" si="77"/>
        <v>0.98109795992570881</v>
      </c>
      <c r="AF163" s="4">
        <f t="shared" si="63"/>
        <v>1</v>
      </c>
      <c r="AG163">
        <f t="shared" si="78"/>
        <v>0.38596831437424212</v>
      </c>
      <c r="AH163">
        <f t="shared" si="64"/>
        <v>8.5839636659662761E-4</v>
      </c>
      <c r="AI163" s="5">
        <f t="shared" si="65"/>
        <v>0.37867272582853356</v>
      </c>
    </row>
    <row r="164" spans="1:35" x14ac:dyDescent="0.45">
      <c r="A164" s="4">
        <f t="shared" si="66"/>
        <v>13.7</v>
      </c>
      <c r="B164" s="5">
        <f t="shared" si="54"/>
        <v>53.7</v>
      </c>
      <c r="C164" s="14">
        <f>_xlfn.XLOOKUP($B164,'Q1 Base'!$C$8:$C$208,'Q1 Base'!$D$8:$D$208,,0,)</f>
        <v>2.2820276283281229E-3</v>
      </c>
      <c r="D164">
        <f t="shared" si="67"/>
        <v>0.9808755591910816</v>
      </c>
      <c r="E164" s="5">
        <f t="shared" si="55"/>
        <v>-2.2383851260258454E-3</v>
      </c>
      <c r="G164" s="4">
        <f t="shared" si="68"/>
        <v>6.3</v>
      </c>
      <c r="H164" s="5">
        <f t="shared" si="56"/>
        <v>46.3</v>
      </c>
      <c r="I164">
        <f t="shared" si="69"/>
        <v>255.32130492527548</v>
      </c>
      <c r="J164" s="14">
        <f>_xlfn.XLOOKUP($H164,'Q1 Base'!$C$8:$C$208,'Q1 Base'!$D$8:$D$208,,0,)</f>
        <v>1.3024974021483328E-3</v>
      </c>
      <c r="K164" s="29" cm="1">
        <f t="array" ref="K164">I164*$B$7+$E$6-J164*(SumAssdTA-I164)</f>
        <v>67.955306466314312</v>
      </c>
      <c r="M164" s="4">
        <f t="shared" si="70"/>
        <v>6.3</v>
      </c>
      <c r="N164" s="5">
        <f t="shared" si="57"/>
        <v>46.3</v>
      </c>
      <c r="O164">
        <f t="shared" si="71"/>
        <v>461.03174693147884</v>
      </c>
      <c r="P164" s="14">
        <f>_xlfn.XLOOKUP($N164,'Q1 Base'!$C$8:$C$208,'Q1 Base'!$D$8:$D$208,,0,)</f>
        <v>1.3024974021483328E-3</v>
      </c>
      <c r="Q164" s="29">
        <f t="shared" si="58"/>
        <v>59.074147352013256</v>
      </c>
      <c r="S164" s="4">
        <f t="shared" si="72"/>
        <v>6.3</v>
      </c>
      <c r="T164" s="5">
        <f t="shared" si="59"/>
        <v>46.3</v>
      </c>
      <c r="U164">
        <f t="shared" si="73"/>
        <v>-323.41514430561784</v>
      </c>
      <c r="V164" s="14">
        <f>_xlfn.XLOOKUP($T164,'Q1 Base'!$C$8:$C$208,'Q1 Base'!$D$8:$D$208,,0,)</f>
        <v>1.3024974021483328E-3</v>
      </c>
      <c r="W164" s="32">
        <f t="shared" si="60"/>
        <v>137000</v>
      </c>
      <c r="X164" s="29">
        <f t="shared" si="61"/>
        <v>-21.50245158098835</v>
      </c>
      <c r="Y164" s="48">
        <f t="shared" si="79"/>
        <v>-2.2666986188256844</v>
      </c>
      <c r="Z164" s="51">
        <f t="shared" si="74"/>
        <v>-578.7364492308933</v>
      </c>
      <c r="AB164" s="4">
        <f t="shared" si="75"/>
        <v>13.7</v>
      </c>
      <c r="AC164" s="5">
        <f t="shared" si="62"/>
        <v>53.7</v>
      </c>
      <c r="AD164" s="13">
        <f t="shared" si="76"/>
        <v>2.2820276283281229E-3</v>
      </c>
      <c r="AE164" s="14">
        <f t="shared" si="77"/>
        <v>0.9808755591910816</v>
      </c>
      <c r="AF164" s="4">
        <f t="shared" si="63"/>
        <v>1</v>
      </c>
      <c r="AG164">
        <f t="shared" si="78"/>
        <v>0.38327597037136152</v>
      </c>
      <c r="AH164">
        <f t="shared" si="64"/>
        <v>8.5791923124237828E-4</v>
      </c>
      <c r="AI164" s="5">
        <f t="shared" si="65"/>
        <v>0.37594603176251368</v>
      </c>
    </row>
    <row r="165" spans="1:35" x14ac:dyDescent="0.45">
      <c r="A165" s="4">
        <f t="shared" si="66"/>
        <v>13.8</v>
      </c>
      <c r="B165" s="5">
        <f t="shared" si="54"/>
        <v>53.8</v>
      </c>
      <c r="C165" s="14">
        <f>_xlfn.XLOOKUP($B165,'Q1 Base'!$C$8:$C$208,'Q1 Base'!$D$8:$D$208,,0,)</f>
        <v>2.297199716114048E-3</v>
      </c>
      <c r="D165">
        <f t="shared" si="67"/>
        <v>0.98065172067847906</v>
      </c>
      <c r="E165" s="5">
        <f t="shared" si="55"/>
        <v>-2.2527528543493549E-3</v>
      </c>
      <c r="G165" s="4">
        <f t="shared" si="68"/>
        <v>6.2</v>
      </c>
      <c r="H165" s="5">
        <f t="shared" si="56"/>
        <v>46.2</v>
      </c>
      <c r="I165">
        <f t="shared" si="69"/>
        <v>248.52577427864406</v>
      </c>
      <c r="J165" s="14">
        <f>_xlfn.XLOOKUP($H165,'Q1 Base'!$C$8:$C$208,'Q1 Base'!$D$8:$D$208,,0,)</f>
        <v>1.2914186135692147E-3</v>
      </c>
      <c r="K165" s="29" cm="1">
        <f t="array" ref="K165">I165*$B$7+$E$6-J165*(SumAssdTA-I165)</f>
        <v>68.575893653438754</v>
      </c>
      <c r="M165" s="4">
        <f t="shared" si="70"/>
        <v>6.2</v>
      </c>
      <c r="N165" s="5">
        <f t="shared" si="57"/>
        <v>46.2</v>
      </c>
      <c r="O165">
        <f t="shared" si="71"/>
        <v>455.12433219627752</v>
      </c>
      <c r="P165" s="14">
        <f>_xlfn.XLOOKUP($N165,'Q1 Base'!$C$8:$C$208,'Q1 Base'!$D$8:$D$208,,0,)</f>
        <v>1.2914186135692147E-3</v>
      </c>
      <c r="Q165" s="29">
        <f t="shared" si="58"/>
        <v>59.755770559861361</v>
      </c>
      <c r="S165" s="4">
        <f t="shared" si="72"/>
        <v>6.2</v>
      </c>
      <c r="T165" s="5">
        <f t="shared" si="59"/>
        <v>46.2</v>
      </c>
      <c r="U165">
        <f t="shared" si="73"/>
        <v>-321.26489914751903</v>
      </c>
      <c r="V165" s="14">
        <f>_xlfn.XLOOKUP($T165,'Q1 Base'!$C$8:$C$208,'Q1 Base'!$D$8:$D$208,,0,)</f>
        <v>1.2914186135692147E-3</v>
      </c>
      <c r="W165" s="32">
        <f t="shared" si="60"/>
        <v>138000</v>
      </c>
      <c r="X165" s="29">
        <f t="shared" si="61"/>
        <v>-21.119199083523512</v>
      </c>
      <c r="Y165" s="48">
        <f t="shared" si="79"/>
        <v>-2.2926824192782549</v>
      </c>
      <c r="Z165" s="51">
        <f t="shared" si="74"/>
        <v>-569.79067342616304</v>
      </c>
      <c r="AB165" s="4">
        <f t="shared" si="75"/>
        <v>13.8</v>
      </c>
      <c r="AC165" s="5">
        <f t="shared" si="62"/>
        <v>53.8</v>
      </c>
      <c r="AD165" s="13">
        <f t="shared" si="76"/>
        <v>2.297199716114048E-3</v>
      </c>
      <c r="AE165" s="14">
        <f t="shared" si="77"/>
        <v>0.98065172067847906</v>
      </c>
      <c r="AF165" s="4">
        <f t="shared" si="63"/>
        <v>1</v>
      </c>
      <c r="AG165">
        <f t="shared" si="78"/>
        <v>0.38060240696771636</v>
      </c>
      <c r="AH165">
        <f t="shared" si="64"/>
        <v>8.5740315866875789E-4</v>
      </c>
      <c r="AI165" s="5">
        <f t="shared" si="65"/>
        <v>0.37323840528726177</v>
      </c>
    </row>
    <row r="166" spans="1:35" x14ac:dyDescent="0.45">
      <c r="A166" s="4">
        <f t="shared" si="66"/>
        <v>13.9</v>
      </c>
      <c r="B166" s="5">
        <f t="shared" si="54"/>
        <v>53.9</v>
      </c>
      <c r="C166" s="14">
        <f>_xlfn.XLOOKUP($B166,'Q1 Base'!$C$8:$C$208,'Q1 Base'!$D$8:$D$208,,0,)</f>
        <v>2.3123718038999741E-3</v>
      </c>
      <c r="D166">
        <f t="shared" si="67"/>
        <v>0.98042644539304413</v>
      </c>
      <c r="E166" s="5">
        <f t="shared" si="55"/>
        <v>-2.2671104681247531E-3</v>
      </c>
      <c r="G166" s="4">
        <f t="shared" si="68"/>
        <v>6.1</v>
      </c>
      <c r="H166" s="5">
        <f t="shared" si="56"/>
        <v>46.1</v>
      </c>
      <c r="I166">
        <f t="shared" si="69"/>
        <v>241.66818491330019</v>
      </c>
      <c r="J166" s="14">
        <f>_xlfn.XLOOKUP($H166,'Q1 Base'!$C$8:$C$208,'Q1 Base'!$D$8:$D$208,,0,)</f>
        <v>1.2803398249900952E-3</v>
      </c>
      <c r="K166" s="29" cm="1">
        <f t="array" ref="K166">I166*$B$7+$E$6-J166*(SumAssdTA-I166)</f>
        <v>69.192207846499073</v>
      </c>
      <c r="M166" s="4">
        <f t="shared" si="70"/>
        <v>6.1</v>
      </c>
      <c r="N166" s="5">
        <f t="shared" si="57"/>
        <v>46.1</v>
      </c>
      <c r="O166">
        <f t="shared" si="71"/>
        <v>449.14875514029137</v>
      </c>
      <c r="P166" s="14">
        <f>_xlfn.XLOOKUP($N166,'Q1 Base'!$C$8:$C$208,'Q1 Base'!$D$8:$D$208,,0,)</f>
        <v>1.2803398249900952E-3</v>
      </c>
      <c r="Q166" s="29">
        <f t="shared" si="58"/>
        <v>60.432666028318579</v>
      </c>
      <c r="S166" s="4">
        <f t="shared" si="72"/>
        <v>6.1</v>
      </c>
      <c r="T166" s="5">
        <f t="shared" si="59"/>
        <v>46.1</v>
      </c>
      <c r="U166">
        <f t="shared" si="73"/>
        <v>-319.15297923916665</v>
      </c>
      <c r="V166" s="14">
        <f>_xlfn.XLOOKUP($T166,'Q1 Base'!$C$8:$C$208,'Q1 Base'!$D$8:$D$208,,0,)</f>
        <v>1.2803398249900952E-3</v>
      </c>
      <c r="W166" s="32">
        <f t="shared" si="60"/>
        <v>139000</v>
      </c>
      <c r="X166" s="29">
        <f t="shared" si="61"/>
        <v>-20.716568489949054</v>
      </c>
      <c r="Y166" s="48">
        <f t="shared" si="79"/>
        <v>-2.320624720848814</v>
      </c>
      <c r="Z166" s="51">
        <f t="shared" si="74"/>
        <v>-560.82116415246685</v>
      </c>
      <c r="AB166" s="4">
        <f t="shared" si="75"/>
        <v>13.9</v>
      </c>
      <c r="AC166" s="5">
        <f t="shared" si="62"/>
        <v>53.9</v>
      </c>
      <c r="AD166" s="13">
        <f t="shared" si="76"/>
        <v>2.3123718038999741E-3</v>
      </c>
      <c r="AE166" s="14">
        <f t="shared" si="77"/>
        <v>0.98042644539304413</v>
      </c>
      <c r="AF166" s="4">
        <f t="shared" si="63"/>
        <v>1</v>
      </c>
      <c r="AG166">
        <f t="shared" si="78"/>
        <v>0.377947493158165</v>
      </c>
      <c r="AH166">
        <f t="shared" si="64"/>
        <v>8.5684871814038441E-4</v>
      </c>
      <c r="AI166" s="5">
        <f t="shared" si="65"/>
        <v>0.37054971726227159</v>
      </c>
    </row>
    <row r="167" spans="1:35" x14ac:dyDescent="0.45">
      <c r="A167" s="4">
        <f t="shared" si="66"/>
        <v>14</v>
      </c>
      <c r="B167" s="5">
        <f t="shared" si="54"/>
        <v>54</v>
      </c>
      <c r="C167" s="14">
        <f>_xlfn.XLOOKUP($B167,'Q1 Base'!$C$8:$C$208,'Q1 Base'!$D$8:$D$208,,0,)</f>
        <v>2.3275438916859001E-3</v>
      </c>
      <c r="D167">
        <f t="shared" si="67"/>
        <v>0.98019973434623164</v>
      </c>
      <c r="E167" s="5">
        <f t="shared" si="55"/>
        <v>-2.2814579043097132E-3</v>
      </c>
      <c r="G167" s="4">
        <f t="shared" si="68"/>
        <v>6</v>
      </c>
      <c r="H167" s="5">
        <f t="shared" si="56"/>
        <v>46</v>
      </c>
      <c r="I167">
        <f t="shared" si="69"/>
        <v>234.7489641286503</v>
      </c>
      <c r="J167" s="14">
        <f>_xlfn.XLOOKUP($H167,'Q1 Base'!$C$8:$C$208,'Q1 Base'!$D$8:$D$208,,0,)</f>
        <v>1.2692610364109758E-3</v>
      </c>
      <c r="K167" s="29" cm="1">
        <f t="array" ref="K167">I167*$B$7+$E$6-J167*(SumAssdTA-I167)</f>
        <v>69.804281561414285</v>
      </c>
      <c r="M167" s="4">
        <f t="shared" si="70"/>
        <v>6</v>
      </c>
      <c r="N167" s="5">
        <f t="shared" si="57"/>
        <v>46</v>
      </c>
      <c r="O167">
        <f t="shared" si="71"/>
        <v>443.10548853745951</v>
      </c>
      <c r="P167" s="14">
        <f>_xlfn.XLOOKUP($N167,'Q1 Base'!$C$8:$C$208,'Q1 Base'!$D$8:$D$208,,0,)</f>
        <v>1.2692610364109758E-3</v>
      </c>
      <c r="Q167" s="29">
        <f t="shared" si="58"/>
        <v>61.104869717101863</v>
      </c>
      <c r="S167" s="4">
        <f t="shared" si="72"/>
        <v>6</v>
      </c>
      <c r="T167" s="5">
        <f t="shared" si="59"/>
        <v>46</v>
      </c>
      <c r="U167">
        <f t="shared" si="73"/>
        <v>-317.08132239017175</v>
      </c>
      <c r="V167" s="14">
        <f>_xlfn.XLOOKUP($T167,'Q1 Base'!$C$8:$C$208,'Q1 Base'!$D$8:$D$208,,0,)</f>
        <v>1.2692610364109758E-3</v>
      </c>
      <c r="W167" s="32">
        <f t="shared" si="60"/>
        <v>140000</v>
      </c>
      <c r="X167" s="29">
        <f t="shared" si="61"/>
        <v>-20.294696632732155</v>
      </c>
      <c r="Y167" s="48">
        <f t="shared" si="79"/>
        <v>-2.3507251184989277</v>
      </c>
      <c r="Z167" s="51">
        <f t="shared" si="74"/>
        <v>-551.83028651882205</v>
      </c>
      <c r="AB167" s="4">
        <f t="shared" si="75"/>
        <v>14</v>
      </c>
      <c r="AC167" s="5">
        <f t="shared" si="62"/>
        <v>54</v>
      </c>
      <c r="AD167" s="13">
        <f t="shared" si="76"/>
        <v>2.3275438916859001E-3</v>
      </c>
      <c r="AE167" s="14">
        <f t="shared" si="77"/>
        <v>0.98019973434623164</v>
      </c>
      <c r="AF167" s="4">
        <f t="shared" si="63"/>
        <v>1</v>
      </c>
      <c r="AG167">
        <f t="shared" si="78"/>
        <v>0.37531109885139952</v>
      </c>
      <c r="AH167">
        <f t="shared" si="64"/>
        <v>8.562564730496896E-4</v>
      </c>
      <c r="AI167" s="5">
        <f t="shared" si="65"/>
        <v>0.36787983939133406</v>
      </c>
    </row>
    <row r="168" spans="1:35" x14ac:dyDescent="0.45">
      <c r="A168" s="4">
        <f t="shared" si="66"/>
        <v>14.1</v>
      </c>
      <c r="B168" s="5">
        <f t="shared" si="54"/>
        <v>54.1</v>
      </c>
      <c r="C168" s="14">
        <f>_xlfn.XLOOKUP($B168,'Q1 Base'!$C$8:$C$208,'Q1 Base'!$D$8:$D$208,,0,)</f>
        <v>2.3436094665558981E-3</v>
      </c>
      <c r="D168">
        <f t="shared" si="67"/>
        <v>0.97997158855580069</v>
      </c>
      <c r="E168" s="5">
        <f t="shared" si="55"/>
        <v>-2.2966706918951959E-3</v>
      </c>
      <c r="G168" s="4">
        <f t="shared" si="68"/>
        <v>5.9</v>
      </c>
      <c r="H168" s="5">
        <f t="shared" si="56"/>
        <v>45.9</v>
      </c>
      <c r="I168">
        <f t="shared" si="69"/>
        <v>227.76853597250886</v>
      </c>
      <c r="J168" s="14">
        <f>_xlfn.XLOOKUP($H168,'Q1 Base'!$C$8:$C$208,'Q1 Base'!$D$8:$D$208,,0,)</f>
        <v>1.2588351672697161E-3</v>
      </c>
      <c r="K168" s="29" cm="1">
        <f t="array" ref="K168">I168*$B$7+$E$6-J168*(SumAssdTA-I168)</f>
        <v>70.347003834183752</v>
      </c>
      <c r="M168" s="4">
        <f t="shared" si="70"/>
        <v>5.9</v>
      </c>
      <c r="N168" s="5">
        <f t="shared" si="57"/>
        <v>45.9</v>
      </c>
      <c r="O168">
        <f t="shared" si="71"/>
        <v>436.99500156574931</v>
      </c>
      <c r="P168" s="14">
        <f>_xlfn.XLOOKUP($N168,'Q1 Base'!$C$8:$C$208,'Q1 Base'!$D$8:$D$208,,0,)</f>
        <v>1.2588351672697161E-3</v>
      </c>
      <c r="Q168" s="29">
        <f t="shared" si="58"/>
        <v>61.707410687479722</v>
      </c>
      <c r="S168" s="4">
        <f t="shared" si="72"/>
        <v>5.9</v>
      </c>
      <c r="T168" s="5">
        <f t="shared" si="59"/>
        <v>45.9</v>
      </c>
      <c r="U168">
        <f t="shared" si="73"/>
        <v>-315.05185272689852</v>
      </c>
      <c r="V168" s="14">
        <f>_xlfn.XLOOKUP($T168,'Q1 Base'!$C$8:$C$208,'Q1 Base'!$D$8:$D$208,,0,)</f>
        <v>1.2588351672697161E-3</v>
      </c>
      <c r="W168" s="32">
        <f t="shared" si="60"/>
        <v>141000</v>
      </c>
      <c r="X168" s="29">
        <f t="shared" si="61"/>
        <v>-19.945986627638973</v>
      </c>
      <c r="Y168" s="48">
        <f t="shared" si="79"/>
        <v>-2.3832105974677931</v>
      </c>
      <c r="Z168" s="51">
        <f t="shared" si="74"/>
        <v>-542.82038869940743</v>
      </c>
      <c r="AB168" s="4">
        <f t="shared" si="75"/>
        <v>14.1</v>
      </c>
      <c r="AC168" s="5">
        <f t="shared" si="62"/>
        <v>54.1</v>
      </c>
      <c r="AD168" s="13">
        <f t="shared" si="76"/>
        <v>2.3436094665558981E-3</v>
      </c>
      <c r="AE168" s="14">
        <f t="shared" si="77"/>
        <v>0.97997158855580069</v>
      </c>
      <c r="AF168" s="4">
        <f t="shared" si="63"/>
        <v>1</v>
      </c>
      <c r="AG168">
        <f t="shared" si="78"/>
        <v>0.37269309486357133</v>
      </c>
      <c r="AH168">
        <f t="shared" si="64"/>
        <v>8.5595330804488019E-4</v>
      </c>
      <c r="AI168" s="5">
        <f t="shared" si="65"/>
        <v>0.36522864421723172</v>
      </c>
    </row>
    <row r="169" spans="1:35" x14ac:dyDescent="0.45">
      <c r="A169" s="4">
        <f t="shared" si="66"/>
        <v>14.2</v>
      </c>
      <c r="B169" s="5">
        <f t="shared" si="54"/>
        <v>54.2</v>
      </c>
      <c r="C169" s="14">
        <f>_xlfn.XLOOKUP($B169,'Q1 Base'!$C$8:$C$208,'Q1 Base'!$D$8:$D$208,,0,)</f>
        <v>2.359675041425896E-3</v>
      </c>
      <c r="D169">
        <f t="shared" si="67"/>
        <v>0.97974192148661121</v>
      </c>
      <c r="E169" s="5">
        <f t="shared" si="55"/>
        <v>-2.3118725591706061E-3</v>
      </c>
      <c r="G169" s="4">
        <f t="shared" si="68"/>
        <v>5.8</v>
      </c>
      <c r="H169" s="5">
        <f t="shared" si="56"/>
        <v>45.8</v>
      </c>
      <c r="I169">
        <f t="shared" si="69"/>
        <v>220.73383558909049</v>
      </c>
      <c r="J169" s="14">
        <f>_xlfn.XLOOKUP($H169,'Q1 Base'!$C$8:$C$208,'Q1 Base'!$D$8:$D$208,,0,)</f>
        <v>1.248409298128456E-3</v>
      </c>
      <c r="K169" s="29" cm="1">
        <f t="array" ref="K169">I169*$B$7+$E$6-J169*(SumAssdTA-I169)</f>
        <v>70.886004851151725</v>
      </c>
      <c r="M169" s="4">
        <f t="shared" si="70"/>
        <v>5.8</v>
      </c>
      <c r="N169" s="5">
        <f t="shared" si="57"/>
        <v>45.8</v>
      </c>
      <c r="O169">
        <f t="shared" si="71"/>
        <v>430.82426049700132</v>
      </c>
      <c r="P169" s="14">
        <f>_xlfn.XLOOKUP($N169,'Q1 Base'!$C$8:$C$208,'Q1 Base'!$D$8:$D$208,,0,)</f>
        <v>1.248409298128456E-3</v>
      </c>
      <c r="Q169" s="29">
        <f t="shared" si="58"/>
        <v>62.305786063565122</v>
      </c>
      <c r="S169" s="4">
        <f t="shared" si="72"/>
        <v>5.8</v>
      </c>
      <c r="T169" s="5">
        <f t="shared" si="59"/>
        <v>45.8</v>
      </c>
      <c r="U169">
        <f t="shared" si="73"/>
        <v>-313.05725406413461</v>
      </c>
      <c r="V169" s="14">
        <f>_xlfn.XLOOKUP($T169,'Q1 Base'!$C$8:$C$208,'Q1 Base'!$D$8:$D$208,,0,)</f>
        <v>1.248409298128456E-3</v>
      </c>
      <c r="W169" s="32">
        <f t="shared" si="60"/>
        <v>142000</v>
      </c>
      <c r="X169" s="29">
        <f t="shared" si="61"/>
        <v>-19.578951705550395</v>
      </c>
      <c r="Y169" s="48">
        <f t="shared" si="79"/>
        <v>-2.4182567580935341</v>
      </c>
      <c r="Z169" s="51">
        <f t="shared" si="74"/>
        <v>-533.79108965322507</v>
      </c>
      <c r="AB169" s="4">
        <f t="shared" si="75"/>
        <v>14.2</v>
      </c>
      <c r="AC169" s="5">
        <f t="shared" si="62"/>
        <v>54.2</v>
      </c>
      <c r="AD169" s="13">
        <f t="shared" si="76"/>
        <v>2.359675041425896E-3</v>
      </c>
      <c r="AE169" s="14">
        <f t="shared" si="77"/>
        <v>0.97974192148661121</v>
      </c>
      <c r="AF169" s="4">
        <f t="shared" si="63"/>
        <v>1</v>
      </c>
      <c r="AG169">
        <f t="shared" si="78"/>
        <v>0.37009335291196127</v>
      </c>
      <c r="AH169">
        <f t="shared" si="64"/>
        <v>8.556086669286062E-4</v>
      </c>
      <c r="AI169" s="5">
        <f t="shared" si="65"/>
        <v>0.36259597271138744</v>
      </c>
    </row>
    <row r="170" spans="1:35" x14ac:dyDescent="0.45">
      <c r="A170" s="4">
        <f t="shared" si="66"/>
        <v>14.3</v>
      </c>
      <c r="B170" s="5">
        <f t="shared" si="54"/>
        <v>54.3</v>
      </c>
      <c r="C170" s="14">
        <f>_xlfn.XLOOKUP($B170,'Q1 Base'!$C$8:$C$208,'Q1 Base'!$D$8:$D$208,,0,)</f>
        <v>2.3757406162958931E-3</v>
      </c>
      <c r="D170">
        <f t="shared" si="67"/>
        <v>0.97951073423069412</v>
      </c>
      <c r="E170" s="5">
        <f t="shared" si="55"/>
        <v>-2.3270634354096722E-3</v>
      </c>
      <c r="G170" s="4">
        <f t="shared" si="68"/>
        <v>5.7</v>
      </c>
      <c r="H170" s="5">
        <f t="shared" si="56"/>
        <v>45.7</v>
      </c>
      <c r="I170">
        <f t="shared" si="69"/>
        <v>213.64523510397532</v>
      </c>
      <c r="J170" s="14">
        <f>_xlfn.XLOOKUP($H170,'Q1 Base'!$C$8:$C$208,'Q1 Base'!$D$8:$D$208,,0,)</f>
        <v>1.2379834289871967E-3</v>
      </c>
      <c r="K170" s="29" cm="1">
        <f t="array" ref="K170">I170*$B$7+$E$6-J170*(SumAssdTA-I170)</f>
        <v>71.421312819299402</v>
      </c>
      <c r="M170" s="4">
        <f t="shared" si="70"/>
        <v>5.7</v>
      </c>
      <c r="N170" s="5">
        <f t="shared" si="57"/>
        <v>45.7</v>
      </c>
      <c r="O170">
        <f t="shared" si="71"/>
        <v>424.5936818906448</v>
      </c>
      <c r="P170" s="14">
        <f>_xlfn.XLOOKUP($N170,'Q1 Base'!$C$8:$C$208,'Q1 Base'!$D$8:$D$208,,0,)</f>
        <v>1.2379834289871967E-3</v>
      </c>
      <c r="Q170" s="29">
        <f t="shared" si="58"/>
        <v>62.900027404815589</v>
      </c>
      <c r="S170" s="4">
        <f t="shared" si="72"/>
        <v>5.7</v>
      </c>
      <c r="T170" s="5">
        <f t="shared" si="59"/>
        <v>45.7</v>
      </c>
      <c r="U170">
        <f t="shared" si="73"/>
        <v>-311.09935889357956</v>
      </c>
      <c r="V170" s="14">
        <f>_xlfn.XLOOKUP($T170,'Q1 Base'!$C$8:$C$208,'Q1 Base'!$D$8:$D$208,,0,)</f>
        <v>1.2379834289871967E-3</v>
      </c>
      <c r="W170" s="32">
        <f t="shared" si="60"/>
        <v>143000</v>
      </c>
      <c r="X170" s="29">
        <f t="shared" si="61"/>
        <v>-19.193721318798481</v>
      </c>
      <c r="Y170" s="48">
        <f t="shared" si="79"/>
        <v>-2.4561492969509757</v>
      </c>
      <c r="Z170" s="51">
        <f t="shared" si="74"/>
        <v>-524.74459399755483</v>
      </c>
      <c r="AB170" s="4">
        <f t="shared" si="75"/>
        <v>14.3</v>
      </c>
      <c r="AC170" s="5">
        <f t="shared" si="62"/>
        <v>54.3</v>
      </c>
      <c r="AD170" s="13">
        <f t="shared" si="76"/>
        <v>2.3757406162958931E-3</v>
      </c>
      <c r="AE170" s="14">
        <f t="shared" si="77"/>
        <v>0.97951073423069412</v>
      </c>
      <c r="AF170" s="4">
        <f t="shared" si="63"/>
        <v>1</v>
      </c>
      <c r="AG170">
        <f t="shared" si="78"/>
        <v>0.36751174560869349</v>
      </c>
      <c r="AH170">
        <f t="shared" si="64"/>
        <v>8.5522314528957172E-4</v>
      </c>
      <c r="AI170" s="5">
        <f t="shared" si="65"/>
        <v>0.35998169977957545</v>
      </c>
    </row>
    <row r="171" spans="1:35" x14ac:dyDescent="0.45">
      <c r="A171" s="4">
        <f t="shared" si="66"/>
        <v>14.4</v>
      </c>
      <c r="B171" s="5">
        <f t="shared" si="54"/>
        <v>54.4</v>
      </c>
      <c r="C171" s="14">
        <f>_xlfn.XLOOKUP($B171,'Q1 Base'!$C$8:$C$208,'Q1 Base'!$D$8:$D$208,,0,)</f>
        <v>2.3918061911658915E-3</v>
      </c>
      <c r="D171">
        <f t="shared" si="67"/>
        <v>0.97927802788715312</v>
      </c>
      <c r="E171" s="5">
        <f t="shared" si="55"/>
        <v>-2.3422432499732174E-3</v>
      </c>
      <c r="G171" s="4">
        <f t="shared" si="68"/>
        <v>5.6</v>
      </c>
      <c r="H171" s="5">
        <f t="shared" si="56"/>
        <v>45.6</v>
      </c>
      <c r="I171">
        <f t="shared" si="69"/>
        <v>206.50310382204538</v>
      </c>
      <c r="J171" s="14">
        <f>_xlfn.XLOOKUP($H171,'Q1 Base'!$C$8:$C$208,'Q1 Base'!$D$8:$D$208,,0,)</f>
        <v>1.2275575598459368E-3</v>
      </c>
      <c r="K171" s="29" cm="1">
        <f t="array" ref="K171">I171*$B$7+$E$6-J171*(SumAssdTA-I171)</f>
        <v>71.952955729177916</v>
      </c>
      <c r="M171" s="4">
        <f t="shared" si="70"/>
        <v>5.6</v>
      </c>
      <c r="N171" s="5">
        <f t="shared" si="57"/>
        <v>45.6</v>
      </c>
      <c r="O171">
        <f t="shared" si="71"/>
        <v>418.30367915016325</v>
      </c>
      <c r="P171" s="14">
        <f>_xlfn.XLOOKUP($N171,'Q1 Base'!$C$8:$C$208,'Q1 Base'!$D$8:$D$208,,0,)</f>
        <v>1.2275575598459368E-3</v>
      </c>
      <c r="Q171" s="29">
        <f t="shared" si="58"/>
        <v>63.490166028526758</v>
      </c>
      <c r="S171" s="4">
        <f t="shared" si="72"/>
        <v>5.6</v>
      </c>
      <c r="T171" s="5">
        <f t="shared" si="59"/>
        <v>45.6</v>
      </c>
      <c r="U171">
        <f t="shared" si="73"/>
        <v>-309.17998676169969</v>
      </c>
      <c r="V171" s="14">
        <f>_xlfn.XLOOKUP($T171,'Q1 Base'!$C$8:$C$208,'Q1 Base'!$D$8:$D$208,,0,)</f>
        <v>1.2275575598459368E-3</v>
      </c>
      <c r="W171" s="32">
        <f t="shared" si="60"/>
        <v>144000</v>
      </c>
      <c r="X171" s="29">
        <f t="shared" si="61"/>
        <v>-18.790423921236282</v>
      </c>
      <c r="Y171" s="48">
        <f t="shared" si="79"/>
        <v>-2.497217141240339</v>
      </c>
      <c r="Z171" s="51">
        <f t="shared" si="74"/>
        <v>-515.68309058374507</v>
      </c>
      <c r="AB171" s="4">
        <f t="shared" si="75"/>
        <v>14.4</v>
      </c>
      <c r="AC171" s="5">
        <f t="shared" si="62"/>
        <v>54.4</v>
      </c>
      <c r="AD171" s="13">
        <f t="shared" si="76"/>
        <v>2.3918061911658915E-3</v>
      </c>
      <c r="AE171" s="14">
        <f t="shared" si="77"/>
        <v>0.97927802788715312</v>
      </c>
      <c r="AF171" s="4">
        <f t="shared" si="63"/>
        <v>1</v>
      </c>
      <c r="AG171">
        <f t="shared" si="78"/>
        <v>0.36494814645449364</v>
      </c>
      <c r="AH171">
        <f t="shared" si="64"/>
        <v>8.5479733262327487E-4</v>
      </c>
      <c r="AI171" s="5">
        <f t="shared" si="65"/>
        <v>0.35738570114102847</v>
      </c>
    </row>
    <row r="172" spans="1:35" x14ac:dyDescent="0.45">
      <c r="A172" s="4">
        <f t="shared" si="66"/>
        <v>14.5</v>
      </c>
      <c r="B172" s="5">
        <f t="shared" si="54"/>
        <v>54.5</v>
      </c>
      <c r="C172" s="14">
        <f>_xlfn.XLOOKUP($B172,'Q1 Base'!$C$8:$C$208,'Q1 Base'!$D$8:$D$208,,0,)</f>
        <v>2.4078717660358895E-3</v>
      </c>
      <c r="D172">
        <f t="shared" si="67"/>
        <v>0.97904380356215581</v>
      </c>
      <c r="E172" s="5">
        <f t="shared" si="55"/>
        <v>-2.3574119323097028E-3</v>
      </c>
      <c r="G172" s="4">
        <f t="shared" si="68"/>
        <v>5.5</v>
      </c>
      <c r="H172" s="5">
        <f t="shared" si="56"/>
        <v>45.5</v>
      </c>
      <c r="I172">
        <f t="shared" si="69"/>
        <v>199.30780824912759</v>
      </c>
      <c r="J172" s="14">
        <f>_xlfn.XLOOKUP($H172,'Q1 Base'!$C$8:$C$208,'Q1 Base'!$D$8:$D$208,,0,)</f>
        <v>1.217131690704677E-3</v>
      </c>
      <c r="K172" s="29" cm="1">
        <f t="array" ref="K172">I172*$B$7+$E$6-J172*(SumAssdTA-I172)</f>
        <v>72.480961356596126</v>
      </c>
      <c r="M172" s="4">
        <f t="shared" si="70"/>
        <v>5.5</v>
      </c>
      <c r="N172" s="5">
        <f t="shared" si="57"/>
        <v>45.5</v>
      </c>
      <c r="O172">
        <f t="shared" si="71"/>
        <v>411.95466254731059</v>
      </c>
      <c r="P172" s="14">
        <f>_xlfn.XLOOKUP($N172,'Q1 Base'!$C$8:$C$208,'Q1 Base'!$D$8:$D$208,,0,)</f>
        <v>1.217131690704677E-3</v>
      </c>
      <c r="Q172" s="29">
        <f t="shared" si="58"/>
        <v>64.076233011720774</v>
      </c>
      <c r="S172" s="4">
        <f t="shared" si="72"/>
        <v>5.5</v>
      </c>
      <c r="T172" s="5">
        <f t="shared" si="59"/>
        <v>45.5</v>
      </c>
      <c r="U172">
        <f t="shared" si="73"/>
        <v>-307.30094436957609</v>
      </c>
      <c r="V172" s="14">
        <f>_xlfn.XLOOKUP($T172,'Q1 Base'!$C$8:$C$208,'Q1 Base'!$D$8:$D$208,,0,)</f>
        <v>1.217131690704677E-3</v>
      </c>
      <c r="W172" s="32">
        <f t="shared" si="60"/>
        <v>145000</v>
      </c>
      <c r="X172" s="29">
        <f t="shared" si="61"/>
        <v>-18.369186976024196</v>
      </c>
      <c r="Y172" s="48">
        <f t="shared" si="79"/>
        <v>-2.5418409698503179</v>
      </c>
      <c r="Z172" s="51">
        <f t="shared" si="74"/>
        <v>-506.60875261870365</v>
      </c>
      <c r="AB172" s="4">
        <f t="shared" si="75"/>
        <v>14.5</v>
      </c>
      <c r="AC172" s="5">
        <f t="shared" si="62"/>
        <v>54.5</v>
      </c>
      <c r="AD172" s="13">
        <f t="shared" si="76"/>
        <v>2.4078717660358895E-3</v>
      </c>
      <c r="AE172" s="14">
        <f t="shared" si="77"/>
        <v>0.97904380356215581</v>
      </c>
      <c r="AF172" s="4">
        <f t="shared" si="63"/>
        <v>1</v>
      </c>
      <c r="AG172">
        <f t="shared" si="78"/>
        <v>0.36240242983249027</v>
      </c>
      <c r="AH172">
        <f t="shared" si="64"/>
        <v>8.543318123851424E-4</v>
      </c>
      <c r="AI172" s="5">
        <f t="shared" si="65"/>
        <v>0.35480785332336856</v>
      </c>
    </row>
    <row r="173" spans="1:35" x14ac:dyDescent="0.45">
      <c r="A173" s="4">
        <f t="shared" si="66"/>
        <v>14.6</v>
      </c>
      <c r="B173" s="5">
        <f t="shared" si="54"/>
        <v>54.6</v>
      </c>
      <c r="C173" s="14">
        <f>_xlfn.XLOOKUP($B173,'Q1 Base'!$C$8:$C$208,'Q1 Base'!$D$8:$D$208,,0,)</f>
        <v>2.4239373409058874E-3</v>
      </c>
      <c r="D173">
        <f t="shared" si="67"/>
        <v>0.97880806236892481</v>
      </c>
      <c r="E173" s="5">
        <f t="shared" si="55"/>
        <v>-2.3725694119557756E-3</v>
      </c>
      <c r="G173" s="4">
        <f t="shared" si="68"/>
        <v>5.4</v>
      </c>
      <c r="H173" s="5">
        <f t="shared" si="56"/>
        <v>45.4</v>
      </c>
      <c r="I173">
        <f t="shared" si="69"/>
        <v>192.05971211346798</v>
      </c>
      <c r="J173" s="14">
        <f>_xlfn.XLOOKUP($H173,'Q1 Base'!$C$8:$C$208,'Q1 Base'!$D$8:$D$208,,0,)</f>
        <v>1.2067058215634169E-3</v>
      </c>
      <c r="K173" s="29" cm="1">
        <f t="array" ref="K173">I173*$B$7+$E$6-J173*(SumAssdTA-I173)</f>
        <v>73.00535726429618</v>
      </c>
      <c r="M173" s="4">
        <f t="shared" si="70"/>
        <v>5.4</v>
      </c>
      <c r="N173" s="5">
        <f t="shared" si="57"/>
        <v>45.4</v>
      </c>
      <c r="O173">
        <f t="shared" si="71"/>
        <v>405.54703924613852</v>
      </c>
      <c r="P173" s="14">
        <f>_xlfn.XLOOKUP($N173,'Q1 Base'!$C$8:$C$208,'Q1 Base'!$D$8:$D$208,,0,)</f>
        <v>1.2067058215634169E-3</v>
      </c>
      <c r="Q173" s="29">
        <f t="shared" si="58"/>
        <v>64.658259193020967</v>
      </c>
      <c r="S173" s="4">
        <f t="shared" si="72"/>
        <v>5.4</v>
      </c>
      <c r="T173" s="5">
        <f t="shared" si="59"/>
        <v>45.4</v>
      </c>
      <c r="U173">
        <f t="shared" si="73"/>
        <v>-305.46402567197367</v>
      </c>
      <c r="V173" s="14">
        <f>_xlfn.XLOOKUP($T173,'Q1 Base'!$C$8:$C$208,'Q1 Base'!$D$8:$D$208,,0,)</f>
        <v>1.2067058215634169E-3</v>
      </c>
      <c r="W173" s="32">
        <f t="shared" si="60"/>
        <v>146000</v>
      </c>
      <c r="X173" s="29">
        <f t="shared" si="61"/>
        <v>-17.93013696335359</v>
      </c>
      <c r="Y173" s="48">
        <f t="shared" si="79"/>
        <v>-2.5904638318498936</v>
      </c>
      <c r="Z173" s="51">
        <f t="shared" si="74"/>
        <v>-497.52373778544165</v>
      </c>
      <c r="AB173" s="4">
        <f t="shared" si="75"/>
        <v>14.6</v>
      </c>
      <c r="AC173" s="5">
        <f t="shared" si="62"/>
        <v>54.6</v>
      </c>
      <c r="AD173" s="13">
        <f t="shared" si="76"/>
        <v>2.4239373409058874E-3</v>
      </c>
      <c r="AE173" s="14">
        <f t="shared" si="77"/>
        <v>0.97880806236892481</v>
      </c>
      <c r="AF173" s="4">
        <f t="shared" si="63"/>
        <v>1</v>
      </c>
      <c r="AG173">
        <f t="shared" si="78"/>
        <v>0.35987447100205955</v>
      </c>
      <c r="AH173">
        <f t="shared" si="64"/>
        <v>8.5382716204325223E-4</v>
      </c>
      <c r="AI173" s="5">
        <f t="shared" si="65"/>
        <v>0.35224803365756774</v>
      </c>
    </row>
    <row r="174" spans="1:35" x14ac:dyDescent="0.45">
      <c r="A174" s="4">
        <f t="shared" si="66"/>
        <v>14.7</v>
      </c>
      <c r="B174" s="5">
        <f t="shared" si="54"/>
        <v>54.7</v>
      </c>
      <c r="C174" s="14">
        <f>_xlfn.XLOOKUP($B174,'Q1 Base'!$C$8:$C$208,'Q1 Base'!$D$8:$D$208,,0,)</f>
        <v>2.4400029157758854E-3</v>
      </c>
      <c r="D174">
        <f t="shared" si="67"/>
        <v>0.97857080542772923</v>
      </c>
      <c r="E174" s="5">
        <f t="shared" si="55"/>
        <v>-2.3877156185368158E-3</v>
      </c>
      <c r="G174" s="4">
        <f t="shared" si="68"/>
        <v>5.3</v>
      </c>
      <c r="H174" s="5">
        <f t="shared" si="56"/>
        <v>45.3</v>
      </c>
      <c r="I174">
        <f t="shared" si="69"/>
        <v>184.75917638703837</v>
      </c>
      <c r="J174" s="14">
        <f>_xlfn.XLOOKUP($H174,'Q1 Base'!$C$8:$C$208,'Q1 Base'!$D$8:$D$208,,0,)</f>
        <v>1.1962799524221569E-3</v>
      </c>
      <c r="K174" s="29" cm="1">
        <f t="array" ref="K174">I174*$B$7+$E$6-J174*(SumAssdTA-I174)</f>
        <v>73.526170803614832</v>
      </c>
      <c r="M174" s="4">
        <f t="shared" si="70"/>
        <v>5.3</v>
      </c>
      <c r="N174" s="5">
        <f t="shared" si="57"/>
        <v>45.3</v>
      </c>
      <c r="O174">
        <f t="shared" si="71"/>
        <v>399.08121332683641</v>
      </c>
      <c r="P174" s="14">
        <f>_xlfn.XLOOKUP($N174,'Q1 Base'!$C$8:$C$208,'Q1 Base'!$D$8:$D$208,,0,)</f>
        <v>1.1962799524221569E-3</v>
      </c>
      <c r="Q174" s="29">
        <f t="shared" si="58"/>
        <v>65.236275174510908</v>
      </c>
      <c r="S174" s="4">
        <f t="shared" si="72"/>
        <v>5.3</v>
      </c>
      <c r="T174" s="5">
        <f t="shared" si="59"/>
        <v>45.3</v>
      </c>
      <c r="U174">
        <f t="shared" si="73"/>
        <v>-303.67101197563829</v>
      </c>
      <c r="V174" s="14">
        <f>_xlfn.XLOOKUP($T174,'Q1 Base'!$C$8:$C$208,'Q1 Base'!$D$8:$D$208,,0,)</f>
        <v>1.1962799524221569E-3</v>
      </c>
      <c r="W174" s="32">
        <f t="shared" si="60"/>
        <v>147000</v>
      </c>
      <c r="X174" s="29">
        <f t="shared" si="61"/>
        <v>-17.473399388109954</v>
      </c>
      <c r="Y174" s="48">
        <f t="shared" si="79"/>
        <v>-2.6436044905260907</v>
      </c>
      <c r="Z174" s="51">
        <f t="shared" si="74"/>
        <v>-488.43018836267663</v>
      </c>
      <c r="AB174" s="4">
        <f t="shared" si="75"/>
        <v>14.7</v>
      </c>
      <c r="AC174" s="5">
        <f t="shared" si="62"/>
        <v>54.7</v>
      </c>
      <c r="AD174" s="13">
        <f t="shared" si="76"/>
        <v>2.4400029157758854E-3</v>
      </c>
      <c r="AE174" s="14">
        <f t="shared" si="77"/>
        <v>0.97857080542772923</v>
      </c>
      <c r="AF174" s="4">
        <f t="shared" si="63"/>
        <v>1</v>
      </c>
      <c r="AG174">
        <f t="shared" si="78"/>
        <v>0.35736414609271278</v>
      </c>
      <c r="AH174">
        <f t="shared" si="64"/>
        <v>8.532839531306427E-4</v>
      </c>
      <c r="AI174" s="5">
        <f t="shared" si="65"/>
        <v>0.34970612027293863</v>
      </c>
    </row>
    <row r="175" spans="1:35" x14ac:dyDescent="0.45">
      <c r="A175" s="4">
        <f t="shared" si="66"/>
        <v>14.8</v>
      </c>
      <c r="B175" s="5">
        <f t="shared" si="54"/>
        <v>54.8</v>
      </c>
      <c r="C175" s="14">
        <f>_xlfn.XLOOKUP($B175,'Q1 Base'!$C$8:$C$208,'Q1 Base'!$D$8:$D$208,,0,)</f>
        <v>2.456068490645882E-3</v>
      </c>
      <c r="D175">
        <f t="shared" si="67"/>
        <v>0.97833203386587553</v>
      </c>
      <c r="E175" s="5">
        <f t="shared" si="55"/>
        <v>-2.4028504817674768E-3</v>
      </c>
      <c r="G175" s="4">
        <f t="shared" si="68"/>
        <v>5.2</v>
      </c>
      <c r="H175" s="5">
        <f t="shared" si="56"/>
        <v>45.2</v>
      </c>
      <c r="I175">
        <f t="shared" si="69"/>
        <v>177.40655930667688</v>
      </c>
      <c r="J175" s="14">
        <f>_xlfn.XLOOKUP($H175,'Q1 Base'!$C$8:$C$208,'Q1 Base'!$D$8:$D$208,,0,)</f>
        <v>1.1858540832808977E-3</v>
      </c>
      <c r="K175" s="29" cm="1">
        <f t="array" ref="K175">I175*$B$7+$E$6-J175*(SumAssdTA-I175)</f>
        <v>74.043429116132245</v>
      </c>
      <c r="M175" s="4">
        <f t="shared" si="70"/>
        <v>5.2</v>
      </c>
      <c r="N175" s="5">
        <f t="shared" si="57"/>
        <v>45.2</v>
      </c>
      <c r="O175">
        <f t="shared" si="71"/>
        <v>392.55758580938533</v>
      </c>
      <c r="P175" s="14">
        <f>_xlfn.XLOOKUP($N175,'Q1 Base'!$C$8:$C$208,'Q1 Base'!$D$8:$D$208,,0,)</f>
        <v>1.1858540832808977E-3</v>
      </c>
      <c r="Q175" s="29">
        <f t="shared" si="58"/>
        <v>65.810311323579</v>
      </c>
      <c r="S175" s="4">
        <f t="shared" si="72"/>
        <v>5.2</v>
      </c>
      <c r="T175" s="5">
        <f t="shared" si="59"/>
        <v>45.2</v>
      </c>
      <c r="U175">
        <f t="shared" si="73"/>
        <v>-301.92367203682727</v>
      </c>
      <c r="V175" s="14">
        <f>_xlfn.XLOOKUP($T175,'Q1 Base'!$C$8:$C$208,'Q1 Base'!$D$8:$D$208,,0,)</f>
        <v>1.1858540832808977E-3</v>
      </c>
      <c r="W175" s="32">
        <f t="shared" si="60"/>
        <v>148000</v>
      </c>
      <c r="X175" s="29">
        <f t="shared" si="61"/>
        <v>-16.999098787474793</v>
      </c>
      <c r="Y175" s="48">
        <f t="shared" si="79"/>
        <v>-2.7018743456655496</v>
      </c>
      <c r="Z175" s="51">
        <f t="shared" si="74"/>
        <v>-479.33023134350412</v>
      </c>
      <c r="AB175" s="4">
        <f t="shared" si="75"/>
        <v>14.8</v>
      </c>
      <c r="AC175" s="5">
        <f t="shared" si="62"/>
        <v>54.8</v>
      </c>
      <c r="AD175" s="13">
        <f t="shared" si="76"/>
        <v>2.456068490645882E-3</v>
      </c>
      <c r="AE175" s="14">
        <f t="shared" si="77"/>
        <v>0.97833203386587553</v>
      </c>
      <c r="AF175" s="4">
        <f t="shared" si="63"/>
        <v>1</v>
      </c>
      <c r="AG175">
        <f t="shared" si="78"/>
        <v>0.35487133209802735</v>
      </c>
      <c r="AH175">
        <f t="shared" si="64"/>
        <v>8.5270275129721129E-4</v>
      </c>
      <c r="AI175" s="5">
        <f t="shared" si="65"/>
        <v>0.34718199209215567</v>
      </c>
    </row>
    <row r="176" spans="1:35" x14ac:dyDescent="0.45">
      <c r="A176" s="4">
        <f t="shared" si="66"/>
        <v>14.9</v>
      </c>
      <c r="B176" s="5">
        <f t="shared" si="54"/>
        <v>54.9</v>
      </c>
      <c r="C176" s="14">
        <f>_xlfn.XLOOKUP($B176,'Q1 Base'!$C$8:$C$208,'Q1 Base'!$D$8:$D$208,,0,)</f>
        <v>2.47213406551588E-3</v>
      </c>
      <c r="D176">
        <f t="shared" si="67"/>
        <v>0.97809174881769878</v>
      </c>
      <c r="E176" s="5">
        <f t="shared" si="55"/>
        <v>-2.4179739314522347E-3</v>
      </c>
      <c r="G176" s="4">
        <f t="shared" si="68"/>
        <v>5.0999999999999996</v>
      </c>
      <c r="H176" s="5">
        <f t="shared" si="56"/>
        <v>45.1</v>
      </c>
      <c r="I176">
        <f t="shared" si="69"/>
        <v>170.00221639506367</v>
      </c>
      <c r="J176" s="14">
        <f>_xlfn.XLOOKUP($H176,'Q1 Base'!$C$8:$C$208,'Q1 Base'!$D$8:$D$208,,0,)</f>
        <v>1.1754282141396377E-3</v>
      </c>
      <c r="K176" s="29" cm="1">
        <f t="array" ref="K176">I176*$B$7+$E$6-J176*(SumAssdTA-I176)</f>
        <v>74.557159135307714</v>
      </c>
      <c r="M176" s="4">
        <f t="shared" si="70"/>
        <v>5.0999999999999996</v>
      </c>
      <c r="N176" s="5">
        <f t="shared" si="57"/>
        <v>45.1</v>
      </c>
      <c r="O176">
        <f t="shared" si="71"/>
        <v>385.97655467702742</v>
      </c>
      <c r="P176" s="14">
        <f>_xlfn.XLOOKUP($N176,'Q1 Base'!$C$8:$C$208,'Q1 Base'!$D$8:$D$208,,0,)</f>
        <v>1.1754282141396377E-3</v>
      </c>
      <c r="Q176" s="29">
        <f t="shared" si="58"/>
        <v>66.380397774748772</v>
      </c>
      <c r="S176" s="4">
        <f t="shared" si="72"/>
        <v>5.0999999999999996</v>
      </c>
      <c r="T176" s="5">
        <f t="shared" si="59"/>
        <v>45.1</v>
      </c>
      <c r="U176">
        <f t="shared" si="73"/>
        <v>-300.22376215807981</v>
      </c>
      <c r="V176" s="14">
        <f>_xlfn.XLOOKUP($T176,'Q1 Base'!$C$8:$C$208,'Q1 Base'!$D$8:$D$208,,0,)</f>
        <v>1.1754282141396377E-3</v>
      </c>
      <c r="W176" s="32">
        <f t="shared" si="60"/>
        <v>149000</v>
      </c>
      <c r="X176" s="29">
        <f t="shared" si="61"/>
        <v>-16.50735873846736</v>
      </c>
      <c r="Y176" s="48">
        <f t="shared" si="79"/>
        <v>-2.7659991059198763</v>
      </c>
      <c r="Z176" s="51">
        <f t="shared" si="74"/>
        <v>-470.22597855314348</v>
      </c>
      <c r="AB176" s="4">
        <f t="shared" si="75"/>
        <v>14.9</v>
      </c>
      <c r="AC176" s="5">
        <f t="shared" si="62"/>
        <v>54.9</v>
      </c>
      <c r="AD176" s="13">
        <f t="shared" si="76"/>
        <v>2.47213406551588E-3</v>
      </c>
      <c r="AE176" s="14">
        <f t="shared" si="77"/>
        <v>0.97809174881769878</v>
      </c>
      <c r="AF176" s="4">
        <f t="shared" si="63"/>
        <v>1</v>
      </c>
      <c r="AG176">
        <f t="shared" si="78"/>
        <v>0.35239590686961869</v>
      </c>
      <c r="AH176">
        <f t="shared" si="64"/>
        <v>8.5208411636120748E-4</v>
      </c>
      <c r="AI176" s="5">
        <f t="shared" si="65"/>
        <v>0.34467552882630426</v>
      </c>
    </row>
    <row r="177" spans="1:35" x14ac:dyDescent="0.45">
      <c r="A177" s="4">
        <f t="shared" si="66"/>
        <v>15</v>
      </c>
      <c r="B177" s="5">
        <f t="shared" si="54"/>
        <v>55</v>
      </c>
      <c r="C177" s="14">
        <f>_xlfn.XLOOKUP($B177,'Q1 Base'!$C$8:$C$208,'Q1 Base'!$D$8:$D$208,,0,)</f>
        <v>2.4881996403858784E-3</v>
      </c>
      <c r="D177">
        <f t="shared" si="67"/>
        <v>0.97784995142455355</v>
      </c>
      <c r="E177" s="5">
        <f t="shared" si="55"/>
        <v>-2.433085897485923E-3</v>
      </c>
      <c r="G177" s="4">
        <f t="shared" si="68"/>
        <v>5</v>
      </c>
      <c r="H177" s="5">
        <f t="shared" si="56"/>
        <v>45</v>
      </c>
      <c r="I177">
        <f t="shared" si="69"/>
        <v>162.54650048153289</v>
      </c>
      <c r="J177" s="14">
        <f>_xlfn.XLOOKUP($H177,'Q1 Base'!$C$8:$C$208,'Q1 Base'!$D$8:$D$208,,0,)</f>
        <v>1.1650023449983778E-3</v>
      </c>
      <c r="K177" s="29" cm="1">
        <f t="array" ref="K177">I177*$B$7+$E$6-J177*(SumAssdTA-I177)</f>
        <v>75.067387588101781</v>
      </c>
      <c r="M177" s="4">
        <f t="shared" si="70"/>
        <v>5</v>
      </c>
      <c r="N177" s="5">
        <f t="shared" si="57"/>
        <v>45</v>
      </c>
      <c r="O177">
        <f t="shared" si="71"/>
        <v>379.33851489955254</v>
      </c>
      <c r="P177" s="14">
        <f>_xlfn.XLOOKUP($N177,'Q1 Base'!$C$8:$C$208,'Q1 Base'!$D$8:$D$208,,0,)</f>
        <v>1.1650023449983778E-3</v>
      </c>
      <c r="Q177" s="29">
        <f t="shared" si="58"/>
        <v>66.946564431493925</v>
      </c>
      <c r="S177" s="4">
        <f t="shared" si="72"/>
        <v>5</v>
      </c>
      <c r="T177" s="5">
        <f t="shared" si="59"/>
        <v>45</v>
      </c>
      <c r="U177">
        <f t="shared" si="73"/>
        <v>-298.57302628423309</v>
      </c>
      <c r="V177" s="14">
        <f>_xlfn.XLOOKUP($T177,'Q1 Base'!$C$8:$C$208,'Q1 Base'!$D$8:$D$208,,0,)</f>
        <v>1.1650023449983778E-3</v>
      </c>
      <c r="W177" s="32">
        <f t="shared" si="60"/>
        <v>150000</v>
      </c>
      <c r="X177" s="29">
        <f t="shared" si="61"/>
        <v>-15.998301865427379</v>
      </c>
      <c r="Y177" s="48">
        <f t="shared" si="79"/>
        <v>-2.8368468432093641</v>
      </c>
      <c r="Z177" s="51">
        <f t="shared" si="74"/>
        <v>-461.11952676576595</v>
      </c>
      <c r="AB177" s="4">
        <f t="shared" si="75"/>
        <v>15</v>
      </c>
      <c r="AC177" s="5">
        <f t="shared" si="62"/>
        <v>55</v>
      </c>
      <c r="AD177" s="13">
        <f t="shared" si="76"/>
        <v>2.4881996403858784E-3</v>
      </c>
      <c r="AE177" s="14">
        <f t="shared" si="77"/>
        <v>0.97784995142455355</v>
      </c>
      <c r="AF177" s="4">
        <f t="shared" si="63"/>
        <v>1</v>
      </c>
      <c r="AG177">
        <f t="shared" si="78"/>
        <v>0.34993774911115533</v>
      </c>
      <c r="AH177">
        <f t="shared" si="64"/>
        <v>8.5142860236031917E-4</v>
      </c>
      <c r="AI177" s="5">
        <f t="shared" si="65"/>
        <v>0.34218661096996084</v>
      </c>
    </row>
    <row r="178" spans="1:35" x14ac:dyDescent="0.45">
      <c r="A178" s="4">
        <f t="shared" si="66"/>
        <v>15.1</v>
      </c>
      <c r="B178" s="5">
        <f t="shared" si="54"/>
        <v>55.1</v>
      </c>
      <c r="C178" s="14">
        <f>_xlfn.XLOOKUP($B178,'Q1 Base'!$C$8:$C$208,'Q1 Base'!$D$8:$D$208,,0,)</f>
        <v>2.5049811062805944E-3</v>
      </c>
      <c r="D178">
        <f t="shared" si="67"/>
        <v>0.97760664283480492</v>
      </c>
      <c r="E178" s="5">
        <f t="shared" si="55"/>
        <v>-2.4488861696755878E-3</v>
      </c>
      <c r="G178" s="4">
        <f t="shared" si="68"/>
        <v>4.9000000000000004</v>
      </c>
      <c r="H178" s="5">
        <f t="shared" si="56"/>
        <v>44.9</v>
      </c>
      <c r="I178">
        <f t="shared" si="69"/>
        <v>155.03976172272272</v>
      </c>
      <c r="J178" s="14">
        <f>_xlfn.XLOOKUP($H178,'Q1 Base'!$C$8:$C$208,'Q1 Base'!$D$8:$D$208,,0,)</f>
        <v>1.1551922023770834E-3</v>
      </c>
      <c r="K178" s="29" cm="1">
        <f t="array" ref="K178">I178*$B$7+$E$6-J178*(SumAssdTA-I178)</f>
        <v>75.512663806682752</v>
      </c>
      <c r="M178" s="4">
        <f t="shared" si="70"/>
        <v>4.9000000000000004</v>
      </c>
      <c r="N178" s="5">
        <f t="shared" si="57"/>
        <v>44.9</v>
      </c>
      <c r="O178">
        <f t="shared" si="71"/>
        <v>372.64385845640317</v>
      </c>
      <c r="P178" s="14">
        <f>_xlfn.XLOOKUP($N178,'Q1 Base'!$C$8:$C$208,'Q1 Base'!$D$8:$D$208,,0,)</f>
        <v>1.1551922023770834E-3</v>
      </c>
      <c r="Q178" s="29">
        <f t="shared" si="58"/>
        <v>67.447497762749279</v>
      </c>
      <c r="S178" s="4">
        <f t="shared" si="72"/>
        <v>4.9000000000000004</v>
      </c>
      <c r="T178" s="5">
        <f t="shared" si="59"/>
        <v>44.9</v>
      </c>
      <c r="U178">
        <f t="shared" si="73"/>
        <v>-296.97319609769033</v>
      </c>
      <c r="V178" s="14">
        <f>_xlfn.XLOOKUP($T178,'Q1 Base'!$C$8:$C$208,'Q1 Base'!$D$8:$D$208,,0,)</f>
        <v>1.1551922023770834E-3</v>
      </c>
      <c r="W178" s="32">
        <f t="shared" si="60"/>
        <v>151000</v>
      </c>
      <c r="X178" s="29">
        <f t="shared" si="61"/>
        <v>-15.565207406224971</v>
      </c>
      <c r="Y178" s="48">
        <f t="shared" si="79"/>
        <v>-2.9154647349678284</v>
      </c>
      <c r="Z178" s="51">
        <f t="shared" si="74"/>
        <v>-452.01295782041302</v>
      </c>
      <c r="AB178" s="4">
        <f t="shared" si="75"/>
        <v>15.1</v>
      </c>
      <c r="AC178" s="5">
        <f t="shared" si="62"/>
        <v>55.1</v>
      </c>
      <c r="AD178" s="13">
        <f t="shared" si="76"/>
        <v>2.5049811062805944E-3</v>
      </c>
      <c r="AE178" s="14">
        <f t="shared" si="77"/>
        <v>0.97760664283480492</v>
      </c>
      <c r="AF178" s="4">
        <f t="shared" si="63"/>
        <v>1</v>
      </c>
      <c r="AG178">
        <f t="shared" si="78"/>
        <v>0.34749673837241518</v>
      </c>
      <c r="AH178">
        <f t="shared" si="64"/>
        <v>8.509799566075837E-4</v>
      </c>
      <c r="AI178" s="5">
        <f t="shared" si="65"/>
        <v>0.33971511979630131</v>
      </c>
    </row>
    <row r="179" spans="1:35" x14ac:dyDescent="0.45">
      <c r="A179" s="4">
        <f t="shared" si="66"/>
        <v>15.2</v>
      </c>
      <c r="B179" s="5">
        <f t="shared" si="54"/>
        <v>55.2</v>
      </c>
      <c r="C179" s="14">
        <f>_xlfn.XLOOKUP($B179,'Q1 Base'!$C$8:$C$208,'Q1 Base'!$D$8:$D$208,,0,)</f>
        <v>2.5217625721753105E-3</v>
      </c>
      <c r="D179">
        <f t="shared" si="67"/>
        <v>0.97736175421783733</v>
      </c>
      <c r="E179" s="5">
        <f t="shared" si="55"/>
        <v>-2.4646742912621472E-3</v>
      </c>
      <c r="G179" s="4">
        <f t="shared" si="68"/>
        <v>4.8</v>
      </c>
      <c r="H179" s="5">
        <f t="shared" si="56"/>
        <v>44.8</v>
      </c>
      <c r="I179">
        <f t="shared" si="69"/>
        <v>147.48849534205445</v>
      </c>
      <c r="J179" s="14">
        <f>_xlfn.XLOOKUP($H179,'Q1 Base'!$C$8:$C$208,'Q1 Base'!$D$8:$D$208,,0,)</f>
        <v>1.145382059755789E-3</v>
      </c>
      <c r="K179" s="29" cm="1">
        <f t="array" ref="K179">I179*$B$7+$E$6-J179*(SumAssdTA-I179)</f>
        <v>75.954919374950094</v>
      </c>
      <c r="M179" s="4">
        <f t="shared" si="70"/>
        <v>4.8</v>
      </c>
      <c r="N179" s="5">
        <f t="shared" si="57"/>
        <v>44.8</v>
      </c>
      <c r="O179">
        <f t="shared" si="71"/>
        <v>365.89910868012822</v>
      </c>
      <c r="P179" s="14">
        <f>_xlfn.XLOOKUP($N179,'Q1 Base'!$C$8:$C$208,'Q1 Base'!$D$8:$D$208,,0,)</f>
        <v>1.145382059755789E-3</v>
      </c>
      <c r="Q179" s="29">
        <f t="shared" si="58"/>
        <v>67.944998535749775</v>
      </c>
      <c r="S179" s="4">
        <f t="shared" si="72"/>
        <v>4.8</v>
      </c>
      <c r="T179" s="5">
        <f t="shared" si="59"/>
        <v>44.8</v>
      </c>
      <c r="U179">
        <f t="shared" si="73"/>
        <v>-295.41667535706785</v>
      </c>
      <c r="V179" s="14">
        <f>_xlfn.XLOOKUP($T179,'Q1 Base'!$C$8:$C$208,'Q1 Base'!$D$8:$D$208,,0,)</f>
        <v>1.145382059755789E-3</v>
      </c>
      <c r="W179" s="32">
        <f t="shared" si="60"/>
        <v>152000</v>
      </c>
      <c r="X179" s="29">
        <f t="shared" si="61"/>
        <v>-15.115605317981334</v>
      </c>
      <c r="Y179" s="48">
        <f t="shared" si="79"/>
        <v>-3.0029811455594499</v>
      </c>
      <c r="Z179" s="51">
        <f t="shared" si="74"/>
        <v>-442.90517069912232</v>
      </c>
      <c r="AB179" s="4">
        <f t="shared" si="75"/>
        <v>15.2</v>
      </c>
      <c r="AC179" s="5">
        <f t="shared" si="62"/>
        <v>55.2</v>
      </c>
      <c r="AD179" s="13">
        <f t="shared" si="76"/>
        <v>2.5217625721753105E-3</v>
      </c>
      <c r="AE179" s="14">
        <f t="shared" si="77"/>
        <v>0.97736175421783733</v>
      </c>
      <c r="AF179" s="4">
        <f t="shared" si="63"/>
        <v>1</v>
      </c>
      <c r="AG179">
        <f t="shared" si="78"/>
        <v>0.34507275504338375</v>
      </c>
      <c r="AH179">
        <f t="shared" si="64"/>
        <v>8.5049194797042838E-4</v>
      </c>
      <c r="AI179" s="5">
        <f t="shared" si="65"/>
        <v>0.33726091320198359</v>
      </c>
    </row>
    <row r="180" spans="1:35" x14ac:dyDescent="0.45">
      <c r="A180" s="4">
        <f t="shared" si="66"/>
        <v>15.3</v>
      </c>
      <c r="B180" s="5">
        <f t="shared" si="54"/>
        <v>55.3</v>
      </c>
      <c r="C180" s="14">
        <f>_xlfn.XLOOKUP($B180,'Q1 Base'!$C$8:$C$208,'Q1 Base'!$D$8:$D$208,,0,)</f>
        <v>2.5385440380700256E-3</v>
      </c>
      <c r="D180">
        <f t="shared" si="67"/>
        <v>0.97711528678871107</v>
      </c>
      <c r="E180" s="5">
        <f t="shared" si="55"/>
        <v>-2.4804501857845656E-3</v>
      </c>
      <c r="G180" s="4">
        <f t="shared" si="68"/>
        <v>4.7</v>
      </c>
      <c r="H180" s="5">
        <f t="shared" si="56"/>
        <v>44.7</v>
      </c>
      <c r="I180">
        <f t="shared" si="69"/>
        <v>139.89300340455944</v>
      </c>
      <c r="J180" s="14">
        <f>_xlfn.XLOOKUP($H180,'Q1 Base'!$C$8:$C$208,'Q1 Base'!$D$8:$D$208,,0,)</f>
        <v>1.1355719171344948E-3</v>
      </c>
      <c r="K180" s="29" cm="1">
        <f t="array" ref="K180">I180*$B$7+$E$6-J180*(SumAssdTA-I180)</f>
        <v>76.394177090939493</v>
      </c>
      <c r="M180" s="4">
        <f t="shared" si="70"/>
        <v>4.7</v>
      </c>
      <c r="N180" s="5">
        <f t="shared" si="57"/>
        <v>44.7</v>
      </c>
      <c r="O180">
        <f t="shared" si="71"/>
        <v>359.10460882655326</v>
      </c>
      <c r="P180" s="14">
        <f>_xlfn.XLOOKUP($N180,'Q1 Base'!$C$8:$C$208,'Q1 Base'!$D$8:$D$208,,0,)</f>
        <v>1.1355719171344948E-3</v>
      </c>
      <c r="Q180" s="29">
        <f t="shared" si="58"/>
        <v>68.439092642463095</v>
      </c>
      <c r="S180" s="4">
        <f t="shared" si="72"/>
        <v>4.7</v>
      </c>
      <c r="T180" s="5">
        <f t="shared" si="59"/>
        <v>44.7</v>
      </c>
      <c r="U180">
        <f t="shared" si="73"/>
        <v>-293.90511482526972</v>
      </c>
      <c r="V180" s="14">
        <f>_xlfn.XLOOKUP($T180,'Q1 Base'!$C$8:$C$208,'Q1 Base'!$D$8:$D$208,,0,)</f>
        <v>1.1355719171344948E-3</v>
      </c>
      <c r="W180" s="32">
        <f t="shared" si="60"/>
        <v>153000</v>
      </c>
      <c r="X180" s="29">
        <f t="shared" si="61"/>
        <v>-14.649611754044344</v>
      </c>
      <c r="Y180" s="48">
        <f t="shared" si="79"/>
        <v>-3.1009279068469171</v>
      </c>
      <c r="Z180" s="51">
        <f t="shared" si="74"/>
        <v>-433.79811822982913</v>
      </c>
      <c r="AB180" s="4">
        <f t="shared" si="75"/>
        <v>15.3</v>
      </c>
      <c r="AC180" s="5">
        <f t="shared" si="62"/>
        <v>55.3</v>
      </c>
      <c r="AD180" s="13">
        <f t="shared" si="76"/>
        <v>2.5385440380700256E-3</v>
      </c>
      <c r="AE180" s="14">
        <f t="shared" si="77"/>
        <v>0.97711528678871107</v>
      </c>
      <c r="AF180" s="4">
        <f t="shared" si="63"/>
        <v>1</v>
      </c>
      <c r="AG180">
        <f t="shared" si="78"/>
        <v>0.34266568034839279</v>
      </c>
      <c r="AH180">
        <f t="shared" si="64"/>
        <v>8.4996515048216541E-4</v>
      </c>
      <c r="AI180" s="5">
        <f t="shared" si="65"/>
        <v>0.33482387452626861</v>
      </c>
    </row>
    <row r="181" spans="1:35" x14ac:dyDescent="0.45">
      <c r="A181" s="4">
        <f t="shared" si="66"/>
        <v>15.4</v>
      </c>
      <c r="B181" s="5">
        <f t="shared" si="54"/>
        <v>55.4</v>
      </c>
      <c r="C181" s="14">
        <f>_xlfn.XLOOKUP($B181,'Q1 Base'!$C$8:$C$208,'Q1 Base'!$D$8:$D$208,,0,)</f>
        <v>2.5553255039647413E-3</v>
      </c>
      <c r="D181">
        <f t="shared" si="67"/>
        <v>0.97686724177013262</v>
      </c>
      <c r="E181" s="5">
        <f t="shared" si="55"/>
        <v>-2.496213776882911E-3</v>
      </c>
      <c r="G181" s="4">
        <f t="shared" si="68"/>
        <v>4.5999999999999996</v>
      </c>
      <c r="H181" s="5">
        <f t="shared" si="56"/>
        <v>44.6</v>
      </c>
      <c r="I181">
        <f t="shared" si="69"/>
        <v>132.25358569546549</v>
      </c>
      <c r="J181" s="14">
        <f>_xlfn.XLOOKUP($H181,'Q1 Base'!$C$8:$C$208,'Q1 Base'!$D$8:$D$208,,0,)</f>
        <v>1.1257617745132004E-3</v>
      </c>
      <c r="K181" s="29" cm="1">
        <f t="array" ref="K181">I181*$B$7+$E$6-J181*(SumAssdTA-I181)</f>
        <v>76.830459578680802</v>
      </c>
      <c r="M181" s="4">
        <f t="shared" si="70"/>
        <v>4.5999999999999996</v>
      </c>
      <c r="N181" s="5">
        <f t="shared" si="57"/>
        <v>44.6</v>
      </c>
      <c r="O181">
        <f t="shared" si="71"/>
        <v>352.26069956230697</v>
      </c>
      <c r="P181" s="14">
        <f>_xlfn.XLOOKUP($N181,'Q1 Base'!$C$8:$C$208,'Q1 Base'!$D$8:$D$208,,0,)</f>
        <v>1.1257617745132004E-3</v>
      </c>
      <c r="Q181" s="29">
        <f t="shared" si="58"/>
        <v>68.929805777228822</v>
      </c>
      <c r="S181" s="4">
        <f t="shared" si="72"/>
        <v>4.5999999999999996</v>
      </c>
      <c r="T181" s="5">
        <f t="shared" si="59"/>
        <v>44.6</v>
      </c>
      <c r="U181">
        <f t="shared" si="73"/>
        <v>-292.44015364986529</v>
      </c>
      <c r="V181" s="14">
        <f>_xlfn.XLOOKUP($T181,'Q1 Base'!$C$8:$C$208,'Q1 Base'!$D$8:$D$208,,0,)</f>
        <v>1.1257617745132004E-3</v>
      </c>
      <c r="W181" s="32">
        <f t="shared" si="60"/>
        <v>154000</v>
      </c>
      <c r="X181" s="29">
        <f t="shared" si="61"/>
        <v>-14.167341976835218</v>
      </c>
      <c r="Y181" s="48">
        <f t="shared" si="79"/>
        <v>-3.2112077499604008</v>
      </c>
      <c r="Z181" s="51">
        <f t="shared" si="74"/>
        <v>-424.69373934533075</v>
      </c>
      <c r="AB181" s="4">
        <f t="shared" si="75"/>
        <v>15.4</v>
      </c>
      <c r="AC181" s="5">
        <f t="shared" si="62"/>
        <v>55.4</v>
      </c>
      <c r="AD181" s="13">
        <f t="shared" si="76"/>
        <v>2.5553255039647413E-3</v>
      </c>
      <c r="AE181" s="14">
        <f t="shared" si="77"/>
        <v>0.97686724177013262</v>
      </c>
      <c r="AF181" s="4">
        <f t="shared" si="63"/>
        <v>1</v>
      </c>
      <c r="AG181">
        <f t="shared" si="78"/>
        <v>0.3402753963403008</v>
      </c>
      <c r="AH181">
        <f t="shared" si="64"/>
        <v>8.4940013227895173E-4</v>
      </c>
      <c r="AI181" s="5">
        <f t="shared" si="65"/>
        <v>0.33240388786518832</v>
      </c>
    </row>
    <row r="182" spans="1:35" x14ac:dyDescent="0.45">
      <c r="A182" s="4">
        <f t="shared" si="66"/>
        <v>15.5</v>
      </c>
      <c r="B182" s="5">
        <f t="shared" si="54"/>
        <v>55.5</v>
      </c>
      <c r="C182" s="14">
        <f>_xlfn.XLOOKUP($B182,'Q1 Base'!$C$8:$C$208,'Q1 Base'!$D$8:$D$208,,0,)</f>
        <v>2.5721069698594582E-3</v>
      </c>
      <c r="D182">
        <f t="shared" si="67"/>
        <v>0.97661762039244437</v>
      </c>
      <c r="E182" s="5">
        <f t="shared" si="55"/>
        <v>-2.5119649882989646E-3</v>
      </c>
      <c r="G182" s="4">
        <f t="shared" si="68"/>
        <v>4.5</v>
      </c>
      <c r="H182" s="5">
        <f t="shared" si="56"/>
        <v>44.5</v>
      </c>
      <c r="I182">
        <f t="shared" si="69"/>
        <v>124.57053973759741</v>
      </c>
      <c r="J182" s="14">
        <f>_xlfn.XLOOKUP($H182,'Q1 Base'!$C$8:$C$208,'Q1 Base'!$D$8:$D$208,,0,)</f>
        <v>1.1159516318919056E-3</v>
      </c>
      <c r="K182" s="29" cm="1">
        <f t="array" ref="K182">I182*$B$7+$E$6-J182*(SumAssdTA-I182)</f>
        <v>77.263789289547091</v>
      </c>
      <c r="M182" s="4">
        <f t="shared" si="70"/>
        <v>4.5</v>
      </c>
      <c r="N182" s="5">
        <f t="shared" si="57"/>
        <v>44.5</v>
      </c>
      <c r="O182">
        <f t="shared" si="71"/>
        <v>345.36771898458409</v>
      </c>
      <c r="P182" s="14">
        <f>_xlfn.XLOOKUP($N182,'Q1 Base'!$C$8:$C$208,'Q1 Base'!$D$8:$D$208,,0,)</f>
        <v>1.1159516318919056E-3</v>
      </c>
      <c r="Q182" s="29">
        <f t="shared" si="58"/>
        <v>69.4171634382908</v>
      </c>
      <c r="S182" s="4">
        <f t="shared" si="72"/>
        <v>4.5</v>
      </c>
      <c r="T182" s="5">
        <f t="shared" si="59"/>
        <v>44.5</v>
      </c>
      <c r="U182">
        <f t="shared" si="73"/>
        <v>-291.02341945218177</v>
      </c>
      <c r="V182" s="14">
        <f>_xlfn.XLOOKUP($T182,'Q1 Base'!$C$8:$C$208,'Q1 Base'!$D$8:$D$208,,0,)</f>
        <v>1.1159516318919056E-3</v>
      </c>
      <c r="W182" s="32">
        <f t="shared" si="60"/>
        <v>155000</v>
      </c>
      <c r="X182" s="29">
        <f t="shared" si="61"/>
        <v>-13.668910364754538</v>
      </c>
      <c r="Y182" s="48">
        <f t="shared" si="79"/>
        <v>-3.3362138437002065</v>
      </c>
      <c r="Z182" s="51">
        <f t="shared" si="74"/>
        <v>-415.59395918977918</v>
      </c>
      <c r="AB182" s="4">
        <f t="shared" si="75"/>
        <v>15.5</v>
      </c>
      <c r="AC182" s="5">
        <f t="shared" si="62"/>
        <v>55.5</v>
      </c>
      <c r="AD182" s="13">
        <f t="shared" si="76"/>
        <v>2.5721069698594582E-3</v>
      </c>
      <c r="AE182" s="14">
        <f t="shared" si="77"/>
        <v>0.97661762039244437</v>
      </c>
      <c r="AF182" s="4">
        <f t="shared" si="63"/>
        <v>1</v>
      </c>
      <c r="AG182">
        <f t="shared" si="78"/>
        <v>0.33790178589471298</v>
      </c>
      <c r="AH182">
        <f t="shared" si="64"/>
        <v>8.4879745565121195E-4</v>
      </c>
      <c r="AI182" s="5">
        <f t="shared" si="65"/>
        <v>0.33000083806685182</v>
      </c>
    </row>
    <row r="183" spans="1:35" x14ac:dyDescent="0.45">
      <c r="A183" s="4">
        <f t="shared" si="66"/>
        <v>15.6</v>
      </c>
      <c r="B183" s="5">
        <f t="shared" si="54"/>
        <v>55.6</v>
      </c>
      <c r="C183" s="14">
        <f>_xlfn.XLOOKUP($B183,'Q1 Base'!$C$8:$C$208,'Q1 Base'!$D$8:$D$208,,0,)</f>
        <v>2.5888884357541738E-3</v>
      </c>
      <c r="D183">
        <f t="shared" si="67"/>
        <v>0.9763664238936145</v>
      </c>
      <c r="E183" s="5">
        <f t="shared" si="55"/>
        <v>-2.5277037438768361E-3</v>
      </c>
      <c r="G183" s="4">
        <f t="shared" si="68"/>
        <v>4.4000000000000004</v>
      </c>
      <c r="H183" s="5">
        <f t="shared" si="56"/>
        <v>44.4</v>
      </c>
      <c r="I183">
        <f t="shared" si="69"/>
        <v>116.8441608086427</v>
      </c>
      <c r="J183" s="14">
        <f>_xlfn.XLOOKUP($H183,'Q1 Base'!$C$8:$C$208,'Q1 Base'!$D$8:$D$208,,0,)</f>
        <v>1.1061414892706112E-3</v>
      </c>
      <c r="K183" s="29" cm="1">
        <f t="array" ref="K183">I183*$B$7+$E$6-J183*(SumAssdTA-I183)</f>
        <v>77.69418850359331</v>
      </c>
      <c r="M183" s="4">
        <f t="shared" si="70"/>
        <v>4.4000000000000004</v>
      </c>
      <c r="N183" s="5">
        <f t="shared" si="57"/>
        <v>44.4</v>
      </c>
      <c r="O183">
        <f t="shared" si="71"/>
        <v>338.42600264075503</v>
      </c>
      <c r="P183" s="14">
        <f>_xlfn.XLOOKUP($N183,'Q1 Base'!$C$8:$C$208,'Q1 Base'!$D$8:$D$208,,0,)</f>
        <v>1.1061414892706112E-3</v>
      </c>
      <c r="Q183" s="29">
        <f t="shared" si="58"/>
        <v>69.901190929317536</v>
      </c>
      <c r="S183" s="4">
        <f t="shared" si="72"/>
        <v>4.4000000000000004</v>
      </c>
      <c r="T183" s="5">
        <f t="shared" si="59"/>
        <v>44.4</v>
      </c>
      <c r="U183">
        <f t="shared" si="73"/>
        <v>-289.6565284157063</v>
      </c>
      <c r="V183" s="14">
        <f>_xlfn.XLOOKUP($T183,'Q1 Base'!$C$8:$C$208,'Q1 Base'!$D$8:$D$208,,0,)</f>
        <v>1.1061414892706112E-3</v>
      </c>
      <c r="W183" s="32">
        <f t="shared" si="60"/>
        <v>156000</v>
      </c>
      <c r="X183" s="29">
        <f t="shared" si="61"/>
        <v>-13.154430419033503</v>
      </c>
      <c r="Y183" s="48">
        <f t="shared" si="79"/>
        <v>-3.4789987485132512</v>
      </c>
      <c r="Z183" s="51">
        <f t="shared" si="74"/>
        <v>-406.500689224349</v>
      </c>
      <c r="AB183" s="4">
        <f t="shared" si="75"/>
        <v>15.6</v>
      </c>
      <c r="AC183" s="5">
        <f t="shared" si="62"/>
        <v>55.6</v>
      </c>
      <c r="AD183" s="13">
        <f t="shared" si="76"/>
        <v>2.5888884357541738E-3</v>
      </c>
      <c r="AE183" s="14">
        <f t="shared" si="77"/>
        <v>0.9763664238936145</v>
      </c>
      <c r="AF183" s="4">
        <f t="shared" si="63"/>
        <v>1</v>
      </c>
      <c r="AG183">
        <f t="shared" si="78"/>
        <v>0.33554473270424268</v>
      </c>
      <c r="AH183">
        <f t="shared" si="64"/>
        <v>8.4815767709466646E-4</v>
      </c>
      <c r="AI183" s="5">
        <f t="shared" si="65"/>
        <v>0.32761461072678016</v>
      </c>
    </row>
    <row r="184" spans="1:35" x14ac:dyDescent="0.45">
      <c r="A184" s="4">
        <f t="shared" si="66"/>
        <v>15.7</v>
      </c>
      <c r="B184" s="5">
        <f t="shared" si="54"/>
        <v>55.7</v>
      </c>
      <c r="C184" s="14">
        <f>_xlfn.XLOOKUP($B184,'Q1 Base'!$C$8:$C$208,'Q1 Base'!$D$8:$D$208,,0,)</f>
        <v>2.6056699016488902E-3</v>
      </c>
      <c r="D184">
        <f t="shared" si="67"/>
        <v>0.97611365351922685</v>
      </c>
      <c r="E184" s="5">
        <f t="shared" si="55"/>
        <v>-2.5434299675635829E-3</v>
      </c>
      <c r="G184" s="4">
        <f t="shared" si="68"/>
        <v>4.3</v>
      </c>
      <c r="H184" s="5">
        <f t="shared" si="56"/>
        <v>44.3</v>
      </c>
      <c r="I184">
        <f t="shared" si="69"/>
        <v>109.07474195828337</v>
      </c>
      <c r="J184" s="14">
        <f>_xlfn.XLOOKUP($H184,'Q1 Base'!$C$8:$C$208,'Q1 Base'!$D$8:$D$208,,0,)</f>
        <v>1.0963313466493168E-3</v>
      </c>
      <c r="K184" s="29" cm="1">
        <f t="array" ref="K184">I184*$B$7+$E$6-J184*(SumAssdTA-I184)</f>
        <v>78.121679330884689</v>
      </c>
      <c r="M184" s="4">
        <f t="shared" si="70"/>
        <v>4.3</v>
      </c>
      <c r="N184" s="5">
        <f t="shared" si="57"/>
        <v>44.3</v>
      </c>
      <c r="O184">
        <f t="shared" si="71"/>
        <v>331.43588354782327</v>
      </c>
      <c r="P184" s="14">
        <f>_xlfn.XLOOKUP($N184,'Q1 Base'!$C$8:$C$208,'Q1 Base'!$D$8:$D$208,,0,)</f>
        <v>1.0963313466493168E-3</v>
      </c>
      <c r="Q184" s="29">
        <f t="shared" si="58"/>
        <v>70.381913360910673</v>
      </c>
      <c r="S184" s="4">
        <f t="shared" si="72"/>
        <v>4.3</v>
      </c>
      <c r="T184" s="5">
        <f t="shared" si="59"/>
        <v>44.3</v>
      </c>
      <c r="U184">
        <f t="shared" si="73"/>
        <v>-288.34108537380297</v>
      </c>
      <c r="V184" s="14">
        <f>_xlfn.XLOOKUP($T184,'Q1 Base'!$C$8:$C$208,'Q1 Base'!$D$8:$D$208,,0,)</f>
        <v>1.0963313466493168E-3</v>
      </c>
      <c r="W184" s="32">
        <f t="shared" si="60"/>
        <v>157000</v>
      </c>
      <c r="X184" s="29">
        <f t="shared" si="61"/>
        <v>-12.624014770531119</v>
      </c>
      <c r="Y184" s="48">
        <f t="shared" si="79"/>
        <v>-3.6435183819557571</v>
      </c>
      <c r="Z184" s="51">
        <f t="shared" si="74"/>
        <v>-397.41582733208634</v>
      </c>
      <c r="AB184" s="4">
        <f t="shared" si="75"/>
        <v>15.7</v>
      </c>
      <c r="AC184" s="5">
        <f t="shared" si="62"/>
        <v>55.7</v>
      </c>
      <c r="AD184" s="13">
        <f t="shared" si="76"/>
        <v>2.6056699016488902E-3</v>
      </c>
      <c r="AE184" s="14">
        <f t="shared" si="77"/>
        <v>0.97611365351922685</v>
      </c>
      <c r="AF184" s="4">
        <f t="shared" si="63"/>
        <v>1</v>
      </c>
      <c r="AG184">
        <f t="shared" si="78"/>
        <v>0.33320412127281185</v>
      </c>
      <c r="AH184">
        <f t="shared" si="64"/>
        <v>8.4748134736095995E-4</v>
      </c>
      <c r="AI184" s="5">
        <f t="shared" si="65"/>
        <v>0.32524509218326791</v>
      </c>
    </row>
    <row r="185" spans="1:35" x14ac:dyDescent="0.45">
      <c r="A185" s="4">
        <f t="shared" si="66"/>
        <v>15.8</v>
      </c>
      <c r="B185" s="5">
        <f t="shared" si="54"/>
        <v>55.8</v>
      </c>
      <c r="C185" s="14">
        <f>_xlfn.XLOOKUP($B185,'Q1 Base'!$C$8:$C$208,'Q1 Base'!$D$8:$D$208,,0,)</f>
        <v>2.622451367543605E-3</v>
      </c>
      <c r="D185">
        <f t="shared" si="67"/>
        <v>0.97585931052247055</v>
      </c>
      <c r="E185" s="5">
        <f t="shared" si="55"/>
        <v>-2.5591435834098125E-3</v>
      </c>
      <c r="G185" s="4">
        <f t="shared" si="68"/>
        <v>4.2</v>
      </c>
      <c r="H185" s="5">
        <f t="shared" si="56"/>
        <v>44.2</v>
      </c>
      <c r="I185">
        <f t="shared" si="69"/>
        <v>101.26257402519489</v>
      </c>
      <c r="J185" s="14">
        <f>_xlfn.XLOOKUP($H185,'Q1 Base'!$C$8:$C$208,'Q1 Base'!$D$8:$D$208,,0,)</f>
        <v>1.086521204028023E-3</v>
      </c>
      <c r="K185" s="29" cm="1">
        <f t="array" ref="K185">I185*$B$7+$E$6-J185*(SumAssdTA-I185)</f>
        <v>78.546283712814187</v>
      </c>
      <c r="M185" s="4">
        <f t="shared" si="70"/>
        <v>4.2</v>
      </c>
      <c r="N185" s="5">
        <f t="shared" si="57"/>
        <v>44.2</v>
      </c>
      <c r="O185">
        <f t="shared" si="71"/>
        <v>324.39769221173219</v>
      </c>
      <c r="P185" s="14">
        <f>_xlfn.XLOOKUP($N185,'Q1 Base'!$C$8:$C$208,'Q1 Base'!$D$8:$D$208,,0,)</f>
        <v>1.086521204028023E-3</v>
      </c>
      <c r="Q185" s="29">
        <f t="shared" si="58"/>
        <v>70.859355652101598</v>
      </c>
      <c r="S185" s="4">
        <f t="shared" si="72"/>
        <v>4.2</v>
      </c>
      <c r="T185" s="5">
        <f t="shared" si="59"/>
        <v>44.2</v>
      </c>
      <c r="U185">
        <f t="shared" si="73"/>
        <v>-287.07868389674985</v>
      </c>
      <c r="V185" s="14">
        <f>_xlfn.XLOOKUP($T185,'Q1 Base'!$C$8:$C$208,'Q1 Base'!$D$8:$D$208,,0,)</f>
        <v>1.086521204028023E-3</v>
      </c>
      <c r="W185" s="32">
        <f t="shared" si="60"/>
        <v>158000</v>
      </c>
      <c r="X185" s="29">
        <f t="shared" si="61"/>
        <v>-12.077775186478391</v>
      </c>
      <c r="Y185" s="48">
        <f t="shared" si="79"/>
        <v>-3.8349929543102719</v>
      </c>
      <c r="Z185" s="51">
        <f t="shared" si="74"/>
        <v>-388.34125792194476</v>
      </c>
      <c r="AB185" s="4">
        <f t="shared" si="75"/>
        <v>15.8</v>
      </c>
      <c r="AC185" s="5">
        <f t="shared" si="62"/>
        <v>55.8</v>
      </c>
      <c r="AD185" s="13">
        <f t="shared" si="76"/>
        <v>2.622451367543605E-3</v>
      </c>
      <c r="AE185" s="14">
        <f t="shared" si="77"/>
        <v>0.97585931052247055</v>
      </c>
      <c r="AF185" s="4">
        <f t="shared" si="63"/>
        <v>1</v>
      </c>
      <c r="AG185">
        <f t="shared" si="78"/>
        <v>0.33087983690999206</v>
      </c>
      <c r="AH185">
        <f t="shared" si="64"/>
        <v>8.4676901150789147E-4</v>
      </c>
      <c r="AI185" s="5">
        <f t="shared" si="65"/>
        <v>0.32289216951277233</v>
      </c>
    </row>
    <row r="186" spans="1:35" x14ac:dyDescent="0.45">
      <c r="A186" s="4">
        <f t="shared" si="66"/>
        <v>15.9</v>
      </c>
      <c r="B186" s="5">
        <f t="shared" si="54"/>
        <v>55.9</v>
      </c>
      <c r="C186" s="14">
        <f>_xlfn.XLOOKUP($B186,'Q1 Base'!$C$8:$C$208,'Q1 Base'!$D$8:$D$208,,0,)</f>
        <v>2.639232833438321E-3</v>
      </c>
      <c r="D186">
        <f t="shared" si="67"/>
        <v>0.97560339616412961</v>
      </c>
      <c r="E186" s="5">
        <f t="shared" si="55"/>
        <v>-2.5748445155703045E-3</v>
      </c>
      <c r="G186" s="4">
        <f t="shared" si="68"/>
        <v>4.0999999999999996</v>
      </c>
      <c r="H186" s="5">
        <f t="shared" si="56"/>
        <v>44.1</v>
      </c>
      <c r="I186">
        <f t="shared" si="69"/>
        <v>93.407945653913472</v>
      </c>
      <c r="J186" s="14">
        <f>_xlfn.XLOOKUP($H186,'Q1 Base'!$C$8:$C$208,'Q1 Base'!$D$8:$D$208,,0,)</f>
        <v>1.0767110614067282E-3</v>
      </c>
      <c r="K186" s="29" cm="1">
        <f t="array" ref="K186">I186*$B$7+$E$6-J186*(SumAssdTA-I186)</f>
        <v>78.968023423409974</v>
      </c>
      <c r="M186" s="4">
        <f t="shared" si="70"/>
        <v>4.0999999999999996</v>
      </c>
      <c r="N186" s="5">
        <f t="shared" si="57"/>
        <v>44.1</v>
      </c>
      <c r="O186">
        <f t="shared" si="71"/>
        <v>317.31175664652204</v>
      </c>
      <c r="P186" s="14">
        <f>_xlfn.XLOOKUP($N186,'Q1 Base'!$C$8:$C$208,'Q1 Base'!$D$8:$D$208,,0,)</f>
        <v>1.0767110614067282E-3</v>
      </c>
      <c r="Q186" s="29">
        <f t="shared" si="58"/>
        <v>71.333542531836272</v>
      </c>
      <c r="S186" s="4">
        <f t="shared" si="72"/>
        <v>4.0999999999999996</v>
      </c>
      <c r="T186" s="5">
        <f t="shared" si="59"/>
        <v>44.1</v>
      </c>
      <c r="U186">
        <f t="shared" si="73"/>
        <v>-285.87090637810201</v>
      </c>
      <c r="V186" s="14">
        <f>_xlfn.XLOOKUP($T186,'Q1 Base'!$C$8:$C$208,'Q1 Base'!$D$8:$D$208,,0,)</f>
        <v>1.0767110614067282E-3</v>
      </c>
      <c r="W186" s="32">
        <f t="shared" si="60"/>
        <v>159000</v>
      </c>
      <c r="X186" s="29">
        <f t="shared" si="61"/>
        <v>-11.515822577168592</v>
      </c>
      <c r="Y186" s="48">
        <f t="shared" si="79"/>
        <v>-4.0604559855891118</v>
      </c>
      <c r="Z186" s="51">
        <f t="shared" si="74"/>
        <v>-379.27885203201549</v>
      </c>
      <c r="AB186" s="4">
        <f t="shared" si="75"/>
        <v>15.9</v>
      </c>
      <c r="AC186" s="5">
        <f t="shared" si="62"/>
        <v>55.9</v>
      </c>
      <c r="AD186" s="13">
        <f t="shared" si="76"/>
        <v>2.639232833438321E-3</v>
      </c>
      <c r="AE186" s="14">
        <f t="shared" si="77"/>
        <v>0.97560339616412961</v>
      </c>
      <c r="AF186" s="4">
        <f t="shared" si="63"/>
        <v>1</v>
      </c>
      <c r="AG186">
        <f t="shared" si="78"/>
        <v>0.32857176572538455</v>
      </c>
      <c r="AH186">
        <f t="shared" si="64"/>
        <v>8.4602120894925739E-4</v>
      </c>
      <c r="AI186" s="5">
        <f t="shared" si="65"/>
        <v>0.32055573052532993</v>
      </c>
    </row>
    <row r="187" spans="1:35" x14ac:dyDescent="0.45">
      <c r="A187" s="4">
        <f t="shared" si="66"/>
        <v>16</v>
      </c>
      <c r="B187" s="5">
        <f t="shared" si="54"/>
        <v>56</v>
      </c>
      <c r="C187" s="14">
        <f>_xlfn.XLOOKUP($B187,'Q1 Base'!$C$8:$C$208,'Q1 Base'!$D$8:$D$208,,0,)</f>
        <v>2.6560142993330375E-3</v>
      </c>
      <c r="D187">
        <f t="shared" si="67"/>
        <v>0.97534591171257257</v>
      </c>
      <c r="E187" s="5">
        <f t="shared" si="55"/>
        <v>-2.5905326883046112E-3</v>
      </c>
      <c r="G187" s="4">
        <f t="shared" si="68"/>
        <v>4</v>
      </c>
      <c r="H187" s="5">
        <f t="shared" si="56"/>
        <v>44</v>
      </c>
      <c r="I187">
        <f t="shared" si="69"/>
        <v>85.511143311572482</v>
      </c>
      <c r="J187" s="14">
        <f>_xlfn.XLOOKUP($H187,'Q1 Base'!$C$8:$C$208,'Q1 Base'!$D$8:$D$208,,0,)</f>
        <v>1.0669009187854338E-3</v>
      </c>
      <c r="K187" s="29" cm="1">
        <f t="array" ref="K187">I187*$B$7+$E$6-J187*(SumAssdTA-I187)</f>
        <v>79.386920070632186</v>
      </c>
      <c r="M187" s="4">
        <f t="shared" si="70"/>
        <v>4</v>
      </c>
      <c r="N187" s="5">
        <f t="shared" si="57"/>
        <v>44</v>
      </c>
      <c r="O187">
        <f t="shared" si="71"/>
        <v>310.17840239333839</v>
      </c>
      <c r="P187" s="14">
        <f>_xlfn.XLOOKUP($N187,'Q1 Base'!$C$8:$C$208,'Q1 Base'!$D$8:$D$208,,0,)</f>
        <v>1.0669009187854338E-3</v>
      </c>
      <c r="Q187" s="29">
        <f t="shared" si="58"/>
        <v>71.804498540447995</v>
      </c>
      <c r="S187" s="4">
        <f t="shared" si="72"/>
        <v>4</v>
      </c>
      <c r="T187" s="5">
        <f t="shared" si="59"/>
        <v>44</v>
      </c>
      <c r="U187">
        <f t="shared" si="73"/>
        <v>-284.71932412038512</v>
      </c>
      <c r="V187" s="14">
        <f>_xlfn.XLOOKUP($T187,'Q1 Base'!$C$8:$C$208,'Q1 Base'!$D$8:$D$208,,0,)</f>
        <v>1.0669009187854338E-3</v>
      </c>
      <c r="W187" s="32">
        <f t="shared" si="60"/>
        <v>160000</v>
      </c>
      <c r="X187" s="29">
        <f t="shared" si="61"/>
        <v>-10.938267002596348</v>
      </c>
      <c r="Y187" s="48">
        <f t="shared" si="79"/>
        <v>-4.3296166218122965</v>
      </c>
      <c r="Z187" s="51">
        <f t="shared" si="74"/>
        <v>-370.23046743195761</v>
      </c>
      <c r="AB187" s="4">
        <f t="shared" si="75"/>
        <v>16</v>
      </c>
      <c r="AC187" s="5">
        <f t="shared" si="62"/>
        <v>56</v>
      </c>
      <c r="AD187" s="13">
        <f t="shared" si="76"/>
        <v>2.6560142993330375E-3</v>
      </c>
      <c r="AE187" s="14">
        <f t="shared" si="77"/>
        <v>0.97534591171257257</v>
      </c>
      <c r="AF187" s="4">
        <f t="shared" si="63"/>
        <v>1</v>
      </c>
      <c r="AG187">
        <f t="shared" si="78"/>
        <v>0.32627979462303947</v>
      </c>
      <c r="AH187">
        <f t="shared" si="64"/>
        <v>8.4523847350429881E-4</v>
      </c>
      <c r="AI187" s="5">
        <f t="shared" si="65"/>
        <v>0.31823566375999934</v>
      </c>
    </row>
    <row r="188" spans="1:35" x14ac:dyDescent="0.45">
      <c r="A188" s="4">
        <f t="shared" si="66"/>
        <v>16.100000000000001</v>
      </c>
      <c r="B188" s="5">
        <f t="shared" si="54"/>
        <v>56.1</v>
      </c>
      <c r="C188" s="14">
        <f>_xlfn.XLOOKUP($B188,'Q1 Base'!$C$8:$C$208,'Q1 Base'!$D$8:$D$208,,0,)</f>
        <v>2.6740134225885161E-3</v>
      </c>
      <c r="D188">
        <f t="shared" ref="D188:D219" si="80">D187+StepSizeQ1*E187</f>
        <v>0.9750868584437421</v>
      </c>
      <c r="E188" s="5">
        <f t="shared" si="55"/>
        <v>-2.6073953476682347E-3</v>
      </c>
      <c r="G188" s="4">
        <f t="shared" si="68"/>
        <v>3.9</v>
      </c>
      <c r="H188" s="5">
        <f t="shared" si="56"/>
        <v>43.9</v>
      </c>
      <c r="I188">
        <f t="shared" si="69"/>
        <v>77.572451304509258</v>
      </c>
      <c r="J188" s="14">
        <f>_xlfn.XLOOKUP($H188,'Q1 Base'!$C$8:$C$208,'Q1 Base'!$D$8:$D$208,,0,)</f>
        <v>1.0579824937649958E-3</v>
      </c>
      <c r="K188" s="29" cm="1">
        <f t="array" ref="K188">I188*$B$7+$E$6-J188*(SumAssdTA-I188)</f>
        <v>79.713892510294684</v>
      </c>
      <c r="M188" s="4">
        <f t="shared" si="70"/>
        <v>3.9</v>
      </c>
      <c r="N188" s="5">
        <f t="shared" si="57"/>
        <v>43.9</v>
      </c>
      <c r="O188">
        <f t="shared" si="71"/>
        <v>302.99795253929358</v>
      </c>
      <c r="P188" s="14">
        <f>_xlfn.XLOOKUP($N188,'Q1 Base'!$C$8:$C$208,'Q1 Base'!$D$8:$D$208,,0,)</f>
        <v>1.0579824937649958E-3</v>
      </c>
      <c r="Q188" s="29">
        <f t="shared" si="58"/>
        <v>72.183346459641044</v>
      </c>
      <c r="S188" s="4">
        <f t="shared" si="72"/>
        <v>3.9</v>
      </c>
      <c r="T188" s="5">
        <f t="shared" si="59"/>
        <v>43.9</v>
      </c>
      <c r="U188">
        <f t="shared" si="73"/>
        <v>-283.6254974201255</v>
      </c>
      <c r="V188" s="14">
        <f>_xlfn.XLOOKUP($T188,'Q1 Base'!$C$8:$C$208,'Q1 Base'!$D$8:$D$208,,0,)</f>
        <v>1.0579824937649958E-3</v>
      </c>
      <c r="W188" s="32">
        <f t="shared" si="60"/>
        <v>161000</v>
      </c>
      <c r="X188" s="29">
        <f t="shared" si="61"/>
        <v>-10.489037126628972</v>
      </c>
      <c r="Y188" s="48">
        <f t="shared" si="79"/>
        <v>-4.6562657573725339</v>
      </c>
      <c r="Z188" s="51">
        <f t="shared" si="74"/>
        <v>-361.19794872463478</v>
      </c>
      <c r="AB188" s="4">
        <f t="shared" si="75"/>
        <v>16.100000000000001</v>
      </c>
      <c r="AC188" s="5">
        <f t="shared" si="62"/>
        <v>56.1</v>
      </c>
      <c r="AD188" s="13">
        <f t="shared" si="76"/>
        <v>2.6740134225885161E-3</v>
      </c>
      <c r="AE188" s="14">
        <f t="shared" si="77"/>
        <v>0.9750868584437421</v>
      </c>
      <c r="AF188" s="4">
        <f t="shared" si="63"/>
        <v>1</v>
      </c>
      <c r="AG188">
        <f t="shared" si="78"/>
        <v>0.32400381129591405</v>
      </c>
      <c r="AH188">
        <f t="shared" si="64"/>
        <v>8.4480603019974291E-4</v>
      </c>
      <c r="AI188" s="5">
        <f t="shared" si="65"/>
        <v>0.31593185848033184</v>
      </c>
    </row>
    <row r="189" spans="1:35" x14ac:dyDescent="0.45">
      <c r="A189" s="4">
        <f t="shared" si="66"/>
        <v>16.2</v>
      </c>
      <c r="B189" s="5">
        <f t="shared" si="54"/>
        <v>56.2</v>
      </c>
      <c r="C189" s="14">
        <f>_xlfn.XLOOKUP($B189,'Q1 Base'!$C$8:$C$208,'Q1 Base'!$D$8:$D$208,,0,)</f>
        <v>2.6920125458439951E-3</v>
      </c>
      <c r="D189">
        <f t="shared" si="80"/>
        <v>0.9748261189089753</v>
      </c>
      <c r="E189" s="5">
        <f t="shared" si="55"/>
        <v>-2.6242441421193718E-3</v>
      </c>
      <c r="G189" s="4">
        <f t="shared" si="68"/>
        <v>3.8</v>
      </c>
      <c r="H189" s="5">
        <f t="shared" si="56"/>
        <v>43.8</v>
      </c>
      <c r="I189">
        <f t="shared" si="69"/>
        <v>69.601062053479794</v>
      </c>
      <c r="J189" s="14">
        <f>_xlfn.XLOOKUP($H189,'Q1 Base'!$C$8:$C$208,'Q1 Base'!$D$8:$D$208,,0,)</f>
        <v>1.0490640687445577E-3</v>
      </c>
      <c r="K189" s="29" cm="1">
        <f t="array" ref="K189">I189*$B$7+$E$6-J189*(SumAssdTA-I189)</f>
        <v>80.038683442634564</v>
      </c>
      <c r="M189" s="4">
        <f t="shared" si="70"/>
        <v>3.8</v>
      </c>
      <c r="N189" s="5">
        <f t="shared" si="57"/>
        <v>43.8</v>
      </c>
      <c r="O189">
        <f t="shared" si="71"/>
        <v>295.77961789332949</v>
      </c>
      <c r="P189" s="14">
        <f>_xlfn.XLOOKUP($N189,'Q1 Base'!$C$8:$C$208,'Q1 Base'!$D$8:$D$208,,0,)</f>
        <v>1.0490640687445577E-3</v>
      </c>
      <c r="Q189" s="29">
        <f t="shared" si="58"/>
        <v>72.559630776433025</v>
      </c>
      <c r="S189" s="4">
        <f t="shared" si="72"/>
        <v>3.8</v>
      </c>
      <c r="T189" s="5">
        <f t="shared" si="59"/>
        <v>43.8</v>
      </c>
      <c r="U189">
        <f t="shared" si="73"/>
        <v>-282.57659370746262</v>
      </c>
      <c r="V189" s="14">
        <f>_xlfn.XLOOKUP($T189,'Q1 Base'!$C$8:$C$208,'Q1 Base'!$D$8:$D$208,,0,)</f>
        <v>1.0490640687445577E-3</v>
      </c>
      <c r="W189" s="32">
        <f t="shared" si="60"/>
        <v>162000</v>
      </c>
      <c r="X189" s="29">
        <f t="shared" si="61"/>
        <v>-10.025181647267459</v>
      </c>
      <c r="Y189" s="48">
        <f t="shared" si="79"/>
        <v>-5.0599465779751682</v>
      </c>
      <c r="Z189" s="51">
        <f t="shared" si="74"/>
        <v>-352.1776557609424</v>
      </c>
      <c r="AB189" s="4">
        <f t="shared" si="75"/>
        <v>16.2</v>
      </c>
      <c r="AC189" s="5">
        <f t="shared" si="62"/>
        <v>56.2</v>
      </c>
      <c r="AD189" s="13">
        <f t="shared" si="76"/>
        <v>2.6920125458439951E-3</v>
      </c>
      <c r="AE189" s="14">
        <f t="shared" si="77"/>
        <v>0.9748261189089753</v>
      </c>
      <c r="AF189" s="4">
        <f t="shared" si="63"/>
        <v>1</v>
      </c>
      <c r="AG189">
        <f t="shared" si="78"/>
        <v>0.32174370422037013</v>
      </c>
      <c r="AH189">
        <f t="shared" si="64"/>
        <v>8.4433403106409408E-4</v>
      </c>
      <c r="AI189" s="5">
        <f t="shared" si="65"/>
        <v>0.31364416646854071</v>
      </c>
    </row>
    <row r="190" spans="1:35" x14ac:dyDescent="0.45">
      <c r="A190" s="4">
        <f t="shared" si="66"/>
        <v>16.3</v>
      </c>
      <c r="B190" s="5">
        <f t="shared" si="54"/>
        <v>56.3</v>
      </c>
      <c r="C190" s="14">
        <f>_xlfn.XLOOKUP($B190,'Q1 Base'!$C$8:$C$208,'Q1 Base'!$D$8:$D$208,,0,)</f>
        <v>2.7100116690994729E-3</v>
      </c>
      <c r="D190">
        <f t="shared" si="80"/>
        <v>0.97456369449476332</v>
      </c>
      <c r="E190" s="5">
        <f t="shared" si="55"/>
        <v>-2.6410789843615023E-3</v>
      </c>
      <c r="G190" s="4">
        <f t="shared" si="68"/>
        <v>3.7</v>
      </c>
      <c r="H190" s="5">
        <f t="shared" si="56"/>
        <v>43.7</v>
      </c>
      <c r="I190">
        <f t="shared" si="69"/>
        <v>61.597193709216334</v>
      </c>
      <c r="J190" s="14">
        <f>_xlfn.XLOOKUP($H190,'Q1 Base'!$C$8:$C$208,'Q1 Base'!$D$8:$D$208,,0,)</f>
        <v>1.0401456437241204E-3</v>
      </c>
      <c r="K190" s="29" cm="1">
        <f t="array" ref="K190">I190*$B$7+$E$6-J190*(SumAssdTA-I190)</f>
        <v>80.361309239935366</v>
      </c>
      <c r="M190" s="4">
        <f t="shared" si="70"/>
        <v>3.7</v>
      </c>
      <c r="N190" s="5">
        <f t="shared" si="57"/>
        <v>43.7</v>
      </c>
      <c r="O190">
        <f t="shared" si="71"/>
        <v>288.5236548156862</v>
      </c>
      <c r="P190" s="14">
        <f>_xlfn.XLOOKUP($N190,'Q1 Base'!$C$8:$C$208,'Q1 Base'!$D$8:$D$208,,0,)</f>
        <v>1.0401456437241204E-3</v>
      </c>
      <c r="Q190" s="29">
        <f t="shared" si="58"/>
        <v>72.933370716310733</v>
      </c>
      <c r="S190" s="4">
        <f t="shared" si="72"/>
        <v>3.7</v>
      </c>
      <c r="T190" s="5">
        <f t="shared" si="59"/>
        <v>43.7</v>
      </c>
      <c r="U190">
        <f t="shared" si="73"/>
        <v>-281.5740755427359</v>
      </c>
      <c r="V190" s="14">
        <f>_xlfn.XLOOKUP($T190,'Q1 Base'!$C$8:$C$208,'Q1 Base'!$D$8:$D$208,,0,)</f>
        <v>1.0401456437241204E-3</v>
      </c>
      <c r="W190" s="32">
        <f t="shared" si="60"/>
        <v>163000</v>
      </c>
      <c r="X190" s="29">
        <f t="shared" si="61"/>
        <v>-9.5468032630845698</v>
      </c>
      <c r="Y190" s="48">
        <f t="shared" si="79"/>
        <v>-5.5712159692204617</v>
      </c>
      <c r="Z190" s="51">
        <f t="shared" si="74"/>
        <v>-343.17126925195225</v>
      </c>
      <c r="AB190" s="4">
        <f t="shared" si="75"/>
        <v>16.3</v>
      </c>
      <c r="AC190" s="5">
        <f t="shared" si="62"/>
        <v>56.3</v>
      </c>
      <c r="AD190" s="13">
        <f t="shared" si="76"/>
        <v>2.7100116690994729E-3</v>
      </c>
      <c r="AE190" s="14">
        <f t="shared" si="77"/>
        <v>0.97456369449476332</v>
      </c>
      <c r="AF190" s="4">
        <f t="shared" si="63"/>
        <v>1</v>
      </c>
      <c r="AG190">
        <f t="shared" si="78"/>
        <v>0.31949936265070855</v>
      </c>
      <c r="AH190">
        <f t="shared" si="64"/>
        <v>8.4382305221368059E-4</v>
      </c>
      <c r="AI190" s="5">
        <f t="shared" si="65"/>
        <v>0.31137247925359673</v>
      </c>
    </row>
    <row r="191" spans="1:35" x14ac:dyDescent="0.45">
      <c r="A191" s="4">
        <f t="shared" si="66"/>
        <v>16.399999999999999</v>
      </c>
      <c r="B191" s="5">
        <f t="shared" si="54"/>
        <v>56.4</v>
      </c>
      <c r="C191" s="14">
        <f>_xlfn.XLOOKUP($B191,'Q1 Base'!$C$8:$C$208,'Q1 Base'!$D$8:$D$208,,0,)</f>
        <v>2.7280107923549515E-3</v>
      </c>
      <c r="D191">
        <f t="shared" si="80"/>
        <v>0.97429958659632721</v>
      </c>
      <c r="E191" s="5">
        <f t="shared" si="55"/>
        <v>-2.6578997872217483E-3</v>
      </c>
      <c r="G191" s="4">
        <f t="shared" si="68"/>
        <v>3.6</v>
      </c>
      <c r="H191" s="5">
        <f t="shared" si="56"/>
        <v>43.6</v>
      </c>
      <c r="I191">
        <f t="shared" si="69"/>
        <v>53.561062785222795</v>
      </c>
      <c r="J191" s="14">
        <f>_xlfn.XLOOKUP($H191,'Q1 Base'!$C$8:$C$208,'Q1 Base'!$D$8:$D$208,,0,)</f>
        <v>1.0312272187036823E-3</v>
      </c>
      <c r="K191" s="29" cm="1">
        <f t="array" ref="K191">I191*$B$7+$E$6-J191*(SumAssdTA-I191)</f>
        <v>80.681786150404193</v>
      </c>
      <c r="M191" s="4">
        <f t="shared" si="70"/>
        <v>3.6</v>
      </c>
      <c r="N191" s="5">
        <f t="shared" si="57"/>
        <v>43.6</v>
      </c>
      <c r="O191">
        <f t="shared" si="71"/>
        <v>281.23031774405513</v>
      </c>
      <c r="P191" s="14">
        <f>_xlfn.XLOOKUP($N191,'Q1 Base'!$C$8:$C$208,'Q1 Base'!$D$8:$D$208,,0,)</f>
        <v>1.0312272187036823E-3</v>
      </c>
      <c r="Q191" s="29">
        <f t="shared" si="58"/>
        <v>73.304585359054812</v>
      </c>
      <c r="S191" s="4">
        <f t="shared" si="72"/>
        <v>3.6</v>
      </c>
      <c r="T191" s="5">
        <f t="shared" si="59"/>
        <v>43.6</v>
      </c>
      <c r="U191">
        <f t="shared" si="73"/>
        <v>-280.61939521642745</v>
      </c>
      <c r="V191" s="14">
        <f>_xlfn.XLOOKUP($T191,'Q1 Base'!$C$8:$C$208,'Q1 Base'!$D$8:$D$208,,0,)</f>
        <v>1.0312272187036823E-3</v>
      </c>
      <c r="W191" s="32">
        <f t="shared" si="60"/>
        <v>164000</v>
      </c>
      <c r="X191" s="29">
        <f t="shared" si="61"/>
        <v>-9.0540038909971656</v>
      </c>
      <c r="Y191" s="48">
        <f t="shared" si="79"/>
        <v>-6.2392424762312375</v>
      </c>
      <c r="Z191" s="51">
        <f t="shared" si="74"/>
        <v>-334.18045800165027</v>
      </c>
      <c r="AB191" s="4">
        <f t="shared" si="75"/>
        <v>16.399999999999999</v>
      </c>
      <c r="AC191" s="5">
        <f t="shared" si="62"/>
        <v>56.4</v>
      </c>
      <c r="AD191" s="13">
        <f t="shared" si="76"/>
        <v>2.7280107923549515E-3</v>
      </c>
      <c r="AE191" s="14">
        <f t="shared" si="77"/>
        <v>0.97429958659632721</v>
      </c>
      <c r="AF191" s="4">
        <f t="shared" si="63"/>
        <v>1</v>
      </c>
      <c r="AG191">
        <f t="shared" si="78"/>
        <v>0.31727067661374364</v>
      </c>
      <c r="AH191">
        <f t="shared" si="64"/>
        <v>8.4327366386336929E-4</v>
      </c>
      <c r="AI191" s="5">
        <f t="shared" si="65"/>
        <v>0.30911668906390743</v>
      </c>
    </row>
    <row r="192" spans="1:35" x14ac:dyDescent="0.45">
      <c r="A192" s="4">
        <f t="shared" si="66"/>
        <v>16.5</v>
      </c>
      <c r="B192" s="5">
        <f t="shared" si="54"/>
        <v>56.5</v>
      </c>
      <c r="C192" s="14">
        <f>_xlfn.XLOOKUP($B192,'Q1 Base'!$C$8:$C$208,'Q1 Base'!$D$8:$D$208,,0,)</f>
        <v>2.7460099156104306E-3</v>
      </c>
      <c r="D192">
        <f t="shared" si="80"/>
        <v>0.97403379661760503</v>
      </c>
      <c r="E192" s="5">
        <f t="shared" si="55"/>
        <v>-2.6747064636516169E-3</v>
      </c>
      <c r="G192" s="4">
        <f t="shared" si="68"/>
        <v>3.5</v>
      </c>
      <c r="H192" s="5">
        <f t="shared" si="56"/>
        <v>43.5</v>
      </c>
      <c r="I192">
        <f t="shared" si="69"/>
        <v>45.492884170182379</v>
      </c>
      <c r="J192" s="14">
        <f>_xlfn.XLOOKUP($H192,'Q1 Base'!$C$8:$C$208,'Q1 Base'!$D$8:$D$208,,0,)</f>
        <v>1.0223087936832445E-3</v>
      </c>
      <c r="K192" s="29" cm="1">
        <f t="array" ref="K192">I192*$B$7+$E$6-J192*(SumAssdTA-I192)</f>
        <v>81.000130299125487</v>
      </c>
      <c r="M192" s="4">
        <f t="shared" si="70"/>
        <v>3.5</v>
      </c>
      <c r="N192" s="5">
        <f t="shared" si="57"/>
        <v>43.5</v>
      </c>
      <c r="O192">
        <f t="shared" si="71"/>
        <v>273.89985920814962</v>
      </c>
      <c r="P192" s="14">
        <f>_xlfn.XLOOKUP($N192,'Q1 Base'!$C$8:$C$208,'Q1 Base'!$D$8:$D$208,,0,)</f>
        <v>1.0223087936832445E-3</v>
      </c>
      <c r="Q192" s="29">
        <f t="shared" si="58"/>
        <v>73.673293639859935</v>
      </c>
      <c r="S192" s="4">
        <f t="shared" si="72"/>
        <v>3.5</v>
      </c>
      <c r="T192" s="5">
        <f t="shared" si="59"/>
        <v>43.5</v>
      </c>
      <c r="U192">
        <f t="shared" si="73"/>
        <v>-279.71399482732772</v>
      </c>
      <c r="V192" s="14">
        <f>_xlfn.XLOOKUP($T192,'Q1 Base'!$C$8:$C$208,'Q1 Base'!$D$8:$D$208,,0,)</f>
        <v>1.0223087936832445E-3</v>
      </c>
      <c r="W192" s="32">
        <f t="shared" si="60"/>
        <v>165000</v>
      </c>
      <c r="X192" s="29">
        <f t="shared" si="61"/>
        <v>-8.5468846722765477</v>
      </c>
      <c r="Y192" s="48">
        <f t="shared" si="79"/>
        <v>-7.1485219046776116</v>
      </c>
      <c r="Z192" s="51">
        <f t="shared" si="74"/>
        <v>-325.2068789975101</v>
      </c>
      <c r="AB192" s="4">
        <f t="shared" si="75"/>
        <v>16.5</v>
      </c>
      <c r="AC192" s="5">
        <f t="shared" si="62"/>
        <v>56.5</v>
      </c>
      <c r="AD192" s="13">
        <f t="shared" si="76"/>
        <v>2.7460099156104306E-3</v>
      </c>
      <c r="AE192" s="14">
        <f t="shared" si="77"/>
        <v>0.97403379661760503</v>
      </c>
      <c r="AF192" s="4">
        <f t="shared" si="63"/>
        <v>1</v>
      </c>
      <c r="AG192">
        <f t="shared" si="78"/>
        <v>0.31505753690341332</v>
      </c>
      <c r="AH192">
        <f t="shared" si="64"/>
        <v>8.4268643037771745E-4</v>
      </c>
      <c r="AI192" s="5">
        <f t="shared" si="65"/>
        <v>0.30687668882302288</v>
      </c>
    </row>
    <row r="193" spans="1:35" x14ac:dyDescent="0.45">
      <c r="A193" s="4">
        <f t="shared" si="66"/>
        <v>16.600000000000001</v>
      </c>
      <c r="B193" s="5">
        <f t="shared" si="54"/>
        <v>56.6</v>
      </c>
      <c r="C193" s="14">
        <f>_xlfn.XLOOKUP($B193,'Q1 Base'!$C$8:$C$208,'Q1 Base'!$D$8:$D$208,,0,)</f>
        <v>2.7640090388659096E-3</v>
      </c>
      <c r="D193">
        <f t="shared" si="80"/>
        <v>0.97376632597123991</v>
      </c>
      <c r="E193" s="5">
        <f t="shared" si="55"/>
        <v>-2.6914989267277549E-3</v>
      </c>
      <c r="G193" s="4">
        <f t="shared" si="68"/>
        <v>3.4</v>
      </c>
      <c r="H193" s="5">
        <f t="shared" si="56"/>
        <v>43.4</v>
      </c>
      <c r="I193">
        <f t="shared" si="69"/>
        <v>37.392871140269833</v>
      </c>
      <c r="J193" s="14">
        <f>_xlfn.XLOOKUP($H193,'Q1 Base'!$C$8:$C$208,'Q1 Base'!$D$8:$D$208,,0,)</f>
        <v>1.0133903686628065E-3</v>
      </c>
      <c r="K193" s="29" cm="1">
        <f t="array" ref="K193">I193*$B$7+$E$6-J193*(SumAssdTA-I193)</f>
        <v>81.316357689008427</v>
      </c>
      <c r="M193" s="4">
        <f t="shared" si="70"/>
        <v>3.4</v>
      </c>
      <c r="N193" s="5">
        <f t="shared" si="57"/>
        <v>43.4</v>
      </c>
      <c r="O193">
        <f t="shared" si="71"/>
        <v>266.53252984416361</v>
      </c>
      <c r="P193" s="14">
        <f>_xlfn.XLOOKUP($N193,'Q1 Base'!$C$8:$C$208,'Q1 Base'!$D$8:$D$208,,0,)</f>
        <v>1.0133903686628065E-3</v>
      </c>
      <c r="Q193" s="29">
        <f t="shared" si="58"/>
        <v>74.03951435044705</v>
      </c>
      <c r="S193" s="4">
        <f t="shared" si="72"/>
        <v>3.4</v>
      </c>
      <c r="T193" s="5">
        <f t="shared" si="59"/>
        <v>43.4</v>
      </c>
      <c r="U193">
        <f t="shared" si="73"/>
        <v>-278.85930636010005</v>
      </c>
      <c r="V193" s="14">
        <f>_xlfn.XLOOKUP($T193,'Q1 Base'!$C$8:$C$208,'Q1 Base'!$D$8:$D$208,,0,)</f>
        <v>1.0133903686628065E-3</v>
      </c>
      <c r="W193" s="32">
        <f t="shared" si="60"/>
        <v>166000</v>
      </c>
      <c r="X193" s="29">
        <f t="shared" si="61"/>
        <v>-8.0255459785101948</v>
      </c>
      <c r="Y193" s="48">
        <f t="shared" si="79"/>
        <v>-8.4575526793337268</v>
      </c>
      <c r="Z193" s="51">
        <f t="shared" si="74"/>
        <v>-316.2521775003699</v>
      </c>
      <c r="AB193" s="4">
        <f t="shared" si="75"/>
        <v>16.600000000000001</v>
      </c>
      <c r="AC193" s="5">
        <f t="shared" si="62"/>
        <v>56.6</v>
      </c>
      <c r="AD193" s="13">
        <f t="shared" si="76"/>
        <v>2.7640090388659096E-3</v>
      </c>
      <c r="AE193" s="14">
        <f t="shared" si="77"/>
        <v>0.97376632597123991</v>
      </c>
      <c r="AF193" s="4">
        <f t="shared" si="63"/>
        <v>1</v>
      </c>
      <c r="AG193">
        <f t="shared" si="78"/>
        <v>0.31285983507542914</v>
      </c>
      <c r="AH193">
        <f t="shared" si="64"/>
        <v>8.4206191032173993E-4</v>
      </c>
      <c r="AI193" s="5">
        <f t="shared" si="65"/>
        <v>0.30465237214536867</v>
      </c>
    </row>
    <row r="194" spans="1:35" x14ac:dyDescent="0.45">
      <c r="A194" s="4">
        <f t="shared" si="66"/>
        <v>16.7</v>
      </c>
      <c r="B194" s="5">
        <f t="shared" si="54"/>
        <v>56.7</v>
      </c>
      <c r="C194" s="14">
        <f>_xlfn.XLOOKUP($B194,'Q1 Base'!$C$8:$C$208,'Q1 Base'!$D$8:$D$208,,0,)</f>
        <v>2.7820081621213887E-3</v>
      </c>
      <c r="D194">
        <f t="shared" si="80"/>
        <v>0.97349717607856712</v>
      </c>
      <c r="E194" s="5">
        <f t="shared" si="55"/>
        <v>-2.7082770896526965E-3</v>
      </c>
      <c r="G194" s="4">
        <f t="shared" si="68"/>
        <v>3.3</v>
      </c>
      <c r="H194" s="5">
        <f t="shared" si="56"/>
        <v>43.3</v>
      </c>
      <c r="I194">
        <f t="shared" si="69"/>
        <v>29.26123537136899</v>
      </c>
      <c r="J194" s="14">
        <f>_xlfn.XLOOKUP($H194,'Q1 Base'!$C$8:$C$208,'Q1 Base'!$D$8:$D$208,,0,)</f>
        <v>1.0044719436423687E-3</v>
      </c>
      <c r="K194" s="29" cm="1">
        <f t="array" ref="K194">I194*$B$7+$E$6-J194*(SumAssdTA-I194)</f>
        <v>81.630484201725821</v>
      </c>
      <c r="M194" s="4">
        <f t="shared" si="70"/>
        <v>3.3</v>
      </c>
      <c r="N194" s="5">
        <f t="shared" si="57"/>
        <v>43.3</v>
      </c>
      <c r="O194">
        <f t="shared" si="71"/>
        <v>259.12857840911892</v>
      </c>
      <c r="P194" s="14">
        <f>_xlfn.XLOOKUP($N194,'Q1 Base'!$C$8:$C$208,'Q1 Base'!$D$8:$D$208,,0,)</f>
        <v>1.0044719436423687E-3</v>
      </c>
      <c r="Q194" s="29">
        <f t="shared" si="58"/>
        <v>74.403266140166167</v>
      </c>
      <c r="S194" s="4">
        <f t="shared" si="72"/>
        <v>3.3</v>
      </c>
      <c r="T194" s="5">
        <f t="shared" si="59"/>
        <v>43.3</v>
      </c>
      <c r="U194">
        <f t="shared" si="73"/>
        <v>-278.05675176224901</v>
      </c>
      <c r="V194" s="14">
        <f>_xlfn.XLOOKUP($T194,'Q1 Base'!$C$8:$C$208,'Q1 Base'!$D$8:$D$208,,0,)</f>
        <v>1.0044719436423687E-3</v>
      </c>
      <c r="W194" s="32">
        <f t="shared" si="60"/>
        <v>167000</v>
      </c>
      <c r="X194" s="29">
        <f t="shared" si="61"/>
        <v>-7.4900874175185095</v>
      </c>
      <c r="Y194" s="48">
        <f t="shared" si="79"/>
        <v>-10.502563655747666</v>
      </c>
      <c r="Z194" s="51">
        <f t="shared" si="74"/>
        <v>-307.31798713361798</v>
      </c>
      <c r="AB194" s="4">
        <f t="shared" si="75"/>
        <v>16.7</v>
      </c>
      <c r="AC194" s="5">
        <f t="shared" si="62"/>
        <v>56.7</v>
      </c>
      <c r="AD194" s="13">
        <f t="shared" si="76"/>
        <v>2.7820081621213887E-3</v>
      </c>
      <c r="AE194" s="14">
        <f t="shared" si="77"/>
        <v>0.97349717607856712</v>
      </c>
      <c r="AF194" s="4">
        <f t="shared" si="63"/>
        <v>1</v>
      </c>
      <c r="AG194">
        <f t="shared" si="78"/>
        <v>0.31067746344196184</v>
      </c>
      <c r="AH194">
        <f t="shared" si="64"/>
        <v>8.4140065651127846E-4</v>
      </c>
      <c r="AI194" s="5">
        <f t="shared" si="65"/>
        <v>0.30244363333200214</v>
      </c>
    </row>
    <row r="195" spans="1:35" x14ac:dyDescent="0.45">
      <c r="A195" s="4">
        <f t="shared" si="66"/>
        <v>16.8</v>
      </c>
      <c r="B195" s="5">
        <f t="shared" si="54"/>
        <v>56.8</v>
      </c>
      <c r="C195" s="14">
        <f>_xlfn.XLOOKUP($B195,'Q1 Base'!$C$8:$C$208,'Q1 Base'!$D$8:$D$208,,0,)</f>
        <v>2.800007285376866E-3</v>
      </c>
      <c r="D195">
        <f t="shared" si="80"/>
        <v>0.97322634836960187</v>
      </c>
      <c r="E195" s="5">
        <f t="shared" si="55"/>
        <v>-2.7250408657556089E-3</v>
      </c>
      <c r="G195" s="4">
        <f t="shared" si="68"/>
        <v>3.2</v>
      </c>
      <c r="H195" s="5">
        <f t="shared" si="56"/>
        <v>43.2</v>
      </c>
      <c r="I195">
        <f t="shared" si="69"/>
        <v>21.098186951196407</v>
      </c>
      <c r="J195" s="14">
        <f>_xlfn.XLOOKUP($H195,'Q1 Base'!$C$8:$C$208,'Q1 Base'!$D$8:$D$208,,0,)</f>
        <v>9.9555351862193136E-4</v>
      </c>
      <c r="K195" s="29" cm="1">
        <f t="array" ref="K195">I195*$B$7+$E$6-J195*(SumAssdTA-I195)</f>
        <v>81.942525598646412</v>
      </c>
      <c r="M195" s="4">
        <f t="shared" si="70"/>
        <v>3.2</v>
      </c>
      <c r="N195" s="5">
        <f t="shared" si="57"/>
        <v>43.2</v>
      </c>
      <c r="O195">
        <f t="shared" si="71"/>
        <v>251.6882517951023</v>
      </c>
      <c r="P195" s="14">
        <f>_xlfn.XLOOKUP($N195,'Q1 Base'!$C$8:$C$208,'Q1 Base'!$D$8:$D$208,,0,)</f>
        <v>9.9555351862193136E-4</v>
      </c>
      <c r="Q195" s="29">
        <f t="shared" si="58"/>
        <v>74.76456751709128</v>
      </c>
      <c r="S195" s="4">
        <f t="shared" si="72"/>
        <v>3.2</v>
      </c>
      <c r="T195" s="5">
        <f t="shared" si="59"/>
        <v>43.2</v>
      </c>
      <c r="U195">
        <f t="shared" si="73"/>
        <v>-277.30774302049713</v>
      </c>
      <c r="V195" s="14">
        <f>_xlfn.XLOOKUP($T195,'Q1 Base'!$C$8:$C$208,'Q1 Base'!$D$8:$D$208,,0,)</f>
        <v>9.9555351862193136E-4</v>
      </c>
      <c r="W195" s="32">
        <f t="shared" si="60"/>
        <v>168000</v>
      </c>
      <c r="X195" s="29">
        <f t="shared" si="61"/>
        <v>-6.9406078392244126</v>
      </c>
      <c r="Y195" s="48">
        <f t="shared" si="79"/>
        <v>-14.143676452481712</v>
      </c>
      <c r="Z195" s="51">
        <f t="shared" si="74"/>
        <v>-298.40592997169352</v>
      </c>
      <c r="AB195" s="4">
        <f t="shared" si="75"/>
        <v>16.8</v>
      </c>
      <c r="AC195" s="5">
        <f t="shared" si="62"/>
        <v>56.8</v>
      </c>
      <c r="AD195" s="13">
        <f t="shared" si="76"/>
        <v>2.800007285376866E-3</v>
      </c>
      <c r="AE195" s="14">
        <f t="shared" si="77"/>
        <v>0.97322634836960187</v>
      </c>
      <c r="AF195" s="4">
        <f t="shared" si="63"/>
        <v>1</v>
      </c>
      <c r="AG195">
        <f t="shared" si="78"/>
        <v>0.30851031506636467</v>
      </c>
      <c r="AH195">
        <f t="shared" si="64"/>
        <v>8.40703216062982E-4</v>
      </c>
      <c r="AI195" s="5">
        <f t="shared" si="65"/>
        <v>0.30025036736639343</v>
      </c>
    </row>
    <row r="196" spans="1:35" x14ac:dyDescent="0.45">
      <c r="A196" s="4">
        <f t="shared" si="66"/>
        <v>16.899999999999999</v>
      </c>
      <c r="B196" s="5">
        <f t="shared" si="54"/>
        <v>56.9</v>
      </c>
      <c r="C196" s="14">
        <f>_xlfn.XLOOKUP($B196,'Q1 Base'!$C$8:$C$208,'Q1 Base'!$D$8:$D$208,,0,)</f>
        <v>2.818006408632345E-3</v>
      </c>
      <c r="D196">
        <f t="shared" si="80"/>
        <v>0.97295384428302634</v>
      </c>
      <c r="E196" s="5">
        <f t="shared" si="55"/>
        <v>-2.7417901684930451E-3</v>
      </c>
      <c r="G196" s="4">
        <f t="shared" si="68"/>
        <v>3.1</v>
      </c>
      <c r="H196" s="5">
        <f t="shared" si="56"/>
        <v>43.1</v>
      </c>
      <c r="I196">
        <f t="shared" si="69"/>
        <v>12.903934391331765</v>
      </c>
      <c r="J196" s="14">
        <f>_xlfn.XLOOKUP($H196,'Q1 Base'!$C$8:$C$208,'Q1 Base'!$D$8:$D$208,,0,)</f>
        <v>9.8663509360149334E-4</v>
      </c>
      <c r="K196" s="29" cm="1">
        <f t="array" ref="K196">I196*$B$7+$E$6-J196*(SumAssdTA-I196)</f>
        <v>82.252497521759892</v>
      </c>
      <c r="M196" s="4">
        <f t="shared" si="70"/>
        <v>3.1</v>
      </c>
      <c r="N196" s="5">
        <f t="shared" si="57"/>
        <v>43.1</v>
      </c>
      <c r="O196">
        <f t="shared" si="71"/>
        <v>244.21179504339318</v>
      </c>
      <c r="P196" s="14">
        <f>_xlfn.XLOOKUP($N196,'Q1 Base'!$C$8:$C$208,'Q1 Base'!$D$8:$D$208,,0,)</f>
        <v>9.8663509360149334E-4</v>
      </c>
      <c r="Q196" s="29">
        <f t="shared" si="58"/>
        <v>75.123436849106255</v>
      </c>
      <c r="S196" s="4">
        <f t="shared" si="72"/>
        <v>3.1</v>
      </c>
      <c r="T196" s="5">
        <f t="shared" si="59"/>
        <v>43.1</v>
      </c>
      <c r="U196">
        <f t="shared" si="73"/>
        <v>-276.61368223657468</v>
      </c>
      <c r="V196" s="14">
        <f>_xlfn.XLOOKUP($T196,'Q1 Base'!$C$8:$C$208,'Q1 Base'!$D$8:$D$208,,0,)</f>
        <v>9.8663509360149334E-4</v>
      </c>
      <c r="W196" s="32">
        <f t="shared" si="60"/>
        <v>169000</v>
      </c>
      <c r="X196" s="29">
        <f t="shared" si="61"/>
        <v>-6.3772053414775485</v>
      </c>
      <c r="Y196" s="48">
        <f t="shared" si="79"/>
        <v>-22.436383187316132</v>
      </c>
      <c r="Z196" s="51">
        <f t="shared" si="74"/>
        <v>-289.51761662790642</v>
      </c>
      <c r="AB196" s="4">
        <f t="shared" si="75"/>
        <v>16.899999999999999</v>
      </c>
      <c r="AC196" s="5">
        <f t="shared" si="62"/>
        <v>56.9</v>
      </c>
      <c r="AD196" s="13">
        <f t="shared" si="76"/>
        <v>2.818006408632345E-3</v>
      </c>
      <c r="AE196" s="14">
        <f t="shared" si="77"/>
        <v>0.97295384428302634</v>
      </c>
      <c r="AF196" s="4">
        <f t="shared" si="63"/>
        <v>1</v>
      </c>
      <c r="AG196">
        <f t="shared" si="78"/>
        <v>0.30635828375793367</v>
      </c>
      <c r="AH196">
        <f t="shared" si="64"/>
        <v>8.3997013044390502E-4</v>
      </c>
      <c r="AI196" s="5">
        <f t="shared" si="65"/>
        <v>0.29807246991023179</v>
      </c>
    </row>
    <row r="197" spans="1:35" x14ac:dyDescent="0.45">
      <c r="A197" s="4">
        <f t="shared" si="66"/>
        <v>17</v>
      </c>
      <c r="B197" s="5">
        <f t="shared" si="54"/>
        <v>57</v>
      </c>
      <c r="C197" s="14">
        <f>_xlfn.XLOOKUP($B197,'Q1 Base'!$C$8:$C$208,'Q1 Base'!$D$8:$D$208,,0,)</f>
        <v>2.8360055318878237E-3</v>
      </c>
      <c r="D197">
        <f t="shared" si="80"/>
        <v>0.972679665266177</v>
      </c>
      <c r="E197" s="5">
        <f t="shared" si="55"/>
        <v>-2.7585249114496745E-3</v>
      </c>
      <c r="G197" s="4">
        <f t="shared" si="68"/>
        <v>3</v>
      </c>
      <c r="H197" s="5">
        <f t="shared" si="56"/>
        <v>43</v>
      </c>
      <c r="I197">
        <f t="shared" si="69"/>
        <v>4.6786846391557759</v>
      </c>
      <c r="J197" s="14">
        <f>_xlfn.XLOOKUP($H197,'Q1 Base'!$C$8:$C$208,'Q1 Base'!$D$8:$D$208,,0,)</f>
        <v>9.7771666858105554E-4</v>
      </c>
      <c r="K197" s="29" cm="1">
        <f t="array" ref="K197">I197*$B$7+$E$6-J197*(SumAssdTA-I197)</f>
        <v>82.560415494594082</v>
      </c>
      <c r="M197" s="4">
        <f t="shared" si="70"/>
        <v>3</v>
      </c>
      <c r="N197" s="5">
        <f t="shared" si="57"/>
        <v>43</v>
      </c>
      <c r="O197">
        <f t="shared" si="71"/>
        <v>236.69945135848255</v>
      </c>
      <c r="P197" s="14">
        <f>_xlfn.XLOOKUP($N197,'Q1 Base'!$C$8:$C$208,'Q1 Base'!$D$8:$D$208,,0,)</f>
        <v>9.7771666858105554E-4</v>
      </c>
      <c r="Q197" s="29">
        <f t="shared" si="58"/>
        <v>75.479892364982248</v>
      </c>
      <c r="S197" s="4">
        <f t="shared" si="72"/>
        <v>3</v>
      </c>
      <c r="T197" s="5">
        <f t="shared" si="59"/>
        <v>43</v>
      </c>
      <c r="U197">
        <f t="shared" si="73"/>
        <v>-275.9759617024269</v>
      </c>
      <c r="V197" s="14">
        <f>_xlfn.XLOOKUP($T197,'Q1 Base'!$C$8:$C$208,'Q1 Base'!$D$8:$D$208,,0,)</f>
        <v>9.7771666858105554E-4</v>
      </c>
      <c r="W197" s="32">
        <f t="shared" si="60"/>
        <v>170000</v>
      </c>
      <c r="X197" s="29">
        <f t="shared" si="61"/>
        <v>-5.7999772758334984</v>
      </c>
      <c r="Y197" s="48">
        <f t="shared" si="79"/>
        <v>-59.985801135813276</v>
      </c>
      <c r="Z197" s="51">
        <f t="shared" si="74"/>
        <v>-280.65464634158269</v>
      </c>
      <c r="AB197" s="4">
        <f t="shared" si="75"/>
        <v>17</v>
      </c>
      <c r="AC197" s="5">
        <f t="shared" si="62"/>
        <v>57</v>
      </c>
      <c r="AD197" s="13">
        <f t="shared" si="76"/>
        <v>2.8360055318878237E-3</v>
      </c>
      <c r="AE197" s="14">
        <f t="shared" si="77"/>
        <v>0.972679665266177</v>
      </c>
      <c r="AF197" s="4">
        <f t="shared" si="63"/>
        <v>1</v>
      </c>
      <c r="AG197">
        <f t="shared" si="78"/>
        <v>0.30422126406670402</v>
      </c>
      <c r="AH197">
        <f t="shared" si="64"/>
        <v>8.3920193552071279E-4</v>
      </c>
      <c r="AI197" s="5">
        <f t="shared" si="65"/>
        <v>0.29590983729925491</v>
      </c>
    </row>
    <row r="198" spans="1:35" x14ac:dyDescent="0.45">
      <c r="A198" s="4">
        <f t="shared" si="66"/>
        <v>17.100000000000001</v>
      </c>
      <c r="B198" s="5">
        <f t="shared" si="54"/>
        <v>57.1</v>
      </c>
      <c r="C198" s="14">
        <f>_xlfn.XLOOKUP($B198,'Q1 Base'!$C$8:$C$208,'Q1 Base'!$D$8:$D$208,,0,)</f>
        <v>2.8553365205618679E-3</v>
      </c>
      <c r="D198">
        <f t="shared" si="80"/>
        <v>0.97240381277503207</v>
      </c>
      <c r="E198" s="5">
        <f t="shared" si="55"/>
        <v>-2.776540119350154E-3</v>
      </c>
      <c r="G198" s="4">
        <f t="shared" si="68"/>
        <v>2.9</v>
      </c>
      <c r="H198" s="5">
        <f t="shared" si="56"/>
        <v>42.9</v>
      </c>
      <c r="I198">
        <f t="shared" si="69"/>
        <v>-3.5773569103036333</v>
      </c>
      <c r="J198" s="14">
        <f>_xlfn.XLOOKUP($H198,'Q1 Base'!$C$8:$C$208,'Q1 Base'!$D$8:$D$208,,0,)</f>
        <v>9.6941319975720082E-4</v>
      </c>
      <c r="K198" s="29" cm="1">
        <f t="array" ref="K198">I198*$B$7+$E$6-J198*(SumAssdTA-I198)</f>
        <v>82.804797103549589</v>
      </c>
      <c r="M198" s="4">
        <f t="shared" si="70"/>
        <v>2.9</v>
      </c>
      <c r="N198" s="5">
        <f t="shared" si="57"/>
        <v>42.9</v>
      </c>
      <c r="O198">
        <f t="shared" si="71"/>
        <v>229.15146212198431</v>
      </c>
      <c r="P198" s="14">
        <f>_xlfn.XLOOKUP($N198,'Q1 Base'!$C$8:$C$208,'Q1 Base'!$D$8:$D$208,,0,)</f>
        <v>9.6941319975720082E-4</v>
      </c>
      <c r="Q198" s="29">
        <f t="shared" si="58"/>
        <v>75.772597453900374</v>
      </c>
      <c r="S198" s="4">
        <f t="shared" si="72"/>
        <v>2.9</v>
      </c>
      <c r="T198" s="5">
        <f t="shared" si="59"/>
        <v>42.9</v>
      </c>
      <c r="U198">
        <f t="shared" si="73"/>
        <v>-275.39596397484354</v>
      </c>
      <c r="V198" s="14">
        <f>_xlfn.XLOOKUP($T198,'Q1 Base'!$C$8:$C$208,'Q1 Base'!$D$8:$D$208,,0,)</f>
        <v>9.6941319975720082E-4</v>
      </c>
      <c r="W198" s="32">
        <f t="shared" si="60"/>
        <v>171000</v>
      </c>
      <c r="X198" s="29">
        <f t="shared" si="61"/>
        <v>-5.3143471193574783</v>
      </c>
      <c r="Y198" s="48">
        <f t="shared" si="79"/>
        <v>75.98308300791517</v>
      </c>
      <c r="Z198" s="51">
        <f t="shared" si="74"/>
        <v>-271.81860706453989</v>
      </c>
      <c r="AB198" s="4">
        <f t="shared" si="75"/>
        <v>17.100000000000001</v>
      </c>
      <c r="AC198" s="5">
        <f t="shared" si="62"/>
        <v>57.1</v>
      </c>
      <c r="AD198" s="13">
        <f t="shared" si="76"/>
        <v>2.8553365205618679E-3</v>
      </c>
      <c r="AE198" s="14">
        <f t="shared" si="77"/>
        <v>0.97240381277503207</v>
      </c>
      <c r="AF198" s="4">
        <f t="shared" si="63"/>
        <v>1</v>
      </c>
      <c r="AG198">
        <f t="shared" si="78"/>
        <v>0.3020991512782833</v>
      </c>
      <c r="AH198">
        <f t="shared" si="64"/>
        <v>8.3879041354578492E-4</v>
      </c>
      <c r="AI198" s="5">
        <f t="shared" si="65"/>
        <v>0.29376236653910387</v>
      </c>
    </row>
    <row r="199" spans="1:35" x14ac:dyDescent="0.45">
      <c r="A199" s="4">
        <f t="shared" si="66"/>
        <v>17.2</v>
      </c>
      <c r="B199" s="5">
        <f t="shared" si="54"/>
        <v>57.2</v>
      </c>
      <c r="C199" s="14">
        <f>_xlfn.XLOOKUP($B199,'Q1 Base'!$C$8:$C$208,'Q1 Base'!$D$8:$D$208,,0,)</f>
        <v>2.8746675092359126E-3</v>
      </c>
      <c r="D199">
        <f t="shared" si="80"/>
        <v>0.97212615876309705</v>
      </c>
      <c r="E199" s="5">
        <f t="shared" si="55"/>
        <v>-2.7945394834745876E-3</v>
      </c>
      <c r="G199" s="4">
        <f t="shared" si="68"/>
        <v>2.8</v>
      </c>
      <c r="H199" s="5">
        <f t="shared" si="56"/>
        <v>42.8</v>
      </c>
      <c r="I199">
        <f t="shared" si="69"/>
        <v>-11.857836620658592</v>
      </c>
      <c r="J199" s="14">
        <f>_xlfn.XLOOKUP($H199,'Q1 Base'!$C$8:$C$208,'Q1 Base'!$D$8:$D$208,,0,)</f>
        <v>9.6110973093334643E-4</v>
      </c>
      <c r="K199" s="29" cm="1">
        <f t="array" ref="K199">I199*$B$7+$E$6-J199*(SumAssdTA-I199)</f>
        <v>83.047581661055318</v>
      </c>
      <c r="M199" s="4">
        <f t="shared" si="70"/>
        <v>2.8</v>
      </c>
      <c r="N199" s="5">
        <f t="shared" si="57"/>
        <v>42.8</v>
      </c>
      <c r="O199">
        <f t="shared" si="71"/>
        <v>221.57420237659426</v>
      </c>
      <c r="P199" s="14">
        <f>_xlfn.XLOOKUP($N199,'Q1 Base'!$C$8:$C$208,'Q1 Base'!$D$8:$D$208,,0,)</f>
        <v>9.6110973093334643E-4</v>
      </c>
      <c r="Q199" s="29">
        <f t="shared" si="58"/>
        <v>76.063350824011735</v>
      </c>
      <c r="S199" s="4">
        <f t="shared" si="72"/>
        <v>2.8</v>
      </c>
      <c r="T199" s="5">
        <f t="shared" si="59"/>
        <v>42.8</v>
      </c>
      <c r="U199">
        <f t="shared" si="73"/>
        <v>-274.86452926290781</v>
      </c>
      <c r="V199" s="14">
        <f>_xlfn.XLOOKUP($T199,'Q1 Base'!$C$8:$C$208,'Q1 Base'!$D$8:$D$208,,0,)</f>
        <v>9.6110973093334643E-4</v>
      </c>
      <c r="W199" s="32">
        <f t="shared" si="60"/>
        <v>172000</v>
      </c>
      <c r="X199" s="29">
        <f t="shared" si="61"/>
        <v>-4.8155657427021197</v>
      </c>
      <c r="Y199" s="48">
        <f t="shared" si="79"/>
        <v>22.179989576179675</v>
      </c>
      <c r="Z199" s="51">
        <f t="shared" si="74"/>
        <v>-263.00669264224922</v>
      </c>
      <c r="AB199" s="4">
        <f t="shared" si="75"/>
        <v>17.2</v>
      </c>
      <c r="AC199" s="5">
        <f t="shared" si="62"/>
        <v>57.2</v>
      </c>
      <c r="AD199" s="13">
        <f t="shared" si="76"/>
        <v>2.8746675092359126E-3</v>
      </c>
      <c r="AE199" s="14">
        <f t="shared" si="77"/>
        <v>0.97212615876309705</v>
      </c>
      <c r="AF199" s="4">
        <f t="shared" si="63"/>
        <v>1</v>
      </c>
      <c r="AG199">
        <f t="shared" si="78"/>
        <v>0.29999184140872048</v>
      </c>
      <c r="AH199">
        <f t="shared" si="64"/>
        <v>8.3833904553691615E-4</v>
      </c>
      <c r="AI199" s="5">
        <f t="shared" si="65"/>
        <v>0.29162991644892766</v>
      </c>
    </row>
    <row r="200" spans="1:35" x14ac:dyDescent="0.45">
      <c r="A200" s="4">
        <f t="shared" si="66"/>
        <v>17.3</v>
      </c>
      <c r="B200" s="5">
        <f t="shared" si="54"/>
        <v>57.3</v>
      </c>
      <c r="C200" s="14">
        <f>_xlfn.XLOOKUP($B200,'Q1 Base'!$C$8:$C$208,'Q1 Base'!$D$8:$D$208,,0,)</f>
        <v>2.8939984979099559E-3</v>
      </c>
      <c r="D200">
        <f t="shared" si="80"/>
        <v>0.97184670481474955</v>
      </c>
      <c r="E200" s="5">
        <f t="shared" si="55"/>
        <v>-2.8125229039326254E-3</v>
      </c>
      <c r="G200" s="4">
        <f t="shared" si="68"/>
        <v>2.7</v>
      </c>
      <c r="H200" s="5">
        <f t="shared" si="56"/>
        <v>42.7</v>
      </c>
      <c r="I200">
        <f t="shared" si="69"/>
        <v>-20.162594786764124</v>
      </c>
      <c r="J200" s="14">
        <f>_xlfn.XLOOKUP($H200,'Q1 Base'!$C$8:$C$208,'Q1 Base'!$D$8:$D$208,,0,)</f>
        <v>9.5280626210949247E-4</v>
      </c>
      <c r="K200" s="29" cm="1">
        <f t="array" ref="K200">I200*$B$7+$E$6-J200*(SumAssdTA-I200)</f>
        <v>83.288781107404063</v>
      </c>
      <c r="M200" s="4">
        <f t="shared" si="70"/>
        <v>2.7</v>
      </c>
      <c r="N200" s="5">
        <f t="shared" si="57"/>
        <v>42.7</v>
      </c>
      <c r="O200">
        <f t="shared" si="71"/>
        <v>213.96786729419307</v>
      </c>
      <c r="P200" s="14">
        <f>_xlfn.XLOOKUP($N200,'Q1 Base'!$C$8:$C$208,'Q1 Base'!$D$8:$D$208,,0,)</f>
        <v>9.5280626210949247E-4</v>
      </c>
      <c r="Q200" s="29">
        <f t="shared" si="58"/>
        <v>76.352167052449232</v>
      </c>
      <c r="S200" s="4">
        <f t="shared" si="72"/>
        <v>2.7</v>
      </c>
      <c r="T200" s="5">
        <f t="shared" si="59"/>
        <v>42.7</v>
      </c>
      <c r="U200">
        <f t="shared" si="73"/>
        <v>-274.38297268863761</v>
      </c>
      <c r="V200" s="14">
        <f>_xlfn.XLOOKUP($T200,'Q1 Base'!$C$8:$C$208,'Q1 Base'!$D$8:$D$208,,0,)</f>
        <v>9.5280626210949247E-4</v>
      </c>
      <c r="W200" s="32">
        <f t="shared" si="60"/>
        <v>173000</v>
      </c>
      <c r="X200" s="29">
        <f t="shared" si="61"/>
        <v>-4.3037252477408003</v>
      </c>
      <c r="Y200" s="48">
        <f t="shared" si="79"/>
        <v>12.608514955067104</v>
      </c>
      <c r="Z200" s="51">
        <f t="shared" si="74"/>
        <v>-254.22037790187349</v>
      </c>
      <c r="AB200" s="4">
        <f t="shared" si="75"/>
        <v>17.3</v>
      </c>
      <c r="AC200" s="5">
        <f t="shared" si="62"/>
        <v>57.3</v>
      </c>
      <c r="AD200" s="13">
        <f t="shared" si="76"/>
        <v>2.8939984979099559E-3</v>
      </c>
      <c r="AE200" s="14">
        <f t="shared" si="77"/>
        <v>0.97184670481474955</v>
      </c>
      <c r="AF200" s="4">
        <f t="shared" si="63"/>
        <v>1</v>
      </c>
      <c r="AG200">
        <f t="shared" si="78"/>
        <v>0.29789923119941009</v>
      </c>
      <c r="AH200">
        <f t="shared" si="64"/>
        <v>8.3784841081226147E-4</v>
      </c>
      <c r="AI200" s="5">
        <f t="shared" si="65"/>
        <v>0.28951238620799391</v>
      </c>
    </row>
    <row r="201" spans="1:35" x14ac:dyDescent="0.45">
      <c r="A201" s="4">
        <f t="shared" si="66"/>
        <v>17.399999999999999</v>
      </c>
      <c r="B201" s="5">
        <f t="shared" si="54"/>
        <v>57.4</v>
      </c>
      <c r="C201" s="14">
        <f>_xlfn.XLOOKUP($B201,'Q1 Base'!$C$8:$C$208,'Q1 Base'!$D$8:$D$208,,0,)</f>
        <v>2.9133294865840002E-3</v>
      </c>
      <c r="D201">
        <f t="shared" si="80"/>
        <v>0.97156545252435633</v>
      </c>
      <c r="E201" s="5">
        <f t="shared" si="55"/>
        <v>-2.8304902809855349E-3</v>
      </c>
      <c r="G201" s="4">
        <f t="shared" si="68"/>
        <v>2.6</v>
      </c>
      <c r="H201" s="5">
        <f t="shared" si="56"/>
        <v>42.6</v>
      </c>
      <c r="I201">
        <f t="shared" si="69"/>
        <v>-28.491472897504529</v>
      </c>
      <c r="J201" s="14">
        <f>_xlfn.XLOOKUP($H201,'Q1 Base'!$C$8:$C$208,'Q1 Base'!$D$8:$D$208,,0,)</f>
        <v>9.4450279328563787E-4</v>
      </c>
      <c r="K201" s="29" cm="1">
        <f t="array" ref="K201">I201*$B$7+$E$6-J201*(SumAssdTA-I201)</f>
        <v>83.528407292874391</v>
      </c>
      <c r="M201" s="4">
        <f t="shared" si="70"/>
        <v>2.6</v>
      </c>
      <c r="N201" s="5">
        <f t="shared" si="57"/>
        <v>42.6</v>
      </c>
      <c r="O201">
        <f t="shared" si="71"/>
        <v>206.33265058894816</v>
      </c>
      <c r="P201" s="14">
        <f>_xlfn.XLOOKUP($N201,'Q1 Base'!$C$8:$C$208,'Q1 Base'!$D$8:$D$208,,0,)</f>
        <v>9.4450279328563787E-4</v>
      </c>
      <c r="Q201" s="29">
        <f t="shared" si="58"/>
        <v>76.639060606446705</v>
      </c>
      <c r="S201" s="4">
        <f t="shared" si="72"/>
        <v>2.6</v>
      </c>
      <c r="T201" s="5">
        <f t="shared" si="59"/>
        <v>42.6</v>
      </c>
      <c r="U201">
        <f t="shared" si="73"/>
        <v>-273.95260016386351</v>
      </c>
      <c r="V201" s="14">
        <f>_xlfn.XLOOKUP($T201,'Q1 Base'!$C$8:$C$208,'Q1 Base'!$D$8:$D$208,,0,)</f>
        <v>9.4450279328563787E-4</v>
      </c>
      <c r="W201" s="32">
        <f t="shared" si="60"/>
        <v>174000</v>
      </c>
      <c r="X201" s="29">
        <f t="shared" si="61"/>
        <v>-3.7789170392540825</v>
      </c>
      <c r="Y201" s="48">
        <f t="shared" si="79"/>
        <v>8.6152487851148649</v>
      </c>
      <c r="Z201" s="51">
        <f t="shared" si="74"/>
        <v>-245.46112726635897</v>
      </c>
      <c r="AB201" s="4">
        <f t="shared" si="75"/>
        <v>17.399999999999999</v>
      </c>
      <c r="AC201" s="5">
        <f t="shared" si="62"/>
        <v>57.4</v>
      </c>
      <c r="AD201" s="13">
        <f t="shared" si="76"/>
        <v>2.9133294865840002E-3</v>
      </c>
      <c r="AE201" s="14">
        <f t="shared" si="77"/>
        <v>0.97156545252435633</v>
      </c>
      <c r="AF201" s="4">
        <f t="shared" si="63"/>
        <v>1</v>
      </c>
      <c r="AG201">
        <f t="shared" si="78"/>
        <v>0.29582121811203321</v>
      </c>
      <c r="AH201">
        <f t="shared" si="64"/>
        <v>8.3731908277541206E-4</v>
      </c>
      <c r="AI201" s="5">
        <f t="shared" si="65"/>
        <v>0.28740967564132386</v>
      </c>
    </row>
    <row r="202" spans="1:35" x14ac:dyDescent="0.45">
      <c r="A202" s="4">
        <f t="shared" si="66"/>
        <v>17.5</v>
      </c>
      <c r="B202" s="5">
        <f t="shared" si="54"/>
        <v>57.5</v>
      </c>
      <c r="C202" s="14">
        <f>_xlfn.XLOOKUP($B202,'Q1 Base'!$C$8:$C$208,'Q1 Base'!$D$8:$D$208,,0,)</f>
        <v>2.9326604752580449E-3</v>
      </c>
      <c r="D202">
        <f t="shared" si="80"/>
        <v>0.97128240349625783</v>
      </c>
      <c r="E202" s="5">
        <f t="shared" si="55"/>
        <v>-2.8484415150471115E-3</v>
      </c>
      <c r="G202" s="4">
        <f t="shared" si="68"/>
        <v>2.5</v>
      </c>
      <c r="H202" s="5">
        <f t="shared" si="56"/>
        <v>42.5</v>
      </c>
      <c r="I202">
        <f t="shared" si="69"/>
        <v>-36.844313626791973</v>
      </c>
      <c r="J202" s="14">
        <f>_xlfn.XLOOKUP($H202,'Q1 Base'!$C$8:$C$208,'Q1 Base'!$D$8:$D$208,,0,)</f>
        <v>9.3619932446178348E-4</v>
      </c>
      <c r="K202" s="29" cm="1">
        <f t="array" ref="K202">I202*$B$7+$E$6-J202*(SumAssdTA-I202)</f>
        <v>83.766471978418551</v>
      </c>
      <c r="M202" s="4">
        <f t="shared" si="70"/>
        <v>2.5</v>
      </c>
      <c r="N202" s="5">
        <f t="shared" si="57"/>
        <v>42.5</v>
      </c>
      <c r="O202">
        <f t="shared" si="71"/>
        <v>198.66874452830348</v>
      </c>
      <c r="P202" s="14">
        <f>_xlfn.XLOOKUP($N202,'Q1 Base'!$C$8:$C$208,'Q1 Base'!$D$8:$D$208,,0,)</f>
        <v>9.3619932446178348E-4</v>
      </c>
      <c r="Q202" s="29">
        <f t="shared" si="58"/>
        <v>76.924045844178821</v>
      </c>
      <c r="S202" s="4">
        <f t="shared" si="72"/>
        <v>2.5</v>
      </c>
      <c r="T202" s="5">
        <f t="shared" si="59"/>
        <v>42.5</v>
      </c>
      <c r="U202">
        <f t="shared" si="73"/>
        <v>-273.57470845993811</v>
      </c>
      <c r="V202" s="14">
        <f>_xlfn.XLOOKUP($T202,'Q1 Base'!$C$8:$C$208,'Q1 Base'!$D$8:$D$208,,0,)</f>
        <v>9.3619932446178348E-4</v>
      </c>
      <c r="W202" s="32">
        <f t="shared" si="60"/>
        <v>175000</v>
      </c>
      <c r="X202" s="29">
        <f t="shared" si="61"/>
        <v>-3.2412318302577887</v>
      </c>
      <c r="Y202" s="48">
        <f t="shared" si="79"/>
        <v>6.4251541562441696</v>
      </c>
      <c r="Z202" s="51">
        <f t="shared" si="74"/>
        <v>-236.73039483314614</v>
      </c>
      <c r="AB202" s="4">
        <f t="shared" si="75"/>
        <v>17.5</v>
      </c>
      <c r="AC202" s="5">
        <f t="shared" si="62"/>
        <v>57.5</v>
      </c>
      <c r="AD202" s="13">
        <f t="shared" si="76"/>
        <v>2.9326604752580449E-3</v>
      </c>
      <c r="AE202" s="14">
        <f t="shared" si="77"/>
        <v>0.97128240349625783</v>
      </c>
      <c r="AF202" s="4">
        <f t="shared" si="63"/>
        <v>1</v>
      </c>
      <c r="AG202">
        <f t="shared" si="78"/>
        <v>0.29375770032353277</v>
      </c>
      <c r="AH202">
        <f t="shared" si="64"/>
        <v>8.3675162896631897E-4</v>
      </c>
      <c r="AI202" s="5">
        <f t="shared" si="65"/>
        <v>0.28532168521577433</v>
      </c>
    </row>
    <row r="203" spans="1:35" x14ac:dyDescent="0.45">
      <c r="A203" s="4">
        <f t="shared" si="66"/>
        <v>17.600000000000001</v>
      </c>
      <c r="B203" s="5">
        <f t="shared" si="54"/>
        <v>57.6</v>
      </c>
      <c r="C203" s="14">
        <f>_xlfn.XLOOKUP($B203,'Q1 Base'!$C$8:$C$208,'Q1 Base'!$D$8:$D$208,,0,)</f>
        <v>2.9519914639320895E-3</v>
      </c>
      <c r="D203">
        <f t="shared" si="80"/>
        <v>0.97099755934475307</v>
      </c>
      <c r="E203" s="5">
        <f t="shared" si="55"/>
        <v>-2.8663765066846035E-3</v>
      </c>
      <c r="G203" s="4">
        <f t="shared" si="68"/>
        <v>2.4</v>
      </c>
      <c r="H203" s="5">
        <f t="shared" si="56"/>
        <v>42.4</v>
      </c>
      <c r="I203">
        <f t="shared" si="69"/>
        <v>-45.220960824633828</v>
      </c>
      <c r="J203" s="14">
        <f>_xlfn.XLOOKUP($H203,'Q1 Base'!$C$8:$C$208,'Q1 Base'!$D$8:$D$208,,0,)</f>
        <v>9.2789585563792887E-4</v>
      </c>
      <c r="K203" s="29" cm="1">
        <f t="array" ref="K203">I203*$B$7+$E$6-J203*(SumAssdTA-I203)</f>
        <v>84.002986836345599</v>
      </c>
      <c r="M203" s="4">
        <f t="shared" si="70"/>
        <v>2.4</v>
      </c>
      <c r="N203" s="5">
        <f t="shared" si="57"/>
        <v>42.4</v>
      </c>
      <c r="O203">
        <f t="shared" si="71"/>
        <v>190.97633994388559</v>
      </c>
      <c r="P203" s="14">
        <f>_xlfn.XLOOKUP($N203,'Q1 Base'!$C$8:$C$208,'Q1 Base'!$D$8:$D$208,,0,)</f>
        <v>9.2789585563792887E-4</v>
      </c>
      <c r="Q203" s="29">
        <f t="shared" si="58"/>
        <v>77.207137015594782</v>
      </c>
      <c r="S203" s="4">
        <f t="shared" si="72"/>
        <v>2.4</v>
      </c>
      <c r="T203" s="5">
        <f t="shared" si="59"/>
        <v>42.4</v>
      </c>
      <c r="U203">
        <f t="shared" si="73"/>
        <v>-273.25058527691232</v>
      </c>
      <c r="V203" s="14">
        <f>_xlfn.XLOOKUP($T203,'Q1 Base'!$C$8:$C$208,'Q1 Base'!$D$8:$D$208,,0,)</f>
        <v>9.2789585563792887E-4</v>
      </c>
      <c r="W203" s="32">
        <f t="shared" si="60"/>
        <v>176000</v>
      </c>
      <c r="X203" s="29">
        <f t="shared" si="61"/>
        <v>-2.690759647288445</v>
      </c>
      <c r="Y203" s="48">
        <f t="shared" si="79"/>
        <v>5.0425647817739607</v>
      </c>
      <c r="Z203" s="51">
        <f t="shared" si="74"/>
        <v>-228.02962445227848</v>
      </c>
      <c r="AB203" s="4">
        <f t="shared" si="75"/>
        <v>17.600000000000001</v>
      </c>
      <c r="AC203" s="5">
        <f t="shared" si="62"/>
        <v>57.6</v>
      </c>
      <c r="AD203" s="13">
        <f t="shared" si="76"/>
        <v>2.9519914639320895E-3</v>
      </c>
      <c r="AE203" s="14">
        <f t="shared" si="77"/>
        <v>0.97099755934475307</v>
      </c>
      <c r="AF203" s="4">
        <f t="shared" si="63"/>
        <v>1</v>
      </c>
      <c r="AG203">
        <f t="shared" si="78"/>
        <v>0.29170857672112432</v>
      </c>
      <c r="AH203">
        <f t="shared" si="64"/>
        <v>8.3614661111183395E-4</v>
      </c>
      <c r="AI203" s="5">
        <f t="shared" si="65"/>
        <v>0.28324831603614337</v>
      </c>
    </row>
    <row r="204" spans="1:35" x14ac:dyDescent="0.45">
      <c r="A204" s="4">
        <f t="shared" si="66"/>
        <v>17.7</v>
      </c>
      <c r="B204" s="5">
        <f t="shared" si="54"/>
        <v>57.7</v>
      </c>
      <c r="C204" s="14">
        <f>_xlfn.XLOOKUP($B204,'Q1 Base'!$C$8:$C$208,'Q1 Base'!$D$8:$D$208,,0,)</f>
        <v>2.9713224526061333E-3</v>
      </c>
      <c r="D204">
        <f t="shared" si="80"/>
        <v>0.97071092169408457</v>
      </c>
      <c r="E204" s="5">
        <f t="shared" si="55"/>
        <v>-2.8842951566196277E-3</v>
      </c>
      <c r="G204" s="4">
        <f t="shared" si="68"/>
        <v>2.2999999999999998</v>
      </c>
      <c r="H204" s="5">
        <f t="shared" si="56"/>
        <v>42.3</v>
      </c>
      <c r="I204">
        <f t="shared" si="69"/>
        <v>-53.621259508268388</v>
      </c>
      <c r="J204" s="14">
        <f>_xlfn.XLOOKUP($H204,'Q1 Base'!$C$8:$C$208,'Q1 Base'!$D$8:$D$208,,0,)</f>
        <v>9.1959238681407426E-4</v>
      </c>
      <c r="K204" s="29" cm="1">
        <f t="array" ref="K204">I204*$B$7+$E$6-J204*(SumAssdTA-I204)</f>
        <v>84.237963450998592</v>
      </c>
      <c r="M204" s="4">
        <f t="shared" si="70"/>
        <v>2.2999999999999998</v>
      </c>
      <c r="N204" s="5">
        <f t="shared" si="57"/>
        <v>42.3</v>
      </c>
      <c r="O204">
        <f t="shared" si="71"/>
        <v>183.25562624232612</v>
      </c>
      <c r="P204" s="14">
        <f>_xlfn.XLOOKUP($N204,'Q1 Base'!$C$8:$C$208,'Q1 Base'!$D$8:$D$208,,0,)</f>
        <v>9.1959238681407426E-4</v>
      </c>
      <c r="Q204" s="29">
        <f t="shared" si="58"/>
        <v>77.488348263245541</v>
      </c>
      <c r="S204" s="4">
        <f t="shared" si="72"/>
        <v>2.2999999999999998</v>
      </c>
      <c r="T204" s="5">
        <f t="shared" si="59"/>
        <v>42.3</v>
      </c>
      <c r="U204">
        <f t="shared" si="73"/>
        <v>-272.98150931218345</v>
      </c>
      <c r="V204" s="14">
        <f>_xlfn.XLOOKUP($T204,'Q1 Base'!$C$8:$C$208,'Q1 Base'!$D$8:$D$208,,0,)</f>
        <v>9.1959238681407426E-4</v>
      </c>
      <c r="W204" s="32">
        <f t="shared" si="60"/>
        <v>177000</v>
      </c>
      <c r="X204" s="29">
        <f t="shared" si="61"/>
        <v>-2.1275898356484788</v>
      </c>
      <c r="Y204" s="48">
        <f t="shared" si="79"/>
        <v>4.0909193818934773</v>
      </c>
      <c r="Z204" s="51">
        <f t="shared" si="74"/>
        <v>-219.36024980391505</v>
      </c>
      <c r="AB204" s="4">
        <f t="shared" si="75"/>
        <v>17.7</v>
      </c>
      <c r="AC204" s="5">
        <f t="shared" si="62"/>
        <v>57.7</v>
      </c>
      <c r="AD204" s="13">
        <f t="shared" si="76"/>
        <v>2.9713224526061333E-3</v>
      </c>
      <c r="AE204" s="14">
        <f t="shared" si="77"/>
        <v>0.97071092169408457</v>
      </c>
      <c r="AF204" s="4">
        <f t="shared" si="63"/>
        <v>1</v>
      </c>
      <c r="AG204">
        <f t="shared" si="78"/>
        <v>0.28967374689734138</v>
      </c>
      <c r="AH204">
        <f t="shared" si="64"/>
        <v>8.3550458517586159E-4</v>
      </c>
      <c r="AI204" s="5">
        <f t="shared" si="65"/>
        <v>0.28118946984129722</v>
      </c>
    </row>
    <row r="205" spans="1:35" x14ac:dyDescent="0.45">
      <c r="A205" s="4">
        <f t="shared" si="66"/>
        <v>17.8</v>
      </c>
      <c r="B205" s="5">
        <f t="shared" si="54"/>
        <v>57.8</v>
      </c>
      <c r="C205" s="14">
        <f>_xlfn.XLOOKUP($B205,'Q1 Base'!$C$8:$C$208,'Q1 Base'!$D$8:$D$208,,0,)</f>
        <v>2.9906534412801767E-3</v>
      </c>
      <c r="D205">
        <f t="shared" si="80"/>
        <v>0.97042249217842258</v>
      </c>
      <c r="E205" s="5">
        <f t="shared" si="55"/>
        <v>-2.9021973657290846E-3</v>
      </c>
      <c r="G205" s="4">
        <f t="shared" si="68"/>
        <v>2.2000000000000002</v>
      </c>
      <c r="H205" s="5">
        <f t="shared" si="56"/>
        <v>42.2</v>
      </c>
      <c r="I205">
        <f t="shared" si="69"/>
        <v>-62.045055853368247</v>
      </c>
      <c r="J205" s="14">
        <f>_xlfn.XLOOKUP($H205,'Q1 Base'!$C$8:$C$208,'Q1 Base'!$D$8:$D$208,,0,)</f>
        <v>9.1128891799022041E-4</v>
      </c>
      <c r="K205" s="29" cm="1">
        <f t="array" ref="K205">I205*$B$7+$E$6-J205*(SumAssdTA-I205)</f>
        <v>84.471413319426929</v>
      </c>
      <c r="M205" s="4">
        <f t="shared" si="70"/>
        <v>2.2000000000000002</v>
      </c>
      <c r="N205" s="5">
        <f t="shared" si="57"/>
        <v>42.2</v>
      </c>
      <c r="O205">
        <f t="shared" si="71"/>
        <v>175.50679141600156</v>
      </c>
      <c r="P205" s="14">
        <f>_xlfn.XLOOKUP($N205,'Q1 Base'!$C$8:$C$208,'Q1 Base'!$D$8:$D$208,,0,)</f>
        <v>9.1128891799022041E-4</v>
      </c>
      <c r="Q205" s="29">
        <f t="shared" si="58"/>
        <v>77.767693623104336</v>
      </c>
      <c r="S205" s="4">
        <f t="shared" si="72"/>
        <v>2.2000000000000002</v>
      </c>
      <c r="T205" s="5">
        <f t="shared" si="59"/>
        <v>42.2</v>
      </c>
      <c r="U205">
        <f t="shared" si="73"/>
        <v>-272.76875032861858</v>
      </c>
      <c r="V205" s="14">
        <f>_xlfn.XLOOKUP($T205,'Q1 Base'!$C$8:$C$208,'Q1 Base'!$D$8:$D$208,,0,)</f>
        <v>9.1128891799022041E-4</v>
      </c>
      <c r="W205" s="32">
        <f t="shared" si="60"/>
        <v>178000</v>
      </c>
      <c r="X205" s="29">
        <f t="shared" si="61"/>
        <v>-1.5518110646110586</v>
      </c>
      <c r="Y205" s="48">
        <f t="shared" si="79"/>
        <v>3.3963011488498926</v>
      </c>
      <c r="Z205" s="51">
        <f t="shared" si="74"/>
        <v>-210.72369447525034</v>
      </c>
      <c r="AB205" s="4">
        <f t="shared" si="75"/>
        <v>17.8</v>
      </c>
      <c r="AC205" s="5">
        <f t="shared" si="62"/>
        <v>57.8</v>
      </c>
      <c r="AD205" s="13">
        <f t="shared" si="76"/>
        <v>2.9906534412801767E-3</v>
      </c>
      <c r="AE205" s="14">
        <f t="shared" si="77"/>
        <v>0.97042249217842258</v>
      </c>
      <c r="AF205" s="4">
        <f t="shared" si="63"/>
        <v>1</v>
      </c>
      <c r="AG205">
        <f t="shared" si="78"/>
        <v>0.28765311114511533</v>
      </c>
      <c r="AH205">
        <f t="shared" si="64"/>
        <v>8.3482610140912924E-4</v>
      </c>
      <c r="AI205" s="5">
        <f t="shared" si="65"/>
        <v>0.27914504900031961</v>
      </c>
    </row>
    <row r="206" spans="1:35" x14ac:dyDescent="0.45">
      <c r="A206" s="4">
        <f t="shared" si="66"/>
        <v>17.899999999999999</v>
      </c>
      <c r="B206" s="5">
        <f t="shared" si="54"/>
        <v>57.9</v>
      </c>
      <c r="C206" s="14">
        <f>_xlfn.XLOOKUP($B206,'Q1 Base'!$C$8:$C$208,'Q1 Base'!$D$8:$D$208,,0,)</f>
        <v>3.0099844299542209E-3</v>
      </c>
      <c r="D206">
        <f t="shared" si="80"/>
        <v>0.97013227244184963</v>
      </c>
      <c r="E206" s="5">
        <f t="shared" si="55"/>
        <v>-2.9200830350460736E-3</v>
      </c>
      <c r="G206" s="4">
        <f t="shared" si="68"/>
        <v>2.1</v>
      </c>
      <c r="H206" s="5">
        <f t="shared" si="56"/>
        <v>42.1</v>
      </c>
      <c r="I206">
        <f t="shared" si="69"/>
        <v>-70.492197185310943</v>
      </c>
      <c r="J206" s="14">
        <f>_xlfn.XLOOKUP($H206,'Q1 Base'!$C$8:$C$208,'Q1 Base'!$D$8:$D$208,,0,)</f>
        <v>9.0298544916636602E-4</v>
      </c>
      <c r="K206" s="29" cm="1">
        <f t="array" ref="K206">I206*$B$7+$E$6-J206*(SumAssdTA-I206)</f>
        <v>84.703347852053511</v>
      </c>
      <c r="M206" s="4">
        <f t="shared" si="70"/>
        <v>2.1</v>
      </c>
      <c r="N206" s="5">
        <f t="shared" si="57"/>
        <v>42.1</v>
      </c>
      <c r="O206">
        <f t="shared" si="71"/>
        <v>167.73002205369113</v>
      </c>
      <c r="P206" s="14">
        <f>_xlfn.XLOOKUP($N206,'Q1 Base'!$C$8:$C$208,'Q1 Base'!$D$8:$D$208,,0,)</f>
        <v>9.0298544916636602E-4</v>
      </c>
      <c r="Q206" s="29">
        <f t="shared" si="58"/>
        <v>78.045187025381466</v>
      </c>
      <c r="S206" s="4">
        <f t="shared" si="72"/>
        <v>2.1</v>
      </c>
      <c r="T206" s="5">
        <f t="shared" si="59"/>
        <v>42.1</v>
      </c>
      <c r="U206">
        <f t="shared" si="73"/>
        <v>-272.61356922215748</v>
      </c>
      <c r="V206" s="14">
        <f>_xlfn.XLOOKUP($T206,'Q1 Base'!$C$8:$C$208,'Q1 Base'!$D$8:$D$208,,0,)</f>
        <v>9.0298544916636602E-4</v>
      </c>
      <c r="W206" s="32">
        <f t="shared" si="60"/>
        <v>179000</v>
      </c>
      <c r="X206" s="29">
        <f t="shared" si="61"/>
        <v>-0.9635113325834368</v>
      </c>
      <c r="Y206" s="48">
        <f t="shared" si="79"/>
        <v>2.8672871623721252</v>
      </c>
      <c r="Z206" s="51">
        <f t="shared" si="74"/>
        <v>-202.12137203684654</v>
      </c>
      <c r="AB206" s="4">
        <f t="shared" si="75"/>
        <v>17.899999999999999</v>
      </c>
      <c r="AC206" s="5">
        <f t="shared" si="62"/>
        <v>57.9</v>
      </c>
      <c r="AD206" s="13">
        <f t="shared" si="76"/>
        <v>3.0099844299542209E-3</v>
      </c>
      <c r="AE206" s="14">
        <f t="shared" si="77"/>
        <v>0.97013227244184963</v>
      </c>
      <c r="AF206" s="4">
        <f t="shared" si="63"/>
        <v>1</v>
      </c>
      <c r="AG206">
        <f t="shared" si="78"/>
        <v>0.28564657045289016</v>
      </c>
      <c r="AH206">
        <f t="shared" si="64"/>
        <v>8.3411170439857756E-4</v>
      </c>
      <c r="AI206" s="5">
        <f t="shared" si="65"/>
        <v>0.27711495650868323</v>
      </c>
    </row>
    <row r="207" spans="1:35" x14ac:dyDescent="0.45">
      <c r="A207" s="4">
        <f t="shared" si="66"/>
        <v>18</v>
      </c>
      <c r="B207" s="5">
        <f t="shared" si="54"/>
        <v>58</v>
      </c>
      <c r="C207" s="14">
        <f>_xlfn.XLOOKUP($B207,'Q1 Base'!$C$8:$C$208,'Q1 Base'!$D$8:$D$208,,0,)</f>
        <v>3.0293154186282656E-3</v>
      </c>
      <c r="D207">
        <f t="shared" si="80"/>
        <v>0.96984026413834501</v>
      </c>
      <c r="E207" s="5">
        <f t="shared" si="55"/>
        <v>-2.9379520657607985E-3</v>
      </c>
      <c r="G207" s="4">
        <f t="shared" si="68"/>
        <v>2</v>
      </c>
      <c r="H207" s="5">
        <f t="shared" si="56"/>
        <v>42</v>
      </c>
      <c r="I207">
        <f t="shared" si="69"/>
        <v>-78.962531970516295</v>
      </c>
      <c r="J207" s="14">
        <f>_xlfn.XLOOKUP($H207,'Q1 Base'!$C$8:$C$208,'Q1 Base'!$D$8:$D$208,,0,)</f>
        <v>8.9468198034251142E-4</v>
      </c>
      <c r="K207" s="29" cm="1">
        <f t="array" ref="K207">I207*$B$7+$E$6-J207*(SumAssdTA-I207)</f>
        <v>84.933778373336466</v>
      </c>
      <c r="M207" s="4">
        <f t="shared" si="70"/>
        <v>2</v>
      </c>
      <c r="N207" s="5">
        <f t="shared" si="57"/>
        <v>42</v>
      </c>
      <c r="O207">
        <f t="shared" si="71"/>
        <v>159.925503351153</v>
      </c>
      <c r="P207" s="14">
        <f>_xlfn.XLOOKUP($N207,'Q1 Base'!$C$8:$C$208,'Q1 Base'!$D$8:$D$208,,0,)</f>
        <v>8.9468198034251142E-4</v>
      </c>
      <c r="Q207" s="29">
        <f t="shared" si="58"/>
        <v>78.320842295331886</v>
      </c>
      <c r="S207" s="4">
        <f t="shared" si="72"/>
        <v>2</v>
      </c>
      <c r="T207" s="5">
        <f t="shared" si="59"/>
        <v>42</v>
      </c>
      <c r="U207">
        <f t="shared" si="73"/>
        <v>-272.51721808889914</v>
      </c>
      <c r="V207" s="14">
        <f>_xlfn.XLOOKUP($T207,'Q1 Base'!$C$8:$C$208,'Q1 Base'!$D$8:$D$208,,0,)</f>
        <v>8.9468198034251142E-4</v>
      </c>
      <c r="W207" s="32">
        <f t="shared" si="60"/>
        <v>180000</v>
      </c>
      <c r="X207" s="29">
        <f t="shared" si="61"/>
        <v>-0.36277797223220887</v>
      </c>
      <c r="Y207" s="48">
        <f t="shared" si="79"/>
        <v>2.4512218806592214</v>
      </c>
      <c r="Z207" s="51">
        <f t="shared" si="74"/>
        <v>-193.55468611838285</v>
      </c>
      <c r="AB207" s="4">
        <f t="shared" si="75"/>
        <v>18</v>
      </c>
      <c r="AC207" s="5">
        <f t="shared" si="62"/>
        <v>58</v>
      </c>
      <c r="AD207" s="13">
        <f t="shared" si="76"/>
        <v>3.0293154186282656E-3</v>
      </c>
      <c r="AE207" s="14">
        <f t="shared" si="77"/>
        <v>0.96984026413834501</v>
      </c>
      <c r="AF207" s="4">
        <f t="shared" si="63"/>
        <v>1</v>
      </c>
      <c r="AG207">
        <f t="shared" si="78"/>
        <v>0.28365402649977028</v>
      </c>
      <c r="AH207">
        <f t="shared" si="64"/>
        <v>8.3336193311636837E-4</v>
      </c>
      <c r="AI207" s="5">
        <f t="shared" si="65"/>
        <v>0.27509909598444232</v>
      </c>
    </row>
    <row r="208" spans="1:35" x14ac:dyDescent="0.45">
      <c r="A208" s="4">
        <f t="shared" si="66"/>
        <v>18.100000000000001</v>
      </c>
      <c r="B208" s="5">
        <f t="shared" si="54"/>
        <v>58.1</v>
      </c>
      <c r="C208" s="14">
        <f>_xlfn.XLOOKUP($B208,'Q1 Base'!$C$8:$C$208,'Q1 Base'!$D$8:$D$208,,0,)</f>
        <v>3.0503158356137358E-3</v>
      </c>
      <c r="D208">
        <f t="shared" si="80"/>
        <v>0.96954646893176888</v>
      </c>
      <c r="E208" s="5">
        <f t="shared" si="55"/>
        <v>-2.9574229475459557E-3</v>
      </c>
      <c r="G208" s="4">
        <f t="shared" si="68"/>
        <v>1.9</v>
      </c>
      <c r="H208" s="5">
        <f t="shared" si="56"/>
        <v>41.9</v>
      </c>
      <c r="I208">
        <f t="shared" si="69"/>
        <v>-87.455909807849935</v>
      </c>
      <c r="J208" s="14">
        <f>_xlfn.XLOOKUP($H208,'Q1 Base'!$C$8:$C$208,'Q1 Base'!$D$8:$D$208,,0,)</f>
        <v>8.8713455811359834E-4</v>
      </c>
      <c r="K208" s="29" cm="1">
        <f t="array" ref="K208">I208*$B$7+$E$6-J208*(SumAssdTA-I208)</f>
        <v>85.087045342188858</v>
      </c>
      <c r="M208" s="4">
        <f t="shared" si="70"/>
        <v>1.9</v>
      </c>
      <c r="N208" s="5">
        <f t="shared" si="57"/>
        <v>41.9</v>
      </c>
      <c r="O208">
        <f t="shared" si="71"/>
        <v>152.0934191216198</v>
      </c>
      <c r="P208" s="14">
        <f>_xlfn.XLOOKUP($N208,'Q1 Base'!$C$8:$C$208,'Q1 Base'!$D$8:$D$208,,0,)</f>
        <v>8.8713455811359834E-4</v>
      </c>
      <c r="Q208" s="29">
        <f t="shared" si="58"/>
        <v>78.519183484274834</v>
      </c>
      <c r="S208" s="4">
        <f t="shared" si="72"/>
        <v>1.9</v>
      </c>
      <c r="T208" s="5">
        <f t="shared" si="59"/>
        <v>41.9</v>
      </c>
      <c r="U208">
        <f t="shared" si="73"/>
        <v>-272.48094029167589</v>
      </c>
      <c r="V208" s="14">
        <f>_xlfn.XLOOKUP($T208,'Q1 Base'!$C$8:$C$208,'Q1 Base'!$D$8:$D$208,,0,)</f>
        <v>8.8713455811359834E-4</v>
      </c>
      <c r="W208" s="32">
        <f t="shared" si="60"/>
        <v>181000</v>
      </c>
      <c r="X208" s="29">
        <f t="shared" si="61"/>
        <v>0.11325190246134298</v>
      </c>
      <c r="Y208" s="48">
        <f t="shared" si="79"/>
        <v>2.1156378212786979</v>
      </c>
      <c r="Z208" s="51">
        <f t="shared" si="74"/>
        <v>-185.02503048382596</v>
      </c>
      <c r="AB208" s="4">
        <f t="shared" si="75"/>
        <v>18.100000000000001</v>
      </c>
      <c r="AC208" s="5">
        <f t="shared" si="62"/>
        <v>58.1</v>
      </c>
      <c r="AD208" s="13">
        <f t="shared" si="76"/>
        <v>3.0503158356137358E-3</v>
      </c>
      <c r="AE208" s="14">
        <f t="shared" si="77"/>
        <v>0.96954646893176888</v>
      </c>
      <c r="AF208" s="4">
        <f t="shared" si="63"/>
        <v>1</v>
      </c>
      <c r="AG208">
        <f t="shared" si="78"/>
        <v>0.28167538165070355</v>
      </c>
      <c r="AH208">
        <f t="shared" si="64"/>
        <v>8.3303323745255572E-4</v>
      </c>
      <c r="AI208" s="5">
        <f t="shared" si="65"/>
        <v>0.27309737166444797</v>
      </c>
    </row>
    <row r="209" spans="1:35" x14ac:dyDescent="0.45">
      <c r="A209" s="4">
        <f t="shared" si="66"/>
        <v>18.2</v>
      </c>
      <c r="B209" s="5">
        <f t="shared" si="54"/>
        <v>58.2</v>
      </c>
      <c r="C209" s="14">
        <f>_xlfn.XLOOKUP($B209,'Q1 Base'!$C$8:$C$208,'Q1 Base'!$D$8:$D$208,,0,)</f>
        <v>3.0713162525992069E-3</v>
      </c>
      <c r="D209">
        <f t="shared" si="80"/>
        <v>0.96925072663701428</v>
      </c>
      <c r="E209" s="5">
        <f t="shared" si="55"/>
        <v>-2.9768755095638528E-3</v>
      </c>
      <c r="G209" s="4">
        <f t="shared" si="68"/>
        <v>1.8</v>
      </c>
      <c r="H209" s="5">
        <f t="shared" si="56"/>
        <v>41.8</v>
      </c>
      <c r="I209">
        <f t="shared" si="69"/>
        <v>-95.964614342068813</v>
      </c>
      <c r="J209" s="14">
        <f>_xlfn.XLOOKUP($H209,'Q1 Base'!$C$8:$C$208,'Q1 Base'!$D$8:$D$208,,0,)</f>
        <v>8.7958713588468527E-4</v>
      </c>
      <c r="K209" s="29" cm="1">
        <f t="array" ref="K209">I209*$B$7+$E$6-J209*(SumAssdTA-I209)</f>
        <v>85.239354167311234</v>
      </c>
      <c r="M209" s="4">
        <f t="shared" si="70"/>
        <v>1.8</v>
      </c>
      <c r="N209" s="5">
        <f t="shared" si="57"/>
        <v>41.8</v>
      </c>
      <c r="O209">
        <f t="shared" si="71"/>
        <v>144.24150077319231</v>
      </c>
      <c r="P209" s="14">
        <f>_xlfn.XLOOKUP($N209,'Q1 Base'!$C$8:$C$208,'Q1 Base'!$D$8:$D$208,,0,)</f>
        <v>8.7958713588468527E-4</v>
      </c>
      <c r="Q209" s="29">
        <f t="shared" si="58"/>
        <v>78.716237063152562</v>
      </c>
      <c r="S209" s="4">
        <f t="shared" si="72"/>
        <v>1.8</v>
      </c>
      <c r="T209" s="5">
        <f t="shared" si="59"/>
        <v>41.8</v>
      </c>
      <c r="U209">
        <f t="shared" si="73"/>
        <v>-272.492265481922</v>
      </c>
      <c r="V209" s="14">
        <f>_xlfn.XLOOKUP($T209,'Q1 Base'!$C$8:$C$208,'Q1 Base'!$D$8:$D$208,,0,)</f>
        <v>8.7958713588468527E-4</v>
      </c>
      <c r="W209" s="32">
        <f t="shared" si="60"/>
        <v>182000</v>
      </c>
      <c r="X209" s="29">
        <f t="shared" si="61"/>
        <v>0.60100199390677744</v>
      </c>
      <c r="Y209" s="48">
        <f t="shared" si="79"/>
        <v>1.839507743037605</v>
      </c>
      <c r="Z209" s="51">
        <f t="shared" si="74"/>
        <v>-176.52765113985319</v>
      </c>
      <c r="AB209" s="4">
        <f t="shared" si="75"/>
        <v>18.2</v>
      </c>
      <c r="AC209" s="5">
        <f t="shared" si="62"/>
        <v>58.2</v>
      </c>
      <c r="AD209" s="13">
        <f t="shared" si="76"/>
        <v>3.0713162525992069E-3</v>
      </c>
      <c r="AE209" s="14">
        <f t="shared" si="77"/>
        <v>0.96925072663701428</v>
      </c>
      <c r="AF209" s="4">
        <f t="shared" si="63"/>
        <v>1</v>
      </c>
      <c r="AG209">
        <f t="shared" si="78"/>
        <v>0.27971053895169634</v>
      </c>
      <c r="AH209">
        <f t="shared" si="64"/>
        <v>8.32663453172211E-4</v>
      </c>
      <c r="AI209" s="5">
        <f t="shared" si="65"/>
        <v>0.27110964312696256</v>
      </c>
    </row>
    <row r="210" spans="1:35" x14ac:dyDescent="0.45">
      <c r="A210" s="4">
        <f t="shared" si="66"/>
        <v>18.3</v>
      </c>
      <c r="B210" s="5">
        <f t="shared" si="54"/>
        <v>58.3</v>
      </c>
      <c r="C210" s="14">
        <f>_xlfn.XLOOKUP($B210,'Q1 Base'!$C$8:$C$208,'Q1 Base'!$D$8:$D$208,,0,)</f>
        <v>3.0923166695846749E-3</v>
      </c>
      <c r="D210">
        <f t="shared" si="80"/>
        <v>0.9689530390860579</v>
      </c>
      <c r="E210" s="5">
        <f t="shared" si="55"/>
        <v>-2.9963096348105478E-3</v>
      </c>
      <c r="G210" s="4">
        <f t="shared" si="68"/>
        <v>1.7</v>
      </c>
      <c r="H210" s="5">
        <f t="shared" si="56"/>
        <v>41.7</v>
      </c>
      <c r="I210">
        <f t="shared" si="69"/>
        <v>-104.48854975879993</v>
      </c>
      <c r="J210" s="14">
        <f>_xlfn.XLOOKUP($H210,'Q1 Base'!$C$8:$C$208,'Q1 Base'!$D$8:$D$208,,0,)</f>
        <v>8.7203971365577262E-4</v>
      </c>
      <c r="K210" s="29" cm="1">
        <f t="array" ref="K210">I210*$B$7+$E$6-J210*(SumAssdTA-I210)</f>
        <v>85.390711986294761</v>
      </c>
      <c r="M210" s="4">
        <f t="shared" si="70"/>
        <v>1.7</v>
      </c>
      <c r="N210" s="5">
        <f t="shared" si="57"/>
        <v>41.7</v>
      </c>
      <c r="O210">
        <f t="shared" si="71"/>
        <v>136.36987706687705</v>
      </c>
      <c r="P210" s="14">
        <f>_xlfn.XLOOKUP($N210,'Q1 Base'!$C$8:$C$208,'Q1 Base'!$D$8:$D$208,,0,)</f>
        <v>8.7203971365577262E-4</v>
      </c>
      <c r="Q210" s="29">
        <f t="shared" si="58"/>
        <v>78.91201260660965</v>
      </c>
      <c r="S210" s="4">
        <f t="shared" si="72"/>
        <v>1.7</v>
      </c>
      <c r="T210" s="5">
        <f t="shared" si="59"/>
        <v>41.7</v>
      </c>
      <c r="U210">
        <f t="shared" si="73"/>
        <v>-272.55236568131266</v>
      </c>
      <c r="V210" s="14">
        <f>_xlfn.XLOOKUP($T210,'Q1 Base'!$C$8:$C$208,'Q1 Base'!$D$8:$D$208,,0,)</f>
        <v>8.7203971365577262E-4</v>
      </c>
      <c r="W210" s="32">
        <f t="shared" si="60"/>
        <v>183000</v>
      </c>
      <c r="X210" s="29">
        <f t="shared" si="61"/>
        <v>1.1003903163767745</v>
      </c>
      <c r="Y210" s="48">
        <f t="shared" si="79"/>
        <v>1.6084424208247619</v>
      </c>
      <c r="Z210" s="51">
        <f t="shared" si="74"/>
        <v>-168.06381592251273</v>
      </c>
      <c r="AB210" s="4">
        <f t="shared" si="75"/>
        <v>18.3</v>
      </c>
      <c r="AC210" s="5">
        <f t="shared" si="62"/>
        <v>58.3</v>
      </c>
      <c r="AD210" s="13">
        <f t="shared" si="76"/>
        <v>3.0923166695846749E-3</v>
      </c>
      <c r="AE210" s="14">
        <f t="shared" si="77"/>
        <v>0.9689530390860579</v>
      </c>
      <c r="AF210" s="4">
        <f t="shared" si="63"/>
        <v>1</v>
      </c>
      <c r="AG210">
        <f t="shared" si="78"/>
        <v>0.27775940212506317</v>
      </c>
      <c r="AH210">
        <f t="shared" si="64"/>
        <v>8.322531727465441E-4</v>
      </c>
      <c r="AI210" s="5">
        <f t="shared" si="65"/>
        <v>0.26913581682380638</v>
      </c>
    </row>
    <row r="211" spans="1:35" x14ac:dyDescent="0.45">
      <c r="A211" s="4">
        <f t="shared" si="66"/>
        <v>18.399999999999999</v>
      </c>
      <c r="B211" s="5">
        <f t="shared" si="54"/>
        <v>58.4</v>
      </c>
      <c r="C211" s="14">
        <f>_xlfn.XLOOKUP($B211,'Q1 Base'!$C$8:$C$208,'Q1 Base'!$D$8:$D$208,,0,)</f>
        <v>3.113317086570146E-3</v>
      </c>
      <c r="D211">
        <f t="shared" si="80"/>
        <v>0.96865340812257683</v>
      </c>
      <c r="E211" s="5">
        <f t="shared" si="55"/>
        <v>-3.0157252064724237E-3</v>
      </c>
      <c r="G211" s="4">
        <f t="shared" si="68"/>
        <v>1.6</v>
      </c>
      <c r="H211" s="5">
        <f t="shared" si="56"/>
        <v>41.6</v>
      </c>
      <c r="I211">
        <f t="shared" si="69"/>
        <v>-113.02762095742941</v>
      </c>
      <c r="J211" s="14">
        <f>_xlfn.XLOOKUP($H211,'Q1 Base'!$C$8:$C$208,'Q1 Base'!$D$8:$D$208,,0,)</f>
        <v>8.6449229142685966E-4</v>
      </c>
      <c r="K211" s="29" cm="1">
        <f t="array" ref="K211">I211*$B$7+$E$6-J211*(SumAssdTA-I211)</f>
        <v>85.541125883257976</v>
      </c>
      <c r="M211" s="4">
        <f t="shared" si="70"/>
        <v>1.6</v>
      </c>
      <c r="N211" s="5">
        <f t="shared" si="57"/>
        <v>41.6</v>
      </c>
      <c r="O211">
        <f t="shared" si="71"/>
        <v>128.47867580621607</v>
      </c>
      <c r="P211" s="14">
        <f>_xlfn.XLOOKUP($N211,'Q1 Base'!$C$8:$C$208,'Q1 Base'!$D$8:$D$208,,0,)</f>
        <v>8.6449229142685966E-4</v>
      </c>
      <c r="Q211" s="29">
        <f t="shared" si="58"/>
        <v>79.106519617553204</v>
      </c>
      <c r="S211" s="4">
        <f t="shared" si="72"/>
        <v>1.6</v>
      </c>
      <c r="T211" s="5">
        <f t="shared" si="59"/>
        <v>41.6</v>
      </c>
      <c r="U211">
        <f t="shared" si="73"/>
        <v>-272.66240471295032</v>
      </c>
      <c r="V211" s="14">
        <f>_xlfn.XLOOKUP($T211,'Q1 Base'!$C$8:$C$208,'Q1 Base'!$D$8:$D$208,,0,)</f>
        <v>8.6449229142685966E-4</v>
      </c>
      <c r="W211" s="32">
        <f t="shared" si="60"/>
        <v>184000</v>
      </c>
      <c r="X211" s="29">
        <f t="shared" si="61"/>
        <v>1.6113355005150254</v>
      </c>
      <c r="Y211" s="48">
        <f t="shared" si="79"/>
        <v>1.4123519755905116</v>
      </c>
      <c r="Z211" s="51">
        <f t="shared" si="74"/>
        <v>-159.63478375552091</v>
      </c>
      <c r="AB211" s="4">
        <f t="shared" si="75"/>
        <v>18.399999999999999</v>
      </c>
      <c r="AC211" s="5">
        <f t="shared" si="62"/>
        <v>58.4</v>
      </c>
      <c r="AD211" s="13">
        <f t="shared" si="76"/>
        <v>3.113317086570146E-3</v>
      </c>
      <c r="AE211" s="14">
        <f t="shared" si="77"/>
        <v>0.96865340812257683</v>
      </c>
      <c r="AF211" s="4">
        <f t="shared" si="63"/>
        <v>1</v>
      </c>
      <c r="AG211">
        <f t="shared" si="78"/>
        <v>0.27582187556470933</v>
      </c>
      <c r="AH211">
        <f t="shared" si="64"/>
        <v>8.3180298263699421E-4</v>
      </c>
      <c r="AI211" s="5">
        <f t="shared" si="65"/>
        <v>0.26717579980051698</v>
      </c>
    </row>
    <row r="212" spans="1:35" x14ac:dyDescent="0.45">
      <c r="A212" s="4">
        <f t="shared" si="66"/>
        <v>18.5</v>
      </c>
      <c r="B212" s="5">
        <f t="shared" si="54"/>
        <v>58.5</v>
      </c>
      <c r="C212" s="14">
        <f>_xlfn.XLOOKUP($B212,'Q1 Base'!$C$8:$C$208,'Q1 Base'!$D$8:$D$208,,0,)</f>
        <v>3.1343175035556162E-3</v>
      </c>
      <c r="D212">
        <f t="shared" si="80"/>
        <v>0.96835183560192961</v>
      </c>
      <c r="E212" s="5">
        <f t="shared" si="55"/>
        <v>-3.0351221079273384E-3</v>
      </c>
      <c r="G212" s="4">
        <f t="shared" si="68"/>
        <v>1.5</v>
      </c>
      <c r="H212" s="5">
        <f t="shared" si="56"/>
        <v>41.5</v>
      </c>
      <c r="I212">
        <f t="shared" si="69"/>
        <v>-121.5817335457552</v>
      </c>
      <c r="J212" s="14">
        <f>_xlfn.XLOOKUP($H212,'Q1 Base'!$C$8:$C$208,'Q1 Base'!$D$8:$D$208,,0,)</f>
        <v>8.5694486919794658E-4</v>
      </c>
      <c r="K212" s="29" cm="1">
        <f t="array" ref="K212">I212*$B$7+$E$6-J212*(SumAssdTA-I212)</f>
        <v>85.690602889252233</v>
      </c>
      <c r="M212" s="4">
        <f t="shared" si="70"/>
        <v>1.5</v>
      </c>
      <c r="N212" s="5">
        <f t="shared" si="57"/>
        <v>41.5</v>
      </c>
      <c r="O212">
        <f t="shared" si="71"/>
        <v>120.56802384446075</v>
      </c>
      <c r="P212" s="14">
        <f>_xlfn.XLOOKUP($N212,'Q1 Base'!$C$8:$C$208,'Q1 Base'!$D$8:$D$208,,0,)</f>
        <v>8.5694486919794658E-4</v>
      </c>
      <c r="Q212" s="29">
        <f t="shared" si="58"/>
        <v>79.29976752769727</v>
      </c>
      <c r="S212" s="4">
        <f t="shared" si="72"/>
        <v>1.5</v>
      </c>
      <c r="T212" s="5">
        <f t="shared" si="59"/>
        <v>41.5</v>
      </c>
      <c r="U212">
        <f t="shared" si="73"/>
        <v>-272.82353826300181</v>
      </c>
      <c r="V212" s="14">
        <f>_xlfn.XLOOKUP($T212,'Q1 Base'!$C$8:$C$208,'Q1 Base'!$D$8:$D$208,,0,)</f>
        <v>8.5694486919794658E-4</v>
      </c>
      <c r="W212" s="32">
        <f t="shared" si="60"/>
        <v>185000</v>
      </c>
      <c r="X212" s="29">
        <f t="shared" si="61"/>
        <v>2.1337567886588147</v>
      </c>
      <c r="Y212" s="48">
        <f t="shared" si="79"/>
        <v>1.2439517048038251</v>
      </c>
      <c r="Z212" s="51">
        <f t="shared" si="74"/>
        <v>-151.24180471724662</v>
      </c>
      <c r="AB212" s="4">
        <f t="shared" si="75"/>
        <v>18.5</v>
      </c>
      <c r="AC212" s="5">
        <f t="shared" si="62"/>
        <v>58.5</v>
      </c>
      <c r="AD212" s="13">
        <f t="shared" si="76"/>
        <v>3.1343175035556162E-3</v>
      </c>
      <c r="AE212" s="14">
        <f t="shared" si="77"/>
        <v>0.96835183560192961</v>
      </c>
      <c r="AF212" s="4">
        <f t="shared" si="63"/>
        <v>1</v>
      </c>
      <c r="AG212">
        <f t="shared" si="78"/>
        <v>0.27389786433144553</v>
      </c>
      <c r="AH212">
        <f t="shared" si="64"/>
        <v>8.3131346334645308E-4</v>
      </c>
      <c r="AI212" s="5">
        <f t="shared" si="65"/>
        <v>0.26522949969280357</v>
      </c>
    </row>
    <row r="213" spans="1:35" x14ac:dyDescent="0.45">
      <c r="A213" s="4">
        <f t="shared" si="66"/>
        <v>18.600000000000001</v>
      </c>
      <c r="B213" s="5">
        <f t="shared" si="54"/>
        <v>58.6</v>
      </c>
      <c r="C213" s="14">
        <f>_xlfn.XLOOKUP($B213,'Q1 Base'!$C$8:$C$208,'Q1 Base'!$D$8:$D$208,,0,)</f>
        <v>3.1553179205410864E-3</v>
      </c>
      <c r="D213">
        <f t="shared" si="80"/>
        <v>0.96804832339113689</v>
      </c>
      <c r="E213" s="5">
        <f t="shared" si="55"/>
        <v>-3.0545002227458074E-3</v>
      </c>
      <c r="G213" s="4">
        <f t="shared" si="68"/>
        <v>1.4</v>
      </c>
      <c r="H213" s="5">
        <f t="shared" si="56"/>
        <v>41.4</v>
      </c>
      <c r="I213">
        <f t="shared" si="69"/>
        <v>-130.15079383468043</v>
      </c>
      <c r="J213" s="14">
        <f>_xlfn.XLOOKUP($H213,'Q1 Base'!$C$8:$C$208,'Q1 Base'!$D$8:$D$208,,0,)</f>
        <v>8.4939744696903351E-4</v>
      </c>
      <c r="K213" s="29" cm="1">
        <f t="array" ref="K213">I213*$B$7+$E$6-J213*(SumAssdTA-I213)</f>
        <v>85.83914998266485</v>
      </c>
      <c r="M213" s="4">
        <f t="shared" si="70"/>
        <v>1.4</v>
      </c>
      <c r="N213" s="5">
        <f t="shared" si="57"/>
        <v>41.4</v>
      </c>
      <c r="O213">
        <f t="shared" si="71"/>
        <v>112.63804709169102</v>
      </c>
      <c r="P213" s="14">
        <f>_xlfn.XLOOKUP($N213,'Q1 Base'!$C$8:$C$208,'Q1 Base'!$D$8:$D$208,,0,)</f>
        <v>8.4939744696903351E-4</v>
      </c>
      <c r="Q213" s="29">
        <f t="shared" si="58"/>
        <v>79.491765698103137</v>
      </c>
      <c r="S213" s="4">
        <f t="shared" si="72"/>
        <v>1.4</v>
      </c>
      <c r="T213" s="5">
        <f t="shared" si="59"/>
        <v>41.4</v>
      </c>
      <c r="U213">
        <f t="shared" si="73"/>
        <v>-273.03691394186768</v>
      </c>
      <c r="V213" s="14">
        <f>_xlfn.XLOOKUP($T213,'Q1 Base'!$C$8:$C$208,'Q1 Base'!$D$8:$D$208,,0,)</f>
        <v>8.4939744696903351E-4</v>
      </c>
      <c r="W213" s="32">
        <f t="shared" si="60"/>
        <v>186000</v>
      </c>
      <c r="X213" s="29">
        <f t="shared" si="61"/>
        <v>2.6675740301984945</v>
      </c>
      <c r="Y213" s="48">
        <f t="shared" si="79"/>
        <v>1.0978505462570087</v>
      </c>
      <c r="Z213" s="51">
        <f t="shared" si="74"/>
        <v>-142.88612010718725</v>
      </c>
      <c r="AB213" s="4">
        <f t="shared" si="75"/>
        <v>18.600000000000001</v>
      </c>
      <c r="AC213" s="5">
        <f t="shared" si="62"/>
        <v>58.6</v>
      </c>
      <c r="AD213" s="13">
        <f t="shared" si="76"/>
        <v>3.1553179205410864E-3</v>
      </c>
      <c r="AE213" s="14">
        <f t="shared" si="77"/>
        <v>0.96804832339113689</v>
      </c>
      <c r="AF213" s="4">
        <f t="shared" si="63"/>
        <v>1</v>
      </c>
      <c r="AG213">
        <f t="shared" si="78"/>
        <v>0.27198727414833646</v>
      </c>
      <c r="AH213">
        <f t="shared" si="64"/>
        <v>8.3078518947011864E-4</v>
      </c>
      <c r="AI213" s="5">
        <f t="shared" si="65"/>
        <v>0.26329682472302263</v>
      </c>
    </row>
    <row r="214" spans="1:35" x14ac:dyDescent="0.45">
      <c r="A214" s="4">
        <f t="shared" si="66"/>
        <v>18.7</v>
      </c>
      <c r="B214" s="5">
        <f t="shared" si="54"/>
        <v>58.7</v>
      </c>
      <c r="C214" s="14">
        <f>_xlfn.XLOOKUP($B214,'Q1 Base'!$C$8:$C$208,'Q1 Base'!$D$8:$D$208,,0,)</f>
        <v>3.1763183375265571E-3</v>
      </c>
      <c r="D214">
        <f t="shared" si="80"/>
        <v>0.96774287336886233</v>
      </c>
      <c r="E214" s="5">
        <f t="shared" si="55"/>
        <v>-3.0738594346921581E-3</v>
      </c>
      <c r="G214" s="4">
        <f t="shared" si="68"/>
        <v>1.3</v>
      </c>
      <c r="H214" s="5">
        <f t="shared" si="56"/>
        <v>41.3</v>
      </c>
      <c r="I214">
        <f t="shared" si="69"/>
        <v>-138.73470883294692</v>
      </c>
      <c r="J214" s="14">
        <f>_xlfn.XLOOKUP($H214,'Q1 Base'!$C$8:$C$208,'Q1 Base'!$D$8:$D$208,,0,)</f>
        <v>8.4185002474012032E-4</v>
      </c>
      <c r="K214" s="29" cm="1">
        <f t="array" ref="K214">I214*$B$7+$E$6-J214*(SumAssdTA-I214)</f>
        <v>85.986774089618365</v>
      </c>
      <c r="M214" s="4">
        <f t="shared" si="70"/>
        <v>1.3</v>
      </c>
      <c r="N214" s="5">
        <f t="shared" si="57"/>
        <v>41.3</v>
      </c>
      <c r="O214">
        <f t="shared" si="71"/>
        <v>104.6888705218807</v>
      </c>
      <c r="P214" s="14">
        <f>_xlfn.XLOOKUP($N214,'Q1 Base'!$C$8:$C$208,'Q1 Base'!$D$8:$D$208,,0,)</f>
        <v>8.4185002474012032E-4</v>
      </c>
      <c r="Q214" s="29">
        <f t="shared" si="58"/>
        <v>79.682523419715295</v>
      </c>
      <c r="S214" s="4">
        <f t="shared" si="72"/>
        <v>1.3</v>
      </c>
      <c r="T214" s="5">
        <f t="shared" si="59"/>
        <v>41.3</v>
      </c>
      <c r="U214">
        <f t="shared" si="73"/>
        <v>-273.3036713448875</v>
      </c>
      <c r="V214" s="14">
        <f>_xlfn.XLOOKUP($T214,'Q1 Base'!$C$8:$C$208,'Q1 Base'!$D$8:$D$208,,0,)</f>
        <v>8.4185002474012032E-4</v>
      </c>
      <c r="W214" s="32">
        <f t="shared" si="60"/>
        <v>187000</v>
      </c>
      <c r="X214" s="29">
        <f t="shared" si="61"/>
        <v>3.2127076769721157</v>
      </c>
      <c r="Y214" s="48">
        <f t="shared" si="79"/>
        <v>0.96997329395038134</v>
      </c>
      <c r="Z214" s="51">
        <f t="shared" si="74"/>
        <v>-134.56896251194058</v>
      </c>
      <c r="AB214" s="4">
        <f t="shared" si="75"/>
        <v>18.7</v>
      </c>
      <c r="AC214" s="5">
        <f t="shared" si="62"/>
        <v>58.7</v>
      </c>
      <c r="AD214" s="13">
        <f t="shared" si="76"/>
        <v>3.1763183375265571E-3</v>
      </c>
      <c r="AE214" s="14">
        <f t="shared" si="77"/>
        <v>0.96774287336886233</v>
      </c>
      <c r="AF214" s="4">
        <f t="shared" si="63"/>
        <v>1</v>
      </c>
      <c r="AG214">
        <f t="shared" si="78"/>
        <v>0.27009001139608096</v>
      </c>
      <c r="AH214">
        <f t="shared" si="64"/>
        <v>8.3021872974595602E-4</v>
      </c>
      <c r="AI214" s="5">
        <f t="shared" si="65"/>
        <v>0.26137768369667219</v>
      </c>
    </row>
    <row r="215" spans="1:35" x14ac:dyDescent="0.45">
      <c r="A215" s="4">
        <f t="shared" si="66"/>
        <v>18.8</v>
      </c>
      <c r="B215" s="5">
        <f t="shared" si="54"/>
        <v>58.8</v>
      </c>
      <c r="C215" s="14">
        <f>_xlfn.XLOOKUP($B215,'Q1 Base'!$C$8:$C$208,'Q1 Base'!$D$8:$D$208,,0,)</f>
        <v>3.197318754512026E-3</v>
      </c>
      <c r="D215">
        <f t="shared" si="80"/>
        <v>0.96743548742539309</v>
      </c>
      <c r="E215" s="5">
        <f t="shared" si="55"/>
        <v>-3.0931996277256926E-3</v>
      </c>
      <c r="G215" s="4">
        <f t="shared" si="68"/>
        <v>1.2</v>
      </c>
      <c r="H215" s="5">
        <f t="shared" si="56"/>
        <v>41.2</v>
      </c>
      <c r="I215">
        <f t="shared" si="69"/>
        <v>-147.33338624190876</v>
      </c>
      <c r="J215" s="14">
        <f>_xlfn.XLOOKUP($H215,'Q1 Base'!$C$8:$C$208,'Q1 Base'!$D$8:$D$208,,0,)</f>
        <v>8.3430260251120779E-4</v>
      </c>
      <c r="K215" s="29" cm="1">
        <f t="array" ref="K215">I215*$B$7+$E$6-J215*(SumAssdTA-I215)</f>
        <v>86.133482084367202</v>
      </c>
      <c r="M215" s="4">
        <f t="shared" si="70"/>
        <v>1.2</v>
      </c>
      <c r="N215" s="5">
        <f t="shared" si="57"/>
        <v>41.2</v>
      </c>
      <c r="O215">
        <f t="shared" si="71"/>
        <v>96.720618179909167</v>
      </c>
      <c r="P215" s="14">
        <f>_xlfn.XLOOKUP($N215,'Q1 Base'!$C$8:$C$208,'Q1 Base'!$D$8:$D$208,,0,)</f>
        <v>8.3430260251120779E-4</v>
      </c>
      <c r="Q215" s="29">
        <f t="shared" si="58"/>
        <v>79.87204991389369</v>
      </c>
      <c r="S215" s="4">
        <f t="shared" si="72"/>
        <v>1.2</v>
      </c>
      <c r="T215" s="5">
        <f t="shared" si="59"/>
        <v>41.2</v>
      </c>
      <c r="U215">
        <f t="shared" si="73"/>
        <v>-273.62494211258473</v>
      </c>
      <c r="V215" s="14">
        <f>_xlfn.XLOOKUP($T215,'Q1 Base'!$C$8:$C$208,'Q1 Base'!$D$8:$D$208,,0,)</f>
        <v>8.3430260251120779E-4</v>
      </c>
      <c r="W215" s="32">
        <f t="shared" si="60"/>
        <v>188000</v>
      </c>
      <c r="X215" s="29">
        <f t="shared" si="61"/>
        <v>3.7690787786954729</v>
      </c>
      <c r="Y215" s="48">
        <f t="shared" si="79"/>
        <v>0.85718219808859963</v>
      </c>
      <c r="Z215" s="51">
        <f t="shared" si="74"/>
        <v>-126.29155587067598</v>
      </c>
      <c r="AB215" s="4">
        <f t="shared" si="75"/>
        <v>18.8</v>
      </c>
      <c r="AC215" s="5">
        <f t="shared" si="62"/>
        <v>58.8</v>
      </c>
      <c r="AD215" s="13">
        <f t="shared" si="76"/>
        <v>3.197318754512026E-3</v>
      </c>
      <c r="AE215" s="14">
        <f t="shared" si="77"/>
        <v>0.96743548742539309</v>
      </c>
      <c r="AF215" s="4">
        <f t="shared" si="63"/>
        <v>1</v>
      </c>
      <c r="AG215">
        <f t="shared" si="78"/>
        <v>0.26820598310842436</v>
      </c>
      <c r="AH215">
        <f t="shared" si="64"/>
        <v>8.2961464710478165E-4</v>
      </c>
      <c r="AI215" s="5">
        <f t="shared" si="65"/>
        <v>0.25947198599890525</v>
      </c>
    </row>
    <row r="216" spans="1:35" x14ac:dyDescent="0.45">
      <c r="A216" s="4">
        <f t="shared" si="66"/>
        <v>18.899999999999999</v>
      </c>
      <c r="B216" s="5">
        <f t="shared" si="54"/>
        <v>58.9</v>
      </c>
      <c r="C216" s="14">
        <f>_xlfn.XLOOKUP($B216,'Q1 Base'!$C$8:$C$208,'Q1 Base'!$D$8:$D$208,,0,)</f>
        <v>3.2183191714974958E-3</v>
      </c>
      <c r="D216">
        <f t="shared" si="80"/>
        <v>0.96712616746262048</v>
      </c>
      <c r="E216" s="5">
        <f t="shared" si="55"/>
        <v>-3.1125206860018492E-3</v>
      </c>
      <c r="G216" s="4">
        <f t="shared" si="68"/>
        <v>1.1000000000000001</v>
      </c>
      <c r="H216" s="5">
        <f t="shared" si="56"/>
        <v>41.1</v>
      </c>
      <c r="I216">
        <f t="shared" si="69"/>
        <v>-155.94673445034547</v>
      </c>
      <c r="J216" s="14">
        <f>_xlfn.XLOOKUP($H216,'Q1 Base'!$C$8:$C$208,'Q1 Base'!$D$8:$D$208,,0,)</f>
        <v>8.2675518028229461E-4</v>
      </c>
      <c r="K216" s="29" cm="1">
        <f t="array" ref="K216">I216*$B$7+$E$6-J216*(SumAssdTA-I216)</f>
        <v>86.279280789691427</v>
      </c>
      <c r="M216" s="4">
        <f t="shared" si="70"/>
        <v>1.1000000000000001</v>
      </c>
      <c r="N216" s="5">
        <f t="shared" si="57"/>
        <v>41.1</v>
      </c>
      <c r="O216">
        <f t="shared" si="71"/>
        <v>88.733413188519791</v>
      </c>
      <c r="P216" s="14">
        <f>_xlfn.XLOOKUP($N216,'Q1 Base'!$C$8:$C$208,'Q1 Base'!$D$8:$D$208,,0,)</f>
        <v>8.2675518028229461E-4</v>
      </c>
      <c r="Q216" s="29">
        <f t="shared" si="58"/>
        <v>80.0603543329415</v>
      </c>
      <c r="S216" s="4">
        <f t="shared" si="72"/>
        <v>1.1000000000000001</v>
      </c>
      <c r="T216" s="5">
        <f t="shared" si="59"/>
        <v>41.1</v>
      </c>
      <c r="U216">
        <f t="shared" si="73"/>
        <v>-274.00184999045428</v>
      </c>
      <c r="V216" s="14">
        <f>_xlfn.XLOOKUP($T216,'Q1 Base'!$C$8:$C$208,'Q1 Base'!$D$8:$D$208,,0,)</f>
        <v>8.2675518028229461E-4</v>
      </c>
      <c r="W216" s="32">
        <f t="shared" si="60"/>
        <v>189000</v>
      </c>
      <c r="X216" s="29">
        <f t="shared" si="61"/>
        <v>4.3366089784279893</v>
      </c>
      <c r="Y216" s="48">
        <f t="shared" si="79"/>
        <v>0.75702204317525079</v>
      </c>
      <c r="Z216" s="51">
        <f t="shared" si="74"/>
        <v>-118.0551155401088</v>
      </c>
      <c r="AB216" s="4">
        <f t="shared" si="75"/>
        <v>18.899999999999999</v>
      </c>
      <c r="AC216" s="5">
        <f t="shared" si="62"/>
        <v>58.9</v>
      </c>
      <c r="AD216" s="13">
        <f t="shared" si="76"/>
        <v>3.2183191714974958E-3</v>
      </c>
      <c r="AE216" s="14">
        <f t="shared" si="77"/>
        <v>0.96712616746262048</v>
      </c>
      <c r="AF216" s="4">
        <f t="shared" si="63"/>
        <v>1</v>
      </c>
      <c r="AG216">
        <f t="shared" si="78"/>
        <v>0.26633509696760388</v>
      </c>
      <c r="AH216">
        <f t="shared" si="64"/>
        <v>8.2897349871997547E-4</v>
      </c>
      <c r="AI216" s="5">
        <f t="shared" si="65"/>
        <v>0.25757964159106411</v>
      </c>
    </row>
    <row r="217" spans="1:35" x14ac:dyDescent="0.45">
      <c r="A217" s="4">
        <f t="shared" si="66"/>
        <v>19</v>
      </c>
      <c r="B217" s="5">
        <f t="shared" si="54"/>
        <v>59</v>
      </c>
      <c r="C217" s="14">
        <f>_xlfn.XLOOKUP($B217,'Q1 Base'!$C$8:$C$208,'Q1 Base'!$D$8:$D$208,,0,)</f>
        <v>3.2393195884829668E-3</v>
      </c>
      <c r="D217">
        <f t="shared" si="80"/>
        <v>0.96681491539402031</v>
      </c>
      <c r="E217" s="5">
        <f t="shared" si="55"/>
        <v>-3.1318224938733522E-3</v>
      </c>
      <c r="G217" s="4">
        <f t="shared" si="68"/>
        <v>1</v>
      </c>
      <c r="H217" s="5">
        <f t="shared" si="56"/>
        <v>41</v>
      </c>
      <c r="I217">
        <f t="shared" si="69"/>
        <v>-164.57466252931462</v>
      </c>
      <c r="J217" s="14">
        <f>_xlfn.XLOOKUP($H217,'Q1 Base'!$C$8:$C$208,'Q1 Base'!$D$8:$D$208,,0,)</f>
        <v>8.1920775805338153E-4</v>
      </c>
      <c r="K217" s="29" cm="1">
        <f t="array" ref="K217">I217*$B$7+$E$6-J217*(SumAssdTA-I217)</f>
        <v>86.424176977286805</v>
      </c>
      <c r="M217" s="4">
        <f t="shared" si="70"/>
        <v>1</v>
      </c>
      <c r="N217" s="5">
        <f t="shared" si="57"/>
        <v>41</v>
      </c>
      <c r="O217">
        <f t="shared" si="71"/>
        <v>80.727377755225646</v>
      </c>
      <c r="P217" s="14">
        <f>_xlfn.XLOOKUP($N217,'Q1 Base'!$C$8:$C$208,'Q1 Base'!$D$8:$D$208,,0,)</f>
        <v>8.1920775805338153E-4</v>
      </c>
      <c r="Q217" s="29">
        <f t="shared" si="58"/>
        <v>80.247445760628878</v>
      </c>
      <c r="S217" s="4">
        <f t="shared" si="72"/>
        <v>1</v>
      </c>
      <c r="T217" s="5">
        <f t="shared" si="59"/>
        <v>41</v>
      </c>
      <c r="U217">
        <f t="shared" si="73"/>
        <v>-274.43551088829707</v>
      </c>
      <c r="V217" s="14">
        <f>_xlfn.XLOOKUP($T217,'Q1 Base'!$C$8:$C$208,'Q1 Base'!$D$8:$D$208,,0,)</f>
        <v>8.1920775805338153E-4</v>
      </c>
      <c r="W217" s="32">
        <f t="shared" si="60"/>
        <v>190000</v>
      </c>
      <c r="X217" s="29">
        <f t="shared" si="61"/>
        <v>4.915220508071684</v>
      </c>
      <c r="Y217" s="48">
        <f t="shared" si="79"/>
        <v>0.66754412052592627</v>
      </c>
      <c r="Z217" s="51">
        <f t="shared" si="74"/>
        <v>-109.86084835898245</v>
      </c>
      <c r="AB217" s="4">
        <f t="shared" si="75"/>
        <v>19</v>
      </c>
      <c r="AC217" s="5">
        <f t="shared" si="62"/>
        <v>59</v>
      </c>
      <c r="AD217" s="13">
        <f t="shared" si="76"/>
        <v>3.2393195884829668E-3</v>
      </c>
      <c r="AE217" s="14">
        <f t="shared" si="77"/>
        <v>0.96681491539402031</v>
      </c>
      <c r="AF217" s="4">
        <f t="shared" si="63"/>
        <v>1</v>
      </c>
      <c r="AG217">
        <f t="shared" si="78"/>
        <v>0.26447726129982396</v>
      </c>
      <c r="AH217">
        <f t="shared" si="64"/>
        <v>8.282958360568089E-4</v>
      </c>
      <c r="AI217" s="5">
        <f t="shared" si="65"/>
        <v>0.25570056100723149</v>
      </c>
    </row>
    <row r="218" spans="1:35" x14ac:dyDescent="0.45">
      <c r="A218" s="4">
        <f t="shared" si="66"/>
        <v>19.100000000000001</v>
      </c>
      <c r="B218" s="5">
        <f t="shared" si="54"/>
        <v>59.1</v>
      </c>
      <c r="C218" s="14">
        <f>_xlfn.XLOOKUP($B218,'Q1 Base'!$C$8:$C$208,'Q1 Base'!$D$8:$D$208,,0,)</f>
        <v>3.2623081584564678E-3</v>
      </c>
      <c r="D218">
        <f t="shared" si="80"/>
        <v>0.96650173314463295</v>
      </c>
      <c r="E218" s="5">
        <f t="shared" si="55"/>
        <v>-3.1530264892000522E-3</v>
      </c>
      <c r="G218" s="4">
        <f t="shared" si="68"/>
        <v>0.9</v>
      </c>
      <c r="H218" s="5">
        <f t="shared" si="56"/>
        <v>40.9</v>
      </c>
      <c r="I218">
        <f t="shared" si="69"/>
        <v>-173.21708022704331</v>
      </c>
      <c r="J218" s="14">
        <f>_xlfn.XLOOKUP($H218,'Q1 Base'!$C$8:$C$208,'Q1 Base'!$D$8:$D$208,,0,)</f>
        <v>8.1243591798175606E-4</v>
      </c>
      <c r="K218" s="29" cm="1">
        <f t="array" ref="K218">I218*$B$7+$E$6-J218*(SumAssdTA-I218)</f>
        <v>86.490484808346977</v>
      </c>
      <c r="M218" s="4">
        <f t="shared" si="70"/>
        <v>0.9</v>
      </c>
      <c r="N218" s="5">
        <f t="shared" si="57"/>
        <v>40.9</v>
      </c>
      <c r="O218">
        <f t="shared" si="71"/>
        <v>72.70263317916276</v>
      </c>
      <c r="P218" s="14">
        <f>_xlfn.XLOOKUP($N218,'Q1 Base'!$C$8:$C$208,'Q1 Base'!$D$8:$D$208,,0,)</f>
        <v>8.1243591798175606E-4</v>
      </c>
      <c r="Q218" s="29">
        <f t="shared" si="58"/>
        <v>80.355831383849235</v>
      </c>
      <c r="S218" s="4">
        <f t="shared" si="72"/>
        <v>0.9</v>
      </c>
      <c r="T218" s="5">
        <f t="shared" si="59"/>
        <v>40.9</v>
      </c>
      <c r="U218">
        <f t="shared" si="73"/>
        <v>-274.92703293910427</v>
      </c>
      <c r="V218" s="14">
        <f>_xlfn.XLOOKUP($T218,'Q1 Base'!$C$8:$C$208,'Q1 Base'!$D$8:$D$208,,0,)</f>
        <v>8.1243591798175606E-4</v>
      </c>
      <c r="W218" s="32">
        <f t="shared" si="60"/>
        <v>191000</v>
      </c>
      <c r="X218" s="29">
        <f t="shared" si="61"/>
        <v>5.3564867633634208</v>
      </c>
      <c r="Y218" s="48">
        <f t="shared" si="79"/>
        <v>0.58718200640921325</v>
      </c>
      <c r="Z218" s="51">
        <f t="shared" si="74"/>
        <v>-101.70995271206095</v>
      </c>
      <c r="AB218" s="4">
        <f t="shared" si="75"/>
        <v>19.100000000000001</v>
      </c>
      <c r="AC218" s="5">
        <f t="shared" si="62"/>
        <v>59.1</v>
      </c>
      <c r="AD218" s="13">
        <f t="shared" si="76"/>
        <v>3.2623081584564678E-3</v>
      </c>
      <c r="AE218" s="14">
        <f t="shared" si="77"/>
        <v>0.96650173314463295</v>
      </c>
      <c r="AF218" s="4">
        <f t="shared" si="63"/>
        <v>1</v>
      </c>
      <c r="AG218">
        <f t="shared" si="78"/>
        <v>0.26263238507076531</v>
      </c>
      <c r="AH218">
        <f t="shared" si="64"/>
        <v>8.2808686704991137E-4</v>
      </c>
      <c r="AI218" s="5">
        <f t="shared" si="65"/>
        <v>0.2538346553508033</v>
      </c>
    </row>
    <row r="219" spans="1:35" x14ac:dyDescent="0.45">
      <c r="A219" s="4">
        <f t="shared" si="66"/>
        <v>19.2</v>
      </c>
      <c r="B219" s="5">
        <f t="shared" ref="B219:B227" si="81">$B$8+A219</f>
        <v>59.2</v>
      </c>
      <c r="C219" s="14">
        <f>_xlfn.XLOOKUP($B219,'Q1 Base'!$C$8:$C$208,'Q1 Base'!$D$8:$D$208,,0,)</f>
        <v>3.2852967284299696E-3</v>
      </c>
      <c r="D219">
        <f t="shared" si="80"/>
        <v>0.96618643049571296</v>
      </c>
      <c r="E219" s="5">
        <f t="shared" ref="E219:E227" si="82">-D219*C219</f>
        <v>-3.1742091191609961E-3</v>
      </c>
      <c r="G219" s="4">
        <f t="shared" si="68"/>
        <v>0.8</v>
      </c>
      <c r="H219" s="5">
        <f t="shared" ref="H219:H227" si="83">$B$8+G219</f>
        <v>40.799999999999997</v>
      </c>
      <c r="I219">
        <f t="shared" si="69"/>
        <v>-181.866128707878</v>
      </c>
      <c r="J219" s="14">
        <f>_xlfn.XLOOKUP($H219,'Q1 Base'!$C$8:$C$208,'Q1 Base'!$D$8:$D$208,,0,)</f>
        <v>8.0566407791013059E-4</v>
      </c>
      <c r="K219" s="29" cm="1">
        <f t="array" ref="K219">I219*$B$7+$E$6-J219*(SumAssdTA-I219)</f>
        <v>86.556440192546972</v>
      </c>
      <c r="M219" s="4">
        <f t="shared" si="70"/>
        <v>0.8</v>
      </c>
      <c r="N219" s="5">
        <f t="shared" ref="N219:N227" si="84">$B$8+M219</f>
        <v>40.799999999999997</v>
      </c>
      <c r="O219">
        <f t="shared" si="71"/>
        <v>64.667050040777838</v>
      </c>
      <c r="P219" s="14">
        <f>_xlfn.XLOOKUP($N219,'Q1 Base'!$C$8:$C$208,'Q1 Base'!$D$8:$D$208,,0,)</f>
        <v>8.0566407791013059E-4</v>
      </c>
      <c r="Q219" s="29">
        <f t="shared" ref="Q219:Q227" si="85">O219*$B$7+$N$18-P219*(SumAssdTA-O219)</f>
        <v>80.4635582600405</v>
      </c>
      <c r="S219" s="4">
        <f t="shared" si="72"/>
        <v>0.8</v>
      </c>
      <c r="T219" s="5">
        <f t="shared" ref="T219:T227" si="86">$B$8+S219</f>
        <v>40.799999999999997</v>
      </c>
      <c r="U219">
        <f t="shared" si="73"/>
        <v>-275.4626816154406</v>
      </c>
      <c r="V219" s="14">
        <f>_xlfn.XLOOKUP($T219,'Q1 Base'!$C$8:$C$208,'Q1 Base'!$D$8:$D$208,,0,)</f>
        <v>8.0566407791013059E-4</v>
      </c>
      <c r="W219" s="32">
        <f t="shared" ref="W219:W227" si="87">StartDecSA+(FinalDecSA-StartDecSA)*(S219/TermOfDecSA)</f>
        <v>192000</v>
      </c>
      <c r="X219" s="29">
        <f t="shared" ref="X219:X227" si="88">U219*$B$7+$E$6-V219*(W219-U219)-Expenses</f>
        <v>5.8081789407917199</v>
      </c>
      <c r="Y219" s="48">
        <f t="shared" si="79"/>
        <v>0.51464532495713811</v>
      </c>
      <c r="Z219" s="51">
        <f t="shared" si="74"/>
        <v>-93.596552907562597</v>
      </c>
      <c r="AB219" s="4">
        <f t="shared" si="75"/>
        <v>19.2</v>
      </c>
      <c r="AC219" s="5">
        <f t="shared" ref="AC219:AC227" si="89">$B$8+AB219</f>
        <v>59.2</v>
      </c>
      <c r="AD219" s="13">
        <f t="shared" si="76"/>
        <v>3.2852967284299696E-3</v>
      </c>
      <c r="AE219" s="14">
        <f t="shared" si="77"/>
        <v>0.96618643049571296</v>
      </c>
      <c r="AF219" s="4">
        <f t="shared" ref="AF219:AF227" si="90">IF(OR(AB219=0,AB219=TermOfDecSA),0.5,1)</f>
        <v>1</v>
      </c>
      <c r="AG219">
        <f t="shared" si="78"/>
        <v>0.26080037788112365</v>
      </c>
      <c r="AH219">
        <f t="shared" ref="AH219:AH227" si="91">AD219*AE219*AF219*AG219</f>
        <v>8.2783493775089641E-4</v>
      </c>
      <c r="AI219" s="5">
        <f t="shared" ref="AI219:AI227" si="92">AE219*AF219*AG219</f>
        <v>0.25198178617689593</v>
      </c>
    </row>
    <row r="220" spans="1:35" x14ac:dyDescent="0.45">
      <c r="A220" s="4">
        <f t="shared" ref="A220:A227" si="93">ROUND(A219+StepSizeQ1,2)</f>
        <v>19.3</v>
      </c>
      <c r="B220" s="5">
        <f t="shared" si="81"/>
        <v>59.3</v>
      </c>
      <c r="C220" s="14">
        <f>_xlfn.XLOOKUP($B220,'Q1 Base'!$C$8:$C$208,'Q1 Base'!$D$8:$D$208,,0,)</f>
        <v>3.3082852984034697E-3</v>
      </c>
      <c r="D220">
        <f t="shared" ref="D220:D227" si="94">D219+StepSizeQ1*E219</f>
        <v>0.96586900958379684</v>
      </c>
      <c r="E220" s="5">
        <f t="shared" si="82"/>
        <v>-3.195370244589595E-3</v>
      </c>
      <c r="G220" s="4">
        <f t="shared" ref="G220:G227" si="95">ROUND(G219-StepSizeQ1,2)</f>
        <v>0.7</v>
      </c>
      <c r="H220" s="5">
        <f t="shared" si="83"/>
        <v>40.700000000000003</v>
      </c>
      <c r="I220">
        <f t="shared" ref="I220:I227" si="96">I219-StepSizeQ1*K219</f>
        <v>-190.52177272713271</v>
      </c>
      <c r="J220" s="14">
        <f>_xlfn.XLOOKUP($H220,'Q1 Base'!$C$8:$C$208,'Q1 Base'!$D$8:$D$208,,0,)</f>
        <v>7.9889223783850567E-4</v>
      </c>
      <c r="K220" s="29" cm="1">
        <f t="array" ref="K220">I220*$B$7+$E$6-J220*(SumAssdTA-I220)</f>
        <v>86.622045759879185</v>
      </c>
      <c r="M220" s="4">
        <f t="shared" ref="M220:M227" si="97">ROUND(M219-StepSizeQ1,2)</f>
        <v>0.7</v>
      </c>
      <c r="N220" s="5">
        <f t="shared" si="84"/>
        <v>40.700000000000003</v>
      </c>
      <c r="O220">
        <f t="shared" ref="O220:O227" si="98">O219-StepSizeQ1*Q219</f>
        <v>56.620694214773785</v>
      </c>
      <c r="P220" s="14">
        <f>_xlfn.XLOOKUP($N220,'Q1 Base'!$C$8:$C$208,'Q1 Base'!$D$8:$D$208,,0,)</f>
        <v>7.9889223783850567E-4</v>
      </c>
      <c r="Q220" s="29">
        <f t="shared" si="85"/>
        <v>80.570631273249631</v>
      </c>
      <c r="S220" s="4">
        <f t="shared" ref="S220:S227" si="99">ROUND(S219-StepSizeQ1,2)</f>
        <v>0.7</v>
      </c>
      <c r="T220" s="5">
        <f t="shared" si="86"/>
        <v>40.700000000000003</v>
      </c>
      <c r="U220">
        <f t="shared" ref="U220:U227" si="100">U219-StepSizeQ1*X219</f>
        <v>-276.04349950951979</v>
      </c>
      <c r="V220" s="14">
        <f>_xlfn.XLOOKUP($T220,'Q1 Base'!$C$8:$C$208,'Q1 Base'!$D$8:$D$208,,0,)</f>
        <v>7.9889223783850567E-4</v>
      </c>
      <c r="W220" s="32">
        <f t="shared" si="87"/>
        <v>193000</v>
      </c>
      <c r="X220" s="29">
        <f t="shared" si="88"/>
        <v>6.2702241224380941</v>
      </c>
      <c r="Y220" s="48">
        <f t="shared" si="79"/>
        <v>0.44888164516961626</v>
      </c>
      <c r="Z220" s="51">
        <f t="shared" ref="Z220:Z227" si="101">U220-I220</f>
        <v>-85.521726782387077</v>
      </c>
      <c r="AB220" s="4">
        <f t="shared" ref="AB220:AB227" si="102">ROUND(AB219+StepSizeQ1,2)</f>
        <v>19.3</v>
      </c>
      <c r="AC220" s="5">
        <f t="shared" si="89"/>
        <v>59.3</v>
      </c>
      <c r="AD220" s="13">
        <f t="shared" ref="AD220:AD227" si="103">C220</f>
        <v>3.3082852984034697E-3</v>
      </c>
      <c r="AE220" s="14">
        <f t="shared" ref="AE220:AE227" si="104">D220</f>
        <v>0.96586900958379684</v>
      </c>
      <c r="AF220" s="4">
        <f t="shared" si="90"/>
        <v>1</v>
      </c>
      <c r="AG220">
        <f t="shared" ref="AG220:AG227" si="105">EXP(-AB220*$B$7)</f>
        <v>0.25898114996217997</v>
      </c>
      <c r="AH220">
        <f t="shared" si="91"/>
        <v>8.2754066049874563E-4</v>
      </c>
      <c r="AI220" s="5">
        <f t="shared" si="92"/>
        <v>0.25014186681484352</v>
      </c>
    </row>
    <row r="221" spans="1:35" x14ac:dyDescent="0.45">
      <c r="A221" s="4">
        <f t="shared" si="93"/>
        <v>19.399999999999999</v>
      </c>
      <c r="B221" s="5">
        <f t="shared" si="81"/>
        <v>59.4</v>
      </c>
      <c r="C221" s="14">
        <f>_xlfn.XLOOKUP($B221,'Q1 Base'!$C$8:$C$208,'Q1 Base'!$D$8:$D$208,,0,)</f>
        <v>3.3312738683769702E-3</v>
      </c>
      <c r="D221">
        <f t="shared" si="94"/>
        <v>0.96554947255933787</v>
      </c>
      <c r="E221" s="5">
        <f t="shared" si="82"/>
        <v>-3.2165097265620889E-3</v>
      </c>
      <c r="G221" s="4">
        <f t="shared" si="95"/>
        <v>0.6</v>
      </c>
      <c r="H221" s="5">
        <f t="shared" si="83"/>
        <v>40.6</v>
      </c>
      <c r="I221">
        <f t="shared" si="96"/>
        <v>-199.18397730312063</v>
      </c>
      <c r="J221" s="14">
        <f>_xlfn.XLOOKUP($H221,'Q1 Base'!$C$8:$C$208,'Q1 Base'!$D$8:$D$208,,0,)</f>
        <v>7.921203977668802E-4</v>
      </c>
      <c r="K221" s="29" cm="1">
        <f t="array" ref="K221">I221*$B$7+$E$6-J221*(SumAssdTA-I221)</f>
        <v>86.687304120763415</v>
      </c>
      <c r="M221" s="4">
        <f t="shared" si="97"/>
        <v>0.6</v>
      </c>
      <c r="N221" s="5">
        <f t="shared" si="84"/>
        <v>40.6</v>
      </c>
      <c r="O221">
        <f t="shared" si="98"/>
        <v>48.563631087448819</v>
      </c>
      <c r="P221" s="14">
        <f>_xlfn.XLOOKUP($N221,'Q1 Base'!$C$8:$C$208,'Q1 Base'!$D$8:$D$208,,0,)</f>
        <v>7.921203977668802E-4</v>
      </c>
      <c r="Q221" s="29">
        <f t="shared" si="85"/>
        <v>80.677055271164249</v>
      </c>
      <c r="S221" s="4">
        <f t="shared" si="99"/>
        <v>0.6</v>
      </c>
      <c r="T221" s="5">
        <f t="shared" si="86"/>
        <v>40.6</v>
      </c>
      <c r="U221">
        <f t="shared" si="100"/>
        <v>-276.67052192176362</v>
      </c>
      <c r="V221" s="14">
        <f>_xlfn.XLOOKUP($T221,'Q1 Base'!$C$8:$C$208,'Q1 Base'!$D$8:$D$208,,0,)</f>
        <v>7.921203977668802E-4</v>
      </c>
      <c r="W221" s="32">
        <f t="shared" si="87"/>
        <v>194000</v>
      </c>
      <c r="X221" s="29">
        <f t="shared" si="88"/>
        <v>6.7425499348267408</v>
      </c>
      <c r="Y221" s="48">
        <f t="shared" ref="Y221:Y227" si="106">U221/I221-1</f>
        <v>0.38901996871326161</v>
      </c>
      <c r="Z221" s="51">
        <f t="shared" si="101"/>
        <v>-77.486544618642995</v>
      </c>
      <c r="AB221" s="4">
        <f t="shared" si="102"/>
        <v>19.399999999999999</v>
      </c>
      <c r="AC221" s="5">
        <f t="shared" si="89"/>
        <v>59.4</v>
      </c>
      <c r="AD221" s="13">
        <f t="shared" si="103"/>
        <v>3.3312738683769702E-3</v>
      </c>
      <c r="AE221" s="14">
        <f t="shared" si="104"/>
        <v>0.96554947255933787</v>
      </c>
      <c r="AF221" s="4">
        <f t="shared" si="90"/>
        <v>1</v>
      </c>
      <c r="AG221">
        <f t="shared" si="105"/>
        <v>0.25717461217140242</v>
      </c>
      <c r="AH221">
        <f t="shared" si="91"/>
        <v>8.2720464147414887E-4</v>
      </c>
      <c r="AI221" s="5">
        <f t="shared" si="92"/>
        <v>0.24831481113774989</v>
      </c>
    </row>
    <row r="222" spans="1:35" x14ac:dyDescent="0.45">
      <c r="A222" s="4">
        <f t="shared" si="93"/>
        <v>19.5</v>
      </c>
      <c r="B222" s="5">
        <f t="shared" si="81"/>
        <v>59.5</v>
      </c>
      <c r="C222" s="14">
        <f>_xlfn.XLOOKUP($B222,'Q1 Base'!$C$8:$C$208,'Q1 Base'!$D$8:$D$208,,0,)</f>
        <v>3.354262438350472E-3</v>
      </c>
      <c r="D222">
        <f t="shared" si="94"/>
        <v>0.96522782158668163</v>
      </c>
      <c r="E222" s="5">
        <f t="shared" si="82"/>
        <v>-3.237627426399057E-3</v>
      </c>
      <c r="G222" s="4">
        <f t="shared" si="95"/>
        <v>0.5</v>
      </c>
      <c r="H222" s="5">
        <f t="shared" si="83"/>
        <v>40.5</v>
      </c>
      <c r="I222">
        <f t="shared" si="96"/>
        <v>-207.85270771519697</v>
      </c>
      <c r="J222" s="14">
        <f>_xlfn.XLOOKUP($H222,'Q1 Base'!$C$8:$C$208,'Q1 Base'!$D$8:$D$208,,0,)</f>
        <v>7.8534855769525473E-4</v>
      </c>
      <c r="K222" s="29" cm="1">
        <f t="array" ref="K222">I222*$B$7+$E$6-J222*(SumAssdTA-I222)</f>
        <v>86.752217866193561</v>
      </c>
      <c r="M222" s="4">
        <f t="shared" si="97"/>
        <v>0.5</v>
      </c>
      <c r="N222" s="5">
        <f t="shared" si="84"/>
        <v>40.5</v>
      </c>
      <c r="O222">
        <f t="shared" si="98"/>
        <v>40.495925560332395</v>
      </c>
      <c r="P222" s="14">
        <f>_xlfn.XLOOKUP($N222,'Q1 Base'!$C$8:$C$208,'Q1 Base'!$D$8:$D$208,,0,)</f>
        <v>7.8534855769525473E-4</v>
      </c>
      <c r="Q222" s="29">
        <f t="shared" si="85"/>
        <v>80.782835065385967</v>
      </c>
      <c r="S222" s="4">
        <f t="shared" si="99"/>
        <v>0.5</v>
      </c>
      <c r="T222" s="5">
        <f t="shared" si="86"/>
        <v>40.5</v>
      </c>
      <c r="U222">
        <f t="shared" si="100"/>
        <v>-277.34477691524631</v>
      </c>
      <c r="V222" s="14">
        <f>_xlfn.XLOOKUP($T222,'Q1 Base'!$C$8:$C$208,'Q1 Base'!$D$8:$D$208,,0,)</f>
        <v>7.8534855769525473E-4</v>
      </c>
      <c r="W222" s="32">
        <f t="shared" si="87"/>
        <v>195000</v>
      </c>
      <c r="X222" s="29">
        <f t="shared" si="88"/>
        <v>7.2250845448234031</v>
      </c>
      <c r="Y222" s="48">
        <f t="shared" si="106"/>
        <v>0.33433323993675601</v>
      </c>
      <c r="Z222" s="51">
        <f t="shared" si="101"/>
        <v>-69.492069200049343</v>
      </c>
      <c r="AB222" s="4">
        <f t="shared" si="102"/>
        <v>19.5</v>
      </c>
      <c r="AC222" s="5">
        <f t="shared" si="89"/>
        <v>59.5</v>
      </c>
      <c r="AD222" s="13">
        <f t="shared" si="103"/>
        <v>3.354262438350472E-3</v>
      </c>
      <c r="AE222" s="14">
        <f t="shared" si="104"/>
        <v>0.96522782158668163</v>
      </c>
      <c r="AF222" s="4">
        <f t="shared" si="90"/>
        <v>1</v>
      </c>
      <c r="AG222">
        <f t="shared" si="105"/>
        <v>0.25538067598807762</v>
      </c>
      <c r="AH222">
        <f t="shared" si="91"/>
        <v>8.2682748075133124E-4</v>
      </c>
      <c r="AI222" s="5">
        <f t="shared" si="92"/>
        <v>0.24650053355930635</v>
      </c>
    </row>
    <row r="223" spans="1:35" x14ac:dyDescent="0.45">
      <c r="A223" s="4">
        <f t="shared" si="93"/>
        <v>19.600000000000001</v>
      </c>
      <c r="B223" s="5">
        <f t="shared" si="81"/>
        <v>59.6</v>
      </c>
      <c r="C223" s="14">
        <f>_xlfn.XLOOKUP($B223,'Q1 Base'!$C$8:$C$208,'Q1 Base'!$D$8:$D$208,,0,)</f>
        <v>3.3772510083239738E-3</v>
      </c>
      <c r="D223">
        <f t="shared" si="94"/>
        <v>0.96490405884404173</v>
      </c>
      <c r="E223" s="5">
        <f t="shared" si="82"/>
        <v>-3.2587232056669351E-3</v>
      </c>
      <c r="G223" s="4">
        <f t="shared" si="95"/>
        <v>0.4</v>
      </c>
      <c r="H223" s="5">
        <f t="shared" si="83"/>
        <v>40.4</v>
      </c>
      <c r="I223">
        <f t="shared" si="96"/>
        <v>-216.52792950181632</v>
      </c>
      <c r="J223" s="14">
        <f>_xlfn.XLOOKUP($H223,'Q1 Base'!$C$8:$C$208,'Q1 Base'!$D$8:$D$208,,0,)</f>
        <v>7.7857671762362926E-4</v>
      </c>
      <c r="K223" s="29" cm="1">
        <f t="array" ref="K223">I223*$B$7+$E$6-J223*(SumAssdTA-I223)</f>
        <v>86.816789567884584</v>
      </c>
      <c r="M223" s="4">
        <f t="shared" si="97"/>
        <v>0.4</v>
      </c>
      <c r="N223" s="5">
        <f t="shared" si="84"/>
        <v>40.4</v>
      </c>
      <c r="O223">
        <f t="shared" si="98"/>
        <v>32.417642053793799</v>
      </c>
      <c r="P223" s="14">
        <f>_xlfn.XLOOKUP($N223,'Q1 Base'!$C$8:$C$208,'Q1 Base'!$D$8:$D$208,,0,)</f>
        <v>7.7857671762362926E-4</v>
      </c>
      <c r="Q223" s="29">
        <f t="shared" si="85"/>
        <v>80.887975431702813</v>
      </c>
      <c r="S223" s="4">
        <f t="shared" si="99"/>
        <v>0.4</v>
      </c>
      <c r="T223" s="5">
        <f t="shared" si="86"/>
        <v>40.4</v>
      </c>
      <c r="U223">
        <f t="shared" si="100"/>
        <v>-278.06728536972867</v>
      </c>
      <c r="V223" s="14">
        <f>_xlfn.XLOOKUP($T223,'Q1 Base'!$C$8:$C$208,'Q1 Base'!$D$8:$D$208,,0,)</f>
        <v>7.7857671762362926E-4</v>
      </c>
      <c r="W223" s="32">
        <f t="shared" si="87"/>
        <v>196000</v>
      </c>
      <c r="X223" s="29">
        <f t="shared" si="88"/>
        <v>7.717756655565978</v>
      </c>
      <c r="Y223" s="48">
        <f t="shared" si="106"/>
        <v>0.2842097830497019</v>
      </c>
      <c r="Z223" s="51">
        <f t="shared" si="101"/>
        <v>-61.539355867912349</v>
      </c>
      <c r="AB223" s="4">
        <f t="shared" si="102"/>
        <v>19.600000000000001</v>
      </c>
      <c r="AC223" s="5">
        <f t="shared" si="89"/>
        <v>59.6</v>
      </c>
      <c r="AD223" s="13">
        <f t="shared" si="103"/>
        <v>3.3772510083239738E-3</v>
      </c>
      <c r="AE223" s="14">
        <f t="shared" si="104"/>
        <v>0.96490405884404173</v>
      </c>
      <c r="AF223" s="4">
        <f t="shared" si="90"/>
        <v>1</v>
      </c>
      <c r="AG223">
        <f t="shared" si="105"/>
        <v>0.25359925350897378</v>
      </c>
      <c r="AH223">
        <f t="shared" si="91"/>
        <v>8.2640977234950473E-4</v>
      </c>
      <c r="AI223" s="5">
        <f t="shared" si="92"/>
        <v>0.24469894903062789</v>
      </c>
    </row>
    <row r="224" spans="1:35" x14ac:dyDescent="0.45">
      <c r="A224" s="4">
        <f t="shared" si="93"/>
        <v>19.7</v>
      </c>
      <c r="B224" s="5">
        <f t="shared" si="81"/>
        <v>59.7</v>
      </c>
      <c r="C224" s="14">
        <f>_xlfn.XLOOKUP($B224,'Q1 Base'!$C$8:$C$208,'Q1 Base'!$D$8:$D$208,,0,)</f>
        <v>3.4002395782974752E-3</v>
      </c>
      <c r="D224">
        <f t="shared" si="94"/>
        <v>0.96457818652347505</v>
      </c>
      <c r="E224" s="5">
        <f t="shared" si="82"/>
        <v>-3.2797969261795243E-3</v>
      </c>
      <c r="G224" s="4">
        <f t="shared" si="95"/>
        <v>0.3</v>
      </c>
      <c r="H224" s="5">
        <f t="shared" si="83"/>
        <v>40.299999999999997</v>
      </c>
      <c r="I224">
        <f t="shared" si="96"/>
        <v>-225.20960845860478</v>
      </c>
      <c r="J224" s="14">
        <f>_xlfn.XLOOKUP($H224,'Q1 Base'!$C$8:$C$208,'Q1 Base'!$D$8:$D$208,,0,)</f>
        <v>7.718048775520039E-4</v>
      </c>
      <c r="K224" s="29" cm="1">
        <f t="array" ref="K224">I224*$B$7+$E$6-J224*(SumAssdTA-I224)</f>
        <v>86.881021778417349</v>
      </c>
      <c r="M224" s="4">
        <f t="shared" si="97"/>
        <v>0.3</v>
      </c>
      <c r="N224" s="5">
        <f t="shared" si="84"/>
        <v>40.299999999999997</v>
      </c>
      <c r="O224">
        <f t="shared" si="98"/>
        <v>24.328844510623519</v>
      </c>
      <c r="P224" s="14">
        <f>_xlfn.XLOOKUP($N224,'Q1 Base'!$C$8:$C$208,'Q1 Base'!$D$8:$D$208,,0,)</f>
        <v>7.718048775520039E-4</v>
      </c>
      <c r="Q224" s="29">
        <f t="shared" si="85"/>
        <v>80.992481110358597</v>
      </c>
      <c r="S224" s="4">
        <f t="shared" si="99"/>
        <v>0.3</v>
      </c>
      <c r="T224" s="5">
        <f t="shared" si="86"/>
        <v>40.299999999999997</v>
      </c>
      <c r="U224">
        <f t="shared" si="100"/>
        <v>-278.83906103528528</v>
      </c>
      <c r="V224" s="14">
        <f>_xlfn.XLOOKUP($T224,'Q1 Base'!$C$8:$C$208,'Q1 Base'!$D$8:$D$208,,0,)</f>
        <v>7.718048775520039E-4</v>
      </c>
      <c r="W224" s="32">
        <f t="shared" si="87"/>
        <v>197000</v>
      </c>
      <c r="X224" s="29">
        <f t="shared" si="88"/>
        <v>8.2204955024262176</v>
      </c>
      <c r="Y224" s="48">
        <f t="shared" si="106"/>
        <v>0.23813128109291126</v>
      </c>
      <c r="Z224" s="51">
        <f t="shared" si="101"/>
        <v>-53.629452576680507</v>
      </c>
      <c r="AB224" s="4">
        <f t="shared" si="102"/>
        <v>19.7</v>
      </c>
      <c r="AC224" s="5">
        <f t="shared" si="89"/>
        <v>59.7</v>
      </c>
      <c r="AD224" s="13">
        <f t="shared" si="103"/>
        <v>3.4002395782974752E-3</v>
      </c>
      <c r="AE224" s="14">
        <f t="shared" si="104"/>
        <v>0.96457818652347505</v>
      </c>
      <c r="AF224" s="4">
        <f t="shared" si="90"/>
        <v>1</v>
      </c>
      <c r="AG224">
        <f t="shared" si="105"/>
        <v>0.25183025744403303</v>
      </c>
      <c r="AH224">
        <f t="shared" si="91"/>
        <v>8.2595210428393784E-4</v>
      </c>
      <c r="AI224" s="5">
        <f t="shared" si="92"/>
        <v>0.24290997303710524</v>
      </c>
    </row>
    <row r="225" spans="1:35" x14ac:dyDescent="0.45">
      <c r="A225" s="4">
        <f t="shared" si="93"/>
        <v>19.8</v>
      </c>
      <c r="B225" s="5">
        <f t="shared" si="81"/>
        <v>59.8</v>
      </c>
      <c r="C225" s="14">
        <f>_xlfn.XLOOKUP($B225,'Q1 Base'!$C$8:$C$208,'Q1 Base'!$D$8:$D$208,,0,)</f>
        <v>3.4232281482709744E-3</v>
      </c>
      <c r="D225">
        <f t="shared" si="94"/>
        <v>0.96425020683085705</v>
      </c>
      <c r="E225" s="5">
        <f t="shared" si="82"/>
        <v>-3.3008484499994989E-3</v>
      </c>
      <c r="G225" s="4">
        <f t="shared" si="95"/>
        <v>0.2</v>
      </c>
      <c r="H225" s="5">
        <f t="shared" si="83"/>
        <v>40.200000000000003</v>
      </c>
      <c r="I225">
        <f t="shared" si="96"/>
        <v>-233.8977106364465</v>
      </c>
      <c r="J225" s="14">
        <f>_xlfn.XLOOKUP($H225,'Q1 Base'!$C$8:$C$208,'Q1 Base'!$D$8:$D$208,,0,)</f>
        <v>7.6503303748037886E-4</v>
      </c>
      <c r="K225" s="29" cm="1">
        <f t="array" ref="K225">I225*$B$7+$E$6-J225*(SumAssdTA-I225)</f>
        <v>86.944917031382957</v>
      </c>
      <c r="M225" s="4">
        <f t="shared" si="97"/>
        <v>0.2</v>
      </c>
      <c r="N225" s="5">
        <f t="shared" si="84"/>
        <v>40.200000000000003</v>
      </c>
      <c r="O225">
        <f t="shared" si="98"/>
        <v>16.229596399587656</v>
      </c>
      <c r="P225" s="14">
        <f>_xlfn.XLOOKUP($N225,'Q1 Base'!$C$8:$C$208,'Q1 Base'!$D$8:$D$208,,0,)</f>
        <v>7.6503303748037886E-4</v>
      </c>
      <c r="Q225" s="29">
        <f t="shared" si="85"/>
        <v>81.096356806320742</v>
      </c>
      <c r="S225" s="4">
        <f t="shared" si="99"/>
        <v>0.2</v>
      </c>
      <c r="T225" s="5">
        <f t="shared" si="86"/>
        <v>40.200000000000003</v>
      </c>
      <c r="U225">
        <f t="shared" si="100"/>
        <v>-279.66111058552792</v>
      </c>
      <c r="V225" s="14">
        <f>_xlfn.XLOOKUP($T225,'Q1 Base'!$C$8:$C$208,'Q1 Base'!$D$8:$D$208,,0,)</f>
        <v>7.6503303748037886E-4</v>
      </c>
      <c r="W225" s="32">
        <f t="shared" si="87"/>
        <v>198000</v>
      </c>
      <c r="X225" s="29">
        <f t="shared" si="88"/>
        <v>8.733230849001643</v>
      </c>
      <c r="Y225" s="48">
        <f t="shared" si="106"/>
        <v>0.19565561297952461</v>
      </c>
      <c r="Z225" s="51">
        <f t="shared" si="101"/>
        <v>-45.763399949081418</v>
      </c>
      <c r="AB225" s="4">
        <f t="shared" si="102"/>
        <v>19.8</v>
      </c>
      <c r="AC225" s="5">
        <f t="shared" si="89"/>
        <v>59.8</v>
      </c>
      <c r="AD225" s="13">
        <f t="shared" si="103"/>
        <v>3.4232281482709744E-3</v>
      </c>
      <c r="AE225" s="14">
        <f t="shared" si="104"/>
        <v>0.96425020683085705</v>
      </c>
      <c r="AF225" s="4">
        <f t="shared" si="90"/>
        <v>1</v>
      </c>
      <c r="AG225">
        <f t="shared" si="105"/>
        <v>0.25007360111209409</v>
      </c>
      <c r="AH225">
        <f t="shared" si="91"/>
        <v>8.2545505861664876E-4</v>
      </c>
      <c r="AI225" s="5">
        <f t="shared" si="92"/>
        <v>0.24113352159527396</v>
      </c>
    </row>
    <row r="226" spans="1:35" x14ac:dyDescent="0.45">
      <c r="A226" s="4">
        <f t="shared" si="93"/>
        <v>19.899999999999999</v>
      </c>
      <c r="B226" s="5">
        <f t="shared" si="81"/>
        <v>59.9</v>
      </c>
      <c r="C226" s="14">
        <f>_xlfn.XLOOKUP($B226,'Q1 Base'!$C$8:$C$208,'Q1 Base'!$D$8:$D$208,,0,)</f>
        <v>3.4462167182444763E-3</v>
      </c>
      <c r="D226">
        <f t="shared" si="94"/>
        <v>0.96392012198585708</v>
      </c>
      <c r="E226" s="5">
        <f t="shared" si="82"/>
        <v>-3.3218776394399155E-3</v>
      </c>
      <c r="G226" s="4">
        <f t="shared" si="95"/>
        <v>0.1</v>
      </c>
      <c r="H226" s="5">
        <f t="shared" si="83"/>
        <v>40.1</v>
      </c>
      <c r="I226">
        <f t="shared" si="96"/>
        <v>-242.59220233958479</v>
      </c>
      <c r="J226" s="14">
        <f>_xlfn.XLOOKUP($H226,'Q1 Base'!$C$8:$C$208,'Q1 Base'!$D$8:$D$208,,0,)</f>
        <v>7.5826119740875339E-4</v>
      </c>
      <c r="K226" s="29" cm="1">
        <f t="array" ref="K226">I226*$B$7+$E$6-J226*(SumAssdTA-I226)</f>
        <v>87.008477841525689</v>
      </c>
      <c r="M226" s="4">
        <f t="shared" si="97"/>
        <v>0.1</v>
      </c>
      <c r="N226" s="5">
        <f t="shared" si="84"/>
        <v>40.1</v>
      </c>
      <c r="O226">
        <f t="shared" si="98"/>
        <v>8.119960718955582</v>
      </c>
      <c r="P226" s="14">
        <f>_xlfn.XLOOKUP($N226,'Q1 Base'!$C$8:$C$208,'Q1 Base'!$D$8:$D$208,,0,)</f>
        <v>7.5826119740875339E-4</v>
      </c>
      <c r="Q226" s="29">
        <f t="shared" si="85"/>
        <v>81.199607189546057</v>
      </c>
      <c r="S226" s="4">
        <f t="shared" si="99"/>
        <v>0.1</v>
      </c>
      <c r="T226" s="5">
        <f t="shared" si="86"/>
        <v>40.1</v>
      </c>
      <c r="U226">
        <f t="shared" si="100"/>
        <v>-280.53443367042809</v>
      </c>
      <c r="V226" s="14">
        <f>_xlfn.XLOOKUP($T226,'Q1 Base'!$C$8:$C$208,'Q1 Base'!$D$8:$D$208,,0,)</f>
        <v>7.5826119740875339E-4</v>
      </c>
      <c r="W226" s="32">
        <f t="shared" si="87"/>
        <v>199000</v>
      </c>
      <c r="X226" s="29">
        <f t="shared" si="88"/>
        <v>9.2558929831387786</v>
      </c>
      <c r="Y226" s="48">
        <f t="shared" si="106"/>
        <v>0.15640334258448707</v>
      </c>
      <c r="Z226" s="51">
        <f t="shared" si="101"/>
        <v>-37.942231330843299</v>
      </c>
      <c r="AB226" s="4">
        <f t="shared" si="102"/>
        <v>19.899999999999999</v>
      </c>
      <c r="AC226" s="5">
        <f t="shared" si="89"/>
        <v>59.9</v>
      </c>
      <c r="AD226" s="13">
        <f t="shared" si="103"/>
        <v>3.4462167182444763E-3</v>
      </c>
      <c r="AE226" s="14">
        <f t="shared" si="104"/>
        <v>0.96392012198585708</v>
      </c>
      <c r="AF226" s="4">
        <f t="shared" si="90"/>
        <v>1</v>
      </c>
      <c r="AG226">
        <f t="shared" si="105"/>
        <v>0.24832919843664528</v>
      </c>
      <c r="AH226">
        <f t="shared" si="91"/>
        <v>8.2491921150672958E-4</v>
      </c>
      <c r="AI226" s="5">
        <f t="shared" si="92"/>
        <v>0.23936951124970121</v>
      </c>
    </row>
    <row r="227" spans="1:35" ht="14.65" thickBot="1" x14ac:dyDescent="0.5">
      <c r="A227" s="4">
        <f t="shared" si="93"/>
        <v>20</v>
      </c>
      <c r="B227" s="5">
        <f t="shared" si="81"/>
        <v>60</v>
      </c>
      <c r="C227" s="14">
        <f>_xlfn.XLOOKUP($B227,'Q1 Base'!$C$8:$C$208,'Q1 Base'!$D$8:$D$208,,0,)</f>
        <v>3.4692052882179772E-3</v>
      </c>
      <c r="D227">
        <f t="shared" si="94"/>
        <v>0.96358793422191313</v>
      </c>
      <c r="E227" s="5">
        <f t="shared" si="82"/>
        <v>-3.3428843570656973E-3</v>
      </c>
      <c r="G227" s="4">
        <f t="shared" si="95"/>
        <v>0</v>
      </c>
      <c r="H227" s="5">
        <f t="shared" si="83"/>
        <v>40</v>
      </c>
      <c r="I227">
        <f t="shared" si="96"/>
        <v>-251.29305012373734</v>
      </c>
      <c r="J227" s="14">
        <f>_xlfn.XLOOKUP($H227,'Q1 Base'!$C$8:$C$208,'Q1 Base'!$D$8:$D$208,,0,)</f>
        <v>7.5148935733712792E-4</v>
      </c>
      <c r="K227" s="29" cm="1">
        <f t="array" ref="K227">I227*$B$7+$E$6-J227*(SumAssdTA-I227)</f>
        <v>87.071706704884818</v>
      </c>
      <c r="M227" s="4">
        <f t="shared" si="97"/>
        <v>0</v>
      </c>
      <c r="N227" s="5">
        <f t="shared" si="84"/>
        <v>40</v>
      </c>
      <c r="O227" s="30">
        <f t="shared" si="98"/>
        <v>9.7521990483073751E-13</v>
      </c>
      <c r="P227" s="14">
        <f>_xlfn.XLOOKUP($N227,'Q1 Base'!$C$8:$C$208,'Q1 Base'!$D$8:$D$208,,0,)</f>
        <v>7.5148935733712792E-4</v>
      </c>
      <c r="Q227" s="29">
        <f t="shared" si="85"/>
        <v>81.302236895244107</v>
      </c>
      <c r="S227" s="4">
        <f t="shared" si="99"/>
        <v>0</v>
      </c>
      <c r="T227" s="5">
        <f t="shared" si="86"/>
        <v>40</v>
      </c>
      <c r="U227">
        <f t="shared" si="100"/>
        <v>-281.46002296874195</v>
      </c>
      <c r="V227" s="14">
        <f>_xlfn.XLOOKUP($T227,'Q1 Base'!$C$8:$C$208,'Q1 Base'!$D$8:$D$208,,0,)</f>
        <v>7.5148935733712792E-4</v>
      </c>
      <c r="W227" s="32">
        <f t="shared" si="87"/>
        <v>200000</v>
      </c>
      <c r="X227" s="29">
        <f t="shared" si="88"/>
        <v>9.7884127129856324</v>
      </c>
      <c r="Y227" s="49">
        <f t="shared" si="106"/>
        <v>0.12004698430836158</v>
      </c>
      <c r="Z227" s="51">
        <f t="shared" si="101"/>
        <v>-30.166972845004608</v>
      </c>
      <c r="AB227" s="9">
        <f t="shared" si="102"/>
        <v>20</v>
      </c>
      <c r="AC227" s="11">
        <f t="shared" si="89"/>
        <v>60</v>
      </c>
      <c r="AD227" s="53">
        <f t="shared" si="103"/>
        <v>3.4692052882179772E-3</v>
      </c>
      <c r="AE227" s="15">
        <f t="shared" si="104"/>
        <v>0.96358793422191313</v>
      </c>
      <c r="AF227" s="9">
        <f t="shared" si="90"/>
        <v>0.5</v>
      </c>
      <c r="AG227" s="10">
        <f t="shared" si="105"/>
        <v>0.24659696394160643</v>
      </c>
      <c r="AH227" s="10">
        <f t="shared" si="91"/>
        <v>4.1217256663014497E-4</v>
      </c>
      <c r="AI227" s="11">
        <f t="shared" si="92"/>
        <v>0.11880892953494407</v>
      </c>
    </row>
  </sheetData>
  <pageMargins left="0.7" right="0.7" top="0.75" bottom="0.75" header="0.3" footer="0.3"/>
  <pageSetup paperSize="9" orientation="portrait" horizontalDpi="0"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06AF9-852A-40C9-97E0-C5A34160237F}">
  <dimension ref="B2:F20"/>
  <sheetViews>
    <sheetView workbookViewId="0">
      <selection activeCell="F11" sqref="F11"/>
    </sheetView>
  </sheetViews>
  <sheetFormatPr defaultRowHeight="14.25" x14ac:dyDescent="0.45"/>
  <cols>
    <col min="2" max="2" width="29.265625" bestFit="1" customWidth="1"/>
    <col min="3" max="3" width="12.9296875" customWidth="1"/>
  </cols>
  <sheetData>
    <row r="2" spans="2:5" ht="21" x14ac:dyDescent="0.65">
      <c r="B2" s="56" t="s">
        <v>99</v>
      </c>
    </row>
    <row r="4" spans="2:5" ht="14.65" thickBot="1" x14ac:dyDescent="0.5"/>
    <row r="5" spans="2:5" x14ac:dyDescent="0.45">
      <c r="B5" s="39" t="s">
        <v>45</v>
      </c>
      <c r="C5" s="2"/>
      <c r="D5" s="2"/>
      <c r="E5" s="3"/>
    </row>
    <row r="6" spans="2:5" x14ac:dyDescent="0.45">
      <c r="B6" s="4"/>
      <c r="E6" s="5"/>
    </row>
    <row r="7" spans="2:5" x14ac:dyDescent="0.45">
      <c r="B7" s="31" t="s">
        <v>51</v>
      </c>
      <c r="C7" s="19" t="s">
        <v>11</v>
      </c>
      <c r="D7" s="19" t="s">
        <v>52</v>
      </c>
      <c r="E7" s="52" t="s">
        <v>66</v>
      </c>
    </row>
    <row r="8" spans="2:5" x14ac:dyDescent="0.45">
      <c r="B8" s="4" t="s">
        <v>48</v>
      </c>
      <c r="C8" t="s">
        <v>44</v>
      </c>
      <c r="D8" s="45">
        <f>'Q1 Working'!B18</f>
        <v>0.96358793422191313</v>
      </c>
      <c r="E8" s="52">
        <v>5</v>
      </c>
    </row>
    <row r="9" spans="2:5" x14ac:dyDescent="0.45">
      <c r="B9" s="4" t="s">
        <v>49</v>
      </c>
      <c r="C9" t="s">
        <v>6</v>
      </c>
      <c r="D9" s="133">
        <f>'Q1 Working'!H17</f>
        <v>-251.29305012373734</v>
      </c>
      <c r="E9" s="52">
        <v>7</v>
      </c>
    </row>
    <row r="10" spans="2:5" x14ac:dyDescent="0.45">
      <c r="B10" s="4" t="s">
        <v>50</v>
      </c>
      <c r="C10" t="s">
        <v>32</v>
      </c>
      <c r="D10" s="133">
        <f>'Q1 Working'!N18</f>
        <v>156.45117262895684</v>
      </c>
      <c r="E10" s="52">
        <v>3</v>
      </c>
    </row>
    <row r="11" spans="2:5" x14ac:dyDescent="0.45">
      <c r="B11" s="4" t="s">
        <v>53</v>
      </c>
      <c r="C11" t="s">
        <v>6</v>
      </c>
      <c r="D11" s="133">
        <f>'Q1 Working'!T17</f>
        <v>-281.46002296874195</v>
      </c>
      <c r="E11" s="52">
        <v>5</v>
      </c>
    </row>
    <row r="12" spans="2:5" x14ac:dyDescent="0.45">
      <c r="B12" s="4" t="s">
        <v>140</v>
      </c>
      <c r="E12" s="5"/>
    </row>
    <row r="13" spans="2:5" x14ac:dyDescent="0.45">
      <c r="B13" s="4" t="s">
        <v>143</v>
      </c>
      <c r="C13" t="s">
        <v>141</v>
      </c>
      <c r="D13" s="134">
        <f>'Q1 Working'!AB18</f>
        <v>1.6616671007401683E-2</v>
      </c>
      <c r="E13" s="52"/>
    </row>
    <row r="14" spans="2:5" x14ac:dyDescent="0.45">
      <c r="B14" s="4" t="s">
        <v>144</v>
      </c>
      <c r="C14" t="s">
        <v>142</v>
      </c>
      <c r="D14" s="135">
        <f>'Q1 Working'!AB21</f>
        <v>10.654718621880875</v>
      </c>
      <c r="E14" s="52"/>
    </row>
    <row r="15" spans="2:5" x14ac:dyDescent="0.45">
      <c r="B15" s="4" t="s">
        <v>139</v>
      </c>
      <c r="C15" t="s">
        <v>6</v>
      </c>
      <c r="D15" s="133">
        <f>'Q1 Working'!AC23</f>
        <v>-256.18225119838917</v>
      </c>
      <c r="E15" s="52"/>
    </row>
    <row r="16" spans="2:5" x14ac:dyDescent="0.45">
      <c r="B16" s="4"/>
      <c r="E16" s="52">
        <v>9</v>
      </c>
    </row>
    <row r="17" spans="2:6" ht="14.65" thickBot="1" x14ac:dyDescent="0.5">
      <c r="B17" s="9"/>
      <c r="C17" s="10"/>
      <c r="D17" s="10"/>
      <c r="E17" s="136">
        <f>SUM(E8:E16)</f>
        <v>29</v>
      </c>
    </row>
    <row r="18" spans="2:6" x14ac:dyDescent="0.45">
      <c r="F18" s="20"/>
    </row>
    <row r="20" spans="2:6" x14ac:dyDescent="0.45">
      <c r="C20" s="30"/>
    </row>
  </sheetData>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7641A-316E-467F-B445-AF1C4326BE36}">
  <dimension ref="B2:J37"/>
  <sheetViews>
    <sheetView tabSelected="1" workbookViewId="0">
      <pane xSplit="3" ySplit="7" topLeftCell="D8" activePane="bottomRight" state="frozen"/>
      <selection pane="topRight" activeCell="D1" sqref="D1"/>
      <selection pane="bottomLeft" activeCell="A8" sqref="A8"/>
      <selection pane="bottomRight" activeCell="M14" sqref="M14"/>
    </sheetView>
  </sheetViews>
  <sheetFormatPr defaultRowHeight="14.25" x14ac:dyDescent="0.45"/>
  <cols>
    <col min="4" max="4" width="17.73046875" customWidth="1"/>
    <col min="7" max="7" width="11.59765625" bestFit="1" customWidth="1"/>
    <col min="9" max="10" width="9.796875" bestFit="1" customWidth="1"/>
  </cols>
  <sheetData>
    <row r="2" spans="2:10" ht="21" x14ac:dyDescent="0.65">
      <c r="B2" s="56" t="s">
        <v>101</v>
      </c>
    </row>
    <row r="3" spans="2:10" x14ac:dyDescent="0.45">
      <c r="B3" t="s">
        <v>102</v>
      </c>
    </row>
    <row r="4" spans="2:10" ht="14.65" thickBot="1" x14ac:dyDescent="0.5">
      <c r="B4" t="s">
        <v>103</v>
      </c>
    </row>
    <row r="5" spans="2:10" x14ac:dyDescent="0.45">
      <c r="G5" s="108" t="s">
        <v>75</v>
      </c>
      <c r="H5" s="76" t="s">
        <v>75</v>
      </c>
      <c r="I5" s="77"/>
      <c r="J5" s="78"/>
    </row>
    <row r="6" spans="2:10" ht="14.65" thickBot="1" x14ac:dyDescent="0.5">
      <c r="G6" s="60" t="s">
        <v>97</v>
      </c>
      <c r="H6" s="79" t="s">
        <v>76</v>
      </c>
      <c r="I6" s="80" t="s">
        <v>77</v>
      </c>
      <c r="J6" s="81" t="s">
        <v>78</v>
      </c>
    </row>
    <row r="7" spans="2:10" ht="14.65" thickBot="1" x14ac:dyDescent="0.5">
      <c r="C7" s="109" t="s">
        <v>100</v>
      </c>
      <c r="D7" s="23" t="s">
        <v>14</v>
      </c>
      <c r="G7" s="73"/>
      <c r="H7" s="87"/>
      <c r="I7" s="88" t="s">
        <v>90</v>
      </c>
      <c r="J7" s="89" t="s">
        <v>90</v>
      </c>
    </row>
    <row r="8" spans="2:10" x14ac:dyDescent="0.45">
      <c r="C8" s="110">
        <v>70</v>
      </c>
      <c r="D8" s="26">
        <v>7.8176305210533332E-3</v>
      </c>
      <c r="G8" s="112">
        <v>0</v>
      </c>
      <c r="H8" s="58">
        <f>G8+1</f>
        <v>1</v>
      </c>
      <c r="I8" s="113">
        <v>0</v>
      </c>
      <c r="J8" s="114">
        <v>144000</v>
      </c>
    </row>
    <row r="9" spans="2:10" x14ac:dyDescent="0.45">
      <c r="C9" s="110">
        <v>71</v>
      </c>
      <c r="D9" s="26">
        <v>8.7215051876391621E-3</v>
      </c>
      <c r="G9" s="64">
        <f>G8+1</f>
        <v>1</v>
      </c>
      <c r="H9" s="63">
        <f t="shared" ref="H9:H37" si="0">G9+1</f>
        <v>2</v>
      </c>
      <c r="I9" s="97">
        <v>144000</v>
      </c>
      <c r="J9" s="98">
        <v>141000</v>
      </c>
    </row>
    <row r="10" spans="2:10" x14ac:dyDescent="0.45">
      <c r="C10" s="110">
        <v>72</v>
      </c>
      <c r="D10" s="26">
        <v>9.767225160924542E-3</v>
      </c>
      <c r="G10" s="64">
        <f t="shared" ref="G10:G37" si="1">G9+1</f>
        <v>2</v>
      </c>
      <c r="H10" s="63">
        <f t="shared" si="0"/>
        <v>3</v>
      </c>
      <c r="I10" s="97">
        <v>141000</v>
      </c>
      <c r="J10" s="98">
        <v>137000</v>
      </c>
    </row>
    <row r="11" spans="2:10" x14ac:dyDescent="0.45">
      <c r="C11" s="110">
        <v>73</v>
      </c>
      <c r="D11" s="26">
        <v>1.0982638574778847E-2</v>
      </c>
      <c r="G11" s="64">
        <f t="shared" si="1"/>
        <v>3</v>
      </c>
      <c r="H11" s="63">
        <f t="shared" si="0"/>
        <v>4</v>
      </c>
      <c r="I11" s="97">
        <v>137000</v>
      </c>
      <c r="J11" s="98">
        <v>134000</v>
      </c>
    </row>
    <row r="12" spans="2:10" x14ac:dyDescent="0.45">
      <c r="C12" s="110">
        <v>74</v>
      </c>
      <c r="D12" s="26">
        <v>1.240165235300353E-2</v>
      </c>
      <c r="G12" s="64">
        <f t="shared" si="1"/>
        <v>4</v>
      </c>
      <c r="H12" s="63">
        <f t="shared" si="0"/>
        <v>5</v>
      </c>
      <c r="I12" s="97">
        <v>134000</v>
      </c>
      <c r="J12" s="98">
        <v>130000</v>
      </c>
    </row>
    <row r="13" spans="2:10" x14ac:dyDescent="0.45">
      <c r="C13" s="110">
        <v>75</v>
      </c>
      <c r="D13" s="26">
        <v>1.4062731473834012E-2</v>
      </c>
      <c r="G13" s="64">
        <f t="shared" si="1"/>
        <v>5</v>
      </c>
      <c r="H13" s="63">
        <f t="shared" si="0"/>
        <v>6</v>
      </c>
      <c r="I13" s="97">
        <v>130000</v>
      </c>
      <c r="J13" s="98">
        <v>126000</v>
      </c>
    </row>
    <row r="14" spans="2:10" x14ac:dyDescent="0.45">
      <c r="C14" s="110">
        <v>76</v>
      </c>
      <c r="D14" s="26">
        <v>1.6005163318146186E-2</v>
      </c>
      <c r="G14" s="64">
        <f t="shared" si="1"/>
        <v>6</v>
      </c>
      <c r="H14" s="63">
        <f t="shared" si="0"/>
        <v>7</v>
      </c>
      <c r="I14" s="97">
        <v>126000</v>
      </c>
      <c r="J14" s="98">
        <v>123000</v>
      </c>
    </row>
    <row r="15" spans="2:10" x14ac:dyDescent="0.45">
      <c r="C15" s="110">
        <v>77</v>
      </c>
      <c r="D15" s="26">
        <v>1.8277699026612734E-2</v>
      </c>
      <c r="G15" s="64">
        <f t="shared" si="1"/>
        <v>7</v>
      </c>
      <c r="H15" s="63">
        <f t="shared" si="0"/>
        <v>8</v>
      </c>
      <c r="I15" s="97">
        <v>123000</v>
      </c>
      <c r="J15" s="98">
        <v>119000</v>
      </c>
    </row>
    <row r="16" spans="2:10" x14ac:dyDescent="0.45">
      <c r="C16" s="110">
        <v>78</v>
      </c>
      <c r="D16" s="26">
        <v>2.0931815339051432E-2</v>
      </c>
      <c r="G16" s="64">
        <f t="shared" si="1"/>
        <v>8</v>
      </c>
      <c r="H16" s="63">
        <f t="shared" si="0"/>
        <v>9</v>
      </c>
      <c r="I16" s="97">
        <v>119000</v>
      </c>
      <c r="J16" s="98">
        <v>115000</v>
      </c>
    </row>
    <row r="17" spans="3:10" x14ac:dyDescent="0.45">
      <c r="C17" s="110">
        <v>79</v>
      </c>
      <c r="D17" s="26">
        <v>2.4032269127910736E-2</v>
      </c>
      <c r="G17" s="64">
        <f t="shared" si="1"/>
        <v>9</v>
      </c>
      <c r="H17" s="63">
        <f t="shared" si="0"/>
        <v>10</v>
      </c>
      <c r="I17" s="97">
        <v>115000</v>
      </c>
      <c r="J17" s="98">
        <v>112000</v>
      </c>
    </row>
    <row r="18" spans="3:10" x14ac:dyDescent="0.45">
      <c r="C18" s="110">
        <v>80</v>
      </c>
      <c r="D18" s="26">
        <v>2.765167452676268E-2</v>
      </c>
      <c r="G18" s="64">
        <f t="shared" si="1"/>
        <v>10</v>
      </c>
      <c r="H18" s="63">
        <f t="shared" si="0"/>
        <v>11</v>
      </c>
      <c r="I18" s="97">
        <v>112000</v>
      </c>
      <c r="J18" s="98">
        <v>108000</v>
      </c>
    </row>
    <row r="19" spans="3:10" x14ac:dyDescent="0.45">
      <c r="C19" s="110">
        <v>81</v>
      </c>
      <c r="D19" s="26">
        <v>3.1876457656245936E-2</v>
      </c>
      <c r="G19" s="64">
        <f t="shared" si="1"/>
        <v>11</v>
      </c>
      <c r="H19" s="63">
        <f t="shared" si="0"/>
        <v>12</v>
      </c>
      <c r="I19" s="97">
        <v>108000</v>
      </c>
      <c r="J19" s="98">
        <v>104000</v>
      </c>
    </row>
    <row r="20" spans="3:10" x14ac:dyDescent="0.45">
      <c r="C20" s="110">
        <v>82</v>
      </c>
      <c r="D20" s="26">
        <v>3.680865954939682E-2</v>
      </c>
      <c r="G20" s="64">
        <f t="shared" si="1"/>
        <v>12</v>
      </c>
      <c r="H20" s="63">
        <f t="shared" si="0"/>
        <v>13</v>
      </c>
      <c r="I20" s="97">
        <v>104000</v>
      </c>
      <c r="J20" s="98">
        <v>101000</v>
      </c>
    </row>
    <row r="21" spans="3:10" x14ac:dyDescent="0.45">
      <c r="C21" s="110">
        <v>83</v>
      </c>
      <c r="D21" s="26">
        <v>4.2567716373036017E-2</v>
      </c>
      <c r="G21" s="64">
        <f t="shared" si="1"/>
        <v>13</v>
      </c>
      <c r="H21" s="63">
        <f t="shared" si="0"/>
        <v>14</v>
      </c>
      <c r="I21" s="97">
        <v>101000</v>
      </c>
      <c r="J21" s="98">
        <v>96900</v>
      </c>
    </row>
    <row r="22" spans="3:10" x14ac:dyDescent="0.45">
      <c r="C22" s="110">
        <v>84</v>
      </c>
      <c r="D22" s="26">
        <v>4.9286820488150362E-2</v>
      </c>
      <c r="G22" s="64">
        <f t="shared" si="1"/>
        <v>14</v>
      </c>
      <c r="H22" s="63">
        <f t="shared" si="0"/>
        <v>15</v>
      </c>
      <c r="I22" s="97">
        <v>96900</v>
      </c>
      <c r="J22" s="98">
        <v>93300</v>
      </c>
    </row>
    <row r="23" spans="3:10" x14ac:dyDescent="0.45">
      <c r="C23" s="110">
        <v>85</v>
      </c>
      <c r="D23" s="26">
        <v>5.712313755302547E-2</v>
      </c>
      <c r="G23" s="64">
        <f t="shared" si="1"/>
        <v>15</v>
      </c>
      <c r="H23" s="63">
        <f t="shared" si="0"/>
        <v>16</v>
      </c>
      <c r="I23" s="97">
        <v>93300</v>
      </c>
      <c r="J23" s="98">
        <v>89700</v>
      </c>
    </row>
    <row r="24" spans="3:10" x14ac:dyDescent="0.45">
      <c r="C24" s="110">
        <v>86</v>
      </c>
      <c r="D24" s="26">
        <v>6.6270255322157232E-2</v>
      </c>
      <c r="G24" s="64">
        <f t="shared" si="1"/>
        <v>16</v>
      </c>
      <c r="H24" s="63">
        <f t="shared" si="0"/>
        <v>17</v>
      </c>
      <c r="I24" s="97">
        <v>89700</v>
      </c>
      <c r="J24" s="98">
        <v>86200</v>
      </c>
    </row>
    <row r="25" spans="3:10" x14ac:dyDescent="0.45">
      <c r="C25" s="110">
        <v>87</v>
      </c>
      <c r="D25" s="26">
        <v>7.6926421010511517E-2</v>
      </c>
      <c r="G25" s="64">
        <f t="shared" si="1"/>
        <v>17</v>
      </c>
      <c r="H25" s="63">
        <f t="shared" si="0"/>
        <v>18</v>
      </c>
      <c r="I25" s="97">
        <v>86200</v>
      </c>
      <c r="J25" s="98">
        <v>82800</v>
      </c>
    </row>
    <row r="26" spans="3:10" x14ac:dyDescent="0.45">
      <c r="C26" s="110">
        <v>88</v>
      </c>
      <c r="D26" s="26">
        <v>8.9290991308776047E-2</v>
      </c>
      <c r="G26" s="64">
        <f t="shared" si="1"/>
        <v>18</v>
      </c>
      <c r="H26" s="63">
        <f t="shared" si="0"/>
        <v>19</v>
      </c>
      <c r="I26" s="97">
        <v>82800</v>
      </c>
      <c r="J26" s="98">
        <v>79500</v>
      </c>
    </row>
    <row r="27" spans="3:10" x14ac:dyDescent="0.45">
      <c r="C27" s="110">
        <v>89</v>
      </c>
      <c r="D27" s="26">
        <v>0.10351974810963289</v>
      </c>
      <c r="G27" s="64">
        <f t="shared" si="1"/>
        <v>19</v>
      </c>
      <c r="H27" s="63">
        <f t="shared" si="0"/>
        <v>20</v>
      </c>
      <c r="I27" s="97">
        <v>79500</v>
      </c>
      <c r="J27" s="98">
        <v>76200</v>
      </c>
    </row>
    <row r="28" spans="3:10" x14ac:dyDescent="0.45">
      <c r="C28" s="110">
        <v>90</v>
      </c>
      <c r="D28" s="26">
        <v>0.11970432764550082</v>
      </c>
      <c r="G28" s="64">
        <f t="shared" si="1"/>
        <v>20</v>
      </c>
      <c r="H28" s="63">
        <f t="shared" si="0"/>
        <v>21</v>
      </c>
      <c r="I28" s="97">
        <v>76200</v>
      </c>
      <c r="J28" s="98">
        <v>73000</v>
      </c>
    </row>
    <row r="29" spans="3:10" x14ac:dyDescent="0.45">
      <c r="C29" s="110">
        <v>91</v>
      </c>
      <c r="D29" s="26">
        <v>0.13799544957303669</v>
      </c>
      <c r="G29" s="64">
        <f t="shared" si="1"/>
        <v>21</v>
      </c>
      <c r="H29" s="63">
        <f t="shared" si="0"/>
        <v>22</v>
      </c>
      <c r="I29" s="97">
        <v>73000</v>
      </c>
      <c r="J29" s="98">
        <v>69700</v>
      </c>
    </row>
    <row r="30" spans="3:10" x14ac:dyDescent="0.45">
      <c r="C30" s="110">
        <v>92</v>
      </c>
      <c r="D30" s="26">
        <v>0.15848213593977958</v>
      </c>
      <c r="G30" s="64">
        <f t="shared" si="1"/>
        <v>22</v>
      </c>
      <c r="H30" s="63">
        <f t="shared" si="0"/>
        <v>23</v>
      </c>
      <c r="I30" s="97">
        <v>69700</v>
      </c>
      <c r="J30" s="98">
        <v>66400</v>
      </c>
    </row>
    <row r="31" spans="3:10" x14ac:dyDescent="0.45">
      <c r="C31" s="110">
        <v>93</v>
      </c>
      <c r="D31" s="26">
        <v>0.18110969616408049</v>
      </c>
      <c r="G31" s="64">
        <f t="shared" si="1"/>
        <v>23</v>
      </c>
      <c r="H31" s="63">
        <f t="shared" si="0"/>
        <v>24</v>
      </c>
      <c r="I31" s="97">
        <v>66400</v>
      </c>
      <c r="J31" s="98">
        <v>62800</v>
      </c>
    </row>
    <row r="32" spans="3:10" x14ac:dyDescent="0.45">
      <c r="C32" s="110">
        <v>94</v>
      </c>
      <c r="D32" s="26">
        <v>0.20567776043554389</v>
      </c>
      <c r="G32" s="64">
        <f t="shared" si="1"/>
        <v>24</v>
      </c>
      <c r="H32" s="63">
        <f t="shared" si="0"/>
        <v>25</v>
      </c>
      <c r="I32" s="97">
        <v>62800</v>
      </c>
      <c r="J32" s="98">
        <v>58700</v>
      </c>
    </row>
    <row r="33" spans="3:10" x14ac:dyDescent="0.45">
      <c r="C33" s="110">
        <v>95</v>
      </c>
      <c r="D33" s="26">
        <v>0.23180765717624996</v>
      </c>
      <c r="G33" s="64">
        <f t="shared" si="1"/>
        <v>25</v>
      </c>
      <c r="H33" s="63">
        <f t="shared" si="0"/>
        <v>26</v>
      </c>
      <c r="I33" s="97">
        <v>58700</v>
      </c>
      <c r="J33" s="98">
        <v>53800</v>
      </c>
    </row>
    <row r="34" spans="3:10" x14ac:dyDescent="0.45">
      <c r="C34" s="110">
        <v>96</v>
      </c>
      <c r="D34" s="26">
        <v>0.2604302280539752</v>
      </c>
      <c r="G34" s="64">
        <f t="shared" si="1"/>
        <v>26</v>
      </c>
      <c r="H34" s="63">
        <f t="shared" si="0"/>
        <v>27</v>
      </c>
      <c r="I34" s="97">
        <v>53800</v>
      </c>
      <c r="J34" s="98">
        <v>47300</v>
      </c>
    </row>
    <row r="35" spans="3:10" x14ac:dyDescent="0.45">
      <c r="C35" s="110">
        <v>97</v>
      </c>
      <c r="D35" s="26">
        <v>0.2902582780500334</v>
      </c>
      <c r="G35" s="64">
        <f t="shared" si="1"/>
        <v>27</v>
      </c>
      <c r="H35" s="63">
        <f t="shared" si="0"/>
        <v>28</v>
      </c>
      <c r="I35" s="97">
        <v>47300</v>
      </c>
      <c r="J35" s="98">
        <v>38100</v>
      </c>
    </row>
    <row r="36" spans="3:10" x14ac:dyDescent="0.45">
      <c r="C36" s="110">
        <v>98</v>
      </c>
      <c r="D36" s="26">
        <v>0.32064925726252119</v>
      </c>
      <c r="G36" s="64">
        <f t="shared" si="1"/>
        <v>28</v>
      </c>
      <c r="H36" s="63">
        <f t="shared" si="0"/>
        <v>29</v>
      </c>
      <c r="I36" s="97">
        <v>38100</v>
      </c>
      <c r="J36" s="98">
        <v>23800</v>
      </c>
    </row>
    <row r="37" spans="3:10" ht="14.65" thickBot="1" x14ac:dyDescent="0.5">
      <c r="C37" s="111">
        <v>99</v>
      </c>
      <c r="D37" s="27">
        <v>0.35092340385031207</v>
      </c>
      <c r="G37" s="73">
        <f t="shared" si="1"/>
        <v>29</v>
      </c>
      <c r="H37" s="72">
        <f t="shared" si="0"/>
        <v>30</v>
      </c>
      <c r="I37" s="105">
        <v>23800</v>
      </c>
      <c r="J37" s="106">
        <v>0</v>
      </c>
    </row>
  </sheetData>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06520-7A67-4314-BDEF-DED5AA78F956}">
  <dimension ref="A1:Y55"/>
  <sheetViews>
    <sheetView workbookViewId="0">
      <pane xSplit="6" ySplit="25" topLeftCell="G26" activePane="bottomRight" state="frozen"/>
      <selection pane="topRight" activeCell="G1" sqref="G1"/>
      <selection pane="bottomLeft" activeCell="A26" sqref="A26"/>
      <selection pane="bottomRight" activeCell="O21" sqref="O21"/>
    </sheetView>
  </sheetViews>
  <sheetFormatPr defaultRowHeight="14.25" x14ac:dyDescent="0.45"/>
  <cols>
    <col min="1" max="1" width="11.796875" customWidth="1"/>
    <col min="2" max="2" width="13" customWidth="1"/>
    <col min="3" max="3" width="9.796875" bestFit="1" customWidth="1"/>
    <col min="4" max="4" width="15.6640625" customWidth="1"/>
    <col min="5" max="5" width="10.6640625" bestFit="1" customWidth="1"/>
    <col min="6" max="6" width="9.796875" bestFit="1" customWidth="1"/>
    <col min="8" max="8" width="15.9296875" customWidth="1"/>
    <col min="9" max="9" width="12.1328125" customWidth="1"/>
    <col min="10" max="10" width="12.9296875" customWidth="1"/>
    <col min="12" max="12" width="13.265625" customWidth="1"/>
    <col min="14" max="14" width="9.265625" bestFit="1" customWidth="1"/>
    <col min="15" max="15" width="15.73046875" bestFit="1" customWidth="1"/>
    <col min="16" max="17" width="15.06640625" customWidth="1"/>
    <col min="19" max="19" width="9.19921875" bestFit="1" customWidth="1"/>
    <col min="21" max="21" width="10.3984375" bestFit="1" customWidth="1"/>
    <col min="23" max="23" width="17.33203125" bestFit="1" customWidth="1"/>
    <col min="24" max="24" width="14.9296875" bestFit="1" customWidth="1"/>
    <col min="25" max="25" width="13.3984375" bestFit="1" customWidth="1"/>
    <col min="26" max="26" width="21.19921875" bestFit="1" customWidth="1"/>
    <col min="27" max="27" width="19.1328125" bestFit="1" customWidth="1"/>
    <col min="28" max="28" width="21.19921875" bestFit="1" customWidth="1"/>
  </cols>
  <sheetData>
    <row r="1" spans="1:25" x14ac:dyDescent="0.45">
      <c r="A1" s="107"/>
      <c r="B1" s="54"/>
      <c r="C1" s="54"/>
      <c r="D1" s="54"/>
      <c r="E1" s="54"/>
      <c r="F1" s="54"/>
      <c r="G1" s="54"/>
      <c r="H1" s="54"/>
      <c r="I1" s="54"/>
      <c r="J1" s="54"/>
      <c r="K1" s="54"/>
      <c r="L1" s="54"/>
      <c r="M1" s="54"/>
      <c r="N1" s="54"/>
      <c r="O1" s="55"/>
      <c r="P1" s="54"/>
      <c r="Q1" s="54"/>
      <c r="R1" s="54"/>
      <c r="S1" s="54"/>
      <c r="T1" s="54"/>
      <c r="U1" s="54"/>
    </row>
    <row r="2" spans="1:25" ht="21" x14ac:dyDescent="0.65">
      <c r="A2" s="54"/>
      <c r="B2" s="56" t="s">
        <v>104</v>
      </c>
      <c r="C2" s="54"/>
      <c r="D2" s="54"/>
      <c r="E2" s="54"/>
      <c r="F2" s="54"/>
      <c r="G2" s="54"/>
      <c r="H2" s="54"/>
      <c r="I2" s="54"/>
      <c r="J2" s="54"/>
      <c r="K2" s="54"/>
      <c r="L2" s="54"/>
      <c r="M2" s="54"/>
      <c r="N2" s="54"/>
      <c r="O2" s="54"/>
      <c r="P2" s="54"/>
      <c r="Q2" s="54"/>
      <c r="R2" s="54"/>
      <c r="S2" s="54"/>
      <c r="T2" s="54"/>
      <c r="U2" s="54"/>
    </row>
    <row r="3" spans="1:25" x14ac:dyDescent="0.45">
      <c r="A3" s="54"/>
      <c r="B3" s="54"/>
      <c r="C3" s="54"/>
      <c r="D3" s="54"/>
      <c r="E3" s="54"/>
      <c r="F3" s="54"/>
      <c r="G3" s="54"/>
      <c r="H3" s="54"/>
      <c r="I3" s="54"/>
      <c r="J3" s="54"/>
      <c r="K3" s="54"/>
      <c r="L3" s="54"/>
      <c r="M3" s="54"/>
      <c r="N3" s="54"/>
      <c r="O3" s="54"/>
      <c r="P3" s="54"/>
      <c r="Q3" s="54"/>
      <c r="R3" s="54"/>
      <c r="S3" s="54"/>
      <c r="T3" s="66"/>
      <c r="U3" s="54"/>
      <c r="V3" s="54"/>
      <c r="W3" s="54"/>
      <c r="X3" s="54"/>
      <c r="Y3" s="54"/>
    </row>
    <row r="4" spans="1:25" ht="14.65" thickBot="1" x14ac:dyDescent="0.5">
      <c r="A4" s="54"/>
      <c r="B4" s="54"/>
      <c r="C4" s="54"/>
      <c r="D4" s="54"/>
      <c r="E4" s="54"/>
      <c r="F4" s="54"/>
      <c r="G4" s="54"/>
      <c r="H4" s="54"/>
      <c r="I4" s="54"/>
      <c r="J4" s="54"/>
      <c r="K4" s="54"/>
      <c r="L4" s="54"/>
      <c r="M4" s="54"/>
      <c r="N4" s="54"/>
      <c r="O4" s="54"/>
      <c r="P4" s="54"/>
      <c r="Q4" s="54"/>
      <c r="R4" s="54"/>
      <c r="S4" s="54"/>
      <c r="T4" s="54"/>
      <c r="U4" s="54"/>
      <c r="V4" s="54"/>
      <c r="W4" s="54"/>
      <c r="X4" s="54"/>
      <c r="Y4" s="54"/>
    </row>
    <row r="5" spans="1:25" ht="14.65" thickBot="1" x14ac:dyDescent="0.5">
      <c r="A5" s="54"/>
      <c r="B5" s="39" t="s">
        <v>2</v>
      </c>
      <c r="C5" s="57"/>
      <c r="D5" s="57"/>
      <c r="E5" s="57"/>
      <c r="F5" s="58"/>
      <c r="G5" s="54"/>
      <c r="H5" s="39" t="s">
        <v>13</v>
      </c>
      <c r="I5" s="57"/>
      <c r="J5" s="57"/>
      <c r="K5" s="58"/>
      <c r="L5" s="54"/>
      <c r="M5" s="54"/>
      <c r="N5" s="59"/>
      <c r="O5" s="54"/>
      <c r="P5" s="54"/>
      <c r="Q5" s="54"/>
      <c r="R5" s="54"/>
      <c r="S5" s="54"/>
      <c r="T5" s="54"/>
      <c r="U5" s="54"/>
      <c r="V5" s="54"/>
      <c r="W5" s="54"/>
      <c r="X5" s="54"/>
      <c r="Y5" s="54"/>
    </row>
    <row r="6" spans="1:25" ht="14.65" thickBot="1" x14ac:dyDescent="0.5">
      <c r="A6" s="54"/>
      <c r="B6" s="60" t="s">
        <v>108</v>
      </c>
      <c r="C6" s="61"/>
      <c r="D6" s="61"/>
      <c r="E6" s="117">
        <v>140000</v>
      </c>
      <c r="F6" s="63"/>
      <c r="G6" s="54"/>
      <c r="H6" s="64"/>
      <c r="I6" s="54"/>
      <c r="J6" s="54"/>
      <c r="K6" s="63"/>
      <c r="L6" s="54"/>
      <c r="M6" s="54"/>
      <c r="N6" s="54"/>
      <c r="O6" s="54"/>
      <c r="P6" s="54"/>
      <c r="Q6" s="54"/>
      <c r="R6" s="54"/>
      <c r="S6" s="54"/>
      <c r="T6" s="54"/>
      <c r="U6" s="54"/>
      <c r="V6" s="54"/>
      <c r="W6" s="54"/>
      <c r="X6" s="54"/>
      <c r="Y6" s="54"/>
    </row>
    <row r="7" spans="1:25" ht="14.65" thickBot="1" x14ac:dyDescent="0.5">
      <c r="A7" s="54"/>
      <c r="B7" s="60" t="s">
        <v>68</v>
      </c>
      <c r="C7" s="61"/>
      <c r="D7" s="61"/>
      <c r="E7" s="62">
        <v>10000</v>
      </c>
      <c r="F7" s="63"/>
      <c r="G7" s="54"/>
      <c r="H7" s="64"/>
      <c r="I7" s="54"/>
      <c r="J7" s="54"/>
      <c r="K7" s="63"/>
      <c r="M7" s="54"/>
      <c r="S7" s="54"/>
      <c r="T7" s="54"/>
      <c r="U7" s="54"/>
      <c r="V7" s="54"/>
      <c r="W7" s="54"/>
      <c r="X7" s="54"/>
      <c r="Y7" s="54"/>
    </row>
    <row r="8" spans="1:25" ht="14.65" thickBot="1" x14ac:dyDescent="0.5">
      <c r="A8" s="54"/>
      <c r="B8" s="60" t="s">
        <v>70</v>
      </c>
      <c r="C8" s="61"/>
      <c r="D8" s="61"/>
      <c r="E8" s="62">
        <v>100</v>
      </c>
      <c r="F8" s="63"/>
      <c r="G8" s="54"/>
      <c r="H8" s="67" t="s">
        <v>69</v>
      </c>
      <c r="I8" s="54"/>
      <c r="J8" s="54"/>
      <c r="K8" s="63"/>
      <c r="M8" s="54"/>
      <c r="S8" s="54"/>
      <c r="T8" s="66"/>
      <c r="U8" s="61"/>
      <c r="V8" s="54"/>
      <c r="W8" s="54"/>
      <c r="X8" s="54"/>
      <c r="Y8" s="54"/>
    </row>
    <row r="9" spans="1:25" ht="14.65" thickBot="1" x14ac:dyDescent="0.5">
      <c r="A9" s="54"/>
      <c r="B9" s="60" t="s">
        <v>31</v>
      </c>
      <c r="C9" s="61"/>
      <c r="D9" s="61"/>
      <c r="E9" s="117">
        <v>50000</v>
      </c>
      <c r="F9" s="63"/>
      <c r="G9" s="54"/>
      <c r="H9" s="64" t="s">
        <v>110</v>
      </c>
      <c r="I9" s="54"/>
      <c r="J9" s="122">
        <f>SUM(Q26:Q55)</f>
        <v>31358.949618874431</v>
      </c>
      <c r="K9" s="132">
        <v>2</v>
      </c>
      <c r="L9">
        <f>K9+SUM(G23:O23,P21:Q21)</f>
        <v>22</v>
      </c>
      <c r="M9" s="54"/>
      <c r="S9" s="54"/>
      <c r="T9" s="54"/>
      <c r="U9" s="61"/>
      <c r="V9" s="54"/>
      <c r="W9" s="54"/>
      <c r="X9" s="54"/>
      <c r="Y9" s="54"/>
    </row>
    <row r="10" spans="1:25" ht="14.65" thickBot="1" x14ac:dyDescent="0.5">
      <c r="A10" s="54"/>
      <c r="B10" s="60" t="s">
        <v>105</v>
      </c>
      <c r="C10" s="61"/>
      <c r="D10" s="61"/>
      <c r="E10" s="117">
        <v>10000</v>
      </c>
      <c r="F10" s="63"/>
      <c r="G10" s="54"/>
      <c r="H10" s="64" t="s">
        <v>111</v>
      </c>
      <c r="I10" s="54"/>
      <c r="J10" s="122">
        <f>SUM(V26:V55)</f>
        <v>3898.8710821744739</v>
      </c>
      <c r="K10" s="132">
        <v>2</v>
      </c>
      <c r="L10">
        <f>K10+SUM(R21:V21)</f>
        <v>12</v>
      </c>
      <c r="M10" s="54"/>
      <c r="S10" s="54"/>
      <c r="T10" s="54"/>
      <c r="U10" s="61"/>
      <c r="V10" s="54"/>
      <c r="W10" s="54"/>
      <c r="X10" s="54"/>
      <c r="Y10" s="54"/>
    </row>
    <row r="11" spans="1:25" ht="14.65" thickBot="1" x14ac:dyDescent="0.5">
      <c r="A11" s="54"/>
      <c r="B11" s="60" t="s">
        <v>109</v>
      </c>
      <c r="C11" s="61"/>
      <c r="D11" s="61"/>
      <c r="E11" s="65">
        <v>0.06</v>
      </c>
      <c r="F11" s="63"/>
      <c r="G11" s="54"/>
      <c r="H11" s="64"/>
      <c r="I11" s="54"/>
      <c r="J11" s="54"/>
      <c r="K11" s="132"/>
      <c r="M11" s="54"/>
      <c r="S11" s="54"/>
      <c r="T11" s="54"/>
      <c r="U11" s="54"/>
      <c r="V11" s="54"/>
      <c r="W11" s="54"/>
      <c r="X11" s="54"/>
      <c r="Y11" s="54"/>
    </row>
    <row r="12" spans="1:25" ht="14.65" thickBot="1" x14ac:dyDescent="0.5">
      <c r="A12" s="54"/>
      <c r="B12" s="60" t="s">
        <v>71</v>
      </c>
      <c r="C12" s="61"/>
      <c r="D12" s="61"/>
      <c r="E12" s="65">
        <v>0.09</v>
      </c>
      <c r="F12" s="5"/>
      <c r="G12" s="54"/>
      <c r="H12" s="64" t="s">
        <v>112</v>
      </c>
      <c r="J12" s="123">
        <f>J10/E6</f>
        <v>2.7849079158389099E-2</v>
      </c>
      <c r="K12" s="132">
        <v>1</v>
      </c>
      <c r="L12">
        <f>K12</f>
        <v>1</v>
      </c>
      <c r="M12" s="54"/>
      <c r="S12" s="54"/>
      <c r="T12" s="54"/>
      <c r="U12" s="54"/>
      <c r="V12" s="54"/>
      <c r="W12" s="54"/>
      <c r="X12" s="54"/>
      <c r="Y12" s="54"/>
    </row>
    <row r="13" spans="1:25" ht="14.65" thickBot="1" x14ac:dyDescent="0.5">
      <c r="A13" s="54"/>
      <c r="B13" s="60" t="s">
        <v>72</v>
      </c>
      <c r="C13" s="61"/>
      <c r="D13" s="61"/>
      <c r="E13" s="69">
        <v>30</v>
      </c>
      <c r="F13" s="63"/>
      <c r="G13" s="54"/>
      <c r="H13" s="64" t="s">
        <v>113</v>
      </c>
      <c r="I13" s="54"/>
      <c r="J13" s="124">
        <f>_xlfn.MINIFS(D26:D55,W26:W55,"&gt;"&amp;0)</f>
        <v>11</v>
      </c>
      <c r="K13" s="132">
        <v>2</v>
      </c>
      <c r="L13">
        <f>K13+W21</f>
        <v>4</v>
      </c>
      <c r="M13" s="54"/>
      <c r="S13" s="54"/>
      <c r="T13" s="54"/>
      <c r="U13" s="54"/>
      <c r="V13" s="54"/>
      <c r="W13" s="54"/>
      <c r="X13" s="54"/>
      <c r="Y13" s="54"/>
    </row>
    <row r="14" spans="1:25" x14ac:dyDescent="0.45">
      <c r="A14" s="54"/>
      <c r="B14" s="4"/>
      <c r="F14" s="63"/>
      <c r="G14" s="54"/>
      <c r="H14" s="64"/>
      <c r="I14" s="54"/>
      <c r="J14" s="54"/>
      <c r="K14" s="63"/>
      <c r="M14" s="54"/>
      <c r="S14" s="54"/>
      <c r="T14" s="54"/>
      <c r="U14" s="54"/>
      <c r="V14" s="54"/>
      <c r="W14" s="54"/>
      <c r="X14" s="54"/>
      <c r="Y14" s="54"/>
    </row>
    <row r="15" spans="1:25" ht="14.65" thickBot="1" x14ac:dyDescent="0.5">
      <c r="A15" s="54"/>
      <c r="B15" s="9"/>
      <c r="C15" s="10"/>
      <c r="D15" s="10"/>
      <c r="E15" s="10"/>
      <c r="F15" s="72"/>
      <c r="G15" s="54"/>
      <c r="H15" s="64"/>
      <c r="I15" s="54"/>
      <c r="J15" s="54"/>
      <c r="K15" s="63"/>
      <c r="M15" s="54"/>
      <c r="S15" s="54"/>
      <c r="T15" s="54"/>
      <c r="U15" s="54"/>
      <c r="V15" s="54"/>
      <c r="W15" s="54"/>
      <c r="X15" s="54"/>
      <c r="Y15" s="54"/>
    </row>
    <row r="16" spans="1:25" ht="14.65" thickBot="1" x14ac:dyDescent="0.5">
      <c r="A16" s="54"/>
      <c r="G16" s="54"/>
      <c r="H16" s="73"/>
      <c r="I16" s="74"/>
      <c r="J16" s="74"/>
      <c r="K16" s="72"/>
      <c r="M16" s="54"/>
      <c r="S16" s="54"/>
      <c r="T16" s="54"/>
      <c r="U16" s="54"/>
    </row>
    <row r="17" spans="1:23" x14ac:dyDescent="0.45">
      <c r="A17" s="54"/>
      <c r="G17" s="54"/>
      <c r="H17" s="54"/>
      <c r="I17" s="54"/>
      <c r="J17" s="54"/>
      <c r="K17" s="54"/>
      <c r="M17" s="54"/>
      <c r="S17" s="54"/>
      <c r="T17" s="54"/>
      <c r="U17" s="54"/>
    </row>
    <row r="18" spans="1:23" x14ac:dyDescent="0.45">
      <c r="A18" s="54"/>
      <c r="G18" s="54"/>
      <c r="H18" s="54"/>
      <c r="I18" s="54"/>
      <c r="J18" s="54"/>
      <c r="K18" s="54"/>
      <c r="M18" s="54"/>
      <c r="S18" s="54"/>
      <c r="T18" s="54"/>
      <c r="U18" s="54"/>
    </row>
    <row r="19" spans="1:23" x14ac:dyDescent="0.45">
      <c r="A19" s="54"/>
      <c r="B19" s="54"/>
      <c r="C19" s="54"/>
      <c r="D19" s="54"/>
      <c r="E19" s="54"/>
      <c r="F19" s="54"/>
      <c r="G19" s="54"/>
      <c r="H19" s="54"/>
      <c r="I19" s="54"/>
      <c r="J19" s="54"/>
      <c r="K19" s="54"/>
      <c r="M19" s="54"/>
      <c r="S19" s="75"/>
      <c r="T19" s="54"/>
      <c r="U19" s="54"/>
    </row>
    <row r="20" spans="1:23" x14ac:dyDescent="0.45">
      <c r="C20" s="54"/>
      <c r="D20" s="54"/>
      <c r="E20" s="54"/>
      <c r="F20" s="54"/>
      <c r="G20" s="54"/>
      <c r="H20" s="54"/>
      <c r="I20" s="54"/>
      <c r="J20" s="54"/>
      <c r="K20" s="54"/>
      <c r="L20" s="54"/>
      <c r="M20" s="54"/>
      <c r="N20" s="54"/>
      <c r="O20" s="54"/>
      <c r="P20" s="54"/>
      <c r="Q20" s="54"/>
      <c r="R20" s="54"/>
      <c r="S20" s="120"/>
      <c r="T20" s="54"/>
      <c r="U20" s="54"/>
      <c r="V20" s="54"/>
      <c r="W20" s="54"/>
    </row>
    <row r="21" spans="1:23" ht="14.65" thickBot="1" x14ac:dyDescent="0.5">
      <c r="C21" s="54"/>
      <c r="D21" s="54"/>
      <c r="E21" s="54"/>
      <c r="F21" s="54"/>
      <c r="G21" s="54"/>
      <c r="H21" s="54"/>
      <c r="I21" s="54"/>
      <c r="J21" s="54"/>
      <c r="K21" s="54"/>
      <c r="L21" s="54"/>
      <c r="M21" s="54"/>
      <c r="N21" s="54"/>
      <c r="O21" s="54"/>
      <c r="P21" s="12">
        <v>2</v>
      </c>
      <c r="Q21" s="12">
        <v>2</v>
      </c>
      <c r="R21" s="12">
        <v>2</v>
      </c>
      <c r="S21" s="12">
        <v>2</v>
      </c>
      <c r="T21" s="12">
        <v>2</v>
      </c>
      <c r="U21" s="12">
        <v>2</v>
      </c>
      <c r="V21" s="12">
        <v>2</v>
      </c>
      <c r="W21" s="12">
        <v>2</v>
      </c>
    </row>
    <row r="22" spans="1:23" ht="14.65" thickBot="1" x14ac:dyDescent="0.5">
      <c r="C22" s="54"/>
      <c r="D22" s="54"/>
      <c r="E22" s="54"/>
      <c r="F22" s="54"/>
      <c r="G22" s="54"/>
      <c r="H22" s="54"/>
      <c r="I22" s="54"/>
      <c r="J22" s="54"/>
      <c r="K22" s="54"/>
      <c r="L22" s="54"/>
      <c r="M22" s="54"/>
      <c r="N22" s="54"/>
      <c r="O22" s="54"/>
      <c r="P22" s="137" t="s">
        <v>73</v>
      </c>
      <c r="Q22" s="138"/>
      <c r="R22" s="137" t="s">
        <v>74</v>
      </c>
      <c r="S22" s="141"/>
      <c r="T22" s="141"/>
      <c r="U22" s="141"/>
      <c r="V22" s="141"/>
      <c r="W22" s="138"/>
    </row>
    <row r="23" spans="1:23" ht="14.65" thickBot="1" x14ac:dyDescent="0.5">
      <c r="A23" s="108" t="s">
        <v>106</v>
      </c>
      <c r="B23" s="76" t="s">
        <v>106</v>
      </c>
      <c r="C23" s="108" t="s">
        <v>75</v>
      </c>
      <c r="D23" s="76" t="s">
        <v>75</v>
      </c>
      <c r="E23" s="77"/>
      <c r="F23" s="78"/>
      <c r="G23" s="12">
        <v>1</v>
      </c>
      <c r="H23" s="12">
        <v>2</v>
      </c>
      <c r="I23" s="12">
        <v>2</v>
      </c>
      <c r="J23" s="12">
        <v>1</v>
      </c>
      <c r="K23" s="12">
        <v>2</v>
      </c>
      <c r="L23" s="12">
        <v>2</v>
      </c>
      <c r="M23" s="12">
        <v>2</v>
      </c>
      <c r="N23" s="12">
        <v>2</v>
      </c>
      <c r="O23" s="12">
        <v>2</v>
      </c>
      <c r="P23" s="139"/>
      <c r="Q23" s="140"/>
      <c r="R23" s="139"/>
      <c r="S23" s="142"/>
      <c r="T23" s="142"/>
      <c r="U23" s="142"/>
      <c r="V23" s="142"/>
      <c r="W23" s="140"/>
    </row>
    <row r="24" spans="1:23" x14ac:dyDescent="0.45">
      <c r="A24" s="60" t="s">
        <v>97</v>
      </c>
      <c r="B24" s="79" t="s">
        <v>76</v>
      </c>
      <c r="C24" s="60" t="s">
        <v>97</v>
      </c>
      <c r="D24" s="79" t="s">
        <v>76</v>
      </c>
      <c r="E24" s="80" t="s">
        <v>77</v>
      </c>
      <c r="F24" s="81" t="s">
        <v>78</v>
      </c>
      <c r="G24" s="82" t="s">
        <v>16</v>
      </c>
      <c r="H24" s="83" t="s">
        <v>28</v>
      </c>
      <c r="I24" s="83" t="s">
        <v>0</v>
      </c>
      <c r="J24" s="84" t="s">
        <v>9</v>
      </c>
      <c r="K24" s="83" t="s">
        <v>79</v>
      </c>
      <c r="L24" s="83" t="s">
        <v>10</v>
      </c>
      <c r="M24" s="83" t="s">
        <v>80</v>
      </c>
      <c r="N24" s="84" t="s">
        <v>81</v>
      </c>
      <c r="O24" s="84" t="s">
        <v>82</v>
      </c>
      <c r="P24" s="82" t="s">
        <v>83</v>
      </c>
      <c r="Q24" s="85" t="s">
        <v>84</v>
      </c>
      <c r="R24" s="86" t="s">
        <v>85</v>
      </c>
      <c r="S24" s="84" t="s">
        <v>86</v>
      </c>
      <c r="T24" s="84" t="s">
        <v>87</v>
      </c>
      <c r="U24" s="84" t="s">
        <v>88</v>
      </c>
      <c r="V24" s="83" t="s">
        <v>84</v>
      </c>
      <c r="W24" s="76" t="s">
        <v>89</v>
      </c>
    </row>
    <row r="25" spans="1:23" ht="14.65" thickBot="1" x14ac:dyDescent="0.5">
      <c r="A25" s="73"/>
      <c r="B25" s="87"/>
      <c r="C25" s="73"/>
      <c r="D25" s="87"/>
      <c r="E25" s="88" t="s">
        <v>90</v>
      </c>
      <c r="F25" s="89" t="s">
        <v>90</v>
      </c>
      <c r="G25" s="70"/>
      <c r="H25" s="71"/>
      <c r="I25" s="74"/>
      <c r="J25" s="90"/>
      <c r="K25" s="91" t="s">
        <v>91</v>
      </c>
      <c r="L25" s="71"/>
      <c r="M25" s="91" t="s">
        <v>91</v>
      </c>
      <c r="N25" s="92" t="s">
        <v>92</v>
      </c>
      <c r="O25" s="91"/>
      <c r="P25" s="93" t="s">
        <v>93</v>
      </c>
      <c r="Q25" s="87" t="s">
        <v>92</v>
      </c>
      <c r="R25" s="94" t="s">
        <v>90</v>
      </c>
      <c r="S25" s="92" t="s">
        <v>90</v>
      </c>
      <c r="T25" s="92" t="s">
        <v>94</v>
      </c>
      <c r="U25" s="92" t="s">
        <v>95</v>
      </c>
      <c r="V25" s="95" t="s">
        <v>88</v>
      </c>
      <c r="W25" s="96" t="s">
        <v>96</v>
      </c>
    </row>
    <row r="26" spans="1:23" x14ac:dyDescent="0.45">
      <c r="A26" s="64">
        <v>70</v>
      </c>
      <c r="B26" s="63">
        <f>A26+1</f>
        <v>71</v>
      </c>
      <c r="C26" s="64">
        <v>0</v>
      </c>
      <c r="D26" s="63">
        <f>C26+1</f>
        <v>1</v>
      </c>
      <c r="E26" s="115">
        <f>'Q2 Base'!I8</f>
        <v>0</v>
      </c>
      <c r="F26" s="116">
        <f>'Q2 Base'!J8</f>
        <v>144000</v>
      </c>
      <c r="G26" s="99">
        <f>IF(C26=0,$E$6,0)</f>
        <v>140000</v>
      </c>
      <c r="H26" s="68">
        <f t="shared" ref="H26:H55" si="0">IF(C26=0,$E$7,$E$8)</f>
        <v>10000</v>
      </c>
      <c r="I26" s="68">
        <f t="shared" ref="I26:I55" si="1">(G26-H26)*E$11</f>
        <v>7800</v>
      </c>
      <c r="J26" s="118">
        <f>'Q2 Base'!D8</f>
        <v>7.8176305210533332E-3</v>
      </c>
      <c r="K26" s="75">
        <f t="shared" ref="K26:K55" si="2">E$9*J26</f>
        <v>390.88152605266669</v>
      </c>
      <c r="L26" s="100">
        <f t="shared" ref="L26:L55" si="3">1-J26</f>
        <v>0.99218236947894667</v>
      </c>
      <c r="M26" s="68">
        <f t="shared" ref="M26:M55" si="4">L26*$E$7</f>
        <v>9921.8236947894675</v>
      </c>
      <c r="N26" s="75">
        <f>G26-H26+I26-K26-M26</f>
        <v>127487.29477915788</v>
      </c>
      <c r="O26" s="119">
        <v>1</v>
      </c>
      <c r="P26" s="101">
        <f t="shared" ref="P26:P55" si="5">(1+$E$12)^-D26</f>
        <v>0.9174311926605504</v>
      </c>
      <c r="Q26" s="102">
        <f t="shared" ref="Q26:Q55" si="6">N26*O26*P26</f>
        <v>116960.82089830998</v>
      </c>
      <c r="R26" s="64">
        <f t="shared" ref="R26:R55" si="7">F26*L26-E26</f>
        <v>142874.26120496832</v>
      </c>
      <c r="S26" s="54">
        <f t="shared" ref="S26:S55" si="8">E$11*E26</f>
        <v>0</v>
      </c>
      <c r="T26" s="54">
        <f t="shared" ref="T26:T55" si="9">N26-R26+S26</f>
        <v>-15386.966425810446</v>
      </c>
      <c r="U26" s="121">
        <f>T26*O26</f>
        <v>-15386.966425810446</v>
      </c>
      <c r="V26" s="54">
        <f>U26*P26</f>
        <v>-14116.482959459123</v>
      </c>
      <c r="W26" s="103">
        <f>SUM(V$26:V26)</f>
        <v>-14116.482959459123</v>
      </c>
    </row>
    <row r="27" spans="1:23" x14ac:dyDescent="0.45">
      <c r="A27" s="64">
        <f>A26+1</f>
        <v>71</v>
      </c>
      <c r="B27" s="63">
        <f t="shared" ref="B27:D55" si="10">A27+1</f>
        <v>72</v>
      </c>
      <c r="C27" s="64">
        <f>C26+1</f>
        <v>1</v>
      </c>
      <c r="D27" s="63">
        <f t="shared" si="10"/>
        <v>2</v>
      </c>
      <c r="E27" s="115">
        <f>'Q2 Base'!I9</f>
        <v>144000</v>
      </c>
      <c r="F27" s="116">
        <f>'Q2 Base'!J9</f>
        <v>141000</v>
      </c>
      <c r="G27" s="99">
        <f t="shared" ref="G27:G55" si="11">IF(C27=0,$E$6,0)</f>
        <v>0</v>
      </c>
      <c r="H27" s="68">
        <f t="shared" si="0"/>
        <v>100</v>
      </c>
      <c r="I27" s="68">
        <f t="shared" si="1"/>
        <v>-6</v>
      </c>
      <c r="J27" s="118">
        <f>'Q2 Base'!D9</f>
        <v>8.7215051876391621E-3</v>
      </c>
      <c r="K27" s="75">
        <f t="shared" si="2"/>
        <v>436.07525938195812</v>
      </c>
      <c r="L27" s="100">
        <f t="shared" si="3"/>
        <v>0.99127849481236086</v>
      </c>
      <c r="M27" s="68">
        <f t="shared" si="4"/>
        <v>9912.784948123608</v>
      </c>
      <c r="N27" s="75">
        <f t="shared" ref="N27:N55" si="12">G27-H27+I27-K27-M27</f>
        <v>-10454.860207505566</v>
      </c>
      <c r="O27" s="104">
        <f t="shared" ref="O27:O55" si="13">L26*O26</f>
        <v>0.99218236947894667</v>
      </c>
      <c r="P27" s="101">
        <f t="shared" si="5"/>
        <v>0.84167999326655996</v>
      </c>
      <c r="Q27" s="102">
        <f t="shared" si="6"/>
        <v>-8730.8542826816119</v>
      </c>
      <c r="R27" s="64">
        <f t="shared" si="7"/>
        <v>-4229.7322314571065</v>
      </c>
      <c r="S27" s="54">
        <f t="shared" si="8"/>
        <v>8640</v>
      </c>
      <c r="T27" s="54">
        <f t="shared" si="9"/>
        <v>2414.8720239515405</v>
      </c>
      <c r="U27" s="121">
        <f t="shared" ref="U27:U55" si="14">T27*O27</f>
        <v>2395.9934467126591</v>
      </c>
      <c r="V27" s="54">
        <f t="shared" ref="V27:V55" si="15">U27*P27</f>
        <v>2016.6597480958326</v>
      </c>
      <c r="W27" s="103">
        <f>SUM(V$26:V27)</f>
        <v>-12099.823211363291</v>
      </c>
    </row>
    <row r="28" spans="1:23" x14ac:dyDescent="0.45">
      <c r="A28" s="64">
        <f t="shared" ref="A28:C55" si="16">A27+1</f>
        <v>72</v>
      </c>
      <c r="B28" s="63">
        <f t="shared" si="10"/>
        <v>73</v>
      </c>
      <c r="C28" s="64">
        <f t="shared" si="16"/>
        <v>2</v>
      </c>
      <c r="D28" s="63">
        <f t="shared" si="10"/>
        <v>3</v>
      </c>
      <c r="E28" s="115">
        <f>'Q2 Base'!I10</f>
        <v>141000</v>
      </c>
      <c r="F28" s="116">
        <f>'Q2 Base'!J10</f>
        <v>137000</v>
      </c>
      <c r="G28" s="99">
        <f t="shared" si="11"/>
        <v>0</v>
      </c>
      <c r="H28" s="68">
        <f t="shared" si="0"/>
        <v>100</v>
      </c>
      <c r="I28" s="68">
        <f t="shared" si="1"/>
        <v>-6</v>
      </c>
      <c r="J28" s="118">
        <f>'Q2 Base'!D10</f>
        <v>9.767225160924542E-3</v>
      </c>
      <c r="K28" s="75">
        <f t="shared" si="2"/>
        <v>488.36125804622708</v>
      </c>
      <c r="L28" s="100">
        <f t="shared" si="3"/>
        <v>0.99023277483907546</v>
      </c>
      <c r="M28" s="68">
        <f t="shared" si="4"/>
        <v>9902.327748390755</v>
      </c>
      <c r="N28" s="75">
        <f t="shared" si="12"/>
        <v>-10496.689006436982</v>
      </c>
      <c r="O28" s="104">
        <f t="shared" si="13"/>
        <v>0.98352904579645195</v>
      </c>
      <c r="P28" s="101">
        <f t="shared" si="5"/>
        <v>0.77218348006106419</v>
      </c>
      <c r="Q28" s="102">
        <f t="shared" si="6"/>
        <v>-7971.8666705711375</v>
      </c>
      <c r="R28" s="64">
        <f t="shared" si="7"/>
        <v>-5338.1098470466677</v>
      </c>
      <c r="S28" s="54">
        <f t="shared" si="8"/>
        <v>8460</v>
      </c>
      <c r="T28" s="54">
        <f t="shared" si="9"/>
        <v>3301.4208406096859</v>
      </c>
      <c r="U28" s="121">
        <f t="shared" si="14"/>
        <v>3247.0432891373648</v>
      </c>
      <c r="V28" s="54">
        <f t="shared" si="15"/>
        <v>2507.3131869150147</v>
      </c>
      <c r="W28" s="103">
        <f>SUM(V$26:V28)</f>
        <v>-9592.5100244482765</v>
      </c>
    </row>
    <row r="29" spans="1:23" x14ac:dyDescent="0.45">
      <c r="A29" s="64">
        <f t="shared" si="16"/>
        <v>73</v>
      </c>
      <c r="B29" s="63">
        <f t="shared" si="10"/>
        <v>74</v>
      </c>
      <c r="C29" s="64">
        <f t="shared" si="16"/>
        <v>3</v>
      </c>
      <c r="D29" s="63">
        <f t="shared" si="10"/>
        <v>4</v>
      </c>
      <c r="E29" s="115">
        <f>'Q2 Base'!I11</f>
        <v>137000</v>
      </c>
      <c r="F29" s="116">
        <f>'Q2 Base'!J11</f>
        <v>134000</v>
      </c>
      <c r="G29" s="99">
        <f t="shared" si="11"/>
        <v>0</v>
      </c>
      <c r="H29" s="68">
        <f t="shared" si="0"/>
        <v>100</v>
      </c>
      <c r="I29" s="68">
        <f t="shared" si="1"/>
        <v>-6</v>
      </c>
      <c r="J29" s="118">
        <f>'Q2 Base'!D11</f>
        <v>1.0982638574778847E-2</v>
      </c>
      <c r="K29" s="75">
        <f t="shared" si="2"/>
        <v>549.13192873894241</v>
      </c>
      <c r="L29" s="100">
        <f t="shared" si="3"/>
        <v>0.98901736142522112</v>
      </c>
      <c r="M29" s="68">
        <f t="shared" si="4"/>
        <v>9890.1736142522113</v>
      </c>
      <c r="N29" s="75">
        <f t="shared" si="12"/>
        <v>-10545.305542991155</v>
      </c>
      <c r="O29" s="104">
        <f t="shared" si="13"/>
        <v>0.97392269615384874</v>
      </c>
      <c r="P29" s="101">
        <f t="shared" si="5"/>
        <v>0.7084252110651964</v>
      </c>
      <c r="Q29" s="102">
        <f t="shared" si="6"/>
        <v>-7275.7482340649576</v>
      </c>
      <c r="R29" s="64">
        <f t="shared" si="7"/>
        <v>-4471.6735690203786</v>
      </c>
      <c r="S29" s="54">
        <f t="shared" si="8"/>
        <v>8220</v>
      </c>
      <c r="T29" s="54">
        <f t="shared" si="9"/>
        <v>2146.368026029224</v>
      </c>
      <c r="U29" s="121">
        <f t="shared" si="14"/>
        <v>2090.3965348487959</v>
      </c>
      <c r="V29" s="54">
        <f t="shared" si="15"/>
        <v>1480.8896064102134</v>
      </c>
      <c r="W29" s="103">
        <f>SUM(V$26:V29)</f>
        <v>-8111.6204180380628</v>
      </c>
    </row>
    <row r="30" spans="1:23" x14ac:dyDescent="0.45">
      <c r="A30" s="64">
        <f t="shared" si="16"/>
        <v>74</v>
      </c>
      <c r="B30" s="63">
        <f t="shared" si="10"/>
        <v>75</v>
      </c>
      <c r="C30" s="64">
        <f t="shared" si="16"/>
        <v>4</v>
      </c>
      <c r="D30" s="63">
        <f t="shared" si="10"/>
        <v>5</v>
      </c>
      <c r="E30" s="115">
        <f>'Q2 Base'!I12</f>
        <v>134000</v>
      </c>
      <c r="F30" s="116">
        <f>'Q2 Base'!J12</f>
        <v>130000</v>
      </c>
      <c r="G30" s="99">
        <f t="shared" si="11"/>
        <v>0</v>
      </c>
      <c r="H30" s="68">
        <f t="shared" si="0"/>
        <v>100</v>
      </c>
      <c r="I30" s="68">
        <f t="shared" si="1"/>
        <v>-6</v>
      </c>
      <c r="J30" s="118">
        <f>'Q2 Base'!D12</f>
        <v>1.240165235300353E-2</v>
      </c>
      <c r="K30" s="75">
        <f t="shared" si="2"/>
        <v>620.08261765017653</v>
      </c>
      <c r="L30" s="100">
        <f t="shared" si="3"/>
        <v>0.9875983476469965</v>
      </c>
      <c r="M30" s="68">
        <f t="shared" si="4"/>
        <v>9875.9834764699644</v>
      </c>
      <c r="N30" s="75">
        <f t="shared" si="12"/>
        <v>-10602.06609412014</v>
      </c>
      <c r="O30" s="104">
        <f t="shared" si="13"/>
        <v>0.96322645518221683</v>
      </c>
      <c r="P30" s="101">
        <f t="shared" si="5"/>
        <v>0.64993138629834524</v>
      </c>
      <c r="Q30" s="102">
        <f t="shared" si="6"/>
        <v>-6637.2231557454425</v>
      </c>
      <c r="R30" s="64">
        <f t="shared" si="7"/>
        <v>-5612.2148058904568</v>
      </c>
      <c r="S30" s="54">
        <f t="shared" si="8"/>
        <v>8040</v>
      </c>
      <c r="T30" s="54">
        <f t="shared" si="9"/>
        <v>3050.1487117703164</v>
      </c>
      <c r="U30" s="121">
        <f t="shared" si="14"/>
        <v>2937.9839314171272</v>
      </c>
      <c r="V30" s="54">
        <f t="shared" si="15"/>
        <v>1909.4879694681958</v>
      </c>
      <c r="W30" s="103">
        <f>SUM(V$26:V30)</f>
        <v>-6202.1324485698669</v>
      </c>
    </row>
    <row r="31" spans="1:23" x14ac:dyDescent="0.45">
      <c r="A31" s="64">
        <f t="shared" si="16"/>
        <v>75</v>
      </c>
      <c r="B31" s="63">
        <f t="shared" si="10"/>
        <v>76</v>
      </c>
      <c r="C31" s="64">
        <f t="shared" si="16"/>
        <v>5</v>
      </c>
      <c r="D31" s="63">
        <f t="shared" si="10"/>
        <v>6</v>
      </c>
      <c r="E31" s="115">
        <f>'Q2 Base'!I13</f>
        <v>130000</v>
      </c>
      <c r="F31" s="116">
        <f>'Q2 Base'!J13</f>
        <v>126000</v>
      </c>
      <c r="G31" s="99">
        <f t="shared" si="11"/>
        <v>0</v>
      </c>
      <c r="H31" s="68">
        <f t="shared" si="0"/>
        <v>100</v>
      </c>
      <c r="I31" s="68">
        <f t="shared" si="1"/>
        <v>-6</v>
      </c>
      <c r="J31" s="118">
        <f>'Q2 Base'!D13</f>
        <v>1.4062731473834012E-2</v>
      </c>
      <c r="K31" s="75">
        <f t="shared" si="2"/>
        <v>703.13657369170062</v>
      </c>
      <c r="L31" s="100">
        <f t="shared" si="3"/>
        <v>0.98593726852616603</v>
      </c>
      <c r="M31" s="68">
        <f t="shared" si="4"/>
        <v>9859.3726852616601</v>
      </c>
      <c r="N31" s="75">
        <f t="shared" si="12"/>
        <v>-10668.509258953361</v>
      </c>
      <c r="O31" s="104">
        <f t="shared" si="13"/>
        <v>0.95128085554783104</v>
      </c>
      <c r="P31" s="101">
        <f t="shared" si="5"/>
        <v>0.5962673268792158</v>
      </c>
      <c r="Q31" s="102">
        <f t="shared" si="6"/>
        <v>-6051.3672080004253</v>
      </c>
      <c r="R31" s="64">
        <f t="shared" si="7"/>
        <v>-5771.9041657030757</v>
      </c>
      <c r="S31" s="54">
        <f t="shared" si="8"/>
        <v>7800</v>
      </c>
      <c r="T31" s="54">
        <f t="shared" si="9"/>
        <v>2903.3949067497142</v>
      </c>
      <c r="U31" s="121">
        <f t="shared" si="14"/>
        <v>2761.9439908860832</v>
      </c>
      <c r="V31" s="54">
        <f t="shared" si="15"/>
        <v>1646.8569604357579</v>
      </c>
      <c r="W31" s="103">
        <f>SUM(V$26:V31)</f>
        <v>-4555.2754881341089</v>
      </c>
    </row>
    <row r="32" spans="1:23" x14ac:dyDescent="0.45">
      <c r="A32" s="64">
        <f t="shared" si="16"/>
        <v>76</v>
      </c>
      <c r="B32" s="63">
        <f t="shared" si="10"/>
        <v>77</v>
      </c>
      <c r="C32" s="64">
        <f t="shared" si="16"/>
        <v>6</v>
      </c>
      <c r="D32" s="63">
        <f t="shared" si="10"/>
        <v>7</v>
      </c>
      <c r="E32" s="115">
        <f>'Q2 Base'!I14</f>
        <v>126000</v>
      </c>
      <c r="F32" s="116">
        <f>'Q2 Base'!J14</f>
        <v>123000</v>
      </c>
      <c r="G32" s="99">
        <f t="shared" si="11"/>
        <v>0</v>
      </c>
      <c r="H32" s="68">
        <f t="shared" si="0"/>
        <v>100</v>
      </c>
      <c r="I32" s="68">
        <f t="shared" si="1"/>
        <v>-6</v>
      </c>
      <c r="J32" s="118">
        <f>'Q2 Base'!D14</f>
        <v>1.6005163318146186E-2</v>
      </c>
      <c r="K32" s="75">
        <f t="shared" si="2"/>
        <v>800.25816590730926</v>
      </c>
      <c r="L32" s="100">
        <f t="shared" si="3"/>
        <v>0.98399483668185384</v>
      </c>
      <c r="M32" s="68">
        <f t="shared" si="4"/>
        <v>9839.9483668185385</v>
      </c>
      <c r="N32" s="75">
        <f t="shared" si="12"/>
        <v>-10746.206532725848</v>
      </c>
      <c r="O32" s="104">
        <f t="shared" si="13"/>
        <v>0.93790324832006289</v>
      </c>
      <c r="P32" s="101">
        <f t="shared" si="5"/>
        <v>0.54703424484331731</v>
      </c>
      <c r="Q32" s="102">
        <f t="shared" si="6"/>
        <v>-5513.5045521668189</v>
      </c>
      <c r="R32" s="64">
        <f t="shared" si="7"/>
        <v>-4968.6350881319813</v>
      </c>
      <c r="S32" s="54">
        <f t="shared" si="8"/>
        <v>7560</v>
      </c>
      <c r="T32" s="54">
        <f t="shared" si="9"/>
        <v>1782.4285554061335</v>
      </c>
      <c r="U32" s="121">
        <f t="shared" si="14"/>
        <v>1671.7455320138497</v>
      </c>
      <c r="V32" s="54">
        <f t="shared" si="15"/>
        <v>914.50205467538603</v>
      </c>
      <c r="W32" s="103">
        <f>SUM(V$26:V32)</f>
        <v>-3640.773433458723</v>
      </c>
    </row>
    <row r="33" spans="1:23" x14ac:dyDescent="0.45">
      <c r="A33" s="64">
        <f t="shared" si="16"/>
        <v>77</v>
      </c>
      <c r="B33" s="63">
        <f t="shared" si="10"/>
        <v>78</v>
      </c>
      <c r="C33" s="64">
        <f t="shared" si="16"/>
        <v>7</v>
      </c>
      <c r="D33" s="63">
        <f t="shared" si="10"/>
        <v>8</v>
      </c>
      <c r="E33" s="115">
        <f>'Q2 Base'!I15</f>
        <v>123000</v>
      </c>
      <c r="F33" s="116">
        <f>'Q2 Base'!J15</f>
        <v>119000</v>
      </c>
      <c r="G33" s="99">
        <f t="shared" si="11"/>
        <v>0</v>
      </c>
      <c r="H33" s="68">
        <f t="shared" si="0"/>
        <v>100</v>
      </c>
      <c r="I33" s="68">
        <f t="shared" si="1"/>
        <v>-6</v>
      </c>
      <c r="J33" s="118">
        <f>'Q2 Base'!D15</f>
        <v>1.8277699026612734E-2</v>
      </c>
      <c r="K33" s="75">
        <f t="shared" si="2"/>
        <v>913.88495133063668</v>
      </c>
      <c r="L33" s="100">
        <f t="shared" si="3"/>
        <v>0.98172230097338731</v>
      </c>
      <c r="M33" s="68">
        <f t="shared" si="4"/>
        <v>9817.2230097338725</v>
      </c>
      <c r="N33" s="75">
        <f t="shared" si="12"/>
        <v>-10837.107961064508</v>
      </c>
      <c r="O33" s="104">
        <f t="shared" si="13"/>
        <v>0.9228919536540805</v>
      </c>
      <c r="P33" s="101">
        <f t="shared" si="5"/>
        <v>0.50186627967276809</v>
      </c>
      <c r="Q33" s="102">
        <f t="shared" si="6"/>
        <v>-5019.4054274064119</v>
      </c>
      <c r="R33" s="64">
        <f t="shared" si="7"/>
        <v>-6175.0461841669166</v>
      </c>
      <c r="S33" s="54">
        <f t="shared" si="8"/>
        <v>7380</v>
      </c>
      <c r="T33" s="54">
        <f t="shared" si="9"/>
        <v>2717.9382231024083</v>
      </c>
      <c r="U33" s="121">
        <f t="shared" si="14"/>
        <v>2508.3633166300815</v>
      </c>
      <c r="V33" s="54">
        <f t="shared" si="15"/>
        <v>1258.8629657847846</v>
      </c>
      <c r="W33" s="103">
        <f>SUM(V$26:V33)</f>
        <v>-2381.9104676739385</v>
      </c>
    </row>
    <row r="34" spans="1:23" x14ac:dyDescent="0.45">
      <c r="A34" s="64">
        <f t="shared" si="16"/>
        <v>78</v>
      </c>
      <c r="B34" s="63">
        <f t="shared" si="10"/>
        <v>79</v>
      </c>
      <c r="C34" s="64">
        <f t="shared" si="16"/>
        <v>8</v>
      </c>
      <c r="D34" s="63">
        <f t="shared" si="10"/>
        <v>9</v>
      </c>
      <c r="E34" s="115">
        <f>'Q2 Base'!I16</f>
        <v>119000</v>
      </c>
      <c r="F34" s="116">
        <f>'Q2 Base'!J16</f>
        <v>115000</v>
      </c>
      <c r="G34" s="99">
        <f t="shared" si="11"/>
        <v>0</v>
      </c>
      <c r="H34" s="68">
        <f t="shared" si="0"/>
        <v>100</v>
      </c>
      <c r="I34" s="68">
        <f t="shared" si="1"/>
        <v>-6</v>
      </c>
      <c r="J34" s="118">
        <f>'Q2 Base'!D16</f>
        <v>2.0931815339051432E-2</v>
      </c>
      <c r="K34" s="75">
        <f t="shared" si="2"/>
        <v>1046.5907669525716</v>
      </c>
      <c r="L34" s="100">
        <f t="shared" si="3"/>
        <v>0.97906818466094858</v>
      </c>
      <c r="M34" s="68">
        <f t="shared" si="4"/>
        <v>9790.6818466094865</v>
      </c>
      <c r="N34" s="75">
        <f t="shared" si="12"/>
        <v>-10943.272613562058</v>
      </c>
      <c r="O34" s="104">
        <f t="shared" si="13"/>
        <v>0.90602361229110862</v>
      </c>
      <c r="P34" s="101">
        <f t="shared" si="5"/>
        <v>0.46042777951630098</v>
      </c>
      <c r="Q34" s="102">
        <f t="shared" si="6"/>
        <v>-4565.0785319303313</v>
      </c>
      <c r="R34" s="64">
        <f t="shared" si="7"/>
        <v>-6407.1587639909121</v>
      </c>
      <c r="S34" s="54">
        <f t="shared" si="8"/>
        <v>7140</v>
      </c>
      <c r="T34" s="54">
        <f t="shared" si="9"/>
        <v>2603.8861504288543</v>
      </c>
      <c r="U34" s="121">
        <f t="shared" si="14"/>
        <v>2359.1823360063395</v>
      </c>
      <c r="V34" s="54">
        <f t="shared" si="15"/>
        <v>1086.2330844414787</v>
      </c>
      <c r="W34" s="103">
        <f>SUM(V$26:V34)</f>
        <v>-1295.6773832324598</v>
      </c>
    </row>
    <row r="35" spans="1:23" x14ac:dyDescent="0.45">
      <c r="A35" s="64">
        <f t="shared" si="16"/>
        <v>79</v>
      </c>
      <c r="B35" s="63">
        <f t="shared" si="10"/>
        <v>80</v>
      </c>
      <c r="C35" s="64">
        <f t="shared" si="16"/>
        <v>9</v>
      </c>
      <c r="D35" s="63">
        <f t="shared" si="10"/>
        <v>10</v>
      </c>
      <c r="E35" s="115">
        <f>'Q2 Base'!I17</f>
        <v>115000</v>
      </c>
      <c r="F35" s="116">
        <f>'Q2 Base'!J17</f>
        <v>112000</v>
      </c>
      <c r="G35" s="99">
        <f t="shared" si="11"/>
        <v>0</v>
      </c>
      <c r="H35" s="68">
        <f t="shared" si="0"/>
        <v>100</v>
      </c>
      <c r="I35" s="68">
        <f t="shared" si="1"/>
        <v>-6</v>
      </c>
      <c r="J35" s="118">
        <f>'Q2 Base'!D17</f>
        <v>2.4032269127910736E-2</v>
      </c>
      <c r="K35" s="75">
        <f t="shared" si="2"/>
        <v>1201.6134563955368</v>
      </c>
      <c r="L35" s="100">
        <f t="shared" si="3"/>
        <v>0.97596773087208921</v>
      </c>
      <c r="M35" s="68">
        <f t="shared" si="4"/>
        <v>9759.6773087208912</v>
      </c>
      <c r="N35" s="75">
        <f t="shared" si="12"/>
        <v>-11067.290765116428</v>
      </c>
      <c r="O35" s="104">
        <f t="shared" si="13"/>
        <v>0.88705889334581078</v>
      </c>
      <c r="P35" s="101">
        <f t="shared" si="5"/>
        <v>0.42241080689568894</v>
      </c>
      <c r="Q35" s="102">
        <f t="shared" si="6"/>
        <v>-4146.9499611765195</v>
      </c>
      <c r="R35" s="64">
        <f t="shared" si="7"/>
        <v>-5691.6141423260124</v>
      </c>
      <c r="S35" s="54">
        <f t="shared" si="8"/>
        <v>6900</v>
      </c>
      <c r="T35" s="54">
        <f t="shared" si="9"/>
        <v>1524.3233772095846</v>
      </c>
      <c r="U35" s="121">
        <f t="shared" si="14"/>
        <v>1352.1646080886831</v>
      </c>
      <c r="V35" s="54">
        <f t="shared" si="15"/>
        <v>571.16894315853358</v>
      </c>
      <c r="W35" s="103">
        <f>SUM(V$26:V35)</f>
        <v>-724.50844007392618</v>
      </c>
    </row>
    <row r="36" spans="1:23" x14ac:dyDescent="0.45">
      <c r="A36" s="64">
        <f t="shared" si="16"/>
        <v>80</v>
      </c>
      <c r="B36" s="63">
        <f t="shared" si="10"/>
        <v>81</v>
      </c>
      <c r="C36" s="64">
        <f t="shared" si="16"/>
        <v>10</v>
      </c>
      <c r="D36" s="63">
        <f t="shared" si="10"/>
        <v>11</v>
      </c>
      <c r="E36" s="115">
        <f>'Q2 Base'!I18</f>
        <v>112000</v>
      </c>
      <c r="F36" s="116">
        <f>'Q2 Base'!J18</f>
        <v>108000</v>
      </c>
      <c r="G36" s="99">
        <f t="shared" si="11"/>
        <v>0</v>
      </c>
      <c r="H36" s="68">
        <f t="shared" si="0"/>
        <v>100</v>
      </c>
      <c r="I36" s="68">
        <f t="shared" si="1"/>
        <v>-6</v>
      </c>
      <c r="J36" s="118">
        <f>'Q2 Base'!D18</f>
        <v>2.765167452676268E-2</v>
      </c>
      <c r="K36" s="75">
        <f t="shared" si="2"/>
        <v>1382.5837263381341</v>
      </c>
      <c r="L36" s="100">
        <f t="shared" si="3"/>
        <v>0.97234832547323735</v>
      </c>
      <c r="M36" s="68">
        <f t="shared" si="4"/>
        <v>9723.4832547323731</v>
      </c>
      <c r="N36" s="75">
        <f t="shared" si="12"/>
        <v>-11212.066981070508</v>
      </c>
      <c r="O36" s="104">
        <f t="shared" si="13"/>
        <v>0.86574085528861755</v>
      </c>
      <c r="P36" s="101">
        <f t="shared" si="5"/>
        <v>0.38753285036301738</v>
      </c>
      <c r="Q36" s="102">
        <f t="shared" si="6"/>
        <v>-3761.682347455438</v>
      </c>
      <c r="R36" s="64">
        <f t="shared" si="7"/>
        <v>-6986.3808488903596</v>
      </c>
      <c r="S36" s="54">
        <f t="shared" si="8"/>
        <v>6720</v>
      </c>
      <c r="T36" s="54">
        <f t="shared" si="9"/>
        <v>2494.313867819852</v>
      </c>
      <c r="U36" s="121">
        <f t="shared" si="14"/>
        <v>2159.4294212846185</v>
      </c>
      <c r="V36" s="54">
        <f t="shared" si="15"/>
        <v>836.84983878818923</v>
      </c>
      <c r="W36" s="103">
        <f>SUM(V$26:V36)</f>
        <v>112.34139871426305</v>
      </c>
    </row>
    <row r="37" spans="1:23" x14ac:dyDescent="0.45">
      <c r="A37" s="64">
        <f t="shared" si="16"/>
        <v>81</v>
      </c>
      <c r="B37" s="63">
        <f t="shared" si="10"/>
        <v>82</v>
      </c>
      <c r="C37" s="64">
        <f t="shared" si="16"/>
        <v>11</v>
      </c>
      <c r="D37" s="63">
        <f t="shared" si="10"/>
        <v>12</v>
      </c>
      <c r="E37" s="115">
        <f>'Q2 Base'!I19</f>
        <v>108000</v>
      </c>
      <c r="F37" s="116">
        <f>'Q2 Base'!J19</f>
        <v>104000</v>
      </c>
      <c r="G37" s="99">
        <f t="shared" si="11"/>
        <v>0</v>
      </c>
      <c r="H37" s="68">
        <f t="shared" si="0"/>
        <v>100</v>
      </c>
      <c r="I37" s="68">
        <f t="shared" si="1"/>
        <v>-6</v>
      </c>
      <c r="J37" s="118">
        <f>'Q2 Base'!D19</f>
        <v>3.1876457656245936E-2</v>
      </c>
      <c r="K37" s="75">
        <f t="shared" si="2"/>
        <v>1593.8228828122967</v>
      </c>
      <c r="L37" s="100">
        <f t="shared" si="3"/>
        <v>0.96812354234375408</v>
      </c>
      <c r="M37" s="68">
        <f t="shared" si="4"/>
        <v>9681.2354234375416</v>
      </c>
      <c r="N37" s="75">
        <f t="shared" si="12"/>
        <v>-11381.058306249839</v>
      </c>
      <c r="O37" s="104">
        <f t="shared" si="13"/>
        <v>0.84180167093365554</v>
      </c>
      <c r="P37" s="101">
        <f t="shared" si="5"/>
        <v>0.35553472510368567</v>
      </c>
      <c r="Q37" s="102">
        <f t="shared" si="6"/>
        <v>-3406.2338182801554</v>
      </c>
      <c r="R37" s="64">
        <f t="shared" si="7"/>
        <v>-7315.151596249576</v>
      </c>
      <c r="S37" s="54">
        <f t="shared" si="8"/>
        <v>6480</v>
      </c>
      <c r="T37" s="54">
        <f t="shared" si="9"/>
        <v>2414.093289999737</v>
      </c>
      <c r="U37" s="121">
        <f t="shared" si="14"/>
        <v>2032.1877653115046</v>
      </c>
      <c r="V37" s="54">
        <f t="shared" si="15"/>
        <v>722.51331849909911</v>
      </c>
      <c r="W37" s="103">
        <f>SUM(V$26:V37)</f>
        <v>834.85471721336216</v>
      </c>
    </row>
    <row r="38" spans="1:23" x14ac:dyDescent="0.45">
      <c r="A38" s="64">
        <f t="shared" si="16"/>
        <v>82</v>
      </c>
      <c r="B38" s="63">
        <f t="shared" si="10"/>
        <v>83</v>
      </c>
      <c r="C38" s="64">
        <f t="shared" si="16"/>
        <v>12</v>
      </c>
      <c r="D38" s="63">
        <f t="shared" si="10"/>
        <v>13</v>
      </c>
      <c r="E38" s="115">
        <f>'Q2 Base'!I20</f>
        <v>104000</v>
      </c>
      <c r="F38" s="116">
        <f>'Q2 Base'!J20</f>
        <v>101000</v>
      </c>
      <c r="G38" s="99">
        <f t="shared" si="11"/>
        <v>0</v>
      </c>
      <c r="H38" s="68">
        <f t="shared" si="0"/>
        <v>100</v>
      </c>
      <c r="I38" s="68">
        <f t="shared" si="1"/>
        <v>-6</v>
      </c>
      <c r="J38" s="118">
        <f>'Q2 Base'!D20</f>
        <v>3.680865954939682E-2</v>
      </c>
      <c r="K38" s="75">
        <f t="shared" si="2"/>
        <v>1840.432977469841</v>
      </c>
      <c r="L38" s="100">
        <f t="shared" si="3"/>
        <v>0.96319134045060317</v>
      </c>
      <c r="M38" s="68">
        <f t="shared" si="4"/>
        <v>9631.9134045060309</v>
      </c>
      <c r="N38" s="75">
        <f t="shared" si="12"/>
        <v>-11578.346381975873</v>
      </c>
      <c r="O38" s="104">
        <f t="shared" si="13"/>
        <v>0.81496801561518184</v>
      </c>
      <c r="P38" s="101">
        <f t="shared" si="5"/>
        <v>0.32617864688411524</v>
      </c>
      <c r="Q38" s="102">
        <f t="shared" si="6"/>
        <v>-3077.8158326362613</v>
      </c>
      <c r="R38" s="64">
        <f t="shared" si="7"/>
        <v>-6717.6746144890785</v>
      </c>
      <c r="S38" s="54">
        <f t="shared" si="8"/>
        <v>6240</v>
      </c>
      <c r="T38" s="54">
        <f t="shared" si="9"/>
        <v>1379.3282325132059</v>
      </c>
      <c r="U38" s="121">
        <f t="shared" si="14"/>
        <v>1124.1083925332834</v>
      </c>
      <c r="V38" s="54">
        <f t="shared" si="15"/>
        <v>366.66015442758425</v>
      </c>
      <c r="W38" s="103">
        <f>SUM(V$26:V38)</f>
        <v>1201.5148716409465</v>
      </c>
    </row>
    <row r="39" spans="1:23" x14ac:dyDescent="0.45">
      <c r="A39" s="64">
        <f t="shared" si="16"/>
        <v>83</v>
      </c>
      <c r="B39" s="63">
        <f t="shared" si="10"/>
        <v>84</v>
      </c>
      <c r="C39" s="64">
        <f t="shared" si="16"/>
        <v>13</v>
      </c>
      <c r="D39" s="63">
        <f t="shared" si="10"/>
        <v>14</v>
      </c>
      <c r="E39" s="115">
        <f>'Q2 Base'!I21</f>
        <v>101000</v>
      </c>
      <c r="F39" s="116">
        <f>'Q2 Base'!J21</f>
        <v>96900</v>
      </c>
      <c r="G39" s="99">
        <f t="shared" si="11"/>
        <v>0</v>
      </c>
      <c r="H39" s="68">
        <f t="shared" si="0"/>
        <v>100</v>
      </c>
      <c r="I39" s="68">
        <f t="shared" si="1"/>
        <v>-6</v>
      </c>
      <c r="J39" s="118">
        <f>'Q2 Base'!D21</f>
        <v>4.2567716373036017E-2</v>
      </c>
      <c r="K39" s="75">
        <f t="shared" si="2"/>
        <v>2128.3858186518009</v>
      </c>
      <c r="L39" s="100">
        <f t="shared" si="3"/>
        <v>0.95743228362696398</v>
      </c>
      <c r="M39" s="68">
        <f t="shared" si="4"/>
        <v>9574.3228362696391</v>
      </c>
      <c r="N39" s="75">
        <f t="shared" si="12"/>
        <v>-11808.70865492144</v>
      </c>
      <c r="O39" s="104">
        <f t="shared" si="13"/>
        <v>0.78497013538475513</v>
      </c>
      <c r="P39" s="101">
        <f t="shared" si="5"/>
        <v>0.29924646503129837</v>
      </c>
      <c r="Q39" s="102">
        <f t="shared" si="6"/>
        <v>-2773.8602094136459</v>
      </c>
      <c r="R39" s="64">
        <f t="shared" si="7"/>
        <v>-8224.8117165471922</v>
      </c>
      <c r="S39" s="54">
        <f t="shared" si="8"/>
        <v>6060</v>
      </c>
      <c r="T39" s="54">
        <f t="shared" si="9"/>
        <v>2476.1030616257522</v>
      </c>
      <c r="U39" s="121">
        <f t="shared" si="14"/>
        <v>1943.6669555109734</v>
      </c>
      <c r="V39" s="54">
        <f t="shared" si="15"/>
        <v>581.63546563480463</v>
      </c>
      <c r="W39" s="103">
        <f>SUM(V$26:V39)</f>
        <v>1783.1503372757511</v>
      </c>
    </row>
    <row r="40" spans="1:23" x14ac:dyDescent="0.45">
      <c r="A40" s="64">
        <f t="shared" si="16"/>
        <v>84</v>
      </c>
      <c r="B40" s="63">
        <f t="shared" si="10"/>
        <v>85</v>
      </c>
      <c r="C40" s="64">
        <f t="shared" si="16"/>
        <v>14</v>
      </c>
      <c r="D40" s="63">
        <f t="shared" si="10"/>
        <v>15</v>
      </c>
      <c r="E40" s="115">
        <f>'Q2 Base'!I22</f>
        <v>96900</v>
      </c>
      <c r="F40" s="116">
        <f>'Q2 Base'!J22</f>
        <v>93300</v>
      </c>
      <c r="G40" s="99">
        <f t="shared" si="11"/>
        <v>0</v>
      </c>
      <c r="H40" s="68">
        <f t="shared" si="0"/>
        <v>100</v>
      </c>
      <c r="I40" s="68">
        <f t="shared" si="1"/>
        <v>-6</v>
      </c>
      <c r="J40" s="118">
        <f>'Q2 Base'!D22</f>
        <v>4.9286820488150362E-2</v>
      </c>
      <c r="K40" s="75">
        <f t="shared" si="2"/>
        <v>2464.341024407518</v>
      </c>
      <c r="L40" s="100">
        <f t="shared" si="3"/>
        <v>0.95071317951184964</v>
      </c>
      <c r="M40" s="68">
        <f t="shared" si="4"/>
        <v>9507.1317951184956</v>
      </c>
      <c r="N40" s="75">
        <f t="shared" si="12"/>
        <v>-12077.472819526014</v>
      </c>
      <c r="O40" s="104">
        <f t="shared" si="13"/>
        <v>0.75155574930039315</v>
      </c>
      <c r="P40" s="101">
        <f t="shared" si="5"/>
        <v>0.27453804131311776</v>
      </c>
      <c r="Q40" s="102">
        <f t="shared" si="6"/>
        <v>-2491.9527369014932</v>
      </c>
      <c r="R40" s="64">
        <f t="shared" si="7"/>
        <v>-8198.4603515444323</v>
      </c>
      <c r="S40" s="54">
        <f t="shared" si="8"/>
        <v>5814</v>
      </c>
      <c r="T40" s="54">
        <f t="shared" si="9"/>
        <v>1934.9875320184183</v>
      </c>
      <c r="U40" s="121">
        <f t="shared" si="14"/>
        <v>1454.2510045130209</v>
      </c>
      <c r="V40" s="54">
        <f t="shared" si="15"/>
        <v>399.24722235663876</v>
      </c>
      <c r="W40" s="103">
        <f>SUM(V$26:V40)</f>
        <v>2182.3975596323899</v>
      </c>
    </row>
    <row r="41" spans="1:23" x14ac:dyDescent="0.45">
      <c r="A41" s="64">
        <f t="shared" si="16"/>
        <v>85</v>
      </c>
      <c r="B41" s="63">
        <f t="shared" si="10"/>
        <v>86</v>
      </c>
      <c r="C41" s="64">
        <f t="shared" si="16"/>
        <v>15</v>
      </c>
      <c r="D41" s="63">
        <f t="shared" si="10"/>
        <v>16</v>
      </c>
      <c r="E41" s="115">
        <f>'Q2 Base'!I23</f>
        <v>93300</v>
      </c>
      <c r="F41" s="116">
        <f>'Q2 Base'!J23</f>
        <v>89700</v>
      </c>
      <c r="G41" s="99">
        <f t="shared" si="11"/>
        <v>0</v>
      </c>
      <c r="H41" s="68">
        <f t="shared" si="0"/>
        <v>100</v>
      </c>
      <c r="I41" s="68">
        <f t="shared" si="1"/>
        <v>-6</v>
      </c>
      <c r="J41" s="118">
        <f>'Q2 Base'!D23</f>
        <v>5.712313755302547E-2</v>
      </c>
      <c r="K41" s="75">
        <f t="shared" si="2"/>
        <v>2856.1568776512736</v>
      </c>
      <c r="L41" s="100">
        <f t="shared" si="3"/>
        <v>0.94287686244697455</v>
      </c>
      <c r="M41" s="68">
        <f t="shared" si="4"/>
        <v>9428.7686244697452</v>
      </c>
      <c r="N41" s="75">
        <f t="shared" si="12"/>
        <v>-12390.925502121019</v>
      </c>
      <c r="O41" s="104">
        <f t="shared" si="13"/>
        <v>0.71451395599778733</v>
      </c>
      <c r="P41" s="101">
        <f t="shared" si="5"/>
        <v>0.2518697626725851</v>
      </c>
      <c r="Q41" s="102">
        <f t="shared" si="6"/>
        <v>-2229.9262233750046</v>
      </c>
      <c r="R41" s="64">
        <f t="shared" si="7"/>
        <v>-8723.9454385063873</v>
      </c>
      <c r="S41" s="54">
        <f t="shared" si="8"/>
        <v>5598</v>
      </c>
      <c r="T41" s="54">
        <f t="shared" si="9"/>
        <v>1931.0199363853681</v>
      </c>
      <c r="U41" s="121">
        <f t="shared" si="14"/>
        <v>1379.7406938573049</v>
      </c>
      <c r="V41" s="54">
        <f t="shared" si="15"/>
        <v>347.51496111154728</v>
      </c>
      <c r="W41" s="103">
        <f>SUM(V$26:V41)</f>
        <v>2529.912520743937</v>
      </c>
    </row>
    <row r="42" spans="1:23" x14ac:dyDescent="0.45">
      <c r="A42" s="64">
        <f t="shared" si="16"/>
        <v>86</v>
      </c>
      <c r="B42" s="63">
        <f t="shared" si="10"/>
        <v>87</v>
      </c>
      <c r="C42" s="64">
        <f t="shared" si="16"/>
        <v>16</v>
      </c>
      <c r="D42" s="63">
        <f t="shared" si="10"/>
        <v>17</v>
      </c>
      <c r="E42" s="115">
        <f>'Q2 Base'!I24</f>
        <v>89700</v>
      </c>
      <c r="F42" s="116">
        <f>'Q2 Base'!J24</f>
        <v>86200</v>
      </c>
      <c r="G42" s="99">
        <f t="shared" si="11"/>
        <v>0</v>
      </c>
      <c r="H42" s="68">
        <f t="shared" si="0"/>
        <v>100</v>
      </c>
      <c r="I42" s="68">
        <f t="shared" si="1"/>
        <v>-6</v>
      </c>
      <c r="J42" s="118">
        <f>'Q2 Base'!D24</f>
        <v>6.6270255322157232E-2</v>
      </c>
      <c r="K42" s="75">
        <f t="shared" si="2"/>
        <v>3313.5127661078614</v>
      </c>
      <c r="L42" s="100">
        <f t="shared" si="3"/>
        <v>0.93372974467784275</v>
      </c>
      <c r="M42" s="68">
        <f t="shared" si="4"/>
        <v>9337.2974467784279</v>
      </c>
      <c r="N42" s="75">
        <f t="shared" si="12"/>
        <v>-12756.810212886288</v>
      </c>
      <c r="O42" s="104">
        <f t="shared" si="13"/>
        <v>0.67369867700576935</v>
      </c>
      <c r="P42" s="101">
        <f t="shared" si="5"/>
        <v>0.23107317676383954</v>
      </c>
      <c r="Q42" s="102">
        <f t="shared" si="6"/>
        <v>-1985.8997628291922</v>
      </c>
      <c r="R42" s="64">
        <f t="shared" si="7"/>
        <v>-9212.4960087699583</v>
      </c>
      <c r="S42" s="54">
        <f t="shared" si="8"/>
        <v>5382</v>
      </c>
      <c r="T42" s="54">
        <f t="shared" si="9"/>
        <v>1837.6857958836699</v>
      </c>
      <c r="U42" s="121">
        <f t="shared" si="14"/>
        <v>1238.0464894391228</v>
      </c>
      <c r="V42" s="54">
        <f t="shared" si="15"/>
        <v>286.0793352960174</v>
      </c>
      <c r="W42" s="103">
        <f>SUM(V$26:V42)</f>
        <v>2815.9918560399542</v>
      </c>
    </row>
    <row r="43" spans="1:23" x14ac:dyDescent="0.45">
      <c r="A43" s="64">
        <f t="shared" si="16"/>
        <v>87</v>
      </c>
      <c r="B43" s="63">
        <f t="shared" si="10"/>
        <v>88</v>
      </c>
      <c r="C43" s="64">
        <f t="shared" si="16"/>
        <v>17</v>
      </c>
      <c r="D43" s="63">
        <f t="shared" si="10"/>
        <v>18</v>
      </c>
      <c r="E43" s="115">
        <f>'Q2 Base'!I25</f>
        <v>86200</v>
      </c>
      <c r="F43" s="116">
        <f>'Q2 Base'!J25</f>
        <v>82800</v>
      </c>
      <c r="G43" s="99">
        <f t="shared" si="11"/>
        <v>0</v>
      </c>
      <c r="H43" s="68">
        <f t="shared" si="0"/>
        <v>100</v>
      </c>
      <c r="I43" s="68">
        <f t="shared" si="1"/>
        <v>-6</v>
      </c>
      <c r="J43" s="118">
        <f>'Q2 Base'!D25</f>
        <v>7.6926421010511517E-2</v>
      </c>
      <c r="K43" s="75">
        <f t="shared" si="2"/>
        <v>3846.3210505255756</v>
      </c>
      <c r="L43" s="100">
        <f t="shared" si="3"/>
        <v>0.9230735789894885</v>
      </c>
      <c r="M43" s="68">
        <f t="shared" si="4"/>
        <v>9230.7357898948849</v>
      </c>
      <c r="N43" s="75">
        <f t="shared" si="12"/>
        <v>-13183.056840420461</v>
      </c>
      <c r="O43" s="104">
        <f t="shared" si="13"/>
        <v>0.62905249367039751</v>
      </c>
      <c r="P43" s="101">
        <f t="shared" si="5"/>
        <v>0.21199374015031147</v>
      </c>
      <c r="Q43" s="102">
        <f t="shared" si="6"/>
        <v>-1758.0290613897848</v>
      </c>
      <c r="R43" s="64">
        <f t="shared" si="7"/>
        <v>-9769.5076596703584</v>
      </c>
      <c r="S43" s="54">
        <f t="shared" si="8"/>
        <v>5172</v>
      </c>
      <c r="T43" s="54">
        <f t="shared" si="9"/>
        <v>1758.4508192498979</v>
      </c>
      <c r="U43" s="121">
        <f t="shared" si="14"/>
        <v>1106.1578728459017</v>
      </c>
      <c r="V43" s="54">
        <f t="shared" si="15"/>
        <v>234.49854466131535</v>
      </c>
      <c r="W43" s="103">
        <f>SUM(V$26:V43)</f>
        <v>3050.4904007012697</v>
      </c>
    </row>
    <row r="44" spans="1:23" x14ac:dyDescent="0.45">
      <c r="A44" s="64">
        <f t="shared" si="16"/>
        <v>88</v>
      </c>
      <c r="B44" s="63">
        <f t="shared" si="10"/>
        <v>89</v>
      </c>
      <c r="C44" s="64">
        <f t="shared" si="16"/>
        <v>18</v>
      </c>
      <c r="D44" s="63">
        <f t="shared" si="10"/>
        <v>19</v>
      </c>
      <c r="E44" s="115">
        <f>'Q2 Base'!I26</f>
        <v>82800</v>
      </c>
      <c r="F44" s="116">
        <f>'Q2 Base'!J26</f>
        <v>79500</v>
      </c>
      <c r="G44" s="99">
        <f t="shared" si="11"/>
        <v>0</v>
      </c>
      <c r="H44" s="68">
        <f t="shared" si="0"/>
        <v>100</v>
      </c>
      <c r="I44" s="68">
        <f t="shared" si="1"/>
        <v>-6</v>
      </c>
      <c r="J44" s="118">
        <f>'Q2 Base'!D26</f>
        <v>8.9290991308776047E-2</v>
      </c>
      <c r="K44" s="75">
        <f t="shared" si="2"/>
        <v>4464.5495654388023</v>
      </c>
      <c r="L44" s="100">
        <f t="shared" si="3"/>
        <v>0.91070900869122395</v>
      </c>
      <c r="M44" s="68">
        <f t="shared" si="4"/>
        <v>9107.0900869122397</v>
      </c>
      <c r="N44" s="75">
        <f t="shared" si="12"/>
        <v>-13677.639652351041</v>
      </c>
      <c r="O44" s="104">
        <f t="shared" si="13"/>
        <v>0.58066173670459642</v>
      </c>
      <c r="P44" s="101">
        <f t="shared" si="5"/>
        <v>0.19448966986267105</v>
      </c>
      <c r="Q44" s="102">
        <f t="shared" si="6"/>
        <v>-1544.6529051430341</v>
      </c>
      <c r="R44" s="64">
        <f t="shared" si="7"/>
        <v>-10398.633809047693</v>
      </c>
      <c r="S44" s="54">
        <f t="shared" si="8"/>
        <v>4968</v>
      </c>
      <c r="T44" s="54">
        <f t="shared" si="9"/>
        <v>1688.9941566966518</v>
      </c>
      <c r="U44" s="121">
        <f t="shared" si="14"/>
        <v>980.73428031139304</v>
      </c>
      <c r="V44" s="54">
        <f t="shared" si="15"/>
        <v>190.74268640076713</v>
      </c>
      <c r="W44" s="103">
        <f>SUM(V$26:V44)</f>
        <v>3241.2330871020367</v>
      </c>
    </row>
    <row r="45" spans="1:23" x14ac:dyDescent="0.45">
      <c r="A45" s="64">
        <f t="shared" si="16"/>
        <v>89</v>
      </c>
      <c r="B45" s="63">
        <f t="shared" si="10"/>
        <v>90</v>
      </c>
      <c r="C45" s="64">
        <f t="shared" si="16"/>
        <v>19</v>
      </c>
      <c r="D45" s="63">
        <f t="shared" si="10"/>
        <v>20</v>
      </c>
      <c r="E45" s="115">
        <f>'Q2 Base'!I27</f>
        <v>79500</v>
      </c>
      <c r="F45" s="116">
        <f>'Q2 Base'!J27</f>
        <v>76200</v>
      </c>
      <c r="G45" s="99">
        <f t="shared" si="11"/>
        <v>0</v>
      </c>
      <c r="H45" s="68">
        <f t="shared" si="0"/>
        <v>100</v>
      </c>
      <c r="I45" s="68">
        <f t="shared" si="1"/>
        <v>-6</v>
      </c>
      <c r="J45" s="118">
        <f>'Q2 Base'!D27</f>
        <v>0.10351974810963289</v>
      </c>
      <c r="K45" s="75">
        <f t="shared" si="2"/>
        <v>5175.9874054816446</v>
      </c>
      <c r="L45" s="100">
        <f t="shared" si="3"/>
        <v>0.89648025189036706</v>
      </c>
      <c r="M45" s="68">
        <f t="shared" si="4"/>
        <v>8964.8025189036707</v>
      </c>
      <c r="N45" s="75">
        <f t="shared" si="12"/>
        <v>-14246.789924385315</v>
      </c>
      <c r="O45" s="104">
        <f t="shared" si="13"/>
        <v>0.52881387461916751</v>
      </c>
      <c r="P45" s="101">
        <f t="shared" si="5"/>
        <v>0.17843088978226704</v>
      </c>
      <c r="Q45" s="102">
        <f t="shared" si="6"/>
        <v>-1344.28051279084</v>
      </c>
      <c r="R45" s="64">
        <f t="shared" si="7"/>
        <v>-11188.204805954025</v>
      </c>
      <c r="S45" s="54">
        <f t="shared" si="8"/>
        <v>4770</v>
      </c>
      <c r="T45" s="54">
        <f t="shared" si="9"/>
        <v>1711.4148815687095</v>
      </c>
      <c r="U45" s="121">
        <f t="shared" si="14"/>
        <v>905.01993460325298</v>
      </c>
      <c r="V45" s="54">
        <f t="shared" si="15"/>
        <v>161.48351220194755</v>
      </c>
      <c r="W45" s="103">
        <f>SUM(V$26:V45)</f>
        <v>3402.7165993039844</v>
      </c>
    </row>
    <row r="46" spans="1:23" x14ac:dyDescent="0.45">
      <c r="A46" s="64">
        <f t="shared" si="16"/>
        <v>90</v>
      </c>
      <c r="B46" s="63">
        <f t="shared" si="10"/>
        <v>91</v>
      </c>
      <c r="C46" s="64">
        <f t="shared" si="16"/>
        <v>20</v>
      </c>
      <c r="D46" s="63">
        <f t="shared" si="10"/>
        <v>21</v>
      </c>
      <c r="E46" s="115">
        <f>'Q2 Base'!I28</f>
        <v>76200</v>
      </c>
      <c r="F46" s="116">
        <f>'Q2 Base'!J28</f>
        <v>73000</v>
      </c>
      <c r="G46" s="99">
        <f t="shared" si="11"/>
        <v>0</v>
      </c>
      <c r="H46" s="68">
        <f t="shared" si="0"/>
        <v>100</v>
      </c>
      <c r="I46" s="68">
        <f t="shared" si="1"/>
        <v>-6</v>
      </c>
      <c r="J46" s="118">
        <f>'Q2 Base'!D28</f>
        <v>0.11970432764550082</v>
      </c>
      <c r="K46" s="75">
        <f t="shared" si="2"/>
        <v>5985.2163822750408</v>
      </c>
      <c r="L46" s="100">
        <f t="shared" si="3"/>
        <v>0.88029567235449924</v>
      </c>
      <c r="M46" s="68">
        <f t="shared" si="4"/>
        <v>8802.9567235449922</v>
      </c>
      <c r="N46" s="75">
        <f t="shared" si="12"/>
        <v>-14894.173105820033</v>
      </c>
      <c r="O46" s="104">
        <f t="shared" si="13"/>
        <v>0.47407119552171229</v>
      </c>
      <c r="P46" s="101">
        <f t="shared" si="5"/>
        <v>0.16369806402042844</v>
      </c>
      <c r="Q46" s="102">
        <f t="shared" si="6"/>
        <v>-1155.8554066053516</v>
      </c>
      <c r="R46" s="64">
        <f t="shared" si="7"/>
        <v>-11938.415918121558</v>
      </c>
      <c r="S46" s="54">
        <f t="shared" si="8"/>
        <v>4572</v>
      </c>
      <c r="T46" s="54">
        <f t="shared" si="9"/>
        <v>1616.2428123015252</v>
      </c>
      <c r="U46" s="121">
        <f t="shared" si="14"/>
        <v>766.21416228115845</v>
      </c>
      <c r="V46" s="54">
        <f t="shared" si="15"/>
        <v>125.42777499046002</v>
      </c>
      <c r="W46" s="103">
        <f>SUM(V$26:V46)</f>
        <v>3528.1443742944443</v>
      </c>
    </row>
    <row r="47" spans="1:23" x14ac:dyDescent="0.45">
      <c r="A47" s="64">
        <f t="shared" si="16"/>
        <v>91</v>
      </c>
      <c r="B47" s="63">
        <f t="shared" si="10"/>
        <v>92</v>
      </c>
      <c r="C47" s="64">
        <f t="shared" si="16"/>
        <v>21</v>
      </c>
      <c r="D47" s="63">
        <f t="shared" si="10"/>
        <v>22</v>
      </c>
      <c r="E47" s="115">
        <f>'Q2 Base'!I29</f>
        <v>73000</v>
      </c>
      <c r="F47" s="116">
        <f>'Q2 Base'!J29</f>
        <v>69700</v>
      </c>
      <c r="G47" s="99">
        <f t="shared" si="11"/>
        <v>0</v>
      </c>
      <c r="H47" s="68">
        <f t="shared" si="0"/>
        <v>100</v>
      </c>
      <c r="I47" s="68">
        <f t="shared" si="1"/>
        <v>-6</v>
      </c>
      <c r="J47" s="118">
        <f>'Q2 Base'!D29</f>
        <v>0.13799544957303669</v>
      </c>
      <c r="K47" s="75">
        <f t="shared" si="2"/>
        <v>6899.7724786518347</v>
      </c>
      <c r="L47" s="100">
        <f t="shared" si="3"/>
        <v>0.86200455042696333</v>
      </c>
      <c r="M47" s="68">
        <f t="shared" si="4"/>
        <v>8620.045504269634</v>
      </c>
      <c r="N47" s="75">
        <f t="shared" si="12"/>
        <v>-15625.817982921468</v>
      </c>
      <c r="O47" s="104">
        <f t="shared" si="13"/>
        <v>0.41732282180568697</v>
      </c>
      <c r="P47" s="101">
        <f t="shared" si="5"/>
        <v>0.15018171011048481</v>
      </c>
      <c r="Q47" s="102">
        <f t="shared" si="6"/>
        <v>-979.33650157823149</v>
      </c>
      <c r="R47" s="64">
        <f t="shared" si="7"/>
        <v>-12918.282835240658</v>
      </c>
      <c r="S47" s="54">
        <f t="shared" si="8"/>
        <v>4380</v>
      </c>
      <c r="T47" s="54">
        <f t="shared" si="9"/>
        <v>1672.46485231919</v>
      </c>
      <c r="U47" s="121">
        <f t="shared" si="14"/>
        <v>697.95775154067587</v>
      </c>
      <c r="V47" s="54">
        <f t="shared" si="15"/>
        <v>104.82048871124756</v>
      </c>
      <c r="W47" s="103">
        <f>SUM(V$26:V47)</f>
        <v>3632.9648630056918</v>
      </c>
    </row>
    <row r="48" spans="1:23" x14ac:dyDescent="0.45">
      <c r="A48" s="64">
        <f t="shared" si="16"/>
        <v>92</v>
      </c>
      <c r="B48" s="63">
        <f t="shared" si="10"/>
        <v>93</v>
      </c>
      <c r="C48" s="64">
        <f t="shared" si="16"/>
        <v>22</v>
      </c>
      <c r="D48" s="63">
        <f t="shared" si="10"/>
        <v>23</v>
      </c>
      <c r="E48" s="115">
        <f>'Q2 Base'!I30</f>
        <v>69700</v>
      </c>
      <c r="F48" s="116">
        <f>'Q2 Base'!J30</f>
        <v>66400</v>
      </c>
      <c r="G48" s="99">
        <f t="shared" si="11"/>
        <v>0</v>
      </c>
      <c r="H48" s="68">
        <f t="shared" si="0"/>
        <v>100</v>
      </c>
      <c r="I48" s="68">
        <f t="shared" si="1"/>
        <v>-6</v>
      </c>
      <c r="J48" s="118">
        <f>'Q2 Base'!D30</f>
        <v>0.15848213593977958</v>
      </c>
      <c r="K48" s="75">
        <f t="shared" si="2"/>
        <v>7924.1067969889791</v>
      </c>
      <c r="L48" s="100">
        <f t="shared" si="3"/>
        <v>0.84151786406022044</v>
      </c>
      <c r="M48" s="68">
        <f t="shared" si="4"/>
        <v>8415.1786406022038</v>
      </c>
      <c r="N48" s="75">
        <f t="shared" si="12"/>
        <v>-16445.285437591185</v>
      </c>
      <c r="O48" s="104">
        <f t="shared" si="13"/>
        <v>0.35973417139352293</v>
      </c>
      <c r="P48" s="101">
        <f t="shared" si="5"/>
        <v>0.13778138542246313</v>
      </c>
      <c r="Q48" s="102">
        <f t="shared" si="6"/>
        <v>-815.1051871858424</v>
      </c>
      <c r="R48" s="64">
        <f t="shared" si="7"/>
        <v>-13823.213826401363</v>
      </c>
      <c r="S48" s="54">
        <f t="shared" si="8"/>
        <v>4182</v>
      </c>
      <c r="T48" s="54">
        <f t="shared" si="9"/>
        <v>1559.9283888101781</v>
      </c>
      <c r="U48" s="121">
        <f t="shared" si="14"/>
        <v>561.1595463818627</v>
      </c>
      <c r="V48" s="54">
        <f t="shared" si="15"/>
        <v>77.317339743533992</v>
      </c>
      <c r="W48" s="103">
        <f>SUM(V$26:V48)</f>
        <v>3710.2822027492257</v>
      </c>
    </row>
    <row r="49" spans="1:23" x14ac:dyDescent="0.45">
      <c r="A49" s="64">
        <f t="shared" si="16"/>
        <v>93</v>
      </c>
      <c r="B49" s="63">
        <f t="shared" si="10"/>
        <v>94</v>
      </c>
      <c r="C49" s="64">
        <f t="shared" si="16"/>
        <v>23</v>
      </c>
      <c r="D49" s="63">
        <f t="shared" si="10"/>
        <v>24</v>
      </c>
      <c r="E49" s="115">
        <f>'Q2 Base'!I31</f>
        <v>66400</v>
      </c>
      <c r="F49" s="116">
        <f>'Q2 Base'!J31</f>
        <v>62800</v>
      </c>
      <c r="G49" s="99">
        <f t="shared" si="11"/>
        <v>0</v>
      </c>
      <c r="H49" s="68">
        <f t="shared" si="0"/>
        <v>100</v>
      </c>
      <c r="I49" s="68">
        <f t="shared" si="1"/>
        <v>-6</v>
      </c>
      <c r="J49" s="118">
        <f>'Q2 Base'!D31</f>
        <v>0.18110969616408049</v>
      </c>
      <c r="K49" s="75">
        <f t="shared" si="2"/>
        <v>9055.4848082040244</v>
      </c>
      <c r="L49" s="100">
        <f t="shared" si="3"/>
        <v>0.81889030383591954</v>
      </c>
      <c r="M49" s="68">
        <f t="shared" si="4"/>
        <v>8188.9030383591953</v>
      </c>
      <c r="N49" s="75">
        <f t="shared" si="12"/>
        <v>-17350.387846563219</v>
      </c>
      <c r="O49" s="104">
        <f t="shared" si="13"/>
        <v>0.30272273154055068</v>
      </c>
      <c r="P49" s="101">
        <f t="shared" si="5"/>
        <v>0.12640494075455333</v>
      </c>
      <c r="Q49" s="102">
        <f t="shared" si="6"/>
        <v>-663.92385040381441</v>
      </c>
      <c r="R49" s="64">
        <f t="shared" si="7"/>
        <v>-14973.68891910425</v>
      </c>
      <c r="S49" s="54">
        <f t="shared" si="8"/>
        <v>3984</v>
      </c>
      <c r="T49" s="54">
        <f t="shared" si="9"/>
        <v>1607.3010725410313</v>
      </c>
      <c r="U49" s="121">
        <f t="shared" si="14"/>
        <v>486.5665710876778</v>
      </c>
      <c r="V49" s="54">
        <f t="shared" si="15"/>
        <v>61.504418591484075</v>
      </c>
      <c r="W49" s="103">
        <f>SUM(V$26:V49)</f>
        <v>3771.7866213407096</v>
      </c>
    </row>
    <row r="50" spans="1:23" x14ac:dyDescent="0.45">
      <c r="A50" s="64">
        <f t="shared" si="16"/>
        <v>94</v>
      </c>
      <c r="B50" s="63">
        <f t="shared" si="10"/>
        <v>95</v>
      </c>
      <c r="C50" s="64">
        <f t="shared" si="16"/>
        <v>24</v>
      </c>
      <c r="D50" s="63">
        <f t="shared" si="10"/>
        <v>25</v>
      </c>
      <c r="E50" s="115">
        <f>'Q2 Base'!I32</f>
        <v>62800</v>
      </c>
      <c r="F50" s="116">
        <f>'Q2 Base'!J32</f>
        <v>58700</v>
      </c>
      <c r="G50" s="99">
        <f t="shared" si="11"/>
        <v>0</v>
      </c>
      <c r="H50" s="68">
        <f t="shared" si="0"/>
        <v>100</v>
      </c>
      <c r="I50" s="68">
        <f t="shared" si="1"/>
        <v>-6</v>
      </c>
      <c r="J50" s="118">
        <f>'Q2 Base'!D32</f>
        <v>0.20567776043554389</v>
      </c>
      <c r="K50" s="75">
        <f t="shared" si="2"/>
        <v>10283.888021777195</v>
      </c>
      <c r="L50" s="100">
        <f t="shared" si="3"/>
        <v>0.79432223956445613</v>
      </c>
      <c r="M50" s="68">
        <f t="shared" si="4"/>
        <v>7943.2223956445614</v>
      </c>
      <c r="N50" s="75">
        <f t="shared" si="12"/>
        <v>-18333.110417421754</v>
      </c>
      <c r="O50" s="104">
        <f t="shared" si="13"/>
        <v>0.24789670960928106</v>
      </c>
      <c r="P50" s="101">
        <f t="shared" si="5"/>
        <v>0.11596783555463605</v>
      </c>
      <c r="Q50" s="102">
        <f t="shared" si="6"/>
        <v>-527.04108060262388</v>
      </c>
      <c r="R50" s="64">
        <f t="shared" si="7"/>
        <v>-16173.284537566426</v>
      </c>
      <c r="S50" s="54">
        <f t="shared" si="8"/>
        <v>3768</v>
      </c>
      <c r="T50" s="54">
        <f t="shared" si="9"/>
        <v>1608.1741201446712</v>
      </c>
      <c r="U50" s="121">
        <f t="shared" si="14"/>
        <v>398.66107286266464</v>
      </c>
      <c r="V50" s="54">
        <f t="shared" si="15"/>
        <v>46.23186173977227</v>
      </c>
      <c r="W50" s="103">
        <f>SUM(V$26:V50)</f>
        <v>3818.0184830804819</v>
      </c>
    </row>
    <row r="51" spans="1:23" x14ac:dyDescent="0.45">
      <c r="A51" s="64">
        <f t="shared" si="16"/>
        <v>95</v>
      </c>
      <c r="B51" s="63">
        <f t="shared" si="10"/>
        <v>96</v>
      </c>
      <c r="C51" s="64">
        <f t="shared" si="16"/>
        <v>25</v>
      </c>
      <c r="D51" s="63">
        <f t="shared" si="10"/>
        <v>26</v>
      </c>
      <c r="E51" s="115">
        <f>'Q2 Base'!I33</f>
        <v>58700</v>
      </c>
      <c r="F51" s="116">
        <f>'Q2 Base'!J33</f>
        <v>53800</v>
      </c>
      <c r="G51" s="99">
        <f t="shared" si="11"/>
        <v>0</v>
      </c>
      <c r="H51" s="68">
        <f t="shared" si="0"/>
        <v>100</v>
      </c>
      <c r="I51" s="68">
        <f t="shared" si="1"/>
        <v>-6</v>
      </c>
      <c r="J51" s="118">
        <f>'Q2 Base'!D33</f>
        <v>0.23180765717624996</v>
      </c>
      <c r="K51" s="75">
        <f t="shared" si="2"/>
        <v>11590.382858812498</v>
      </c>
      <c r="L51" s="100">
        <f t="shared" si="3"/>
        <v>0.76819234282375004</v>
      </c>
      <c r="M51" s="68">
        <f t="shared" si="4"/>
        <v>7681.9234282375</v>
      </c>
      <c r="N51" s="75">
        <f t="shared" si="12"/>
        <v>-19378.30628705</v>
      </c>
      <c r="O51" s="104">
        <f t="shared" si="13"/>
        <v>0.19690986955750378</v>
      </c>
      <c r="P51" s="101">
        <f t="shared" si="5"/>
        <v>0.10639250968315234</v>
      </c>
      <c r="Q51" s="102">
        <f t="shared" si="6"/>
        <v>-405.97038540805119</v>
      </c>
      <c r="R51" s="64">
        <f t="shared" si="7"/>
        <v>-17371.251956082247</v>
      </c>
      <c r="S51" s="54">
        <f t="shared" si="8"/>
        <v>3522</v>
      </c>
      <c r="T51" s="54">
        <f t="shared" si="9"/>
        <v>1514.9456690322477</v>
      </c>
      <c r="U51" s="121">
        <f t="shared" si="14"/>
        <v>298.3077540758452</v>
      </c>
      <c r="V51" s="54">
        <f t="shared" si="15"/>
        <v>31.737710614073787</v>
      </c>
      <c r="W51" s="103">
        <f>SUM(V$26:V51)</f>
        <v>3849.7561936945558</v>
      </c>
    </row>
    <row r="52" spans="1:23" x14ac:dyDescent="0.45">
      <c r="A52" s="64">
        <f t="shared" si="16"/>
        <v>96</v>
      </c>
      <c r="B52" s="63">
        <f t="shared" si="10"/>
        <v>97</v>
      </c>
      <c r="C52" s="64">
        <f t="shared" si="16"/>
        <v>26</v>
      </c>
      <c r="D52" s="63">
        <f t="shared" si="10"/>
        <v>27</v>
      </c>
      <c r="E52" s="115">
        <f>'Q2 Base'!I34</f>
        <v>53800</v>
      </c>
      <c r="F52" s="116">
        <f>'Q2 Base'!J34</f>
        <v>47300</v>
      </c>
      <c r="G52" s="99">
        <f t="shared" si="11"/>
        <v>0</v>
      </c>
      <c r="H52" s="68">
        <f t="shared" si="0"/>
        <v>100</v>
      </c>
      <c r="I52" s="68">
        <f t="shared" si="1"/>
        <v>-6</v>
      </c>
      <c r="J52" s="118">
        <f>'Q2 Base'!D34</f>
        <v>0.2604302280539752</v>
      </c>
      <c r="K52" s="75">
        <f t="shared" si="2"/>
        <v>13021.511402698759</v>
      </c>
      <c r="L52" s="100">
        <f t="shared" si="3"/>
        <v>0.7395697719460248</v>
      </c>
      <c r="M52" s="68">
        <f t="shared" si="4"/>
        <v>7395.6977194602478</v>
      </c>
      <c r="N52" s="75">
        <f t="shared" si="12"/>
        <v>-20523.209122159009</v>
      </c>
      <c r="O52" s="104">
        <f t="shared" si="13"/>
        <v>0.15126465402049785</v>
      </c>
      <c r="P52" s="101">
        <f t="shared" si="5"/>
        <v>9.7607807048763609E-2</v>
      </c>
      <c r="Q52" s="102">
        <f t="shared" si="6"/>
        <v>-303.01720250419089</v>
      </c>
      <c r="R52" s="64">
        <f t="shared" si="7"/>
        <v>-18818.349786953026</v>
      </c>
      <c r="S52" s="54">
        <f t="shared" si="8"/>
        <v>3228</v>
      </c>
      <c r="T52" s="54">
        <f t="shared" si="9"/>
        <v>1523.1406647940166</v>
      </c>
      <c r="U52" s="121">
        <f t="shared" si="14"/>
        <v>230.39734568461802</v>
      </c>
      <c r="V52" s="54">
        <f t="shared" si="15"/>
        <v>22.488579662131485</v>
      </c>
      <c r="W52" s="103">
        <f>SUM(V$26:V52)</f>
        <v>3872.2447733566873</v>
      </c>
    </row>
    <row r="53" spans="1:23" x14ac:dyDescent="0.45">
      <c r="A53" s="64">
        <f t="shared" si="16"/>
        <v>97</v>
      </c>
      <c r="B53" s="63">
        <f t="shared" si="10"/>
        <v>98</v>
      </c>
      <c r="C53" s="64">
        <f t="shared" si="16"/>
        <v>27</v>
      </c>
      <c r="D53" s="63">
        <f t="shared" si="10"/>
        <v>28</v>
      </c>
      <c r="E53" s="115">
        <f>'Q2 Base'!I35</f>
        <v>47300</v>
      </c>
      <c r="F53" s="116">
        <f>'Q2 Base'!J35</f>
        <v>38100</v>
      </c>
      <c r="G53" s="99">
        <f t="shared" si="11"/>
        <v>0</v>
      </c>
      <c r="H53" s="68">
        <f t="shared" si="0"/>
        <v>100</v>
      </c>
      <c r="I53" s="68">
        <f t="shared" si="1"/>
        <v>-6</v>
      </c>
      <c r="J53" s="118">
        <f>'Q2 Base'!D35</f>
        <v>0.2902582780500334</v>
      </c>
      <c r="K53" s="75">
        <f t="shared" si="2"/>
        <v>14512.91390250167</v>
      </c>
      <c r="L53" s="100">
        <f t="shared" si="3"/>
        <v>0.70974172194996665</v>
      </c>
      <c r="M53" s="68">
        <f t="shared" si="4"/>
        <v>7097.4172194996663</v>
      </c>
      <c r="N53" s="75">
        <f t="shared" si="12"/>
        <v>-21716.331122001335</v>
      </c>
      <c r="O53" s="104">
        <f t="shared" si="13"/>
        <v>0.11187076567743394</v>
      </c>
      <c r="P53" s="101">
        <f t="shared" si="5"/>
        <v>8.954844683372809E-2</v>
      </c>
      <c r="Q53" s="102">
        <f t="shared" si="6"/>
        <v>-217.55101966619515</v>
      </c>
      <c r="R53" s="64">
        <f t="shared" si="7"/>
        <v>-20258.840393706272</v>
      </c>
      <c r="S53" s="54">
        <f t="shared" si="8"/>
        <v>2838</v>
      </c>
      <c r="T53" s="54">
        <f t="shared" si="9"/>
        <v>1380.5092717049374</v>
      </c>
      <c r="U53" s="121">
        <f t="shared" si="14"/>
        <v>154.43862925042805</v>
      </c>
      <c r="V53" s="54">
        <f t="shared" si="15"/>
        <v>13.829739380505799</v>
      </c>
      <c r="W53" s="103">
        <f>SUM(V$26:V53)</f>
        <v>3886.0745127371933</v>
      </c>
    </row>
    <row r="54" spans="1:23" x14ac:dyDescent="0.45">
      <c r="A54" s="64">
        <f t="shared" si="16"/>
        <v>98</v>
      </c>
      <c r="B54" s="63">
        <f t="shared" si="10"/>
        <v>99</v>
      </c>
      <c r="C54" s="64">
        <f t="shared" si="16"/>
        <v>28</v>
      </c>
      <c r="D54" s="63">
        <f t="shared" si="10"/>
        <v>29</v>
      </c>
      <c r="E54" s="115">
        <f>'Q2 Base'!I36</f>
        <v>38100</v>
      </c>
      <c r="F54" s="116">
        <f>'Q2 Base'!J36</f>
        <v>23800</v>
      </c>
      <c r="G54" s="99">
        <f t="shared" si="11"/>
        <v>0</v>
      </c>
      <c r="H54" s="68">
        <f t="shared" si="0"/>
        <v>100</v>
      </c>
      <c r="I54" s="68">
        <f t="shared" si="1"/>
        <v>-6</v>
      </c>
      <c r="J54" s="118">
        <f>'Q2 Base'!D36</f>
        <v>0.32064925726252119</v>
      </c>
      <c r="K54" s="75">
        <f t="shared" si="2"/>
        <v>16032.46286312606</v>
      </c>
      <c r="L54" s="100">
        <f t="shared" si="3"/>
        <v>0.67935074273747875</v>
      </c>
      <c r="M54" s="68">
        <f t="shared" si="4"/>
        <v>6793.5074273747878</v>
      </c>
      <c r="N54" s="75">
        <f t="shared" si="12"/>
        <v>-22931.970290500849</v>
      </c>
      <c r="O54" s="104">
        <f t="shared" si="13"/>
        <v>7.9399349867763189E-2</v>
      </c>
      <c r="P54" s="101">
        <f t="shared" si="5"/>
        <v>8.2154538379567044E-2</v>
      </c>
      <c r="Q54" s="102">
        <f t="shared" si="6"/>
        <v>-149.58563058133217</v>
      </c>
      <c r="R54" s="64">
        <f t="shared" si="7"/>
        <v>-21931.452322848007</v>
      </c>
      <c r="S54" s="54">
        <f t="shared" si="8"/>
        <v>2286</v>
      </c>
      <c r="T54" s="54">
        <f t="shared" si="9"/>
        <v>1285.4820323471577</v>
      </c>
      <c r="U54" s="121">
        <f t="shared" si="14"/>
        <v>102.06643763505525</v>
      </c>
      <c r="V54" s="54">
        <f t="shared" si="15"/>
        <v>8.3852210679548325</v>
      </c>
      <c r="W54" s="103">
        <f>SUM(V$26:V54)</f>
        <v>3894.4597338051481</v>
      </c>
    </row>
    <row r="55" spans="1:23" x14ac:dyDescent="0.45">
      <c r="A55" s="64">
        <f t="shared" si="16"/>
        <v>99</v>
      </c>
      <c r="B55" s="63">
        <f t="shared" si="10"/>
        <v>100</v>
      </c>
      <c r="C55" s="64">
        <f t="shared" si="16"/>
        <v>29</v>
      </c>
      <c r="D55" s="63">
        <f t="shared" si="10"/>
        <v>30</v>
      </c>
      <c r="E55" s="115">
        <f>'Q2 Base'!I37</f>
        <v>23800</v>
      </c>
      <c r="F55" s="116">
        <f>'Q2 Base'!J37</f>
        <v>0</v>
      </c>
      <c r="G55" s="99">
        <f t="shared" si="11"/>
        <v>0</v>
      </c>
      <c r="H55" s="68">
        <f t="shared" si="0"/>
        <v>100</v>
      </c>
      <c r="I55" s="68">
        <f t="shared" si="1"/>
        <v>-6</v>
      </c>
      <c r="J55" s="118">
        <f>'Q2 Base'!D37</f>
        <v>0.35092340385031207</v>
      </c>
      <c r="K55" s="75">
        <f t="shared" si="2"/>
        <v>17546.170192515605</v>
      </c>
      <c r="L55" s="100">
        <f t="shared" si="3"/>
        <v>0.64907659614968793</v>
      </c>
      <c r="M55" s="68">
        <f t="shared" si="4"/>
        <v>6490.7659614968798</v>
      </c>
      <c r="N55" s="75">
        <f t="shared" si="12"/>
        <v>-24142.936154012485</v>
      </c>
      <c r="O55" s="104">
        <f t="shared" si="13"/>
        <v>5.3940007305537857E-2</v>
      </c>
      <c r="P55" s="101">
        <f t="shared" si="5"/>
        <v>7.5371136128043151E-2</v>
      </c>
      <c r="Q55" s="102">
        <f t="shared" si="6"/>
        <v>-98.153580941416692</v>
      </c>
      <c r="R55" s="64">
        <f t="shared" si="7"/>
        <v>-23800</v>
      </c>
      <c r="S55" s="54">
        <f t="shared" si="8"/>
        <v>1428</v>
      </c>
      <c r="T55" s="54">
        <f t="shared" si="9"/>
        <v>1085.0638459875154</v>
      </c>
      <c r="U55" s="121">
        <f t="shared" si="14"/>
        <v>58.52835177954158</v>
      </c>
      <c r="V55" s="54">
        <f t="shared" si="15"/>
        <v>4.4113483693258253</v>
      </c>
      <c r="W55" s="103">
        <f>SUM($V$26:V55)</f>
        <v>3898.8710821744739</v>
      </c>
    </row>
  </sheetData>
  <mergeCells count="2">
    <mergeCell ref="P22:Q23"/>
    <mergeCell ref="R22:W23"/>
  </mergeCells>
  <conditionalFormatting sqref="U26:U55">
    <cfRule type="cellIs" dxfId="3" priority="1" operator="lessThan">
      <formula>0</formula>
    </cfRule>
    <cfRule type="cellIs" dxfId="2" priority="2" operator="greaterThan">
      <formula>0</formula>
    </cfRule>
  </conditionalFormatting>
  <pageMargins left="0.7" right="0.7" top="0.75" bottom="0.75" header="0.3" footer="0.3"/>
  <pageSetup paperSize="9" orientation="portrait" horizontalDpi="0" verticalDpi="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C8CA9-957A-4E85-89F2-08861ECAA55E}">
  <dimension ref="A1:Y55"/>
  <sheetViews>
    <sheetView workbookViewId="0">
      <pane xSplit="6" ySplit="25" topLeftCell="G26" activePane="bottomRight" state="frozen"/>
      <selection pane="topRight" activeCell="G1" sqref="G1"/>
      <selection pane="bottomLeft" activeCell="A26" sqref="A26"/>
      <selection pane="bottomRight" activeCell="J12" sqref="J12"/>
    </sheetView>
  </sheetViews>
  <sheetFormatPr defaultRowHeight="14.25" x14ac:dyDescent="0.45"/>
  <cols>
    <col min="1" max="1" width="11.796875" customWidth="1"/>
    <col min="2" max="2" width="13" customWidth="1"/>
    <col min="3" max="3" width="9.796875" bestFit="1" customWidth="1"/>
    <col min="4" max="4" width="15.6640625" customWidth="1"/>
    <col min="5" max="5" width="10.6640625" bestFit="1" customWidth="1"/>
    <col min="6" max="6" width="9.796875" bestFit="1" customWidth="1"/>
    <col min="8" max="8" width="15.9296875" customWidth="1"/>
    <col min="9" max="9" width="12.1328125" customWidth="1"/>
    <col min="10" max="10" width="12.9296875" customWidth="1"/>
    <col min="12" max="12" width="13.265625" customWidth="1"/>
    <col min="14" max="14" width="9.265625" bestFit="1" customWidth="1"/>
    <col min="15" max="15" width="15.73046875" bestFit="1" customWidth="1"/>
    <col min="16" max="17" width="15.06640625" customWidth="1"/>
    <col min="19" max="19" width="9.19921875" bestFit="1" customWidth="1"/>
    <col min="21" max="21" width="10.3984375" bestFit="1" customWidth="1"/>
    <col min="23" max="23" width="17.33203125" bestFit="1" customWidth="1"/>
    <col min="24" max="24" width="14.9296875" bestFit="1" customWidth="1"/>
    <col min="25" max="25" width="13.3984375" bestFit="1" customWidth="1"/>
    <col min="26" max="26" width="21.19921875" bestFit="1" customWidth="1"/>
    <col min="27" max="27" width="19.1328125" bestFit="1" customWidth="1"/>
    <col min="28" max="28" width="21.19921875" bestFit="1" customWidth="1"/>
  </cols>
  <sheetData>
    <row r="1" spans="1:25" x14ac:dyDescent="0.45">
      <c r="A1" s="107"/>
      <c r="B1" s="54"/>
      <c r="C1" s="54"/>
      <c r="D1" s="54"/>
      <c r="E1" s="54"/>
      <c r="F1" s="54"/>
      <c r="G1" s="54"/>
      <c r="H1" s="54"/>
      <c r="I1" s="54"/>
      <c r="J1" s="54"/>
      <c r="K1" s="54"/>
      <c r="L1" s="54"/>
      <c r="M1" s="54"/>
      <c r="N1" s="54"/>
      <c r="O1" s="55"/>
      <c r="P1" s="54"/>
      <c r="Q1" s="54"/>
      <c r="R1" s="54"/>
      <c r="S1" s="54"/>
      <c r="T1" s="54"/>
      <c r="U1" s="54"/>
    </row>
    <row r="2" spans="1:25" ht="21" x14ac:dyDescent="0.65">
      <c r="A2" s="54"/>
      <c r="B2" s="56" t="s">
        <v>104</v>
      </c>
      <c r="C2" s="54"/>
      <c r="D2" s="54"/>
      <c r="E2" s="54"/>
      <c r="F2" s="54"/>
      <c r="G2" s="54"/>
      <c r="H2" s="54"/>
      <c r="I2" s="54"/>
      <c r="J2" s="54"/>
      <c r="K2" s="54"/>
      <c r="L2" s="54"/>
      <c r="M2" s="54"/>
      <c r="N2" s="54"/>
      <c r="O2" s="54"/>
      <c r="P2" s="54"/>
      <c r="Q2" s="54"/>
      <c r="R2" s="54"/>
      <c r="S2" s="54"/>
      <c r="T2" s="54"/>
      <c r="U2" s="54"/>
    </row>
    <row r="3" spans="1:25" x14ac:dyDescent="0.45">
      <c r="A3" s="54"/>
      <c r="B3" s="54"/>
      <c r="C3" s="54"/>
      <c r="D3" s="54"/>
      <c r="E3" s="54"/>
      <c r="F3" s="54"/>
      <c r="G3" s="54"/>
      <c r="H3" s="54"/>
      <c r="I3" s="54"/>
      <c r="J3" s="54"/>
      <c r="K3" s="54"/>
      <c r="L3" s="54"/>
      <c r="M3" s="54"/>
      <c r="N3" s="54"/>
      <c r="O3" s="54"/>
      <c r="P3" s="54"/>
      <c r="Q3" s="54"/>
      <c r="R3" s="54"/>
      <c r="S3" s="54"/>
      <c r="T3" s="66"/>
      <c r="U3" s="54"/>
      <c r="V3" s="54"/>
      <c r="W3" s="54"/>
      <c r="X3" s="54"/>
      <c r="Y3" s="54"/>
    </row>
    <row r="4" spans="1:25" ht="14.65" thickBot="1" x14ac:dyDescent="0.5">
      <c r="A4" s="54"/>
      <c r="B4" s="54"/>
      <c r="C4" s="54"/>
      <c r="D4" s="54"/>
      <c r="E4" s="54"/>
      <c r="F4" s="54"/>
      <c r="G4" s="54"/>
      <c r="H4" s="54"/>
      <c r="I4" s="54"/>
      <c r="J4" s="54"/>
      <c r="K4" s="54"/>
      <c r="L4" s="54"/>
      <c r="M4" s="54"/>
      <c r="N4" s="54"/>
      <c r="O4" s="54"/>
      <c r="P4" s="54"/>
      <c r="Q4" s="54"/>
      <c r="R4" s="54"/>
      <c r="S4" s="54"/>
      <c r="T4" s="54"/>
      <c r="U4" s="54"/>
      <c r="V4" s="54"/>
      <c r="W4" s="54"/>
      <c r="X4" s="54"/>
      <c r="Y4" s="54"/>
    </row>
    <row r="5" spans="1:25" ht="14.65" thickBot="1" x14ac:dyDescent="0.5">
      <c r="A5" s="54"/>
      <c r="B5" s="39" t="s">
        <v>2</v>
      </c>
      <c r="C5" s="57"/>
      <c r="D5" s="57"/>
      <c r="E5" s="57"/>
      <c r="F5" s="58"/>
      <c r="G5" s="54"/>
      <c r="H5" s="39" t="s">
        <v>13</v>
      </c>
      <c r="I5" s="57"/>
      <c r="J5" s="57"/>
      <c r="K5" s="58"/>
      <c r="L5" s="54"/>
      <c r="M5" s="54"/>
      <c r="N5" s="59"/>
      <c r="O5" s="54"/>
      <c r="P5" s="54"/>
      <c r="Q5" s="54"/>
      <c r="R5" s="54"/>
      <c r="S5" s="54"/>
      <c r="T5" s="54"/>
      <c r="U5" s="54"/>
      <c r="V5" s="54"/>
      <c r="W5" s="54"/>
      <c r="X5" s="54"/>
      <c r="Y5" s="54"/>
    </row>
    <row r="6" spans="1:25" ht="14.65" thickBot="1" x14ac:dyDescent="0.5">
      <c r="A6" s="54"/>
      <c r="B6" s="60" t="s">
        <v>108</v>
      </c>
      <c r="C6" s="61"/>
      <c r="D6" s="61"/>
      <c r="E6" s="117">
        <v>140000</v>
      </c>
      <c r="F6" s="63"/>
      <c r="G6" s="54"/>
      <c r="H6" s="64"/>
      <c r="I6" s="54"/>
      <c r="J6" s="54"/>
      <c r="K6" s="63"/>
      <c r="L6" s="54"/>
      <c r="M6" s="54"/>
      <c r="N6" s="54"/>
      <c r="O6" s="54"/>
      <c r="P6" s="54"/>
      <c r="Q6" s="54"/>
      <c r="R6" s="54"/>
      <c r="S6" s="54"/>
      <c r="T6" s="54"/>
      <c r="U6" s="54"/>
      <c r="V6" s="54"/>
      <c r="W6" s="54"/>
      <c r="X6" s="54"/>
      <c r="Y6" s="54"/>
    </row>
    <row r="7" spans="1:25" ht="14.65" thickBot="1" x14ac:dyDescent="0.5">
      <c r="A7" s="54"/>
      <c r="B7" s="60" t="s">
        <v>68</v>
      </c>
      <c r="C7" s="61"/>
      <c r="D7" s="61"/>
      <c r="E7" s="62">
        <v>10000</v>
      </c>
      <c r="F7" s="63"/>
      <c r="G7" s="54"/>
      <c r="H7" s="64"/>
      <c r="I7" s="54"/>
      <c r="J7" s="54"/>
      <c r="K7" s="63"/>
      <c r="M7" s="54"/>
      <c r="S7" s="54"/>
      <c r="T7" s="54"/>
      <c r="U7" s="54"/>
      <c r="V7" s="54"/>
      <c r="W7" s="54"/>
      <c r="X7" s="54"/>
      <c r="Y7" s="54"/>
    </row>
    <row r="8" spans="1:25" ht="14.65" thickBot="1" x14ac:dyDescent="0.5">
      <c r="A8" s="54"/>
      <c r="B8" s="60" t="s">
        <v>70</v>
      </c>
      <c r="C8" s="61"/>
      <c r="D8" s="61"/>
      <c r="E8" s="62">
        <v>100</v>
      </c>
      <c r="F8" s="63"/>
      <c r="G8" s="54"/>
      <c r="H8" s="67" t="s">
        <v>69</v>
      </c>
      <c r="I8" s="54"/>
      <c r="J8" s="54"/>
      <c r="K8" s="63"/>
      <c r="M8" s="54"/>
      <c r="S8" s="54"/>
      <c r="T8" s="66"/>
      <c r="U8" s="61"/>
      <c r="V8" s="54"/>
      <c r="W8" s="54"/>
      <c r="X8" s="54"/>
      <c r="Y8" s="54"/>
    </row>
    <row r="9" spans="1:25" ht="14.65" thickBot="1" x14ac:dyDescent="0.5">
      <c r="A9" s="54"/>
      <c r="B9" s="60" t="s">
        <v>31</v>
      </c>
      <c r="C9" s="61"/>
      <c r="D9" s="61"/>
      <c r="E9" s="117">
        <v>50000</v>
      </c>
      <c r="F9" s="63"/>
      <c r="G9" s="54"/>
      <c r="H9" s="64"/>
      <c r="I9" s="54"/>
      <c r="J9" s="54"/>
      <c r="K9" s="63"/>
      <c r="M9" s="54"/>
      <c r="S9" s="54"/>
      <c r="T9" s="54"/>
      <c r="U9" s="61"/>
      <c r="V9" s="54"/>
      <c r="W9" s="54"/>
      <c r="X9" s="54"/>
      <c r="Y9" s="54"/>
    </row>
    <row r="10" spans="1:25" ht="14.65" thickBot="1" x14ac:dyDescent="0.5">
      <c r="A10" s="54"/>
      <c r="B10" s="60" t="s">
        <v>105</v>
      </c>
      <c r="C10" s="61"/>
      <c r="D10" s="61"/>
      <c r="E10" s="117">
        <v>10000</v>
      </c>
      <c r="F10" s="63"/>
      <c r="G10" s="54"/>
      <c r="H10" s="64" t="s">
        <v>114</v>
      </c>
      <c r="I10" s="54"/>
      <c r="J10" s="122">
        <f>SUM(V26:V55)</f>
        <v>9.3314100799690713E-4</v>
      </c>
      <c r="K10" s="63"/>
      <c r="M10" s="54"/>
      <c r="S10" s="54"/>
      <c r="T10" s="54"/>
      <c r="U10" s="61"/>
      <c r="V10" s="54"/>
      <c r="W10" s="54"/>
      <c r="X10" s="54"/>
      <c r="Y10" s="54"/>
    </row>
    <row r="11" spans="1:25" ht="14.65" thickBot="1" x14ac:dyDescent="0.5">
      <c r="A11" s="54"/>
      <c r="B11" s="60" t="s">
        <v>109</v>
      </c>
      <c r="C11" s="61"/>
      <c r="D11" s="61"/>
      <c r="E11" s="65">
        <v>0.06</v>
      </c>
      <c r="F11" s="63"/>
      <c r="G11" s="54"/>
      <c r="H11" s="64"/>
      <c r="I11" s="54"/>
      <c r="J11" s="54"/>
      <c r="K11" s="63"/>
      <c r="M11" s="54"/>
      <c r="S11" s="54"/>
      <c r="T11" s="54"/>
      <c r="U11" s="54"/>
      <c r="V11" s="54"/>
      <c r="W11" s="54"/>
      <c r="X11" s="54"/>
      <c r="Y11" s="54"/>
    </row>
    <row r="12" spans="1:25" ht="14.65" thickBot="1" x14ac:dyDescent="0.5">
      <c r="A12" s="54"/>
      <c r="B12" s="60" t="s">
        <v>115</v>
      </c>
      <c r="C12" s="61"/>
      <c r="D12" s="61"/>
      <c r="E12" s="125">
        <f>J13</f>
        <v>0.13368106486327885</v>
      </c>
      <c r="F12" s="5"/>
      <c r="G12" s="54"/>
      <c r="H12" s="64"/>
      <c r="I12" s="54"/>
      <c r="J12" s="54"/>
      <c r="K12" s="63"/>
      <c r="M12" s="54"/>
      <c r="S12" s="54"/>
      <c r="T12" s="54"/>
      <c r="U12" s="54"/>
      <c r="V12" s="54"/>
      <c r="W12" s="54"/>
      <c r="X12" s="54"/>
      <c r="Y12" s="54"/>
    </row>
    <row r="13" spans="1:25" ht="14.65" thickBot="1" x14ac:dyDescent="0.5">
      <c r="A13" s="54"/>
      <c r="B13" s="60" t="s">
        <v>72</v>
      </c>
      <c r="C13" s="61"/>
      <c r="D13" s="61"/>
      <c r="E13" s="69">
        <v>30</v>
      </c>
      <c r="F13" s="63"/>
      <c r="G13" s="54"/>
      <c r="H13" s="64" t="s">
        <v>116</v>
      </c>
      <c r="I13" s="54"/>
      <c r="J13" s="126">
        <v>0.13368106486327885</v>
      </c>
      <c r="K13" s="132">
        <v>4</v>
      </c>
      <c r="M13" s="54"/>
      <c r="S13" s="54"/>
      <c r="T13" s="54"/>
      <c r="U13" s="54"/>
      <c r="V13" s="54"/>
      <c r="W13" s="54"/>
      <c r="X13" s="54"/>
      <c r="Y13" s="54"/>
    </row>
    <row r="14" spans="1:25" x14ac:dyDescent="0.45">
      <c r="A14" s="54"/>
      <c r="B14" s="4"/>
      <c r="F14" s="63"/>
      <c r="G14" s="54"/>
      <c r="H14" s="64"/>
      <c r="I14" s="54"/>
      <c r="J14" s="54"/>
      <c r="K14" s="63"/>
      <c r="M14" s="54"/>
      <c r="S14" s="54"/>
      <c r="T14" s="54"/>
      <c r="U14" s="54"/>
      <c r="V14" s="54"/>
      <c r="W14" s="54"/>
      <c r="X14" s="54"/>
      <c r="Y14" s="54"/>
    </row>
    <row r="15" spans="1:25" ht="14.65" thickBot="1" x14ac:dyDescent="0.5">
      <c r="A15" s="54"/>
      <c r="B15" s="9"/>
      <c r="C15" s="10"/>
      <c r="D15" s="10"/>
      <c r="E15" s="10"/>
      <c r="F15" s="72"/>
      <c r="G15" s="54"/>
      <c r="H15" s="64"/>
      <c r="I15" s="54"/>
      <c r="J15" s="54"/>
      <c r="K15" s="63"/>
      <c r="M15" s="54"/>
      <c r="S15" s="54"/>
      <c r="T15" s="54"/>
      <c r="U15" s="54"/>
      <c r="V15" s="54"/>
      <c r="W15" s="54"/>
      <c r="X15" s="54"/>
      <c r="Y15" s="54"/>
    </row>
    <row r="16" spans="1:25" ht="14.65" thickBot="1" x14ac:dyDescent="0.5">
      <c r="A16" s="54"/>
      <c r="G16" s="54"/>
      <c r="H16" s="73"/>
      <c r="I16" s="74"/>
      <c r="J16" s="74"/>
      <c r="K16" s="72"/>
      <c r="M16" s="54"/>
      <c r="S16" s="54"/>
      <c r="T16" s="54"/>
      <c r="U16" s="54"/>
    </row>
    <row r="17" spans="1:23" x14ac:dyDescent="0.45">
      <c r="A17" s="54"/>
      <c r="G17" s="54"/>
      <c r="H17" s="54"/>
      <c r="I17" s="54"/>
      <c r="J17" s="54"/>
      <c r="K17" s="54"/>
      <c r="M17" s="54"/>
      <c r="S17" s="54"/>
      <c r="T17" s="54"/>
      <c r="U17" s="54"/>
    </row>
    <row r="18" spans="1:23" x14ac:dyDescent="0.45">
      <c r="A18" s="54"/>
      <c r="G18" s="54"/>
      <c r="H18" s="54"/>
      <c r="I18" s="54"/>
      <c r="J18" s="54"/>
      <c r="K18" s="54"/>
      <c r="M18" s="54"/>
      <c r="S18" s="54"/>
      <c r="T18" s="54"/>
      <c r="U18" s="54"/>
    </row>
    <row r="19" spans="1:23" x14ac:dyDescent="0.45">
      <c r="A19" s="54"/>
      <c r="B19" s="54"/>
      <c r="C19" s="54"/>
      <c r="D19" s="54"/>
      <c r="E19" s="54"/>
      <c r="F19" s="54"/>
      <c r="G19" s="54"/>
      <c r="H19" s="54"/>
      <c r="I19" s="54"/>
      <c r="J19" s="54"/>
      <c r="K19" s="54"/>
      <c r="M19" s="54"/>
      <c r="S19" s="75"/>
      <c r="T19" s="54"/>
      <c r="U19" s="54"/>
    </row>
    <row r="20" spans="1:23" x14ac:dyDescent="0.45">
      <c r="C20" s="54"/>
      <c r="D20" s="54"/>
      <c r="E20" s="54"/>
      <c r="F20" s="54"/>
      <c r="G20" s="54"/>
      <c r="H20" s="54"/>
      <c r="I20" s="54"/>
      <c r="J20" s="54"/>
      <c r="K20" s="54"/>
      <c r="L20" s="54"/>
      <c r="M20" s="54"/>
      <c r="N20" s="54"/>
      <c r="O20" s="54"/>
      <c r="P20" s="54"/>
      <c r="Q20" s="54"/>
      <c r="R20" s="54"/>
      <c r="S20" s="120"/>
      <c r="T20" s="54"/>
      <c r="U20" s="54"/>
      <c r="V20" s="54"/>
      <c r="W20" s="54"/>
    </row>
    <row r="21" spans="1:23" ht="14.65" thickBot="1" x14ac:dyDescent="0.5">
      <c r="C21" s="54"/>
      <c r="D21" s="54"/>
      <c r="E21" s="54"/>
      <c r="F21" s="54"/>
      <c r="G21" s="54"/>
      <c r="H21" s="54"/>
      <c r="I21" s="54"/>
      <c r="J21" s="54"/>
      <c r="K21" s="54"/>
      <c r="L21" s="54"/>
      <c r="M21" s="54"/>
      <c r="N21" s="54"/>
      <c r="O21" s="54"/>
      <c r="P21" s="54"/>
      <c r="Q21" s="54"/>
      <c r="R21" s="54"/>
      <c r="S21" s="54"/>
      <c r="T21" s="54"/>
      <c r="U21" s="54"/>
      <c r="V21" s="54"/>
      <c r="W21" s="54"/>
    </row>
    <row r="22" spans="1:23" ht="14.65" thickBot="1" x14ac:dyDescent="0.5">
      <c r="C22" s="54"/>
      <c r="D22" s="54"/>
      <c r="E22" s="54"/>
      <c r="F22" s="54"/>
      <c r="G22" s="54"/>
      <c r="H22" s="54"/>
      <c r="I22" s="54"/>
      <c r="J22" s="54"/>
      <c r="K22" s="54"/>
      <c r="L22" s="54"/>
      <c r="M22" s="54"/>
      <c r="N22" s="54"/>
      <c r="O22" s="54"/>
      <c r="P22" s="137" t="s">
        <v>73</v>
      </c>
      <c r="Q22" s="138"/>
      <c r="R22" s="137" t="s">
        <v>74</v>
      </c>
      <c r="S22" s="141"/>
      <c r="T22" s="141"/>
      <c r="U22" s="141"/>
      <c r="V22" s="141"/>
      <c r="W22" s="138"/>
    </row>
    <row r="23" spans="1:23" ht="14.65" thickBot="1" x14ac:dyDescent="0.5">
      <c r="A23" s="108" t="s">
        <v>106</v>
      </c>
      <c r="B23" s="76" t="s">
        <v>106</v>
      </c>
      <c r="C23" s="108" t="s">
        <v>75</v>
      </c>
      <c r="D23" s="76" t="s">
        <v>75</v>
      </c>
      <c r="E23" s="77"/>
      <c r="F23" s="78"/>
      <c r="G23" s="54"/>
      <c r="H23" s="54"/>
      <c r="I23" s="54"/>
      <c r="J23" s="54"/>
      <c r="K23" s="54"/>
      <c r="L23" s="54"/>
      <c r="M23" s="54"/>
      <c r="N23" s="54"/>
      <c r="O23" s="54"/>
      <c r="P23" s="139"/>
      <c r="Q23" s="140"/>
      <c r="R23" s="139"/>
      <c r="S23" s="142"/>
      <c r="T23" s="142"/>
      <c r="U23" s="142"/>
      <c r="V23" s="142"/>
      <c r="W23" s="140"/>
    </row>
    <row r="24" spans="1:23" x14ac:dyDescent="0.45">
      <c r="A24" s="60" t="s">
        <v>97</v>
      </c>
      <c r="B24" s="79" t="s">
        <v>76</v>
      </c>
      <c r="C24" s="60" t="s">
        <v>97</v>
      </c>
      <c r="D24" s="79" t="s">
        <v>76</v>
      </c>
      <c r="E24" s="80" t="s">
        <v>77</v>
      </c>
      <c r="F24" s="81" t="s">
        <v>78</v>
      </c>
      <c r="G24" s="82" t="s">
        <v>16</v>
      </c>
      <c r="H24" s="83" t="s">
        <v>28</v>
      </c>
      <c r="I24" s="83" t="s">
        <v>0</v>
      </c>
      <c r="J24" s="84" t="s">
        <v>9</v>
      </c>
      <c r="K24" s="83" t="s">
        <v>79</v>
      </c>
      <c r="L24" s="83" t="s">
        <v>10</v>
      </c>
      <c r="M24" s="83" t="s">
        <v>80</v>
      </c>
      <c r="N24" s="84" t="s">
        <v>81</v>
      </c>
      <c r="O24" s="84" t="s">
        <v>82</v>
      </c>
      <c r="P24" s="82" t="s">
        <v>83</v>
      </c>
      <c r="Q24" s="85" t="s">
        <v>84</v>
      </c>
      <c r="R24" s="86" t="s">
        <v>85</v>
      </c>
      <c r="S24" s="84" t="s">
        <v>86</v>
      </c>
      <c r="T24" s="84" t="s">
        <v>87</v>
      </c>
      <c r="U24" s="84" t="s">
        <v>88</v>
      </c>
      <c r="V24" s="83" t="s">
        <v>84</v>
      </c>
      <c r="W24" s="76" t="s">
        <v>89</v>
      </c>
    </row>
    <row r="25" spans="1:23" ht="14.65" thickBot="1" x14ac:dyDescent="0.5">
      <c r="A25" s="73"/>
      <c r="B25" s="87"/>
      <c r="C25" s="73"/>
      <c r="D25" s="87"/>
      <c r="E25" s="88" t="s">
        <v>90</v>
      </c>
      <c r="F25" s="89" t="s">
        <v>90</v>
      </c>
      <c r="G25" s="70"/>
      <c r="H25" s="71"/>
      <c r="I25" s="74"/>
      <c r="J25" s="90"/>
      <c r="K25" s="91" t="s">
        <v>91</v>
      </c>
      <c r="L25" s="71"/>
      <c r="M25" s="91" t="s">
        <v>91</v>
      </c>
      <c r="N25" s="92" t="s">
        <v>92</v>
      </c>
      <c r="O25" s="91"/>
      <c r="P25" s="93" t="s">
        <v>93</v>
      </c>
      <c r="Q25" s="87" t="s">
        <v>92</v>
      </c>
      <c r="R25" s="94" t="s">
        <v>90</v>
      </c>
      <c r="S25" s="92" t="s">
        <v>90</v>
      </c>
      <c r="T25" s="92" t="s">
        <v>94</v>
      </c>
      <c r="U25" s="92" t="s">
        <v>95</v>
      </c>
      <c r="V25" s="95" t="s">
        <v>88</v>
      </c>
      <c r="W25" s="96" t="s">
        <v>96</v>
      </c>
    </row>
    <row r="26" spans="1:23" x14ac:dyDescent="0.45">
      <c r="A26" s="64">
        <v>70</v>
      </c>
      <c r="B26" s="63">
        <f>A26+1</f>
        <v>71</v>
      </c>
      <c r="C26" s="64">
        <v>0</v>
      </c>
      <c r="D26" s="63">
        <f>C26+1</f>
        <v>1</v>
      </c>
      <c r="E26" s="115">
        <f>'Q2 Base'!I8</f>
        <v>0</v>
      </c>
      <c r="F26" s="116">
        <f>'Q2 Base'!J8</f>
        <v>144000</v>
      </c>
      <c r="G26" s="99">
        <f>IF(C26=0,$E$6,0)</f>
        <v>140000</v>
      </c>
      <c r="H26" s="68">
        <f t="shared" ref="H26:H55" si="0">IF(C26=0,$E$7,$E$8)</f>
        <v>10000</v>
      </c>
      <c r="I26" s="68">
        <f t="shared" ref="I26:I55" si="1">(G26-H26)*E$11</f>
        <v>7800</v>
      </c>
      <c r="J26" s="118">
        <f>'Q2 Base'!D8</f>
        <v>7.8176305210533332E-3</v>
      </c>
      <c r="K26" s="75">
        <f t="shared" ref="K26:K55" si="2">E$9*J26</f>
        <v>390.88152605266669</v>
      </c>
      <c r="L26" s="100">
        <f t="shared" ref="L26:L55" si="3">1-J26</f>
        <v>0.99218236947894667</v>
      </c>
      <c r="M26" s="68">
        <f t="shared" ref="M26:M55" si="4">L26*$E$7</f>
        <v>9921.8236947894675</v>
      </c>
      <c r="N26" s="75">
        <f>G26-H26+I26-K26-M26</f>
        <v>127487.29477915788</v>
      </c>
      <c r="O26" s="119">
        <v>1</v>
      </c>
      <c r="P26" s="101">
        <f t="shared" ref="P26:P55" si="5">(1+$E$12)^-D26</f>
        <v>0.8820822989758581</v>
      </c>
      <c r="Q26" s="102">
        <f t="shared" ref="Q26:Q55" si="6">N26*O26*P26</f>
        <v>112454.28606901249</v>
      </c>
      <c r="R26" s="64">
        <f t="shared" ref="R26:R55" si="7">F26*L26-E26</f>
        <v>142874.26120496832</v>
      </c>
      <c r="S26" s="54">
        <f t="shared" ref="S26:S55" si="8">E$11*E26</f>
        <v>0</v>
      </c>
      <c r="T26" s="54">
        <f t="shared" ref="T26:T55" si="9">N26-R26+S26</f>
        <v>-15386.966425810446</v>
      </c>
      <c r="U26" s="121">
        <f>T26*O26</f>
        <v>-15386.966425810446</v>
      </c>
      <c r="V26" s="54">
        <f>U26*P26</f>
        <v>-13572.570719143221</v>
      </c>
      <c r="W26" s="103">
        <f>SUM(V$26:V26)</f>
        <v>-13572.570719143221</v>
      </c>
    </row>
    <row r="27" spans="1:23" x14ac:dyDescent="0.45">
      <c r="A27" s="64">
        <f>A26+1</f>
        <v>71</v>
      </c>
      <c r="B27" s="63">
        <f t="shared" ref="B27:D42" si="10">A27+1</f>
        <v>72</v>
      </c>
      <c r="C27" s="64">
        <f>C26+1</f>
        <v>1</v>
      </c>
      <c r="D27" s="63">
        <f t="shared" si="10"/>
        <v>2</v>
      </c>
      <c r="E27" s="115">
        <f>'Q2 Base'!I9</f>
        <v>144000</v>
      </c>
      <c r="F27" s="116">
        <f>'Q2 Base'!J9</f>
        <v>141000</v>
      </c>
      <c r="G27" s="99">
        <f t="shared" ref="G27:G55" si="11">IF(C27=0,$E$6,0)</f>
        <v>0</v>
      </c>
      <c r="H27" s="68">
        <f t="shared" si="0"/>
        <v>100</v>
      </c>
      <c r="I27" s="68">
        <f t="shared" si="1"/>
        <v>-6</v>
      </c>
      <c r="J27" s="118">
        <f>'Q2 Base'!D9</f>
        <v>8.7215051876391621E-3</v>
      </c>
      <c r="K27" s="75">
        <f t="shared" si="2"/>
        <v>436.07525938195812</v>
      </c>
      <c r="L27" s="100">
        <f t="shared" si="3"/>
        <v>0.99127849481236086</v>
      </c>
      <c r="M27" s="68">
        <f t="shared" si="4"/>
        <v>9912.784948123608</v>
      </c>
      <c r="N27" s="75">
        <f t="shared" ref="N27:N55" si="12">G27-H27+I27-K27-M27</f>
        <v>-10454.860207505566</v>
      </c>
      <c r="O27" s="104">
        <f t="shared" ref="O27:O55" si="13">L26*O26</f>
        <v>0.99218236947894667</v>
      </c>
      <c r="P27" s="101">
        <f t="shared" si="5"/>
        <v>0.77806918216653509</v>
      </c>
      <c r="Q27" s="102">
        <f t="shared" si="6"/>
        <v>-8071.0111986585662</v>
      </c>
      <c r="R27" s="64">
        <f t="shared" si="7"/>
        <v>-4229.7322314571065</v>
      </c>
      <c r="S27" s="54">
        <f t="shared" si="8"/>
        <v>8640</v>
      </c>
      <c r="T27" s="54">
        <f t="shared" si="9"/>
        <v>2414.8720239515405</v>
      </c>
      <c r="U27" s="121">
        <f t="shared" ref="U27:U55" si="14">T27*O27</f>
        <v>2395.9934467126591</v>
      </c>
      <c r="V27" s="54">
        <f t="shared" ref="V27:V55" si="15">U27*P27</f>
        <v>1864.2486615600963</v>
      </c>
      <c r="W27" s="103">
        <f>SUM(V$26:V27)</f>
        <v>-11708.322057583126</v>
      </c>
    </row>
    <row r="28" spans="1:23" x14ac:dyDescent="0.45">
      <c r="A28" s="64">
        <f t="shared" ref="A28:C43" si="16">A27+1</f>
        <v>72</v>
      </c>
      <c r="B28" s="63">
        <f t="shared" si="10"/>
        <v>73</v>
      </c>
      <c r="C28" s="64">
        <f t="shared" si="16"/>
        <v>2</v>
      </c>
      <c r="D28" s="63">
        <f t="shared" si="10"/>
        <v>3</v>
      </c>
      <c r="E28" s="115">
        <f>'Q2 Base'!I10</f>
        <v>141000</v>
      </c>
      <c r="F28" s="116">
        <f>'Q2 Base'!J10</f>
        <v>137000</v>
      </c>
      <c r="G28" s="99">
        <f t="shared" si="11"/>
        <v>0</v>
      </c>
      <c r="H28" s="68">
        <f t="shared" si="0"/>
        <v>100</v>
      </c>
      <c r="I28" s="68">
        <f t="shared" si="1"/>
        <v>-6</v>
      </c>
      <c r="J28" s="118">
        <f>'Q2 Base'!D10</f>
        <v>9.767225160924542E-3</v>
      </c>
      <c r="K28" s="75">
        <f t="shared" si="2"/>
        <v>488.36125804622708</v>
      </c>
      <c r="L28" s="100">
        <f t="shared" si="3"/>
        <v>0.99023277483907546</v>
      </c>
      <c r="M28" s="68">
        <f t="shared" si="4"/>
        <v>9902.327748390755</v>
      </c>
      <c r="N28" s="75">
        <f t="shared" si="12"/>
        <v>-10496.689006436982</v>
      </c>
      <c r="O28" s="104">
        <f t="shared" si="13"/>
        <v>0.98352904579645195</v>
      </c>
      <c r="P28" s="101">
        <f t="shared" si="5"/>
        <v>0.68632105296772306</v>
      </c>
      <c r="Q28" s="102">
        <f t="shared" si="6"/>
        <v>-7085.4402726046583</v>
      </c>
      <c r="R28" s="64">
        <f t="shared" si="7"/>
        <v>-5338.1098470466677</v>
      </c>
      <c r="S28" s="54">
        <f t="shared" si="8"/>
        <v>8460</v>
      </c>
      <c r="T28" s="54">
        <f t="shared" si="9"/>
        <v>3301.4208406096859</v>
      </c>
      <c r="U28" s="121">
        <f t="shared" si="14"/>
        <v>3247.0432891373648</v>
      </c>
      <c r="V28" s="54">
        <f t="shared" si="15"/>
        <v>2228.5141692325351</v>
      </c>
      <c r="W28" s="103">
        <f>SUM(V$26:V28)</f>
        <v>-9479.8078883505914</v>
      </c>
    </row>
    <row r="29" spans="1:23" x14ac:dyDescent="0.45">
      <c r="A29" s="64">
        <f t="shared" si="16"/>
        <v>73</v>
      </c>
      <c r="B29" s="63">
        <f t="shared" si="10"/>
        <v>74</v>
      </c>
      <c r="C29" s="64">
        <f t="shared" si="16"/>
        <v>3</v>
      </c>
      <c r="D29" s="63">
        <f t="shared" si="10"/>
        <v>4</v>
      </c>
      <c r="E29" s="115">
        <f>'Q2 Base'!I11</f>
        <v>137000</v>
      </c>
      <c r="F29" s="116">
        <f>'Q2 Base'!J11</f>
        <v>134000</v>
      </c>
      <c r="G29" s="99">
        <f t="shared" si="11"/>
        <v>0</v>
      </c>
      <c r="H29" s="68">
        <f t="shared" si="0"/>
        <v>100</v>
      </c>
      <c r="I29" s="68">
        <f t="shared" si="1"/>
        <v>-6</v>
      </c>
      <c r="J29" s="118">
        <f>'Q2 Base'!D11</f>
        <v>1.0982638574778847E-2</v>
      </c>
      <c r="K29" s="75">
        <f t="shared" si="2"/>
        <v>549.13192873894241</v>
      </c>
      <c r="L29" s="100">
        <f t="shared" si="3"/>
        <v>0.98901736142522112</v>
      </c>
      <c r="M29" s="68">
        <f t="shared" si="4"/>
        <v>9890.1736142522113</v>
      </c>
      <c r="N29" s="75">
        <f t="shared" si="12"/>
        <v>-10545.305542991155</v>
      </c>
      <c r="O29" s="104">
        <f t="shared" si="13"/>
        <v>0.97392269615384874</v>
      </c>
      <c r="P29" s="101">
        <f t="shared" si="5"/>
        <v>0.60539165223730085</v>
      </c>
      <c r="Q29" s="102">
        <f t="shared" si="6"/>
        <v>-6217.5613965802886</v>
      </c>
      <c r="R29" s="64">
        <f t="shared" si="7"/>
        <v>-4471.6735690203786</v>
      </c>
      <c r="S29" s="54">
        <f t="shared" si="8"/>
        <v>8220</v>
      </c>
      <c r="T29" s="54">
        <f t="shared" si="9"/>
        <v>2146.368026029224</v>
      </c>
      <c r="U29" s="121">
        <f t="shared" si="14"/>
        <v>2090.3965348487959</v>
      </c>
      <c r="V29" s="54">
        <f t="shared" si="15"/>
        <v>1265.5086120632409</v>
      </c>
      <c r="W29" s="103">
        <f>SUM(V$26:V29)</f>
        <v>-8214.2992762873509</v>
      </c>
    </row>
    <row r="30" spans="1:23" x14ac:dyDescent="0.45">
      <c r="A30" s="64">
        <f t="shared" si="16"/>
        <v>74</v>
      </c>
      <c r="B30" s="63">
        <f t="shared" si="10"/>
        <v>75</v>
      </c>
      <c r="C30" s="64">
        <f t="shared" si="16"/>
        <v>4</v>
      </c>
      <c r="D30" s="63">
        <f t="shared" si="10"/>
        <v>5</v>
      </c>
      <c r="E30" s="115">
        <f>'Q2 Base'!I12</f>
        <v>134000</v>
      </c>
      <c r="F30" s="116">
        <f>'Q2 Base'!J12</f>
        <v>130000</v>
      </c>
      <c r="G30" s="99">
        <f t="shared" si="11"/>
        <v>0</v>
      </c>
      <c r="H30" s="68">
        <f t="shared" si="0"/>
        <v>100</v>
      </c>
      <c r="I30" s="68">
        <f t="shared" si="1"/>
        <v>-6</v>
      </c>
      <c r="J30" s="118">
        <f>'Q2 Base'!D12</f>
        <v>1.240165235300353E-2</v>
      </c>
      <c r="K30" s="75">
        <f t="shared" si="2"/>
        <v>620.08261765017653</v>
      </c>
      <c r="L30" s="100">
        <f t="shared" si="3"/>
        <v>0.9875983476469965</v>
      </c>
      <c r="M30" s="68">
        <f t="shared" si="4"/>
        <v>9875.9834764699644</v>
      </c>
      <c r="N30" s="75">
        <f t="shared" si="12"/>
        <v>-10602.06609412014</v>
      </c>
      <c r="O30" s="104">
        <f t="shared" si="13"/>
        <v>0.96322645518221683</v>
      </c>
      <c r="P30" s="101">
        <f t="shared" si="5"/>
        <v>0.5340052603862715</v>
      </c>
      <c r="Q30" s="102">
        <f t="shared" si="6"/>
        <v>-5453.3634691995785</v>
      </c>
      <c r="R30" s="64">
        <f t="shared" si="7"/>
        <v>-5612.2148058904568</v>
      </c>
      <c r="S30" s="54">
        <f t="shared" si="8"/>
        <v>8040</v>
      </c>
      <c r="T30" s="54">
        <f t="shared" si="9"/>
        <v>3050.1487117703164</v>
      </c>
      <c r="U30" s="121">
        <f t="shared" si="14"/>
        <v>2937.9839314171272</v>
      </c>
      <c r="V30" s="54">
        <f t="shared" si="15"/>
        <v>1568.8988743070847</v>
      </c>
      <c r="W30" s="103">
        <f>SUM(V$26:V30)</f>
        <v>-6645.400401980266</v>
      </c>
    </row>
    <row r="31" spans="1:23" x14ac:dyDescent="0.45">
      <c r="A31" s="64">
        <f t="shared" si="16"/>
        <v>75</v>
      </c>
      <c r="B31" s="63">
        <f t="shared" si="10"/>
        <v>76</v>
      </c>
      <c r="C31" s="64">
        <f t="shared" si="16"/>
        <v>5</v>
      </c>
      <c r="D31" s="63">
        <f t="shared" si="10"/>
        <v>6</v>
      </c>
      <c r="E31" s="115">
        <f>'Q2 Base'!I13</f>
        <v>130000</v>
      </c>
      <c r="F31" s="116">
        <f>'Q2 Base'!J13</f>
        <v>126000</v>
      </c>
      <c r="G31" s="99">
        <f t="shared" si="11"/>
        <v>0</v>
      </c>
      <c r="H31" s="68">
        <f t="shared" si="0"/>
        <v>100</v>
      </c>
      <c r="I31" s="68">
        <f t="shared" si="1"/>
        <v>-6</v>
      </c>
      <c r="J31" s="118">
        <f>'Q2 Base'!D13</f>
        <v>1.4062731473834012E-2</v>
      </c>
      <c r="K31" s="75">
        <f t="shared" si="2"/>
        <v>703.13657369170062</v>
      </c>
      <c r="L31" s="100">
        <f t="shared" si="3"/>
        <v>0.98593726852616603</v>
      </c>
      <c r="M31" s="68">
        <f t="shared" si="4"/>
        <v>9859.3726852616601</v>
      </c>
      <c r="N31" s="75">
        <f t="shared" si="12"/>
        <v>-10668.509258953361</v>
      </c>
      <c r="O31" s="104">
        <f t="shared" si="13"/>
        <v>0.95128085554783104</v>
      </c>
      <c r="P31" s="101">
        <f t="shared" si="5"/>
        <v>0.47103658774672408</v>
      </c>
      <c r="Q31" s="102">
        <f t="shared" si="6"/>
        <v>-4780.431917639421</v>
      </c>
      <c r="R31" s="64">
        <f t="shared" si="7"/>
        <v>-5771.9041657030757</v>
      </c>
      <c r="S31" s="54">
        <f t="shared" si="8"/>
        <v>7800</v>
      </c>
      <c r="T31" s="54">
        <f t="shared" si="9"/>
        <v>2903.3949067497142</v>
      </c>
      <c r="U31" s="121">
        <f t="shared" si="14"/>
        <v>2761.9439908860832</v>
      </c>
      <c r="V31" s="54">
        <f t="shared" si="15"/>
        <v>1300.9766730145498</v>
      </c>
      <c r="W31" s="103">
        <f>SUM(V$26:V31)</f>
        <v>-5344.4237289657158</v>
      </c>
    </row>
    <row r="32" spans="1:23" x14ac:dyDescent="0.45">
      <c r="A32" s="64">
        <f t="shared" si="16"/>
        <v>76</v>
      </c>
      <c r="B32" s="63">
        <f t="shared" si="10"/>
        <v>77</v>
      </c>
      <c r="C32" s="64">
        <f t="shared" si="16"/>
        <v>6</v>
      </c>
      <c r="D32" s="63">
        <f t="shared" si="10"/>
        <v>7</v>
      </c>
      <c r="E32" s="115">
        <f>'Q2 Base'!I14</f>
        <v>126000</v>
      </c>
      <c r="F32" s="116">
        <f>'Q2 Base'!J14</f>
        <v>123000</v>
      </c>
      <c r="G32" s="99">
        <f t="shared" si="11"/>
        <v>0</v>
      </c>
      <c r="H32" s="68">
        <f t="shared" si="0"/>
        <v>100</v>
      </c>
      <c r="I32" s="68">
        <f t="shared" si="1"/>
        <v>-6</v>
      </c>
      <c r="J32" s="118">
        <f>'Q2 Base'!D14</f>
        <v>1.6005163318146186E-2</v>
      </c>
      <c r="K32" s="75">
        <f t="shared" si="2"/>
        <v>800.25816590730926</v>
      </c>
      <c r="L32" s="100">
        <f t="shared" si="3"/>
        <v>0.98399483668185384</v>
      </c>
      <c r="M32" s="68">
        <f t="shared" si="4"/>
        <v>9839.9483668185385</v>
      </c>
      <c r="N32" s="75">
        <f t="shared" si="12"/>
        <v>-10746.206532725848</v>
      </c>
      <c r="O32" s="104">
        <f t="shared" si="13"/>
        <v>0.93790324832006289</v>
      </c>
      <c r="P32" s="101">
        <f t="shared" si="5"/>
        <v>0.4154930362213739</v>
      </c>
      <c r="Q32" s="102">
        <f t="shared" si="6"/>
        <v>-4187.7135996418292</v>
      </c>
      <c r="R32" s="64">
        <f t="shared" si="7"/>
        <v>-4968.6350881319813</v>
      </c>
      <c r="S32" s="54">
        <f t="shared" si="8"/>
        <v>7560</v>
      </c>
      <c r="T32" s="54">
        <f t="shared" si="9"/>
        <v>1782.4285554061335</v>
      </c>
      <c r="U32" s="121">
        <f t="shared" si="14"/>
        <v>1671.7455320138497</v>
      </c>
      <c r="V32" s="54">
        <f t="shared" si="15"/>
        <v>694.59862688595047</v>
      </c>
      <c r="W32" s="103">
        <f>SUM(V$26:V32)</f>
        <v>-4649.8251020797652</v>
      </c>
    </row>
    <row r="33" spans="1:23" x14ac:dyDescent="0.45">
      <c r="A33" s="64">
        <f t="shared" si="16"/>
        <v>77</v>
      </c>
      <c r="B33" s="63">
        <f t="shared" si="10"/>
        <v>78</v>
      </c>
      <c r="C33" s="64">
        <f t="shared" si="16"/>
        <v>7</v>
      </c>
      <c r="D33" s="63">
        <f t="shared" si="10"/>
        <v>8</v>
      </c>
      <c r="E33" s="115">
        <f>'Q2 Base'!I15</f>
        <v>123000</v>
      </c>
      <c r="F33" s="116">
        <f>'Q2 Base'!J15</f>
        <v>119000</v>
      </c>
      <c r="G33" s="99">
        <f t="shared" si="11"/>
        <v>0</v>
      </c>
      <c r="H33" s="68">
        <f t="shared" si="0"/>
        <v>100</v>
      </c>
      <c r="I33" s="68">
        <f t="shared" si="1"/>
        <v>-6</v>
      </c>
      <c r="J33" s="118">
        <f>'Q2 Base'!D15</f>
        <v>1.8277699026612734E-2</v>
      </c>
      <c r="K33" s="75">
        <f t="shared" si="2"/>
        <v>913.88495133063668</v>
      </c>
      <c r="L33" s="100">
        <f t="shared" si="3"/>
        <v>0.98172230097338731</v>
      </c>
      <c r="M33" s="68">
        <f t="shared" si="4"/>
        <v>9817.2230097338725</v>
      </c>
      <c r="N33" s="75">
        <f t="shared" si="12"/>
        <v>-10837.107961064508</v>
      </c>
      <c r="O33" s="104">
        <f t="shared" si="13"/>
        <v>0.9228919536540805</v>
      </c>
      <c r="P33" s="101">
        <f t="shared" si="5"/>
        <v>0.36649905259860899</v>
      </c>
      <c r="Q33" s="102">
        <f t="shared" si="6"/>
        <v>-3665.5328486150638</v>
      </c>
      <c r="R33" s="64">
        <f t="shared" si="7"/>
        <v>-6175.0461841669166</v>
      </c>
      <c r="S33" s="54">
        <f t="shared" si="8"/>
        <v>7380</v>
      </c>
      <c r="T33" s="54">
        <f t="shared" si="9"/>
        <v>2717.9382231024083</v>
      </c>
      <c r="U33" s="121">
        <f t="shared" si="14"/>
        <v>2508.3633166300815</v>
      </c>
      <c r="V33" s="54">
        <f t="shared" si="15"/>
        <v>919.31277911802954</v>
      </c>
      <c r="W33" s="103">
        <f>SUM(V$26:V33)</f>
        <v>-3730.5123229617357</v>
      </c>
    </row>
    <row r="34" spans="1:23" x14ac:dyDescent="0.45">
      <c r="A34" s="64">
        <f t="shared" si="16"/>
        <v>78</v>
      </c>
      <c r="B34" s="63">
        <f t="shared" si="10"/>
        <v>79</v>
      </c>
      <c r="C34" s="64">
        <f t="shared" si="16"/>
        <v>8</v>
      </c>
      <c r="D34" s="63">
        <f t="shared" si="10"/>
        <v>9</v>
      </c>
      <c r="E34" s="115">
        <f>'Q2 Base'!I16</f>
        <v>119000</v>
      </c>
      <c r="F34" s="116">
        <f>'Q2 Base'!J16</f>
        <v>115000</v>
      </c>
      <c r="G34" s="99">
        <f t="shared" si="11"/>
        <v>0</v>
      </c>
      <c r="H34" s="68">
        <f t="shared" si="0"/>
        <v>100</v>
      </c>
      <c r="I34" s="68">
        <f t="shared" si="1"/>
        <v>-6</v>
      </c>
      <c r="J34" s="118">
        <f>'Q2 Base'!D16</f>
        <v>2.0931815339051432E-2</v>
      </c>
      <c r="K34" s="75">
        <f t="shared" si="2"/>
        <v>1046.5907669525716</v>
      </c>
      <c r="L34" s="100">
        <f t="shared" si="3"/>
        <v>0.97906818466094858</v>
      </c>
      <c r="M34" s="68">
        <f t="shared" si="4"/>
        <v>9790.6818466094865</v>
      </c>
      <c r="N34" s="75">
        <f t="shared" si="12"/>
        <v>-10943.272613562058</v>
      </c>
      <c r="O34" s="104">
        <f t="shared" si="13"/>
        <v>0.90602361229110862</v>
      </c>
      <c r="P34" s="101">
        <f t="shared" si="5"/>
        <v>0.32328232688865494</v>
      </c>
      <c r="Q34" s="102">
        <f t="shared" si="6"/>
        <v>-3205.3001054416891</v>
      </c>
      <c r="R34" s="64">
        <f t="shared" si="7"/>
        <v>-6407.1587639909121</v>
      </c>
      <c r="S34" s="54">
        <f t="shared" si="8"/>
        <v>7140</v>
      </c>
      <c r="T34" s="54">
        <f t="shared" si="9"/>
        <v>2603.8861504288543</v>
      </c>
      <c r="U34" s="121">
        <f t="shared" si="14"/>
        <v>2359.1823360063395</v>
      </c>
      <c r="V34" s="54">
        <f t="shared" si="15"/>
        <v>762.68195513874196</v>
      </c>
      <c r="W34" s="103">
        <f>SUM(V$26:V34)</f>
        <v>-2967.8303678229936</v>
      </c>
    </row>
    <row r="35" spans="1:23" x14ac:dyDescent="0.45">
      <c r="A35" s="64">
        <f t="shared" si="16"/>
        <v>79</v>
      </c>
      <c r="B35" s="63">
        <f t="shared" si="10"/>
        <v>80</v>
      </c>
      <c r="C35" s="64">
        <f t="shared" si="16"/>
        <v>9</v>
      </c>
      <c r="D35" s="63">
        <f t="shared" si="10"/>
        <v>10</v>
      </c>
      <c r="E35" s="115">
        <f>'Q2 Base'!I17</f>
        <v>115000</v>
      </c>
      <c r="F35" s="116">
        <f>'Q2 Base'!J17</f>
        <v>112000</v>
      </c>
      <c r="G35" s="99">
        <f t="shared" si="11"/>
        <v>0</v>
      </c>
      <c r="H35" s="68">
        <f t="shared" si="0"/>
        <v>100</v>
      </c>
      <c r="I35" s="68">
        <f t="shared" si="1"/>
        <v>-6</v>
      </c>
      <c r="J35" s="118">
        <f>'Q2 Base'!D17</f>
        <v>2.4032269127910736E-2</v>
      </c>
      <c r="K35" s="75">
        <f t="shared" si="2"/>
        <v>1201.6134563955368</v>
      </c>
      <c r="L35" s="100">
        <f t="shared" si="3"/>
        <v>0.97596773087208921</v>
      </c>
      <c r="M35" s="68">
        <f t="shared" si="4"/>
        <v>9759.6773087208912</v>
      </c>
      <c r="N35" s="75">
        <f t="shared" si="12"/>
        <v>-11067.290765116428</v>
      </c>
      <c r="O35" s="104">
        <f t="shared" si="13"/>
        <v>0.88705889334581078</v>
      </c>
      <c r="P35" s="101">
        <f t="shared" si="5"/>
        <v>0.28516161812020963</v>
      </c>
      <c r="Q35" s="102">
        <f t="shared" si="6"/>
        <v>-2799.5281888814429</v>
      </c>
      <c r="R35" s="64">
        <f t="shared" si="7"/>
        <v>-5691.6141423260124</v>
      </c>
      <c r="S35" s="54">
        <f t="shared" si="8"/>
        <v>6900</v>
      </c>
      <c r="T35" s="54">
        <f t="shared" si="9"/>
        <v>1524.3233772095846</v>
      </c>
      <c r="U35" s="121">
        <f t="shared" si="14"/>
        <v>1352.1646080886831</v>
      </c>
      <c r="V35" s="54">
        <f t="shared" si="15"/>
        <v>385.58544760744797</v>
      </c>
      <c r="W35" s="103">
        <f>SUM(V$26:V35)</f>
        <v>-2582.2449202155458</v>
      </c>
    </row>
    <row r="36" spans="1:23" x14ac:dyDescent="0.45">
      <c r="A36" s="64">
        <f t="shared" si="16"/>
        <v>80</v>
      </c>
      <c r="B36" s="63">
        <f t="shared" si="10"/>
        <v>81</v>
      </c>
      <c r="C36" s="64">
        <f t="shared" si="16"/>
        <v>10</v>
      </c>
      <c r="D36" s="63">
        <f t="shared" si="10"/>
        <v>11</v>
      </c>
      <c r="E36" s="115">
        <f>'Q2 Base'!I18</f>
        <v>112000</v>
      </c>
      <c r="F36" s="116">
        <f>'Q2 Base'!J18</f>
        <v>108000</v>
      </c>
      <c r="G36" s="99">
        <f t="shared" si="11"/>
        <v>0</v>
      </c>
      <c r="H36" s="68">
        <f t="shared" si="0"/>
        <v>100</v>
      </c>
      <c r="I36" s="68">
        <f t="shared" si="1"/>
        <v>-6</v>
      </c>
      <c r="J36" s="118">
        <f>'Q2 Base'!D18</f>
        <v>2.765167452676268E-2</v>
      </c>
      <c r="K36" s="75">
        <f t="shared" si="2"/>
        <v>1382.5837263381341</v>
      </c>
      <c r="L36" s="100">
        <f t="shared" si="3"/>
        <v>0.97234832547323735</v>
      </c>
      <c r="M36" s="68">
        <f t="shared" si="4"/>
        <v>9723.4832547323731</v>
      </c>
      <c r="N36" s="75">
        <f t="shared" si="12"/>
        <v>-11212.066981070508</v>
      </c>
      <c r="O36" s="104">
        <f t="shared" si="13"/>
        <v>0.86574085528861755</v>
      </c>
      <c r="P36" s="101">
        <f t="shared" si="5"/>
        <v>0.25153601569115019</v>
      </c>
      <c r="Q36" s="102">
        <f t="shared" si="6"/>
        <v>-2441.5958262333943</v>
      </c>
      <c r="R36" s="64">
        <f t="shared" si="7"/>
        <v>-6986.3808488903596</v>
      </c>
      <c r="S36" s="54">
        <f t="shared" si="8"/>
        <v>6720</v>
      </c>
      <c r="T36" s="54">
        <f t="shared" si="9"/>
        <v>2494.313867819852</v>
      </c>
      <c r="U36" s="121">
        <f t="shared" si="14"/>
        <v>2159.4294212846185</v>
      </c>
      <c r="V36" s="54">
        <f t="shared" si="15"/>
        <v>543.17427279617914</v>
      </c>
      <c r="W36" s="103">
        <f>SUM(V$26:V36)</f>
        <v>-2039.0706474193667</v>
      </c>
    </row>
    <row r="37" spans="1:23" x14ac:dyDescent="0.45">
      <c r="A37" s="64">
        <f t="shared" si="16"/>
        <v>81</v>
      </c>
      <c r="B37" s="63">
        <f t="shared" si="10"/>
        <v>82</v>
      </c>
      <c r="C37" s="64">
        <f t="shared" si="16"/>
        <v>11</v>
      </c>
      <c r="D37" s="63">
        <f t="shared" si="10"/>
        <v>12</v>
      </c>
      <c r="E37" s="115">
        <f>'Q2 Base'!I19</f>
        <v>108000</v>
      </c>
      <c r="F37" s="116">
        <f>'Q2 Base'!J19</f>
        <v>104000</v>
      </c>
      <c r="G37" s="99">
        <f t="shared" si="11"/>
        <v>0</v>
      </c>
      <c r="H37" s="68">
        <f t="shared" si="0"/>
        <v>100</v>
      </c>
      <c r="I37" s="68">
        <f t="shared" si="1"/>
        <v>-6</v>
      </c>
      <c r="J37" s="118">
        <f>'Q2 Base'!D19</f>
        <v>3.1876457656245936E-2</v>
      </c>
      <c r="K37" s="75">
        <f t="shared" si="2"/>
        <v>1593.8228828122967</v>
      </c>
      <c r="L37" s="100">
        <f t="shared" si="3"/>
        <v>0.96812354234375408</v>
      </c>
      <c r="M37" s="68">
        <f t="shared" si="4"/>
        <v>9681.2354234375416</v>
      </c>
      <c r="N37" s="75">
        <f t="shared" si="12"/>
        <v>-11381.058306249839</v>
      </c>
      <c r="O37" s="104">
        <f t="shared" si="13"/>
        <v>0.84180167093365554</v>
      </c>
      <c r="P37" s="101">
        <f t="shared" si="5"/>
        <v>0.2218754669960773</v>
      </c>
      <c r="Q37" s="102">
        <f t="shared" si="6"/>
        <v>-2125.698745483543</v>
      </c>
      <c r="R37" s="64">
        <f t="shared" si="7"/>
        <v>-7315.151596249576</v>
      </c>
      <c r="S37" s="54">
        <f t="shared" si="8"/>
        <v>6480</v>
      </c>
      <c r="T37" s="54">
        <f t="shared" si="9"/>
        <v>2414.093289999737</v>
      </c>
      <c r="U37" s="121">
        <f t="shared" si="14"/>
        <v>2032.1877653115046</v>
      </c>
      <c r="V37" s="54">
        <f t="shared" si="15"/>
        <v>450.89260945220479</v>
      </c>
      <c r="W37" s="103">
        <f>SUM(V$26:V37)</f>
        <v>-1588.1780379671618</v>
      </c>
    </row>
    <row r="38" spans="1:23" x14ac:dyDescent="0.45">
      <c r="A38" s="64">
        <f t="shared" si="16"/>
        <v>82</v>
      </c>
      <c r="B38" s="63">
        <f t="shared" si="10"/>
        <v>83</v>
      </c>
      <c r="C38" s="64">
        <f t="shared" si="16"/>
        <v>12</v>
      </c>
      <c r="D38" s="63">
        <f t="shared" si="10"/>
        <v>13</v>
      </c>
      <c r="E38" s="115">
        <f>'Q2 Base'!I20</f>
        <v>104000</v>
      </c>
      <c r="F38" s="116">
        <f>'Q2 Base'!J20</f>
        <v>101000</v>
      </c>
      <c r="G38" s="99">
        <f t="shared" si="11"/>
        <v>0</v>
      </c>
      <c r="H38" s="68">
        <f t="shared" si="0"/>
        <v>100</v>
      </c>
      <c r="I38" s="68">
        <f t="shared" si="1"/>
        <v>-6</v>
      </c>
      <c r="J38" s="118">
        <f>'Q2 Base'!D20</f>
        <v>3.680865954939682E-2</v>
      </c>
      <c r="K38" s="75">
        <f t="shared" si="2"/>
        <v>1840.432977469841</v>
      </c>
      <c r="L38" s="100">
        <f t="shared" si="3"/>
        <v>0.96319134045060317</v>
      </c>
      <c r="M38" s="68">
        <f t="shared" si="4"/>
        <v>9631.9134045060309</v>
      </c>
      <c r="N38" s="75">
        <f t="shared" si="12"/>
        <v>-11578.346381975873</v>
      </c>
      <c r="O38" s="104">
        <f t="shared" si="13"/>
        <v>0.81496801561518184</v>
      </c>
      <c r="P38" s="101">
        <f t="shared" si="5"/>
        <v>0.19571242201424199</v>
      </c>
      <c r="Q38" s="102">
        <f t="shared" si="6"/>
        <v>-1846.7388864146967</v>
      </c>
      <c r="R38" s="64">
        <f t="shared" si="7"/>
        <v>-6717.6746144890785</v>
      </c>
      <c r="S38" s="54">
        <f t="shared" si="8"/>
        <v>6240</v>
      </c>
      <c r="T38" s="54">
        <f t="shared" si="9"/>
        <v>1379.3282325132059</v>
      </c>
      <c r="U38" s="121">
        <f t="shared" si="14"/>
        <v>1124.1083925332834</v>
      </c>
      <c r="V38" s="54">
        <f t="shared" si="15"/>
        <v>220.00197610922515</v>
      </c>
      <c r="W38" s="103">
        <f>SUM(V$26:V38)</f>
        <v>-1368.1760618579367</v>
      </c>
    </row>
    <row r="39" spans="1:23" x14ac:dyDescent="0.45">
      <c r="A39" s="64">
        <f t="shared" si="16"/>
        <v>83</v>
      </c>
      <c r="B39" s="63">
        <f t="shared" si="10"/>
        <v>84</v>
      </c>
      <c r="C39" s="64">
        <f t="shared" si="16"/>
        <v>13</v>
      </c>
      <c r="D39" s="63">
        <f t="shared" si="10"/>
        <v>14</v>
      </c>
      <c r="E39" s="115">
        <f>'Q2 Base'!I21</f>
        <v>101000</v>
      </c>
      <c r="F39" s="116">
        <f>'Q2 Base'!J21</f>
        <v>96900</v>
      </c>
      <c r="G39" s="99">
        <f t="shared" si="11"/>
        <v>0</v>
      </c>
      <c r="H39" s="68">
        <f t="shared" si="0"/>
        <v>100</v>
      </c>
      <c r="I39" s="68">
        <f t="shared" si="1"/>
        <v>-6</v>
      </c>
      <c r="J39" s="118">
        <f>'Q2 Base'!D21</f>
        <v>4.2567716373036017E-2</v>
      </c>
      <c r="K39" s="75">
        <f t="shared" si="2"/>
        <v>2128.3858186518009</v>
      </c>
      <c r="L39" s="100">
        <f t="shared" si="3"/>
        <v>0.95743228362696398</v>
      </c>
      <c r="M39" s="68">
        <f t="shared" si="4"/>
        <v>9574.3228362696391</v>
      </c>
      <c r="N39" s="75">
        <f t="shared" si="12"/>
        <v>-11808.70865492144</v>
      </c>
      <c r="O39" s="104">
        <f t="shared" si="13"/>
        <v>0.78497013538475513</v>
      </c>
      <c r="P39" s="101">
        <f t="shared" si="5"/>
        <v>0.17263446314845593</v>
      </c>
      <c r="Q39" s="102">
        <f t="shared" si="6"/>
        <v>-1600.2323303999719</v>
      </c>
      <c r="R39" s="64">
        <f t="shared" si="7"/>
        <v>-8224.8117165471922</v>
      </c>
      <c r="S39" s="54">
        <f t="shared" si="8"/>
        <v>6060</v>
      </c>
      <c r="T39" s="54">
        <f t="shared" si="9"/>
        <v>2476.1030616257522</v>
      </c>
      <c r="U39" s="121">
        <f t="shared" si="14"/>
        <v>1943.6669555109734</v>
      </c>
      <c r="V39" s="54">
        <f t="shared" si="15"/>
        <v>335.54390140403069</v>
      </c>
      <c r="W39" s="103">
        <f>SUM(V$26:V39)</f>
        <v>-1032.632160453906</v>
      </c>
    </row>
    <row r="40" spans="1:23" x14ac:dyDescent="0.45">
      <c r="A40" s="64">
        <f t="shared" si="16"/>
        <v>84</v>
      </c>
      <c r="B40" s="63">
        <f t="shared" si="10"/>
        <v>85</v>
      </c>
      <c r="C40" s="64">
        <f t="shared" si="16"/>
        <v>14</v>
      </c>
      <c r="D40" s="63">
        <f t="shared" si="10"/>
        <v>15</v>
      </c>
      <c r="E40" s="115">
        <f>'Q2 Base'!I22</f>
        <v>96900</v>
      </c>
      <c r="F40" s="116">
        <f>'Q2 Base'!J22</f>
        <v>93300</v>
      </c>
      <c r="G40" s="99">
        <f t="shared" si="11"/>
        <v>0</v>
      </c>
      <c r="H40" s="68">
        <f t="shared" si="0"/>
        <v>100</v>
      </c>
      <c r="I40" s="68">
        <f t="shared" si="1"/>
        <v>-6</v>
      </c>
      <c r="J40" s="118">
        <f>'Q2 Base'!D22</f>
        <v>4.9286820488150362E-2</v>
      </c>
      <c r="K40" s="75">
        <f t="shared" si="2"/>
        <v>2464.341024407518</v>
      </c>
      <c r="L40" s="100">
        <f t="shared" si="3"/>
        <v>0.95071317951184964</v>
      </c>
      <c r="M40" s="68">
        <f t="shared" si="4"/>
        <v>9507.1317951184956</v>
      </c>
      <c r="N40" s="75">
        <f t="shared" si="12"/>
        <v>-12077.472819526014</v>
      </c>
      <c r="O40" s="104">
        <f t="shared" si="13"/>
        <v>0.75155574930039315</v>
      </c>
      <c r="P40" s="101">
        <f t="shared" si="5"/>
        <v>0.15227780413645303</v>
      </c>
      <c r="Q40" s="102">
        <f t="shared" si="6"/>
        <v>-1382.2095071858887</v>
      </c>
      <c r="R40" s="64">
        <f t="shared" si="7"/>
        <v>-8198.4603515444323</v>
      </c>
      <c r="S40" s="54">
        <f t="shared" si="8"/>
        <v>5814</v>
      </c>
      <c r="T40" s="54">
        <f t="shared" si="9"/>
        <v>1934.9875320184183</v>
      </c>
      <c r="U40" s="121">
        <f t="shared" si="14"/>
        <v>1454.2510045130209</v>
      </c>
      <c r="V40" s="54">
        <f t="shared" si="15"/>
        <v>221.45014963047387</v>
      </c>
      <c r="W40" s="103">
        <f>SUM(V$26:V40)</f>
        <v>-811.18201082343205</v>
      </c>
    </row>
    <row r="41" spans="1:23" x14ac:dyDescent="0.45">
      <c r="A41" s="64">
        <f t="shared" si="16"/>
        <v>85</v>
      </c>
      <c r="B41" s="63">
        <f t="shared" si="10"/>
        <v>86</v>
      </c>
      <c r="C41" s="64">
        <f t="shared" si="16"/>
        <v>15</v>
      </c>
      <c r="D41" s="63">
        <f t="shared" si="10"/>
        <v>16</v>
      </c>
      <c r="E41" s="115">
        <f>'Q2 Base'!I23</f>
        <v>93300</v>
      </c>
      <c r="F41" s="116">
        <f>'Q2 Base'!J23</f>
        <v>89700</v>
      </c>
      <c r="G41" s="99">
        <f t="shared" si="11"/>
        <v>0</v>
      </c>
      <c r="H41" s="68">
        <f t="shared" si="0"/>
        <v>100</v>
      </c>
      <c r="I41" s="68">
        <f t="shared" si="1"/>
        <v>-6</v>
      </c>
      <c r="J41" s="118">
        <f>'Q2 Base'!D23</f>
        <v>5.712313755302547E-2</v>
      </c>
      <c r="K41" s="75">
        <f t="shared" si="2"/>
        <v>2856.1568776512736</v>
      </c>
      <c r="L41" s="100">
        <f t="shared" si="3"/>
        <v>0.94287686244697455</v>
      </c>
      <c r="M41" s="68">
        <f t="shared" si="4"/>
        <v>9428.7686244697452</v>
      </c>
      <c r="N41" s="75">
        <f t="shared" si="12"/>
        <v>-12390.925502121019</v>
      </c>
      <c r="O41" s="104">
        <f t="shared" si="13"/>
        <v>0.71451395599778733</v>
      </c>
      <c r="P41" s="101">
        <f t="shared" si="5"/>
        <v>0.13432155555567796</v>
      </c>
      <c r="Q41" s="102">
        <f t="shared" si="6"/>
        <v>-1189.2144413043154</v>
      </c>
      <c r="R41" s="64">
        <f t="shared" si="7"/>
        <v>-8723.9454385063873</v>
      </c>
      <c r="S41" s="54">
        <f t="shared" si="8"/>
        <v>5598</v>
      </c>
      <c r="T41" s="54">
        <f t="shared" si="9"/>
        <v>1931.0199363853681</v>
      </c>
      <c r="U41" s="121">
        <f t="shared" si="14"/>
        <v>1379.7406938573049</v>
      </c>
      <c r="V41" s="54">
        <f t="shared" si="15"/>
        <v>185.32891626238364</v>
      </c>
      <c r="W41" s="103">
        <f>SUM(V$26:V41)</f>
        <v>-625.85309456104847</v>
      </c>
    </row>
    <row r="42" spans="1:23" x14ac:dyDescent="0.45">
      <c r="A42" s="64">
        <f t="shared" si="16"/>
        <v>86</v>
      </c>
      <c r="B42" s="63">
        <f t="shared" si="10"/>
        <v>87</v>
      </c>
      <c r="C42" s="64">
        <f t="shared" si="16"/>
        <v>16</v>
      </c>
      <c r="D42" s="63">
        <f t="shared" si="10"/>
        <v>17</v>
      </c>
      <c r="E42" s="115">
        <f>'Q2 Base'!I24</f>
        <v>89700</v>
      </c>
      <c r="F42" s="116">
        <f>'Q2 Base'!J24</f>
        <v>86200</v>
      </c>
      <c r="G42" s="99">
        <f t="shared" si="11"/>
        <v>0</v>
      </c>
      <c r="H42" s="68">
        <f t="shared" si="0"/>
        <v>100</v>
      </c>
      <c r="I42" s="68">
        <f t="shared" si="1"/>
        <v>-6</v>
      </c>
      <c r="J42" s="118">
        <f>'Q2 Base'!D24</f>
        <v>6.6270255322157232E-2</v>
      </c>
      <c r="K42" s="75">
        <f t="shared" si="2"/>
        <v>3313.5127661078614</v>
      </c>
      <c r="L42" s="100">
        <f t="shared" si="3"/>
        <v>0.93372974467784275</v>
      </c>
      <c r="M42" s="68">
        <f t="shared" si="4"/>
        <v>9337.2974467784279</v>
      </c>
      <c r="N42" s="75">
        <f t="shared" si="12"/>
        <v>-12756.810212886288</v>
      </c>
      <c r="O42" s="104">
        <f t="shared" si="13"/>
        <v>0.67369867700576935</v>
      </c>
      <c r="P42" s="101">
        <f t="shared" si="5"/>
        <v>0.11848266652656586</v>
      </c>
      <c r="Q42" s="102">
        <f t="shared" si="6"/>
        <v>-1018.2692022058118</v>
      </c>
      <c r="R42" s="64">
        <f t="shared" si="7"/>
        <v>-9212.4960087699583</v>
      </c>
      <c r="S42" s="54">
        <f t="shared" si="8"/>
        <v>5382</v>
      </c>
      <c r="T42" s="54">
        <f t="shared" si="9"/>
        <v>1837.6857958836699</v>
      </c>
      <c r="U42" s="121">
        <f t="shared" si="14"/>
        <v>1238.0464894391228</v>
      </c>
      <c r="V42" s="54">
        <f t="shared" si="15"/>
        <v>146.68704935260112</v>
      </c>
      <c r="W42" s="103">
        <f>SUM(V$26:V42)</f>
        <v>-479.16604520844737</v>
      </c>
    </row>
    <row r="43" spans="1:23" x14ac:dyDescent="0.45">
      <c r="A43" s="64">
        <f t="shared" si="16"/>
        <v>87</v>
      </c>
      <c r="B43" s="63">
        <f t="shared" ref="B43:D55" si="17">A43+1</f>
        <v>88</v>
      </c>
      <c r="C43" s="64">
        <f t="shared" si="16"/>
        <v>17</v>
      </c>
      <c r="D43" s="63">
        <f t="shared" si="17"/>
        <v>18</v>
      </c>
      <c r="E43" s="115">
        <f>'Q2 Base'!I25</f>
        <v>86200</v>
      </c>
      <c r="F43" s="116">
        <f>'Q2 Base'!J25</f>
        <v>82800</v>
      </c>
      <c r="G43" s="99">
        <f t="shared" si="11"/>
        <v>0</v>
      </c>
      <c r="H43" s="68">
        <f t="shared" si="0"/>
        <v>100</v>
      </c>
      <c r="I43" s="68">
        <f t="shared" si="1"/>
        <v>-6</v>
      </c>
      <c r="J43" s="118">
        <f>'Q2 Base'!D25</f>
        <v>7.6926421010511517E-2</v>
      </c>
      <c r="K43" s="75">
        <f t="shared" si="2"/>
        <v>3846.3210505255756</v>
      </c>
      <c r="L43" s="100">
        <f t="shared" si="3"/>
        <v>0.9230735789894885</v>
      </c>
      <c r="M43" s="68">
        <f t="shared" si="4"/>
        <v>9230.7357898948849</v>
      </c>
      <c r="N43" s="75">
        <f t="shared" si="12"/>
        <v>-13183.056840420461</v>
      </c>
      <c r="O43" s="104">
        <f t="shared" si="13"/>
        <v>0.62905249367039751</v>
      </c>
      <c r="P43" s="101">
        <f t="shared" si="5"/>
        <v>0.10451146287854315</v>
      </c>
      <c r="Q43" s="102">
        <f t="shared" si="6"/>
        <v>-866.6962942328588</v>
      </c>
      <c r="R43" s="64">
        <f t="shared" si="7"/>
        <v>-9769.5076596703584</v>
      </c>
      <c r="S43" s="54">
        <f t="shared" si="8"/>
        <v>5172</v>
      </c>
      <c r="T43" s="54">
        <f t="shared" si="9"/>
        <v>1758.4508192498979</v>
      </c>
      <c r="U43" s="121">
        <f t="shared" si="14"/>
        <v>1106.1578728459017</v>
      </c>
      <c r="V43" s="54">
        <f t="shared" si="15"/>
        <v>115.60617746574272</v>
      </c>
      <c r="W43" s="103">
        <f>SUM(V$26:V43)</f>
        <v>-363.55986774270468</v>
      </c>
    </row>
    <row r="44" spans="1:23" x14ac:dyDescent="0.45">
      <c r="A44" s="64">
        <f t="shared" ref="A44:C55" si="18">A43+1</f>
        <v>88</v>
      </c>
      <c r="B44" s="63">
        <f t="shared" si="17"/>
        <v>89</v>
      </c>
      <c r="C44" s="64">
        <f t="shared" si="18"/>
        <v>18</v>
      </c>
      <c r="D44" s="63">
        <f t="shared" si="17"/>
        <v>19</v>
      </c>
      <c r="E44" s="115">
        <f>'Q2 Base'!I26</f>
        <v>82800</v>
      </c>
      <c r="F44" s="116">
        <f>'Q2 Base'!J26</f>
        <v>79500</v>
      </c>
      <c r="G44" s="99">
        <f t="shared" si="11"/>
        <v>0</v>
      </c>
      <c r="H44" s="68">
        <f t="shared" si="0"/>
        <v>100</v>
      </c>
      <c r="I44" s="68">
        <f t="shared" si="1"/>
        <v>-6</v>
      </c>
      <c r="J44" s="118">
        <f>'Q2 Base'!D26</f>
        <v>8.9290991308776047E-2</v>
      </c>
      <c r="K44" s="75">
        <f t="shared" si="2"/>
        <v>4464.5495654388023</v>
      </c>
      <c r="L44" s="100">
        <f t="shared" si="3"/>
        <v>0.91070900869122395</v>
      </c>
      <c r="M44" s="68">
        <f t="shared" si="4"/>
        <v>9107.0900869122397</v>
      </c>
      <c r="N44" s="75">
        <f t="shared" si="12"/>
        <v>-13677.639652351041</v>
      </c>
      <c r="O44" s="104">
        <f t="shared" si="13"/>
        <v>0.58066173670459642</v>
      </c>
      <c r="P44" s="101">
        <f t="shared" si="5"/>
        <v>9.2187711445235396E-2</v>
      </c>
      <c r="Q44" s="102">
        <f t="shared" si="6"/>
        <v>-732.16236318832603</v>
      </c>
      <c r="R44" s="64">
        <f t="shared" si="7"/>
        <v>-10398.633809047693</v>
      </c>
      <c r="S44" s="54">
        <f t="shared" si="8"/>
        <v>4968</v>
      </c>
      <c r="T44" s="54">
        <f t="shared" si="9"/>
        <v>1688.9941566966518</v>
      </c>
      <c r="U44" s="121">
        <f t="shared" si="14"/>
        <v>980.73428031139304</v>
      </c>
      <c r="V44" s="54">
        <f t="shared" si="15"/>
        <v>90.411648837797301</v>
      </c>
      <c r="W44" s="103">
        <f>SUM(V$26:V44)</f>
        <v>-273.14821890490737</v>
      </c>
    </row>
    <row r="45" spans="1:23" x14ac:dyDescent="0.45">
      <c r="A45" s="64">
        <f t="shared" si="18"/>
        <v>89</v>
      </c>
      <c r="B45" s="63">
        <f t="shared" si="17"/>
        <v>90</v>
      </c>
      <c r="C45" s="64">
        <f t="shared" si="18"/>
        <v>19</v>
      </c>
      <c r="D45" s="63">
        <f t="shared" si="17"/>
        <v>20</v>
      </c>
      <c r="E45" s="115">
        <f>'Q2 Base'!I27</f>
        <v>79500</v>
      </c>
      <c r="F45" s="116">
        <f>'Q2 Base'!J27</f>
        <v>76200</v>
      </c>
      <c r="G45" s="99">
        <f t="shared" si="11"/>
        <v>0</v>
      </c>
      <c r="H45" s="68">
        <f t="shared" si="0"/>
        <v>100</v>
      </c>
      <c r="I45" s="68">
        <f t="shared" si="1"/>
        <v>-6</v>
      </c>
      <c r="J45" s="118">
        <f>'Q2 Base'!D27</f>
        <v>0.10351974810963289</v>
      </c>
      <c r="K45" s="75">
        <f t="shared" si="2"/>
        <v>5175.9874054816446</v>
      </c>
      <c r="L45" s="100">
        <f t="shared" si="3"/>
        <v>0.89648025189036706</v>
      </c>
      <c r="M45" s="68">
        <f t="shared" si="4"/>
        <v>8964.8025189036707</v>
      </c>
      <c r="N45" s="75">
        <f t="shared" si="12"/>
        <v>-14246.789924385315</v>
      </c>
      <c r="O45" s="104">
        <f t="shared" si="13"/>
        <v>0.52881387461916751</v>
      </c>
      <c r="P45" s="101">
        <f t="shared" si="5"/>
        <v>8.1317148448936255E-2</v>
      </c>
      <c r="Q45" s="102">
        <f t="shared" si="6"/>
        <v>-612.63527940154188</v>
      </c>
      <c r="R45" s="64">
        <f t="shared" si="7"/>
        <v>-11188.204805954025</v>
      </c>
      <c r="S45" s="54">
        <f t="shared" si="8"/>
        <v>4770</v>
      </c>
      <c r="T45" s="54">
        <f t="shared" si="9"/>
        <v>1711.4148815687095</v>
      </c>
      <c r="U45" s="121">
        <f t="shared" si="14"/>
        <v>905.01993460325298</v>
      </c>
      <c r="V45" s="54">
        <f t="shared" si="15"/>
        <v>73.593640371379308</v>
      </c>
      <c r="W45" s="103">
        <f>SUM(V$26:V45)</f>
        <v>-199.55457853352806</v>
      </c>
    </row>
    <row r="46" spans="1:23" x14ac:dyDescent="0.45">
      <c r="A46" s="64">
        <f t="shared" si="18"/>
        <v>90</v>
      </c>
      <c r="B46" s="63">
        <f t="shared" si="17"/>
        <v>91</v>
      </c>
      <c r="C46" s="64">
        <f t="shared" si="18"/>
        <v>20</v>
      </c>
      <c r="D46" s="63">
        <f t="shared" si="17"/>
        <v>21</v>
      </c>
      <c r="E46" s="115">
        <f>'Q2 Base'!I28</f>
        <v>76200</v>
      </c>
      <c r="F46" s="116">
        <f>'Q2 Base'!J28</f>
        <v>73000</v>
      </c>
      <c r="G46" s="99">
        <f t="shared" si="11"/>
        <v>0</v>
      </c>
      <c r="H46" s="68">
        <f t="shared" si="0"/>
        <v>100</v>
      </c>
      <c r="I46" s="68">
        <f t="shared" si="1"/>
        <v>-6</v>
      </c>
      <c r="J46" s="118">
        <f>'Q2 Base'!D28</f>
        <v>0.11970432764550082</v>
      </c>
      <c r="K46" s="75">
        <f t="shared" si="2"/>
        <v>5985.2163822750408</v>
      </c>
      <c r="L46" s="100">
        <f t="shared" si="3"/>
        <v>0.88029567235449924</v>
      </c>
      <c r="M46" s="68">
        <f t="shared" si="4"/>
        <v>8802.9567235449922</v>
      </c>
      <c r="N46" s="75">
        <f t="shared" si="12"/>
        <v>-14894.173105820033</v>
      </c>
      <c r="O46" s="104">
        <f t="shared" si="13"/>
        <v>0.47407119552171229</v>
      </c>
      <c r="P46" s="101">
        <f t="shared" si="5"/>
        <v>7.172841724999883E-2</v>
      </c>
      <c r="Q46" s="102">
        <f t="shared" si="6"/>
        <v>-506.46707022331907</v>
      </c>
      <c r="R46" s="64">
        <f t="shared" si="7"/>
        <v>-11938.415918121558</v>
      </c>
      <c r="S46" s="54">
        <f t="shared" si="8"/>
        <v>4572</v>
      </c>
      <c r="T46" s="54">
        <f t="shared" si="9"/>
        <v>1616.2428123015252</v>
      </c>
      <c r="U46" s="121">
        <f t="shared" si="14"/>
        <v>766.21416228115845</v>
      </c>
      <c r="V46" s="54">
        <f t="shared" si="15"/>
        <v>54.959329134961251</v>
      </c>
      <c r="W46" s="103">
        <f>SUM(V$26:V46)</f>
        <v>-144.59524939856681</v>
      </c>
    </row>
    <row r="47" spans="1:23" x14ac:dyDescent="0.45">
      <c r="A47" s="64">
        <f t="shared" si="18"/>
        <v>91</v>
      </c>
      <c r="B47" s="63">
        <f t="shared" si="17"/>
        <v>92</v>
      </c>
      <c r="C47" s="64">
        <f t="shared" si="18"/>
        <v>21</v>
      </c>
      <c r="D47" s="63">
        <f t="shared" si="17"/>
        <v>22</v>
      </c>
      <c r="E47" s="115">
        <f>'Q2 Base'!I29</f>
        <v>73000</v>
      </c>
      <c r="F47" s="116">
        <f>'Q2 Base'!J29</f>
        <v>69700</v>
      </c>
      <c r="G47" s="99">
        <f t="shared" si="11"/>
        <v>0</v>
      </c>
      <c r="H47" s="68">
        <f t="shared" si="0"/>
        <v>100</v>
      </c>
      <c r="I47" s="68">
        <f t="shared" si="1"/>
        <v>-6</v>
      </c>
      <c r="J47" s="118">
        <f>'Q2 Base'!D29</f>
        <v>0.13799544957303669</v>
      </c>
      <c r="K47" s="75">
        <f t="shared" si="2"/>
        <v>6899.7724786518347</v>
      </c>
      <c r="L47" s="100">
        <f t="shared" si="3"/>
        <v>0.86200455042696333</v>
      </c>
      <c r="M47" s="68">
        <f t="shared" si="4"/>
        <v>8620.045504269634</v>
      </c>
      <c r="N47" s="75">
        <f t="shared" si="12"/>
        <v>-15625.817982921468</v>
      </c>
      <c r="O47" s="104">
        <f t="shared" si="13"/>
        <v>0.41732282180568697</v>
      </c>
      <c r="P47" s="101">
        <f t="shared" si="5"/>
        <v>6.3270367189778562E-2</v>
      </c>
      <c r="Q47" s="102">
        <f t="shared" si="6"/>
        <v>-412.58672585112589</v>
      </c>
      <c r="R47" s="64">
        <f t="shared" si="7"/>
        <v>-12918.282835240658</v>
      </c>
      <c r="S47" s="54">
        <f t="shared" si="8"/>
        <v>4380</v>
      </c>
      <c r="T47" s="54">
        <f t="shared" si="9"/>
        <v>1672.46485231919</v>
      </c>
      <c r="U47" s="121">
        <f t="shared" si="14"/>
        <v>697.95775154067587</v>
      </c>
      <c r="V47" s="54">
        <f t="shared" si="15"/>
        <v>44.160043222930796</v>
      </c>
      <c r="W47" s="103">
        <f>SUM(V$26:V47)</f>
        <v>-100.43520617563601</v>
      </c>
    </row>
    <row r="48" spans="1:23" x14ac:dyDescent="0.45">
      <c r="A48" s="64">
        <f t="shared" si="18"/>
        <v>92</v>
      </c>
      <c r="B48" s="63">
        <f t="shared" si="17"/>
        <v>93</v>
      </c>
      <c r="C48" s="64">
        <f t="shared" si="18"/>
        <v>22</v>
      </c>
      <c r="D48" s="63">
        <f t="shared" si="17"/>
        <v>23</v>
      </c>
      <c r="E48" s="115">
        <f>'Q2 Base'!I30</f>
        <v>69700</v>
      </c>
      <c r="F48" s="116">
        <f>'Q2 Base'!J30</f>
        <v>66400</v>
      </c>
      <c r="G48" s="99">
        <f t="shared" si="11"/>
        <v>0</v>
      </c>
      <c r="H48" s="68">
        <f t="shared" si="0"/>
        <v>100</v>
      </c>
      <c r="I48" s="68">
        <f t="shared" si="1"/>
        <v>-6</v>
      </c>
      <c r="J48" s="118">
        <f>'Q2 Base'!D30</f>
        <v>0.15848213593977958</v>
      </c>
      <c r="K48" s="75">
        <f t="shared" si="2"/>
        <v>7924.1067969889791</v>
      </c>
      <c r="L48" s="100">
        <f t="shared" si="3"/>
        <v>0.84151786406022044</v>
      </c>
      <c r="M48" s="68">
        <f t="shared" si="4"/>
        <v>8415.1786406022038</v>
      </c>
      <c r="N48" s="75">
        <f t="shared" si="12"/>
        <v>-16445.285437591185</v>
      </c>
      <c r="O48" s="104">
        <f t="shared" si="13"/>
        <v>0.35973417139352293</v>
      </c>
      <c r="P48" s="101">
        <f t="shared" si="5"/>
        <v>5.5809670947806582E-2</v>
      </c>
      <c r="Q48" s="102">
        <f t="shared" si="6"/>
        <v>-330.16616972756606</v>
      </c>
      <c r="R48" s="64">
        <f t="shared" si="7"/>
        <v>-13823.213826401363</v>
      </c>
      <c r="S48" s="54">
        <f t="shared" si="8"/>
        <v>4182</v>
      </c>
      <c r="T48" s="54">
        <f t="shared" si="9"/>
        <v>1559.9283888101781</v>
      </c>
      <c r="U48" s="121">
        <f t="shared" si="14"/>
        <v>561.1595463818627</v>
      </c>
      <c r="V48" s="54">
        <f t="shared" si="15"/>
        <v>31.318129632792164</v>
      </c>
      <c r="W48" s="103">
        <f>SUM(V$26:V48)</f>
        <v>-69.117076542843847</v>
      </c>
    </row>
    <row r="49" spans="1:23" x14ac:dyDescent="0.45">
      <c r="A49" s="64">
        <f t="shared" si="18"/>
        <v>93</v>
      </c>
      <c r="B49" s="63">
        <f t="shared" si="17"/>
        <v>94</v>
      </c>
      <c r="C49" s="64">
        <f t="shared" si="18"/>
        <v>23</v>
      </c>
      <c r="D49" s="63">
        <f t="shared" si="17"/>
        <v>24</v>
      </c>
      <c r="E49" s="115">
        <f>'Q2 Base'!I31</f>
        <v>66400</v>
      </c>
      <c r="F49" s="116">
        <f>'Q2 Base'!J31</f>
        <v>62800</v>
      </c>
      <c r="G49" s="99">
        <f t="shared" si="11"/>
        <v>0</v>
      </c>
      <c r="H49" s="68">
        <f t="shared" si="0"/>
        <v>100</v>
      </c>
      <c r="I49" s="68">
        <f t="shared" si="1"/>
        <v>-6</v>
      </c>
      <c r="J49" s="118">
        <f>'Q2 Base'!D31</f>
        <v>0.18110969616408049</v>
      </c>
      <c r="K49" s="75">
        <f t="shared" si="2"/>
        <v>9055.4848082040244</v>
      </c>
      <c r="L49" s="100">
        <f t="shared" si="3"/>
        <v>0.81889030383591954</v>
      </c>
      <c r="M49" s="68">
        <f t="shared" si="4"/>
        <v>8188.9030383591953</v>
      </c>
      <c r="N49" s="75">
        <f t="shared" si="12"/>
        <v>-17350.387846563219</v>
      </c>
      <c r="O49" s="104">
        <f t="shared" si="13"/>
        <v>0.30272273154055068</v>
      </c>
      <c r="P49" s="101">
        <f t="shared" si="5"/>
        <v>4.9228722854727382E-2</v>
      </c>
      <c r="Q49" s="102">
        <f t="shared" si="6"/>
        <v>-258.56681734962581</v>
      </c>
      <c r="R49" s="64">
        <f t="shared" si="7"/>
        <v>-14973.68891910425</v>
      </c>
      <c r="S49" s="54">
        <f t="shared" si="8"/>
        <v>3984</v>
      </c>
      <c r="T49" s="54">
        <f t="shared" si="9"/>
        <v>1607.3010725410313</v>
      </c>
      <c r="U49" s="121">
        <f t="shared" si="14"/>
        <v>486.5665710876778</v>
      </c>
      <c r="V49" s="54">
        <f t="shared" si="15"/>
        <v>23.953050878450298</v>
      </c>
      <c r="W49" s="103">
        <f>SUM(V$26:V49)</f>
        <v>-45.164025664393549</v>
      </c>
    </row>
    <row r="50" spans="1:23" x14ac:dyDescent="0.45">
      <c r="A50" s="64">
        <f t="shared" si="18"/>
        <v>94</v>
      </c>
      <c r="B50" s="63">
        <f t="shared" si="17"/>
        <v>95</v>
      </c>
      <c r="C50" s="64">
        <f t="shared" si="18"/>
        <v>24</v>
      </c>
      <c r="D50" s="63">
        <f t="shared" si="17"/>
        <v>25</v>
      </c>
      <c r="E50" s="115">
        <f>'Q2 Base'!I32</f>
        <v>62800</v>
      </c>
      <c r="F50" s="116">
        <f>'Q2 Base'!J32</f>
        <v>58700</v>
      </c>
      <c r="G50" s="99">
        <f t="shared" si="11"/>
        <v>0</v>
      </c>
      <c r="H50" s="68">
        <f t="shared" si="0"/>
        <v>100</v>
      </c>
      <c r="I50" s="68">
        <f t="shared" si="1"/>
        <v>-6</v>
      </c>
      <c r="J50" s="118">
        <f>'Q2 Base'!D32</f>
        <v>0.20567776043554389</v>
      </c>
      <c r="K50" s="75">
        <f t="shared" si="2"/>
        <v>10283.888021777195</v>
      </c>
      <c r="L50" s="100">
        <f t="shared" si="3"/>
        <v>0.79432223956445613</v>
      </c>
      <c r="M50" s="68">
        <f t="shared" si="4"/>
        <v>7943.2223956445614</v>
      </c>
      <c r="N50" s="75">
        <f t="shared" si="12"/>
        <v>-18333.110417421754</v>
      </c>
      <c r="O50" s="104">
        <f t="shared" si="13"/>
        <v>0.24789670960928106</v>
      </c>
      <c r="P50" s="101">
        <f t="shared" si="5"/>
        <v>4.3423785031343302E-2</v>
      </c>
      <c r="Q50" s="102">
        <f t="shared" si="6"/>
        <v>-197.34884657731544</v>
      </c>
      <c r="R50" s="64">
        <f t="shared" si="7"/>
        <v>-16173.284537566426</v>
      </c>
      <c r="S50" s="54">
        <f t="shared" si="8"/>
        <v>3768</v>
      </c>
      <c r="T50" s="54">
        <f t="shared" si="9"/>
        <v>1608.1741201446712</v>
      </c>
      <c r="U50" s="121">
        <f t="shared" si="14"/>
        <v>398.66107286266464</v>
      </c>
      <c r="V50" s="54">
        <f t="shared" si="15"/>
        <v>17.311372728353039</v>
      </c>
      <c r="W50" s="103">
        <f>SUM(V$26:V50)</f>
        <v>-27.85265293604051</v>
      </c>
    </row>
    <row r="51" spans="1:23" x14ac:dyDescent="0.45">
      <c r="A51" s="64">
        <f t="shared" si="18"/>
        <v>95</v>
      </c>
      <c r="B51" s="63">
        <f t="shared" si="17"/>
        <v>96</v>
      </c>
      <c r="C51" s="64">
        <f t="shared" si="18"/>
        <v>25</v>
      </c>
      <c r="D51" s="63">
        <f t="shared" si="17"/>
        <v>26</v>
      </c>
      <c r="E51" s="115">
        <f>'Q2 Base'!I33</f>
        <v>58700</v>
      </c>
      <c r="F51" s="116">
        <f>'Q2 Base'!J33</f>
        <v>53800</v>
      </c>
      <c r="G51" s="99">
        <f t="shared" si="11"/>
        <v>0</v>
      </c>
      <c r="H51" s="68">
        <f t="shared" si="0"/>
        <v>100</v>
      </c>
      <c r="I51" s="68">
        <f t="shared" si="1"/>
        <v>-6</v>
      </c>
      <c r="J51" s="118">
        <f>'Q2 Base'!D33</f>
        <v>0.23180765717624996</v>
      </c>
      <c r="K51" s="75">
        <f t="shared" si="2"/>
        <v>11590.382858812498</v>
      </c>
      <c r="L51" s="100">
        <f t="shared" si="3"/>
        <v>0.76819234282375004</v>
      </c>
      <c r="M51" s="68">
        <f t="shared" si="4"/>
        <v>7681.9234282375</v>
      </c>
      <c r="N51" s="75">
        <f t="shared" si="12"/>
        <v>-19378.30628705</v>
      </c>
      <c r="O51" s="104">
        <f t="shared" si="13"/>
        <v>0.19690986955750378</v>
      </c>
      <c r="P51" s="101">
        <f t="shared" si="5"/>
        <v>3.830335213068075E-2</v>
      </c>
      <c r="Q51" s="102">
        <f t="shared" si="6"/>
        <v>-146.1571559240619</v>
      </c>
      <c r="R51" s="64">
        <f t="shared" si="7"/>
        <v>-17371.251956082247</v>
      </c>
      <c r="S51" s="54">
        <f t="shared" si="8"/>
        <v>3522</v>
      </c>
      <c r="T51" s="54">
        <f t="shared" si="9"/>
        <v>1514.9456690322477</v>
      </c>
      <c r="U51" s="121">
        <f t="shared" si="14"/>
        <v>298.3077540758452</v>
      </c>
      <c r="V51" s="54">
        <f t="shared" si="15"/>
        <v>11.426186947679614</v>
      </c>
      <c r="W51" s="103">
        <f>SUM(V$26:V51)</f>
        <v>-16.426465988360896</v>
      </c>
    </row>
    <row r="52" spans="1:23" x14ac:dyDescent="0.45">
      <c r="A52" s="64">
        <f t="shared" si="18"/>
        <v>96</v>
      </c>
      <c r="B52" s="63">
        <f t="shared" si="17"/>
        <v>97</v>
      </c>
      <c r="C52" s="64">
        <f t="shared" si="18"/>
        <v>26</v>
      </c>
      <c r="D52" s="63">
        <f t="shared" si="17"/>
        <v>27</v>
      </c>
      <c r="E52" s="115">
        <f>'Q2 Base'!I34</f>
        <v>53800</v>
      </c>
      <c r="F52" s="116">
        <f>'Q2 Base'!J34</f>
        <v>47300</v>
      </c>
      <c r="G52" s="99">
        <f t="shared" si="11"/>
        <v>0</v>
      </c>
      <c r="H52" s="68">
        <f t="shared" si="0"/>
        <v>100</v>
      </c>
      <c r="I52" s="68">
        <f t="shared" si="1"/>
        <v>-6</v>
      </c>
      <c r="J52" s="118">
        <f>'Q2 Base'!D34</f>
        <v>0.2604302280539752</v>
      </c>
      <c r="K52" s="75">
        <f t="shared" si="2"/>
        <v>13021.511402698759</v>
      </c>
      <c r="L52" s="100">
        <f t="shared" si="3"/>
        <v>0.7395697719460248</v>
      </c>
      <c r="M52" s="68">
        <f t="shared" si="4"/>
        <v>7395.6977194602478</v>
      </c>
      <c r="N52" s="75">
        <f t="shared" si="12"/>
        <v>-20523.209122159009</v>
      </c>
      <c r="O52" s="104">
        <f t="shared" si="13"/>
        <v>0.15126465402049785</v>
      </c>
      <c r="P52" s="101">
        <f t="shared" si="5"/>
        <v>3.3786708905912712E-2</v>
      </c>
      <c r="Q52" s="102">
        <f t="shared" si="6"/>
        <v>-104.88867974852002</v>
      </c>
      <c r="R52" s="64">
        <f t="shared" si="7"/>
        <v>-18818.349786953026</v>
      </c>
      <c r="S52" s="54">
        <f t="shared" si="8"/>
        <v>3228</v>
      </c>
      <c r="T52" s="54">
        <f t="shared" si="9"/>
        <v>1523.1406647940166</v>
      </c>
      <c r="U52" s="121">
        <f t="shared" si="14"/>
        <v>230.39734568461802</v>
      </c>
      <c r="V52" s="54">
        <f t="shared" si="15"/>
        <v>7.7843680513411329</v>
      </c>
      <c r="W52" s="103">
        <f>SUM(V$26:V52)</f>
        <v>-8.6420979370197628</v>
      </c>
    </row>
    <row r="53" spans="1:23" x14ac:dyDescent="0.45">
      <c r="A53" s="64">
        <f t="shared" si="18"/>
        <v>97</v>
      </c>
      <c r="B53" s="63">
        <f t="shared" si="17"/>
        <v>98</v>
      </c>
      <c r="C53" s="64">
        <f t="shared" si="18"/>
        <v>27</v>
      </c>
      <c r="D53" s="63">
        <f t="shared" si="17"/>
        <v>28</v>
      </c>
      <c r="E53" s="115">
        <f>'Q2 Base'!I35</f>
        <v>47300</v>
      </c>
      <c r="F53" s="116">
        <f>'Q2 Base'!J35</f>
        <v>38100</v>
      </c>
      <c r="G53" s="99">
        <f t="shared" si="11"/>
        <v>0</v>
      </c>
      <c r="H53" s="68">
        <f t="shared" si="0"/>
        <v>100</v>
      </c>
      <c r="I53" s="68">
        <f t="shared" si="1"/>
        <v>-6</v>
      </c>
      <c r="J53" s="118">
        <f>'Q2 Base'!D35</f>
        <v>0.2902582780500334</v>
      </c>
      <c r="K53" s="75">
        <f t="shared" si="2"/>
        <v>14512.91390250167</v>
      </c>
      <c r="L53" s="100">
        <f t="shared" si="3"/>
        <v>0.70974172194996665</v>
      </c>
      <c r="M53" s="68">
        <f t="shared" si="4"/>
        <v>7097.4172194996663</v>
      </c>
      <c r="N53" s="75">
        <f t="shared" si="12"/>
        <v>-21716.331122001335</v>
      </c>
      <c r="O53" s="104">
        <f t="shared" si="13"/>
        <v>0.11187076567743394</v>
      </c>
      <c r="P53" s="101">
        <f t="shared" si="5"/>
        <v>2.9802657866555587E-2</v>
      </c>
      <c r="Q53" s="102">
        <f t="shared" si="6"/>
        <v>-72.403250272676942</v>
      </c>
      <c r="R53" s="64">
        <f t="shared" si="7"/>
        <v>-20258.840393706272</v>
      </c>
      <c r="S53" s="54">
        <f t="shared" si="8"/>
        <v>2838</v>
      </c>
      <c r="T53" s="54">
        <f t="shared" si="9"/>
        <v>1380.5092717049374</v>
      </c>
      <c r="U53" s="121">
        <f t="shared" si="14"/>
        <v>154.43862925042805</v>
      </c>
      <c r="V53" s="54">
        <f t="shared" si="15"/>
        <v>4.6026816289303314</v>
      </c>
      <c r="W53" s="103">
        <f>SUM(V$26:V53)</f>
        <v>-4.0394163080894314</v>
      </c>
    </row>
    <row r="54" spans="1:23" x14ac:dyDescent="0.45">
      <c r="A54" s="64">
        <f t="shared" si="18"/>
        <v>98</v>
      </c>
      <c r="B54" s="63">
        <f t="shared" si="17"/>
        <v>99</v>
      </c>
      <c r="C54" s="64">
        <f t="shared" si="18"/>
        <v>28</v>
      </c>
      <c r="D54" s="63">
        <f t="shared" si="17"/>
        <v>29</v>
      </c>
      <c r="E54" s="115">
        <f>'Q2 Base'!I36</f>
        <v>38100</v>
      </c>
      <c r="F54" s="116">
        <f>'Q2 Base'!J36</f>
        <v>23800</v>
      </c>
      <c r="G54" s="99">
        <f t="shared" si="11"/>
        <v>0</v>
      </c>
      <c r="H54" s="68">
        <f t="shared" si="0"/>
        <v>100</v>
      </c>
      <c r="I54" s="68">
        <f t="shared" si="1"/>
        <v>-6</v>
      </c>
      <c r="J54" s="118">
        <f>'Q2 Base'!D36</f>
        <v>0.32064925726252119</v>
      </c>
      <c r="K54" s="75">
        <f t="shared" si="2"/>
        <v>16032.46286312606</v>
      </c>
      <c r="L54" s="100">
        <f t="shared" si="3"/>
        <v>0.67935074273747875</v>
      </c>
      <c r="M54" s="68">
        <f t="shared" si="4"/>
        <v>6793.5074273747878</v>
      </c>
      <c r="N54" s="75">
        <f t="shared" si="12"/>
        <v>-22931.970290500849</v>
      </c>
      <c r="O54" s="104">
        <f t="shared" si="13"/>
        <v>7.9399349867763189E-2</v>
      </c>
      <c r="P54" s="101">
        <f t="shared" si="5"/>
        <v>2.6288396966522291E-2</v>
      </c>
      <c r="Q54" s="102">
        <f t="shared" si="6"/>
        <v>-47.865480285963727</v>
      </c>
      <c r="R54" s="64">
        <f t="shared" si="7"/>
        <v>-21931.452322848007</v>
      </c>
      <c r="S54" s="54">
        <f t="shared" si="8"/>
        <v>2286</v>
      </c>
      <c r="T54" s="54">
        <f t="shared" si="9"/>
        <v>1285.4820323471577</v>
      </c>
      <c r="U54" s="121">
        <f t="shared" si="14"/>
        <v>102.06643763505525</v>
      </c>
      <c r="V54" s="54">
        <f t="shared" si="15"/>
        <v>2.6831630295091231</v>
      </c>
      <c r="W54" s="103">
        <f>SUM(V$26:V54)</f>
        <v>-1.3562532785803083</v>
      </c>
    </row>
    <row r="55" spans="1:23" x14ac:dyDescent="0.45">
      <c r="A55" s="64">
        <f t="shared" si="18"/>
        <v>99</v>
      </c>
      <c r="B55" s="63">
        <f t="shared" si="17"/>
        <v>100</v>
      </c>
      <c r="C55" s="64">
        <f t="shared" si="18"/>
        <v>29</v>
      </c>
      <c r="D55" s="63">
        <f t="shared" si="17"/>
        <v>30</v>
      </c>
      <c r="E55" s="115">
        <f>'Q2 Base'!I37</f>
        <v>23800</v>
      </c>
      <c r="F55" s="116">
        <f>'Q2 Base'!J37</f>
        <v>0</v>
      </c>
      <c r="G55" s="99">
        <f t="shared" si="11"/>
        <v>0</v>
      </c>
      <c r="H55" s="68">
        <f t="shared" si="0"/>
        <v>100</v>
      </c>
      <c r="I55" s="68">
        <f t="shared" si="1"/>
        <v>-6</v>
      </c>
      <c r="J55" s="118">
        <f>'Q2 Base'!D37</f>
        <v>0.35092340385031207</v>
      </c>
      <c r="K55" s="75">
        <f t="shared" si="2"/>
        <v>17546.170192515605</v>
      </c>
      <c r="L55" s="100">
        <f t="shared" si="3"/>
        <v>0.64907659614968793</v>
      </c>
      <c r="M55" s="68">
        <f t="shared" si="4"/>
        <v>6490.7659614968798</v>
      </c>
      <c r="N55" s="75">
        <f t="shared" si="12"/>
        <v>-24142.936154012485</v>
      </c>
      <c r="O55" s="104">
        <f t="shared" si="13"/>
        <v>5.3940007305537857E-2</v>
      </c>
      <c r="P55" s="101">
        <f t="shared" si="5"/>
        <v>2.3188529632619963E-2</v>
      </c>
      <c r="Q55" s="102">
        <f t="shared" si="6"/>
        <v>-30.19773002149245</v>
      </c>
      <c r="R55" s="64">
        <f t="shared" si="7"/>
        <v>-23800</v>
      </c>
      <c r="S55" s="54">
        <f t="shared" si="8"/>
        <v>1428</v>
      </c>
      <c r="T55" s="54">
        <f t="shared" si="9"/>
        <v>1085.0638459875154</v>
      </c>
      <c r="U55" s="121">
        <f t="shared" si="14"/>
        <v>58.52835177954158</v>
      </c>
      <c r="V55" s="54">
        <f t="shared" si="15"/>
        <v>1.3571864195883052</v>
      </c>
      <c r="W55" s="103">
        <f>SUM($V$26:V55)</f>
        <v>9.3314100799690713E-4</v>
      </c>
    </row>
  </sheetData>
  <mergeCells count="2">
    <mergeCell ref="P22:Q23"/>
    <mergeCell ref="R22:W23"/>
  </mergeCells>
  <conditionalFormatting sqref="U26:U55">
    <cfRule type="cellIs" dxfId="1" priority="1" operator="lessThan">
      <formula>0</formula>
    </cfRule>
    <cfRule type="cellIs" dxfId="0" priority="2" operator="greaterThan">
      <formula>0</formula>
    </cfRule>
  </conditionalFormatting>
  <pageMargins left="0.7" right="0.7" top="0.75" bottom="0.75" header="0.3" footer="0.3"/>
  <pageSetup paperSize="9" orientation="portrait" horizontalDpi="0" verticalDpi="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6515-A210-4E7F-8126-B5AC9862CCEA}">
  <dimension ref="A2:E18"/>
  <sheetViews>
    <sheetView workbookViewId="0">
      <selection activeCell="I17" sqref="I17"/>
    </sheetView>
  </sheetViews>
  <sheetFormatPr defaultRowHeight="14.25" x14ac:dyDescent="0.45"/>
  <cols>
    <col min="2" max="2" width="15.9296875" customWidth="1"/>
    <col min="3" max="3" width="12.1328125" customWidth="1"/>
    <col min="4" max="4" width="12.9296875" customWidth="1"/>
  </cols>
  <sheetData>
    <row r="2" spans="1:5" ht="21" x14ac:dyDescent="0.65">
      <c r="A2" s="56" t="s">
        <v>118</v>
      </c>
    </row>
    <row r="5" spans="1:5" ht="14.65" thickBot="1" x14ac:dyDescent="0.5"/>
    <row r="6" spans="1:5" x14ac:dyDescent="0.45">
      <c r="B6" s="39" t="s">
        <v>13</v>
      </c>
      <c r="C6" s="57"/>
      <c r="D6" s="57"/>
      <c r="E6" s="58"/>
    </row>
    <row r="7" spans="1:5" x14ac:dyDescent="0.45">
      <c r="B7" s="64"/>
      <c r="C7" s="54"/>
      <c r="D7" s="54"/>
      <c r="E7" s="63"/>
    </row>
    <row r="8" spans="1:5" x14ac:dyDescent="0.45">
      <c r="B8" s="64"/>
      <c r="C8" s="54"/>
      <c r="D8" s="54"/>
      <c r="E8" s="63"/>
    </row>
    <row r="9" spans="1:5" x14ac:dyDescent="0.45">
      <c r="B9" s="67" t="s">
        <v>69</v>
      </c>
      <c r="C9" s="54"/>
      <c r="D9" s="54"/>
      <c r="E9" s="63"/>
    </row>
    <row r="10" spans="1:5" x14ac:dyDescent="0.45">
      <c r="B10" s="64" t="s">
        <v>110</v>
      </c>
      <c r="C10" s="54"/>
      <c r="D10" s="130">
        <f>'Q2 Working'!J9</f>
        <v>31358.949618874431</v>
      </c>
      <c r="E10" s="132">
        <f>'Q2 Working'!L9</f>
        <v>22</v>
      </c>
    </row>
    <row r="11" spans="1:5" x14ac:dyDescent="0.45">
      <c r="B11" s="64" t="s">
        <v>111</v>
      </c>
      <c r="C11" s="54"/>
      <c r="D11" s="130">
        <f>'Q2 Working'!J10</f>
        <v>3898.8710821744739</v>
      </c>
      <c r="E11" s="132">
        <f>'Q2 Working'!L10</f>
        <v>12</v>
      </c>
    </row>
    <row r="12" spans="1:5" x14ac:dyDescent="0.45">
      <c r="B12" s="64"/>
      <c r="C12" s="54"/>
      <c r="D12" s="68"/>
      <c r="E12" s="63"/>
    </row>
    <row r="13" spans="1:5" x14ac:dyDescent="0.45">
      <c r="B13" s="64" t="s">
        <v>112</v>
      </c>
      <c r="D13" s="123">
        <f>'Q2 Working'!J12</f>
        <v>2.7849079158389099E-2</v>
      </c>
      <c r="E13" s="132">
        <f>'Q2 Working'!L12</f>
        <v>1</v>
      </c>
    </row>
    <row r="14" spans="1:5" x14ac:dyDescent="0.45">
      <c r="B14" s="64" t="s">
        <v>113</v>
      </c>
      <c r="C14" s="54"/>
      <c r="D14" s="129">
        <f>'Q2 Working'!J13</f>
        <v>11</v>
      </c>
      <c r="E14" s="132">
        <f>'Q2 Working'!L13</f>
        <v>4</v>
      </c>
    </row>
    <row r="15" spans="1:5" x14ac:dyDescent="0.45">
      <c r="B15" s="64"/>
      <c r="C15" s="54"/>
      <c r="D15" s="54"/>
      <c r="E15" s="63"/>
    </row>
    <row r="16" spans="1:5" x14ac:dyDescent="0.45">
      <c r="B16" s="64" t="s">
        <v>116</v>
      </c>
      <c r="C16" s="54"/>
      <c r="D16" s="131">
        <f>'Q2 Working 2(IRR)'!J13</f>
        <v>0.13368106486327885</v>
      </c>
      <c r="E16" s="132">
        <f>'Q2 Working 2(IRR)'!K13</f>
        <v>4</v>
      </c>
    </row>
    <row r="17" spans="2:5" ht="14.65" thickBot="1" x14ac:dyDescent="0.5">
      <c r="B17" s="73"/>
      <c r="C17" s="74"/>
      <c r="D17" s="74"/>
      <c r="E17" s="72"/>
    </row>
    <row r="18" spans="2:5" x14ac:dyDescent="0.45">
      <c r="E18">
        <f>SUM(E10:E16)</f>
        <v>43</v>
      </c>
    </row>
  </sheetData>
  <pageMargins left="0.7" right="0.7" top="0.75" bottom="0.75" header="0.3" footer="0.3"/>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7E4C2-C889-442B-8B7F-6B20C2CD80E6}">
  <dimension ref="C3:D39"/>
  <sheetViews>
    <sheetView workbookViewId="0">
      <selection activeCell="D13" sqref="D13"/>
    </sheetView>
  </sheetViews>
  <sheetFormatPr defaultRowHeight="14.25" x14ac:dyDescent="0.45"/>
  <sheetData>
    <row r="3" spans="3:4" x14ac:dyDescent="0.45">
      <c r="C3" s="19" t="s">
        <v>67</v>
      </c>
    </row>
    <row r="5" spans="3:4" x14ac:dyDescent="0.45">
      <c r="C5" s="50" t="s">
        <v>119</v>
      </c>
    </row>
    <row r="7" spans="3:4" x14ac:dyDescent="0.45">
      <c r="C7" t="s">
        <v>66</v>
      </c>
      <c r="D7" s="50" t="s">
        <v>54</v>
      </c>
    </row>
    <row r="8" spans="3:4" x14ac:dyDescent="0.45">
      <c r="C8">
        <v>2</v>
      </c>
      <c r="D8" t="s">
        <v>146</v>
      </c>
    </row>
    <row r="9" spans="3:4" x14ac:dyDescent="0.45">
      <c r="C9">
        <v>2</v>
      </c>
      <c r="D9" t="s">
        <v>55</v>
      </c>
    </row>
    <row r="10" spans="3:4" x14ac:dyDescent="0.45">
      <c r="C10">
        <v>2</v>
      </c>
      <c r="D10" t="s">
        <v>147</v>
      </c>
    </row>
    <row r="11" spans="3:4" x14ac:dyDescent="0.45">
      <c r="C11">
        <v>2</v>
      </c>
      <c r="D11" t="s">
        <v>56</v>
      </c>
    </row>
    <row r="12" spans="3:4" x14ac:dyDescent="0.45">
      <c r="C12">
        <v>2</v>
      </c>
      <c r="D12" t="s">
        <v>62</v>
      </c>
    </row>
    <row r="13" spans="3:4" x14ac:dyDescent="0.45">
      <c r="C13">
        <v>2</v>
      </c>
      <c r="D13" t="s">
        <v>148</v>
      </c>
    </row>
    <row r="14" spans="3:4" x14ac:dyDescent="0.45">
      <c r="C14">
        <v>2</v>
      </c>
      <c r="D14" t="s">
        <v>63</v>
      </c>
    </row>
    <row r="15" spans="3:4" x14ac:dyDescent="0.45">
      <c r="C15">
        <v>2</v>
      </c>
      <c r="D15" t="s">
        <v>64</v>
      </c>
    </row>
    <row r="16" spans="3:4" x14ac:dyDescent="0.45">
      <c r="C16">
        <v>2</v>
      </c>
      <c r="D16" t="s">
        <v>145</v>
      </c>
    </row>
    <row r="17" spans="3:4" x14ac:dyDescent="0.45">
      <c r="C17">
        <v>2</v>
      </c>
      <c r="D17" t="s">
        <v>65</v>
      </c>
    </row>
    <row r="18" spans="3:4" x14ac:dyDescent="0.45">
      <c r="C18">
        <v>2</v>
      </c>
      <c r="D18" t="s">
        <v>117</v>
      </c>
    </row>
    <row r="19" spans="3:4" x14ac:dyDescent="0.45">
      <c r="D19" t="s">
        <v>121</v>
      </c>
    </row>
    <row r="21" spans="3:4" x14ac:dyDescent="0.45">
      <c r="C21" t="s">
        <v>124</v>
      </c>
    </row>
    <row r="22" spans="3:4" x14ac:dyDescent="0.45">
      <c r="C22" t="s">
        <v>122</v>
      </c>
    </row>
    <row r="23" spans="3:4" x14ac:dyDescent="0.45">
      <c r="C23" t="s">
        <v>120</v>
      </c>
    </row>
    <row r="25" spans="3:4" x14ac:dyDescent="0.45">
      <c r="C25" t="s">
        <v>123</v>
      </c>
    </row>
    <row r="28" spans="3:4" x14ac:dyDescent="0.45">
      <c r="C28">
        <v>0</v>
      </c>
      <c r="D28" t="s">
        <v>125</v>
      </c>
    </row>
    <row r="29" spans="3:4" x14ac:dyDescent="0.45">
      <c r="C29">
        <v>1</v>
      </c>
      <c r="D29" t="s">
        <v>126</v>
      </c>
    </row>
    <row r="30" spans="3:4" x14ac:dyDescent="0.45">
      <c r="C30">
        <v>2</v>
      </c>
      <c r="D30" t="s">
        <v>127</v>
      </c>
    </row>
    <row r="31" spans="3:4" x14ac:dyDescent="0.45">
      <c r="C31">
        <v>3</v>
      </c>
      <c r="D31" t="s">
        <v>133</v>
      </c>
    </row>
    <row r="32" spans="3:4" x14ac:dyDescent="0.45">
      <c r="C32">
        <v>4</v>
      </c>
      <c r="D32" t="s">
        <v>134</v>
      </c>
    </row>
    <row r="33" spans="3:4" x14ac:dyDescent="0.45">
      <c r="C33">
        <v>5</v>
      </c>
      <c r="D33" t="s">
        <v>128</v>
      </c>
    </row>
    <row r="34" spans="3:4" x14ac:dyDescent="0.45">
      <c r="C34">
        <v>6</v>
      </c>
      <c r="D34" t="s">
        <v>129</v>
      </c>
    </row>
    <row r="36" spans="3:4" x14ac:dyDescent="0.45">
      <c r="C36" t="s">
        <v>131</v>
      </c>
    </row>
    <row r="37" spans="3:4" x14ac:dyDescent="0.45">
      <c r="C37" t="s">
        <v>130</v>
      </c>
    </row>
    <row r="38" spans="3:4" x14ac:dyDescent="0.45">
      <c r="C38" t="s">
        <v>132</v>
      </c>
    </row>
    <row r="39" spans="3:4" x14ac:dyDescent="0.45">
      <c r="C39" t="s">
        <v>135</v>
      </c>
    </row>
  </sheetData>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AC917-F522-4B51-BB4B-0A27D045364C}">
  <dimension ref="A1:C9"/>
  <sheetViews>
    <sheetView workbookViewId="0">
      <selection activeCell="H11" sqref="H11"/>
    </sheetView>
  </sheetViews>
  <sheetFormatPr defaultRowHeight="14.25" x14ac:dyDescent="0.45"/>
  <cols>
    <col min="1" max="1" width="23.1328125" bestFit="1" customWidth="1"/>
  </cols>
  <sheetData>
    <row r="1" spans="1:3" x14ac:dyDescent="0.45">
      <c r="A1" s="1" t="s">
        <v>1</v>
      </c>
      <c r="B1" s="2"/>
      <c r="C1" s="3"/>
    </row>
    <row r="2" spans="1:3" x14ac:dyDescent="0.45">
      <c r="A2" s="4"/>
      <c r="C2" s="5"/>
    </row>
    <row r="3" spans="1:3" x14ac:dyDescent="0.45">
      <c r="A3" s="17" t="s">
        <v>2</v>
      </c>
      <c r="C3" s="5"/>
    </row>
    <row r="4" spans="1:3" x14ac:dyDescent="0.45">
      <c r="A4" s="6" t="s">
        <v>3</v>
      </c>
      <c r="C4" s="5"/>
    </row>
    <row r="5" spans="1:3" x14ac:dyDescent="0.45">
      <c r="A5" s="7" t="s">
        <v>4</v>
      </c>
      <c r="C5" s="5"/>
    </row>
    <row r="6" spans="1:3" x14ac:dyDescent="0.45">
      <c r="A6" s="8" t="s">
        <v>5</v>
      </c>
      <c r="C6" s="5"/>
    </row>
    <row r="7" spans="1:3" x14ac:dyDescent="0.45">
      <c r="A7" s="13" t="s">
        <v>12</v>
      </c>
      <c r="C7" s="5"/>
    </row>
    <row r="8" spans="1:3" x14ac:dyDescent="0.45">
      <c r="A8" s="16" t="s">
        <v>13</v>
      </c>
      <c r="C8" s="5"/>
    </row>
    <row r="9" spans="1:3" ht="14.65" thickBot="1" x14ac:dyDescent="0.5">
      <c r="A9" s="9"/>
      <c r="B9" s="10"/>
      <c r="C9" s="11"/>
    </row>
  </sheetData>
  <pageMargins left="0.7" right="0.7" top="0.75" bottom="0.75" header="0.3" footer="0.3"/>
  <pageSetup paperSize="9" orientation="portrait" horizontalDpi="0"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B096F5CF448841AE72BA02EB7D85E8" ma:contentTypeVersion="19" ma:contentTypeDescription="Create a new document." ma:contentTypeScope="" ma:versionID="e82e7f5e3b0bb8e72bf313293077abf7">
  <xsd:schema xmlns:xsd="http://www.w3.org/2001/XMLSchema" xmlns:xs="http://www.w3.org/2001/XMLSchema" xmlns:p="http://schemas.microsoft.com/office/2006/metadata/properties" xmlns:ns2="e094b6f7-70e4-4439-8c94-44b3d4882fb7" xmlns:ns3="7831c684-3554-4bbf-bebd-6b1cd33301bf" targetNamespace="http://schemas.microsoft.com/office/2006/metadata/properties" ma:root="true" ma:fieldsID="7b901172775bbeb2abea215875838cd2" ns2:_="" ns3:_="">
    <xsd:import namespace="e094b6f7-70e4-4439-8c94-44b3d4882fb7"/>
    <xsd:import namespace="7831c684-3554-4bbf-bebd-6b1cd33301b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DocType" minOccurs="0"/>
                <xsd:element ref="ns3:Status" minOccurs="0"/>
                <xsd:element ref="ns3:Note"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ServiceSearchProperties"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94b6f7-70e4-4439-8c94-44b3d4882fb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02ad3440-77f3-4c46-a75a-2a198f27e4b2}" ma:internalName="TaxCatchAll" ma:showField="CatchAllData" ma:web="e094b6f7-70e4-4439-8c94-44b3d4882fb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831c684-3554-4bbf-bebd-6b1cd33301b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DocType" ma:index="12" nillable="true" ma:displayName="Doc Type" ma:format="Dropdown" ma:internalName="DocType">
      <xsd:simpleType>
        <xsd:restriction base="dms:Choice">
          <xsd:enumeration value="Exam paper"/>
          <xsd:enumeration value="Solutions"/>
          <xsd:enumeration value="SRF"/>
          <xsd:enumeration value="TOC"/>
          <xsd:enumeration value="EE review"/>
          <xsd:enumeration value="IM review"/>
        </xsd:restriction>
      </xsd:simpleType>
    </xsd:element>
    <xsd:element name="Status" ma:index="13" nillable="true" ma:displayName="Status" ma:default="New" ma:format="Dropdown" ma:internalName="Status">
      <xsd:simpleType>
        <xsd:restriction base="dms:Choice">
          <xsd:enumeration value="New"/>
          <xsd:enumeration value="Checked in"/>
          <xsd:enumeration value="Formatted"/>
          <xsd:enumeration value="Complete"/>
        </xsd:restriction>
      </xsd:simpleType>
    </xsd:element>
    <xsd:element name="Note" ma:index="14" nillable="true" ma:displayName="Note" ma:format="Dropdown" ma:internalName="Note">
      <xsd:simpleType>
        <xsd:restriction base="dms:Text">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1f8fe375-cbb6-4b35-9ea2-3916cf22ce71"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 xmlns="7831c684-3554-4bbf-bebd-6b1cd33301bf">New</Status>
    <lcf76f155ced4ddcb4097134ff3c332f xmlns="7831c684-3554-4bbf-bebd-6b1cd33301bf">
      <Terms xmlns="http://schemas.microsoft.com/office/infopath/2007/PartnerControls"/>
    </lcf76f155ced4ddcb4097134ff3c332f>
    <Note xmlns="7831c684-3554-4bbf-bebd-6b1cd33301bf" xsi:nil="true"/>
    <DocType xmlns="7831c684-3554-4bbf-bebd-6b1cd33301bf" xsi:nil="true"/>
    <TaxCatchAll xmlns="e094b6f7-70e4-4439-8c94-44b3d4882fb7" xsi:nil="true"/>
  </documentManagement>
</p:properties>
</file>

<file path=customXml/itemProps1.xml><?xml version="1.0" encoding="utf-8"?>
<ds:datastoreItem xmlns:ds="http://schemas.openxmlformats.org/officeDocument/2006/customXml" ds:itemID="{E6C5F44F-5366-4A43-8531-35FA7B447C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94b6f7-70e4-4439-8c94-44b3d4882fb7"/>
    <ds:schemaRef ds:uri="7831c684-3554-4bbf-bebd-6b1cd33301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3B51B59-8992-4F76-93F3-22ABCA874B87}">
  <ds:schemaRefs>
    <ds:schemaRef ds:uri="http://schemas.microsoft.com/sharepoint/v3/contenttype/forms"/>
  </ds:schemaRefs>
</ds:datastoreItem>
</file>

<file path=customXml/itemProps3.xml><?xml version="1.0" encoding="utf-8"?>
<ds:datastoreItem xmlns:ds="http://schemas.openxmlformats.org/officeDocument/2006/customXml" ds:itemID="{46BF064E-F0E2-4317-A32D-73C9F5E2F715}">
  <ds:schemaRefs>
    <ds:schemaRef ds:uri="http://schemas.microsoft.com/office/2006/documentManagement/types"/>
    <ds:schemaRef ds:uri="http://purl.org/dc/dcmitype/"/>
    <ds:schemaRef ds:uri="http://purl.org/dc/terms/"/>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7831c684-3554-4bbf-bebd-6b1cd33301bf"/>
    <ds:schemaRef ds:uri="e094b6f7-70e4-4439-8c94-44b3d4882fb7"/>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12</vt:i4>
      </vt:variant>
    </vt:vector>
  </HeadingPairs>
  <TitlesOfParts>
    <vt:vector size="21" baseType="lpstr">
      <vt:lpstr>Q1 Base</vt:lpstr>
      <vt:lpstr>Q1 Working</vt:lpstr>
      <vt:lpstr>Q1 Answers</vt:lpstr>
      <vt:lpstr>Q2 Base</vt:lpstr>
      <vt:lpstr>Q2 Working</vt:lpstr>
      <vt:lpstr>Q2 Working 2(IRR)</vt:lpstr>
      <vt:lpstr>Q2 Answers</vt:lpstr>
      <vt:lpstr>Part B mark scheme</vt:lpstr>
      <vt:lpstr>colour key</vt:lpstr>
      <vt:lpstr>Expenses</vt:lpstr>
      <vt:lpstr>FinalDecSA</vt:lpstr>
      <vt:lpstr>interest</vt:lpstr>
      <vt:lpstr>PremiumTA</vt:lpstr>
      <vt:lpstr>'Q2 Working 2(IRR)'!ProfitTestTerm</vt:lpstr>
      <vt:lpstr>ProfitTestTerm</vt:lpstr>
      <vt:lpstr>StartDecSA</vt:lpstr>
      <vt:lpstr>StepSizeQ1</vt:lpstr>
      <vt:lpstr>SumAssdTA</vt:lpstr>
      <vt:lpstr>'Q2 Working 2(IRR)'!term</vt:lpstr>
      <vt:lpstr>term</vt:lpstr>
      <vt:lpstr>TermOfDecSA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2025-03-04T10:35:49Z</dcterms:created>
  <dcterms:modified xsi:type="dcterms:W3CDTF">2026-03-04T05:19:25Z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0x010100FFB096F5CF448841AE72BA02EB7D85E8</vt:lpwstr>
  </property>
</Properties>
</file>