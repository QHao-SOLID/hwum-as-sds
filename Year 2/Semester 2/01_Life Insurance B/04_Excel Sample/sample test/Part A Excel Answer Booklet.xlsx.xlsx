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\OneDrive\Desktop\02_Courses\01_Life Insurance B\04_Excel Sample\"/>
    </mc:Choice>
  </mc:AlternateContent>
  <xr:revisionPtr revIDLastSave="0" documentId="13_ncr:1_{843BC01D-E9FE-429E-85CC-1020EC77B61D}" xr6:coauthVersionLast="47" xr6:coauthVersionMax="47" xr10:uidLastSave="{00000000-0000-0000-0000-000000000000}"/>
  <bookViews>
    <workbookView xWindow="-98" yWindow="-98" windowWidth="21795" windowHeight="12975" activeTab="6" xr2:uid="{801F8B12-6C45-460D-B2F7-656EFECF5BC9}"/>
  </bookViews>
  <sheets>
    <sheet name="Q1 Base" sheetId="25" r:id="rId1"/>
    <sheet name="Q1" sheetId="26" r:id="rId2"/>
    <sheet name="Q1 Answers" sheetId="27" r:id="rId3"/>
    <sheet name="Q2 Base" sheetId="12" r:id="rId4"/>
    <sheet name="Q2 (i)" sheetId="23" r:id="rId5"/>
    <sheet name="Q2 (ii)" sheetId="21" r:id="rId6"/>
    <sheet name="Q2 (iii)" sheetId="22" r:id="rId7"/>
    <sheet name="Q2 Answers" sheetId="1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9" l="1"/>
  <c r="I3" i="19" l="1"/>
  <c r="D4" i="19"/>
  <c r="E4" i="19"/>
  <c r="D5" i="19"/>
  <c r="E5" i="19"/>
  <c r="D6" i="19"/>
  <c r="E6" i="19"/>
  <c r="D7" i="19"/>
  <c r="E7" i="19"/>
  <c r="D8" i="19"/>
  <c r="E8" i="19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19" i="19"/>
  <c r="E19" i="19"/>
  <c r="D20" i="19"/>
  <c r="E20" i="19"/>
  <c r="D21" i="19"/>
  <c r="E21" i="19"/>
  <c r="D22" i="19"/>
  <c r="E22" i="19"/>
  <c r="E3" i="19"/>
  <c r="D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3" i="19"/>
  <c r="D5" i="22"/>
  <c r="D6" i="22"/>
  <c r="D7" i="22"/>
  <c r="D8" i="22"/>
  <c r="D9" i="22"/>
  <c r="D10" i="22"/>
  <c r="D11" i="22"/>
  <c r="D12" i="22"/>
  <c r="F12" i="22" s="1"/>
  <c r="D13" i="22"/>
  <c r="D14" i="22"/>
  <c r="F14" i="22" s="1"/>
  <c r="P14" i="22" s="1"/>
  <c r="D15" i="22"/>
  <c r="D16" i="22"/>
  <c r="D17" i="22"/>
  <c r="D18" i="22"/>
  <c r="D19" i="22"/>
  <c r="D20" i="22"/>
  <c r="F20" i="22" s="1"/>
  <c r="D21" i="22"/>
  <c r="D22" i="22"/>
  <c r="D23" i="22"/>
  <c r="D4" i="22"/>
  <c r="E23" i="22"/>
  <c r="C23" i="22"/>
  <c r="E22" i="22"/>
  <c r="C22" i="22"/>
  <c r="E21" i="22"/>
  <c r="C21" i="22"/>
  <c r="E20" i="22"/>
  <c r="C20" i="22"/>
  <c r="E19" i="22"/>
  <c r="C19" i="22"/>
  <c r="E18" i="22"/>
  <c r="C18" i="22"/>
  <c r="E17" i="22"/>
  <c r="C17" i="22"/>
  <c r="E16" i="22"/>
  <c r="C16" i="22"/>
  <c r="E15" i="22"/>
  <c r="C15" i="22"/>
  <c r="E14" i="22"/>
  <c r="C14" i="22"/>
  <c r="E13" i="22"/>
  <c r="C13" i="22"/>
  <c r="E12" i="22"/>
  <c r="C12" i="22"/>
  <c r="E11" i="22"/>
  <c r="C11" i="22"/>
  <c r="E10" i="22"/>
  <c r="C10" i="22"/>
  <c r="E9" i="22"/>
  <c r="C9" i="22"/>
  <c r="E8" i="22"/>
  <c r="C8" i="22"/>
  <c r="E7" i="22"/>
  <c r="C7" i="22"/>
  <c r="E6" i="22"/>
  <c r="C6" i="22"/>
  <c r="E5" i="22"/>
  <c r="C5" i="22"/>
  <c r="E4" i="22"/>
  <c r="C4" i="22"/>
  <c r="Z2" i="22"/>
  <c r="Z5" i="22" s="1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4" i="22"/>
  <c r="P20" i="22" l="1"/>
  <c r="F19" i="22"/>
  <c r="P19" i="22" s="1"/>
  <c r="P12" i="22"/>
  <c r="F22" i="22"/>
  <c r="P22" i="22" s="1"/>
  <c r="F9" i="22"/>
  <c r="P9" i="22" s="1"/>
  <c r="F17" i="22"/>
  <c r="P17" i="22" s="1"/>
  <c r="F4" i="22"/>
  <c r="F16" i="22"/>
  <c r="P16" i="22" s="1"/>
  <c r="F8" i="22"/>
  <c r="P8" i="22" s="1"/>
  <c r="F23" i="22"/>
  <c r="P23" i="22" s="1"/>
  <c r="F15" i="22"/>
  <c r="P15" i="22" s="1"/>
  <c r="F7" i="22"/>
  <c r="P7" i="22" s="1"/>
  <c r="F6" i="22"/>
  <c r="P6" i="22" s="1"/>
  <c r="F21" i="22"/>
  <c r="P21" i="22" s="1"/>
  <c r="F5" i="22"/>
  <c r="P5" i="22" s="1"/>
  <c r="F10" i="22"/>
  <c r="P10" i="22" s="1"/>
  <c r="F13" i="22"/>
  <c r="P13" i="22" s="1"/>
  <c r="F11" i="22"/>
  <c r="P11" i="22" s="1"/>
  <c r="F18" i="22"/>
  <c r="P18" i="22" s="1"/>
  <c r="Z20" i="22"/>
  <c r="Z19" i="22"/>
  <c r="Z18" i="22"/>
  <c r="Z12" i="22"/>
  <c r="Z11" i="22"/>
  <c r="Z10" i="22"/>
  <c r="Z17" i="22"/>
  <c r="Z9" i="22"/>
  <c r="Z4" i="22"/>
  <c r="Z16" i="22"/>
  <c r="Z8" i="22"/>
  <c r="Z23" i="22"/>
  <c r="Z15" i="22"/>
  <c r="Z7" i="22"/>
  <c r="Z22" i="22"/>
  <c r="Z14" i="22"/>
  <c r="Z6" i="22"/>
  <c r="Z21" i="22"/>
  <c r="Z13" i="22"/>
  <c r="G4" i="22" l="1"/>
  <c r="H4" i="22" s="1"/>
  <c r="I4" i="22" s="1"/>
  <c r="J4" i="22" s="1"/>
  <c r="V4" i="22" s="1"/>
  <c r="P4" i="22"/>
  <c r="S4" i="22" s="1"/>
  <c r="K4" i="22" l="1"/>
  <c r="T4" i="22"/>
  <c r="G5" i="22" l="1"/>
  <c r="H5" i="22" s="1"/>
  <c r="I5" i="22" s="1"/>
  <c r="J5" i="22" s="1"/>
  <c r="V5" i="22" s="1"/>
  <c r="U4" i="22"/>
  <c r="K5" i="22" l="1"/>
  <c r="T5" i="22"/>
  <c r="G6" i="22" l="1"/>
  <c r="H6" i="22" s="1"/>
  <c r="I6" i="22" s="1"/>
  <c r="J6" i="22" s="1"/>
  <c r="V6" i="22" s="1"/>
  <c r="U5" i="22"/>
  <c r="K6" i="22" l="1"/>
  <c r="T6" i="22"/>
  <c r="G7" i="22" l="1"/>
  <c r="H7" i="22" s="1"/>
  <c r="I7" i="22" s="1"/>
  <c r="J7" i="22" s="1"/>
  <c r="V7" i="22" s="1"/>
  <c r="U6" i="22"/>
  <c r="T7" i="22" l="1"/>
  <c r="K7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5" i="22"/>
  <c r="R4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5" i="22"/>
  <c r="Q4" i="22"/>
  <c r="G8" i="22" l="1"/>
  <c r="H8" i="22" s="1"/>
  <c r="I8" i="22" s="1"/>
  <c r="J8" i="22" s="1"/>
  <c r="V8" i="22" s="1"/>
  <c r="U7" i="22"/>
  <c r="S20" i="22"/>
  <c r="S12" i="22"/>
  <c r="S19" i="22"/>
  <c r="S11" i="22"/>
  <c r="S18" i="22"/>
  <c r="S10" i="22"/>
  <c r="S17" i="22"/>
  <c r="S9" i="22"/>
  <c r="S16" i="22"/>
  <c r="S8" i="22"/>
  <c r="S23" i="22"/>
  <c r="S15" i="22"/>
  <c r="S7" i="22"/>
  <c r="S22" i="22"/>
  <c r="S14" i="22"/>
  <c r="S6" i="22"/>
  <c r="S21" i="22"/>
  <c r="S13" i="22"/>
  <c r="S5" i="22"/>
  <c r="J5" i="21"/>
  <c r="K5" i="21"/>
  <c r="J6" i="21"/>
  <c r="K6" i="21"/>
  <c r="J7" i="21"/>
  <c r="K7" i="21"/>
  <c r="J8" i="21"/>
  <c r="K8" i="21"/>
  <c r="J9" i="21"/>
  <c r="K9" i="21"/>
  <c r="J10" i="21"/>
  <c r="K10" i="21"/>
  <c r="J11" i="21"/>
  <c r="K11" i="21"/>
  <c r="J12" i="21"/>
  <c r="K12" i="21"/>
  <c r="J13" i="21"/>
  <c r="K13" i="21"/>
  <c r="J14" i="21"/>
  <c r="K14" i="21"/>
  <c r="J15" i="21"/>
  <c r="K15" i="21"/>
  <c r="J16" i="21"/>
  <c r="K16" i="21"/>
  <c r="J17" i="21"/>
  <c r="K17" i="21"/>
  <c r="J18" i="21"/>
  <c r="K18" i="21"/>
  <c r="J19" i="21"/>
  <c r="K19" i="21"/>
  <c r="J20" i="21"/>
  <c r="K20" i="21"/>
  <c r="J21" i="21"/>
  <c r="K21" i="21"/>
  <c r="J22" i="21"/>
  <c r="K22" i="21"/>
  <c r="J23" i="21"/>
  <c r="K23" i="21"/>
  <c r="K4" i="21"/>
  <c r="J4" i="21"/>
  <c r="W7" i="22" l="1"/>
  <c r="Y7" i="22" s="1"/>
  <c r="AA7" i="22" s="1"/>
  <c r="W5" i="22"/>
  <c r="Y5" i="22" s="1"/>
  <c r="AA5" i="22" s="1"/>
  <c r="W6" i="22"/>
  <c r="Y6" i="22" s="1"/>
  <c r="AA6" i="22" s="1"/>
  <c r="W4" i="22"/>
  <c r="Y4" i="22" s="1"/>
  <c r="AA4" i="22" s="1"/>
  <c r="K8" i="22"/>
  <c r="T8" i="22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G4" i="21"/>
  <c r="F4" i="21"/>
  <c r="I4" i="21"/>
  <c r="H4" i="21"/>
  <c r="E6" i="21"/>
  <c r="E7" i="21"/>
  <c r="E8" i="21" s="1"/>
  <c r="E9" i="21" s="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5" i="21"/>
  <c r="E4" i="21"/>
  <c r="G9" i="22" l="1"/>
  <c r="H9" i="22" s="1"/>
  <c r="I9" i="22" s="1"/>
  <c r="J9" i="22" s="1"/>
  <c r="V9" i="22" s="1"/>
  <c r="U8" i="22"/>
  <c r="W8" i="22" s="1"/>
  <c r="Y8" i="22" s="1"/>
  <c r="AA8" i="22" s="1"/>
  <c r="H5" i="23"/>
  <c r="I5" i="23"/>
  <c r="I4" i="23"/>
  <c r="H4" i="23"/>
  <c r="G4" i="23"/>
  <c r="C5" i="23"/>
  <c r="D5" i="23"/>
  <c r="E5" i="23"/>
  <c r="C6" i="23"/>
  <c r="D6" i="23"/>
  <c r="E6" i="23"/>
  <c r="C7" i="23"/>
  <c r="D7" i="23"/>
  <c r="E7" i="23"/>
  <c r="C8" i="23"/>
  <c r="D8" i="23"/>
  <c r="E8" i="23"/>
  <c r="C9" i="23"/>
  <c r="D9" i="23"/>
  <c r="E9" i="23"/>
  <c r="C10" i="23"/>
  <c r="F10" i="23" s="1"/>
  <c r="D10" i="23"/>
  <c r="E10" i="23"/>
  <c r="C11" i="23"/>
  <c r="D11" i="23"/>
  <c r="E11" i="23"/>
  <c r="C12" i="23"/>
  <c r="D12" i="23"/>
  <c r="E12" i="23"/>
  <c r="C13" i="23"/>
  <c r="D13" i="23"/>
  <c r="E13" i="23"/>
  <c r="C14" i="23"/>
  <c r="D14" i="23"/>
  <c r="E14" i="23"/>
  <c r="C15" i="23"/>
  <c r="D15" i="23"/>
  <c r="E15" i="23"/>
  <c r="C16" i="23"/>
  <c r="D16" i="23"/>
  <c r="E16" i="23"/>
  <c r="C17" i="23"/>
  <c r="D17" i="23"/>
  <c r="E17" i="23"/>
  <c r="C18" i="23"/>
  <c r="F18" i="23" s="1"/>
  <c r="D18" i="23"/>
  <c r="E18" i="23"/>
  <c r="C19" i="23"/>
  <c r="D19" i="23"/>
  <c r="E19" i="23"/>
  <c r="C20" i="23"/>
  <c r="D20" i="23"/>
  <c r="E20" i="23"/>
  <c r="C21" i="23"/>
  <c r="D21" i="23"/>
  <c r="E21" i="23"/>
  <c r="C22" i="23"/>
  <c r="D22" i="23"/>
  <c r="E22" i="23"/>
  <c r="C23" i="23"/>
  <c r="D23" i="23"/>
  <c r="E23" i="23"/>
  <c r="E4" i="23"/>
  <c r="C4" i="23"/>
  <c r="D4" i="23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3" i="27"/>
  <c r="U5" i="26"/>
  <c r="T6" i="26" s="1"/>
  <c r="U6" i="26" s="1"/>
  <c r="T7" i="26" s="1"/>
  <c r="U7" i="26" s="1"/>
  <c r="T8" i="26" s="1"/>
  <c r="U8" i="26" s="1"/>
  <c r="T9" i="26" s="1"/>
  <c r="U9" i="26" s="1"/>
  <c r="T10" i="26" s="1"/>
  <c r="U10" i="26" s="1"/>
  <c r="T11" i="26" s="1"/>
  <c r="U11" i="26" s="1"/>
  <c r="T12" i="26" s="1"/>
  <c r="U12" i="26" s="1"/>
  <c r="T13" i="26" s="1"/>
  <c r="U13" i="26" s="1"/>
  <c r="T14" i="26" s="1"/>
  <c r="U14" i="26" s="1"/>
  <c r="T15" i="26" s="1"/>
  <c r="U15" i="26" s="1"/>
  <c r="T16" i="26" s="1"/>
  <c r="U16" i="26" s="1"/>
  <c r="T17" i="26" s="1"/>
  <c r="U17" i="26" s="1"/>
  <c r="T18" i="26" s="1"/>
  <c r="U18" i="26" s="1"/>
  <c r="T19" i="26" s="1"/>
  <c r="U19" i="26" s="1"/>
  <c r="T20" i="26" s="1"/>
  <c r="U20" i="26" s="1"/>
  <c r="T21" i="26" s="1"/>
  <c r="U21" i="26" s="1"/>
  <c r="T22" i="26" s="1"/>
  <c r="U22" i="26" s="1"/>
  <c r="T23" i="26" s="1"/>
  <c r="U23" i="26" s="1"/>
  <c r="T24" i="26" s="1"/>
  <c r="U24" i="26" s="1"/>
  <c r="T25" i="26" s="1"/>
  <c r="U25" i="26" s="1"/>
  <c r="T26" i="26" s="1"/>
  <c r="U26" i="26" s="1"/>
  <c r="T27" i="26" s="1"/>
  <c r="U27" i="26" s="1"/>
  <c r="T28" i="26" s="1"/>
  <c r="U28" i="26" s="1"/>
  <c r="U4" i="26"/>
  <c r="T5" i="26"/>
  <c r="T4" i="26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3" i="27"/>
  <c r="R5" i="26"/>
  <c r="R6" i="26"/>
  <c r="S5" i="26" s="1"/>
  <c r="S6" i="26"/>
  <c r="R7" i="26"/>
  <c r="R8" i="26"/>
  <c r="S7" i="26" s="1"/>
  <c r="S8" i="26"/>
  <c r="R9" i="26"/>
  <c r="R10" i="26"/>
  <c r="S9" i="26" s="1"/>
  <c r="S10" i="26"/>
  <c r="R11" i="26"/>
  <c r="R12" i="26"/>
  <c r="S11" i="26" s="1"/>
  <c r="S12" i="26"/>
  <c r="R13" i="26"/>
  <c r="R14" i="26"/>
  <c r="S13" i="26" s="1"/>
  <c r="S14" i="26"/>
  <c r="R15" i="26"/>
  <c r="R16" i="26"/>
  <c r="S15" i="26" s="1"/>
  <c r="S16" i="26"/>
  <c r="R17" i="26"/>
  <c r="R18" i="26"/>
  <c r="S17" i="26" s="1"/>
  <c r="S18" i="26"/>
  <c r="R19" i="26"/>
  <c r="R20" i="26"/>
  <c r="S19" i="26" s="1"/>
  <c r="S20" i="26"/>
  <c r="R21" i="26"/>
  <c r="R22" i="26"/>
  <c r="S21" i="26" s="1"/>
  <c r="S22" i="26"/>
  <c r="R23" i="26"/>
  <c r="R24" i="26"/>
  <c r="S23" i="26" s="1"/>
  <c r="S24" i="26"/>
  <c r="R25" i="26"/>
  <c r="R26" i="26"/>
  <c r="S25" i="26" s="1"/>
  <c r="S26" i="26"/>
  <c r="R27" i="26"/>
  <c r="R28" i="26"/>
  <c r="S27" i="26" s="1"/>
  <c r="S28" i="26"/>
  <c r="S4" i="26"/>
  <c r="R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4" i="26"/>
  <c r="O28" i="26"/>
  <c r="O27" i="26" s="1"/>
  <c r="O26" i="26" s="1"/>
  <c r="O25" i="26" s="1"/>
  <c r="O24" i="26" s="1"/>
  <c r="O23" i="26" s="1"/>
  <c r="O22" i="26" s="1"/>
  <c r="O21" i="26" s="1"/>
  <c r="O20" i="26" s="1"/>
  <c r="O19" i="26" s="1"/>
  <c r="O18" i="26" s="1"/>
  <c r="O17" i="26" s="1"/>
  <c r="O16" i="26" s="1"/>
  <c r="O15" i="26" s="1"/>
  <c r="O14" i="26" s="1"/>
  <c r="O13" i="26" s="1"/>
  <c r="O12" i="26" s="1"/>
  <c r="O11" i="26" s="1"/>
  <c r="O10" i="26" s="1"/>
  <c r="O9" i="26" s="1"/>
  <c r="O8" i="26" s="1"/>
  <c r="O7" i="26" s="1"/>
  <c r="O6" i="26" s="1"/>
  <c r="O5" i="26" s="1"/>
  <c r="O4" i="26" s="1"/>
  <c r="N28" i="26"/>
  <c r="N27" i="26" s="1"/>
  <c r="N26" i="26" s="1"/>
  <c r="N25" i="26" s="1"/>
  <c r="N24" i="26" s="1"/>
  <c r="N23" i="26" s="1"/>
  <c r="N22" i="26" s="1"/>
  <c r="N21" i="26" s="1"/>
  <c r="N20" i="26" s="1"/>
  <c r="N19" i="26" s="1"/>
  <c r="N18" i="26" s="1"/>
  <c r="N17" i="26" s="1"/>
  <c r="N16" i="26" s="1"/>
  <c r="N15" i="26" s="1"/>
  <c r="N14" i="26" s="1"/>
  <c r="N13" i="26" s="1"/>
  <c r="N12" i="26" s="1"/>
  <c r="N11" i="26" s="1"/>
  <c r="N10" i="26" s="1"/>
  <c r="N9" i="26" s="1"/>
  <c r="N8" i="26" s="1"/>
  <c r="N7" i="26" s="1"/>
  <c r="N6" i="26" s="1"/>
  <c r="N5" i="26" s="1"/>
  <c r="N4" i="26" s="1"/>
  <c r="L5" i="26"/>
  <c r="M5" i="26"/>
  <c r="L6" i="26"/>
  <c r="M6" i="26"/>
  <c r="L7" i="26"/>
  <c r="M7" i="26"/>
  <c r="L8" i="26"/>
  <c r="M8" i="26"/>
  <c r="L9" i="26"/>
  <c r="M9" i="26"/>
  <c r="L10" i="26"/>
  <c r="M10" i="26"/>
  <c r="L11" i="26"/>
  <c r="M11" i="26"/>
  <c r="L12" i="26"/>
  <c r="M12" i="26"/>
  <c r="L13" i="26"/>
  <c r="M13" i="26"/>
  <c r="L14" i="26"/>
  <c r="M14" i="26"/>
  <c r="L15" i="26"/>
  <c r="M15" i="26"/>
  <c r="L16" i="26"/>
  <c r="M16" i="26"/>
  <c r="L17" i="26"/>
  <c r="M17" i="26"/>
  <c r="L18" i="26"/>
  <c r="M18" i="26"/>
  <c r="L19" i="26"/>
  <c r="M19" i="26"/>
  <c r="L20" i="26"/>
  <c r="M20" i="26"/>
  <c r="L21" i="26"/>
  <c r="M21" i="26"/>
  <c r="L22" i="26"/>
  <c r="M22" i="26"/>
  <c r="L23" i="26"/>
  <c r="M23" i="26"/>
  <c r="L24" i="26"/>
  <c r="M24" i="26"/>
  <c r="L25" i="26"/>
  <c r="M25" i="26"/>
  <c r="L26" i="26"/>
  <c r="M26" i="26"/>
  <c r="L27" i="26"/>
  <c r="M27" i="26"/>
  <c r="L28" i="26"/>
  <c r="M28" i="26"/>
  <c r="M4" i="26"/>
  <c r="L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4" i="26"/>
  <c r="K9" i="22" l="1"/>
  <c r="T9" i="22"/>
  <c r="F15" i="23"/>
  <c r="F7" i="23"/>
  <c r="F20" i="23"/>
  <c r="F12" i="23"/>
  <c r="F17" i="23"/>
  <c r="F14" i="23"/>
  <c r="F6" i="23"/>
  <c r="F19" i="23"/>
  <c r="F11" i="23"/>
  <c r="F16" i="23"/>
  <c r="F8" i="23"/>
  <c r="F23" i="23"/>
  <c r="F9" i="23"/>
  <c r="F22" i="23"/>
  <c r="F21" i="23"/>
  <c r="F13" i="23"/>
  <c r="F5" i="23"/>
  <c r="F4" i="23"/>
  <c r="J4" i="23"/>
  <c r="G10" i="22" l="1"/>
  <c r="H10" i="22" s="1"/>
  <c r="I10" i="22" s="1"/>
  <c r="J10" i="22" s="1"/>
  <c r="V10" i="22" s="1"/>
  <c r="U9" i="22"/>
  <c r="W9" i="22" s="1"/>
  <c r="Y9" i="22" s="1"/>
  <c r="AA9" i="22" s="1"/>
  <c r="J5" i="23"/>
  <c r="K5" i="23" s="1"/>
  <c r="G6" i="23" s="1"/>
  <c r="K4" i="23"/>
  <c r="G5" i="23" s="1"/>
  <c r="K10" i="22" l="1"/>
  <c r="T10" i="22"/>
  <c r="H6" i="23"/>
  <c r="I6" i="23"/>
  <c r="G11" i="22" l="1"/>
  <c r="H11" i="22" s="1"/>
  <c r="I11" i="22" s="1"/>
  <c r="J11" i="22" s="1"/>
  <c r="V11" i="22" s="1"/>
  <c r="U10" i="22"/>
  <c r="W10" i="22" s="1"/>
  <c r="Y10" i="22" s="1"/>
  <c r="AA10" i="22" s="1"/>
  <c r="J6" i="23"/>
  <c r="K6" i="23"/>
  <c r="G7" i="23" s="1"/>
  <c r="K11" i="22" l="1"/>
  <c r="T11" i="22"/>
  <c r="H7" i="23"/>
  <c r="I7" i="23"/>
  <c r="G12" i="22" l="1"/>
  <c r="H12" i="22" s="1"/>
  <c r="I12" i="22" s="1"/>
  <c r="J12" i="22" s="1"/>
  <c r="V12" i="22" s="1"/>
  <c r="U11" i="22"/>
  <c r="W11" i="22" s="1"/>
  <c r="Y11" i="22" s="1"/>
  <c r="AA11" i="22" s="1"/>
  <c r="J7" i="23"/>
  <c r="K7" i="23"/>
  <c r="G8" i="23" s="1"/>
  <c r="K12" i="22" l="1"/>
  <c r="T12" i="22"/>
  <c r="H8" i="23"/>
  <c r="I8" i="23"/>
  <c r="G13" i="22" l="1"/>
  <c r="H13" i="22" s="1"/>
  <c r="I13" i="22" s="1"/>
  <c r="J13" i="22" s="1"/>
  <c r="V13" i="22" s="1"/>
  <c r="U12" i="22"/>
  <c r="W12" i="22" s="1"/>
  <c r="Y12" i="22" s="1"/>
  <c r="AA12" i="22" s="1"/>
  <c r="J8" i="23"/>
  <c r="K8" i="23"/>
  <c r="G9" i="23" s="1"/>
  <c r="K13" i="22" l="1"/>
  <c r="T13" i="22"/>
  <c r="H9" i="23"/>
  <c r="I9" i="23" s="1"/>
  <c r="G14" i="22" l="1"/>
  <c r="H14" i="22" s="1"/>
  <c r="I14" i="22" s="1"/>
  <c r="J14" i="22" s="1"/>
  <c r="V14" i="22" s="1"/>
  <c r="U13" i="22"/>
  <c r="W13" i="22" s="1"/>
  <c r="Y13" i="22" s="1"/>
  <c r="AA13" i="22" s="1"/>
  <c r="J9" i="23"/>
  <c r="K9" i="23"/>
  <c r="G10" i="23" s="1"/>
  <c r="K14" i="22" l="1"/>
  <c r="T14" i="22"/>
  <c r="H10" i="23"/>
  <c r="I10" i="23"/>
  <c r="G15" i="22" l="1"/>
  <c r="H15" i="22" s="1"/>
  <c r="I15" i="22" s="1"/>
  <c r="J15" i="22" s="1"/>
  <c r="V15" i="22" s="1"/>
  <c r="U14" i="22"/>
  <c r="W14" i="22" s="1"/>
  <c r="Y14" i="22" s="1"/>
  <c r="AA14" i="22" s="1"/>
  <c r="J10" i="23"/>
  <c r="K10" i="23"/>
  <c r="G11" i="23" s="1"/>
  <c r="T15" i="22" l="1"/>
  <c r="K15" i="22"/>
  <c r="H11" i="23"/>
  <c r="I11" i="23"/>
  <c r="J11" i="23" s="1"/>
  <c r="K11" i="23" s="1"/>
  <c r="G12" i="23" s="1"/>
  <c r="G16" i="22" l="1"/>
  <c r="H16" i="22" s="1"/>
  <c r="I16" i="22" s="1"/>
  <c r="J16" i="22" s="1"/>
  <c r="V16" i="22" s="1"/>
  <c r="U15" i="22"/>
  <c r="W15" i="22" s="1"/>
  <c r="Y15" i="22" s="1"/>
  <c r="AA15" i="22" s="1"/>
  <c r="H12" i="23"/>
  <c r="I12" i="23"/>
  <c r="K16" i="22" l="1"/>
  <c r="T16" i="22"/>
  <c r="J12" i="23"/>
  <c r="K12" i="23"/>
  <c r="G13" i="23" s="1"/>
  <c r="G17" i="22" l="1"/>
  <c r="U16" i="22"/>
  <c r="W16" i="22" s="1"/>
  <c r="Y16" i="22" s="1"/>
  <c r="AA16" i="22" s="1"/>
  <c r="H13" i="23"/>
  <c r="I13" i="23"/>
  <c r="J13" i="23" s="1"/>
  <c r="K13" i="23" s="1"/>
  <c r="G14" i="23" s="1"/>
  <c r="H17" i="22" l="1"/>
  <c r="I17" i="22" s="1"/>
  <c r="H14" i="23"/>
  <c r="I14" i="23"/>
  <c r="J17" i="22" l="1"/>
  <c r="V17" i="22" s="1"/>
  <c r="J14" i="23"/>
  <c r="K14" i="23"/>
  <c r="G15" i="23" s="1"/>
  <c r="T17" i="22" l="1"/>
  <c r="K17" i="22"/>
  <c r="H15" i="23"/>
  <c r="I15" i="23"/>
  <c r="G18" i="22" l="1"/>
  <c r="H18" i="22" s="1"/>
  <c r="I18" i="22" s="1"/>
  <c r="U17" i="22"/>
  <c r="W17" i="22" s="1"/>
  <c r="Y17" i="22" s="1"/>
  <c r="AA17" i="22" s="1"/>
  <c r="J15" i="23"/>
  <c r="K15" i="23" s="1"/>
  <c r="G16" i="23" s="1"/>
  <c r="J18" i="22" l="1"/>
  <c r="V18" i="22" s="1"/>
  <c r="H16" i="23"/>
  <c r="I16" i="23"/>
  <c r="J16" i="23" s="1"/>
  <c r="K16" i="23" s="1"/>
  <c r="G17" i="23" s="1"/>
  <c r="T18" i="22" l="1"/>
  <c r="K18" i="22"/>
  <c r="H17" i="23"/>
  <c r="I17" i="23"/>
  <c r="G19" i="22" l="1"/>
  <c r="H19" i="22" s="1"/>
  <c r="I19" i="22" s="1"/>
  <c r="U18" i="22"/>
  <c r="W18" i="22" s="1"/>
  <c r="Y18" i="22" s="1"/>
  <c r="AA18" i="22" s="1"/>
  <c r="J17" i="23"/>
  <c r="K17" i="23"/>
  <c r="G18" i="23" s="1"/>
  <c r="J19" i="22" l="1"/>
  <c r="H18" i="23"/>
  <c r="I18" i="23"/>
  <c r="J18" i="23" s="1"/>
  <c r="K18" i="23" s="1"/>
  <c r="G19" i="23" s="1"/>
  <c r="K19" i="22" l="1"/>
  <c r="G20" i="22" s="1"/>
  <c r="V19" i="22"/>
  <c r="T19" i="22"/>
  <c r="H19" i="23"/>
  <c r="I19" i="23"/>
  <c r="J19" i="23" s="1"/>
  <c r="K19" i="23" s="1"/>
  <c r="G20" i="23" s="1"/>
  <c r="U19" i="22" l="1"/>
  <c r="W19" i="22" s="1"/>
  <c r="Y19" i="22" s="1"/>
  <c r="AA19" i="22" s="1"/>
  <c r="H20" i="22"/>
  <c r="I20" i="22" s="1"/>
  <c r="H20" i="23"/>
  <c r="I20" i="23"/>
  <c r="J20" i="22" l="1"/>
  <c r="J20" i="23"/>
  <c r="K20" i="23"/>
  <c r="G21" i="23" s="1"/>
  <c r="K20" i="22" l="1"/>
  <c r="G21" i="22" s="1"/>
  <c r="H21" i="22" s="1"/>
  <c r="I21" i="22" s="1"/>
  <c r="V20" i="22"/>
  <c r="T20" i="22"/>
  <c r="H21" i="23"/>
  <c r="I21" i="23"/>
  <c r="U20" i="22" l="1"/>
  <c r="W20" i="22" s="1"/>
  <c r="Y20" i="22" s="1"/>
  <c r="AA20" i="22" s="1"/>
  <c r="J21" i="22"/>
  <c r="J21" i="23"/>
  <c r="K21" i="23"/>
  <c r="G22" i="23" s="1"/>
  <c r="K21" i="22" l="1"/>
  <c r="U21" i="22" s="1"/>
  <c r="V21" i="22"/>
  <c r="T21" i="22"/>
  <c r="H22" i="23"/>
  <c r="I22" i="23"/>
  <c r="G22" i="22" l="1"/>
  <c r="H22" i="22" s="1"/>
  <c r="I22" i="22" s="1"/>
  <c r="J22" i="22" s="1"/>
  <c r="W21" i="22"/>
  <c r="Y21" i="22" s="1"/>
  <c r="AA21" i="22" s="1"/>
  <c r="J22" i="23"/>
  <c r="K22" i="23"/>
  <c r="G23" i="23" s="1"/>
  <c r="K22" i="22" l="1"/>
  <c r="G23" i="22" s="1"/>
  <c r="H23" i="22" s="1"/>
  <c r="I23" i="22" s="1"/>
  <c r="J23" i="22" s="1"/>
  <c r="V23" i="22" s="1"/>
  <c r="V22" i="22"/>
  <c r="T22" i="22"/>
  <c r="H23" i="23"/>
  <c r="I23" i="23"/>
  <c r="J23" i="23" s="1"/>
  <c r="K23" i="23" s="1"/>
  <c r="U22" i="22" l="1"/>
  <c r="W22" i="22" s="1"/>
  <c r="Y22" i="22" s="1"/>
  <c r="AA22" i="22" s="1"/>
  <c r="K23" i="22"/>
  <c r="T23" i="22"/>
  <c r="U23" i="22" l="1"/>
  <c r="W23" i="22" l="1"/>
  <c r="Y23" i="22" s="1"/>
  <c r="AA23" i="22" s="1"/>
  <c r="AA24" i="22" s="1"/>
  <c r="AA26" i="22" s="1"/>
  <c r="C4" i="21"/>
  <c r="H5" i="21" s="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4" i="21"/>
  <c r="I5" i="21" s="1"/>
  <c r="B4" i="21"/>
  <c r="A5" i="21"/>
  <c r="A6" i="21" s="1"/>
  <c r="I6" i="21" l="1"/>
  <c r="H6" i="2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B5" i="21"/>
  <c r="B6" i="21"/>
  <c r="A7" i="21"/>
  <c r="I7" i="21" l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I22" i="21" s="1"/>
  <c r="I23" i="21" s="1"/>
  <c r="B7" i="21"/>
  <c r="A8" i="21"/>
  <c r="I24" i="21" l="1"/>
  <c r="A9" i="21"/>
  <c r="B8" i="21"/>
  <c r="A10" i="21" l="1"/>
  <c r="B9" i="21"/>
  <c r="A11" i="21" l="1"/>
  <c r="B10" i="21"/>
  <c r="A12" i="21" l="1"/>
  <c r="B11" i="21"/>
  <c r="A13" i="21" l="1"/>
  <c r="B12" i="21"/>
  <c r="A14" i="21" l="1"/>
  <c r="B13" i="21"/>
  <c r="A15" i="21" l="1"/>
  <c r="B14" i="21"/>
  <c r="A16" i="21" l="1"/>
  <c r="B15" i="21"/>
  <c r="A17" i="21" l="1"/>
  <c r="B16" i="21"/>
  <c r="A18" i="21" l="1"/>
  <c r="B17" i="21"/>
  <c r="A19" i="21" l="1"/>
  <c r="B18" i="21"/>
  <c r="A20" i="21" l="1"/>
  <c r="B19" i="21"/>
  <c r="A21" i="21" l="1"/>
  <c r="B20" i="21"/>
  <c r="A22" i="21" l="1"/>
  <c r="B21" i="21"/>
  <c r="A23" i="21" l="1"/>
  <c r="B22" i="21"/>
  <c r="B23" i="21" l="1"/>
  <c r="A24" i="21"/>
</calcChain>
</file>

<file path=xl/sharedStrings.xml><?xml version="1.0" encoding="utf-8"?>
<sst xmlns="http://schemas.openxmlformats.org/spreadsheetml/2006/main" count="145" uniqueCount="120">
  <si>
    <t>Policy information - portfolio of 25-year term assurance policies</t>
  </si>
  <si>
    <t>Mortality Rate</t>
  </si>
  <si>
    <t>Policyholder age at start of policy</t>
  </si>
  <si>
    <t>Total premium</t>
  </si>
  <si>
    <t>per annum, payable annually in advance, ceasing immediately on death</t>
  </si>
  <si>
    <t>Age</t>
  </si>
  <si>
    <r>
      <t>q</t>
    </r>
    <r>
      <rPr>
        <b/>
        <vertAlign val="subscript"/>
        <sz val="11"/>
        <rFont val="Calibri"/>
        <family val="2"/>
        <scheme val="minor"/>
      </rPr>
      <t>x</t>
    </r>
  </si>
  <si>
    <t>Sum assured</t>
  </si>
  <si>
    <t>payable at the end of the year of death</t>
  </si>
  <si>
    <t>The policy ceases on the payment of a benefit</t>
  </si>
  <si>
    <t xml:space="preserve">Reserving assumptions </t>
  </si>
  <si>
    <t>Mortality</t>
  </si>
  <si>
    <t>See table on right</t>
  </si>
  <si>
    <t>Commission</t>
  </si>
  <si>
    <t>of all premiums, including the premium in the first year.</t>
  </si>
  <si>
    <t>Expenses</t>
  </si>
  <si>
    <t>per annum, at the start of each year, including the first year.</t>
  </si>
  <si>
    <t>Risk discount rate</t>
  </si>
  <si>
    <t>per annum</t>
  </si>
  <si>
    <t>You should ignore claim expenses.</t>
  </si>
  <si>
    <t>Policy Year</t>
  </si>
  <si>
    <t>Age at start</t>
  </si>
  <si>
    <t>Prospective Reserve at EOY</t>
  </si>
  <si>
    <t>Retrospective Reserve at EOY</t>
  </si>
  <si>
    <t>Policy Terms</t>
  </si>
  <si>
    <t>Beginning (t-1)</t>
  </si>
  <si>
    <t>Ending (t)</t>
  </si>
  <si>
    <t>mu(01)(x+t-1)
critical illness</t>
  </si>
  <si>
    <t>mu(02)(x+t-1)
mortality</t>
  </si>
  <si>
    <t>Age at outset</t>
  </si>
  <si>
    <t>exact.</t>
  </si>
  <si>
    <t>Policy Term</t>
  </si>
  <si>
    <t>years.</t>
  </si>
  <si>
    <t>Minimum guaranteed death benefit</t>
  </si>
  <si>
    <t>Annual Premium</t>
  </si>
  <si>
    <t>payable annually in advance.</t>
  </si>
  <si>
    <t>Allocation rate for all policy years</t>
  </si>
  <si>
    <t>Bid offer spread</t>
  </si>
  <si>
    <t>Annual Management Charge</t>
  </si>
  <si>
    <t>per annum, payable at the end of each policy year by unit cancellation.</t>
  </si>
  <si>
    <t>Profit Test Assumptions</t>
  </si>
  <si>
    <t>Unit growth rate</t>
  </si>
  <si>
    <t>per annum effective.</t>
  </si>
  <si>
    <t>Return on non-unit balances</t>
  </si>
  <si>
    <t>Risk Discount Rate</t>
  </si>
  <si>
    <t>Independent mortality and critical illness diagnosis rates are given by the table.</t>
  </si>
  <si>
    <t>You should assume that deaths and critical illness diagnoses occur uniformly across each policy year.</t>
  </si>
  <si>
    <t>Initial Expenses</t>
  </si>
  <si>
    <t>at the start of the first policy year.</t>
  </si>
  <si>
    <t>Renewal expenses</t>
  </si>
  <si>
    <t>per annum, at the start of each subsequent policy year.</t>
  </si>
  <si>
    <t>Initial Commision</t>
  </si>
  <si>
    <t>of the premium payable at the start of the first policy year.</t>
  </si>
  <si>
    <t>Renewal Commission</t>
  </si>
  <si>
    <t>of the premiums payable at the start of each subsequent policy year.</t>
  </si>
  <si>
    <t>UNIT FUND</t>
  </si>
  <si>
    <t>[1]</t>
  </si>
  <si>
    <t>For picking up correct probability</t>
  </si>
  <si>
    <t>Beginning</t>
  </si>
  <si>
    <t>Ending</t>
  </si>
  <si>
    <t>Force of critical illness</t>
  </si>
  <si>
    <t>Force of mortality</t>
  </si>
  <si>
    <t>[2]</t>
  </si>
  <si>
    <t>(i)</t>
  </si>
  <si>
    <t>(ii) (a)</t>
  </si>
  <si>
    <t>(ii) (b)</t>
  </si>
  <si>
    <t>(iii)</t>
  </si>
  <si>
    <t>Unit fund at EOY</t>
  </si>
  <si>
    <t>(1)p(01)(x+t-1)</t>
  </si>
  <si>
    <t>(1)p(02)(x+t-1)</t>
  </si>
  <si>
    <t>Allocation rate</t>
  </si>
  <si>
    <t>px</t>
  </si>
  <si>
    <t>SA</t>
  </si>
  <si>
    <t>Expense</t>
  </si>
  <si>
    <t>Comm</t>
  </si>
  <si>
    <t>Comm %</t>
  </si>
  <si>
    <t>Prem</t>
  </si>
  <si>
    <t>Comm paid</t>
  </si>
  <si>
    <t>Net Prem</t>
  </si>
  <si>
    <t>qx</t>
  </si>
  <si>
    <t>v</t>
  </si>
  <si>
    <t>vpx</t>
  </si>
  <si>
    <t>vqx</t>
  </si>
  <si>
    <t>A_x:n</t>
  </si>
  <si>
    <t>a_x:n</t>
  </si>
  <si>
    <t>PV of Net Prem</t>
  </si>
  <si>
    <t>PV of Death Benefit</t>
  </si>
  <si>
    <t>Prospective Pol Val at BOY</t>
  </si>
  <si>
    <t>Prospective Pol Val at EOY</t>
  </si>
  <si>
    <t>V(t)</t>
  </si>
  <si>
    <t>V(t+1)</t>
  </si>
  <si>
    <t>Alloc Rate</t>
  </si>
  <si>
    <t>B/O Spread</t>
  </si>
  <si>
    <t>Alloc Prem</t>
  </si>
  <si>
    <t>Unit Interest</t>
  </si>
  <si>
    <t>Unit fund val before FMC</t>
  </si>
  <si>
    <t>FMC</t>
  </si>
  <si>
    <t>Unit fund val after FMC</t>
  </si>
  <si>
    <t>Unit fund BOY</t>
  </si>
  <si>
    <t>step_size</t>
  </si>
  <si>
    <t>d/dt (t-1)(01)px</t>
  </si>
  <si>
    <t>d/dt (t-1)(02)px</t>
  </si>
  <si>
    <t>(t-1)(01)px</t>
  </si>
  <si>
    <t>(t-1)(02)px</t>
  </si>
  <si>
    <t>(t-1)(00)px</t>
  </si>
  <si>
    <t>(01)p_x+(t-1)</t>
  </si>
  <si>
    <t>(02)p_x+(t-1)</t>
  </si>
  <si>
    <t>Unalloc Prem</t>
  </si>
  <si>
    <t>Int</t>
  </si>
  <si>
    <t>SFC</t>
  </si>
  <si>
    <t>t-1px</t>
  </si>
  <si>
    <t>Profit vector</t>
  </si>
  <si>
    <t>v^n RDR</t>
  </si>
  <si>
    <t>EPV</t>
  </si>
  <si>
    <t xml:space="preserve">EPV Profit: </t>
  </si>
  <si>
    <t>Mort Cost</t>
  </si>
  <si>
    <t>Modified Alloc Rate</t>
  </si>
  <si>
    <t>Non-unit fund</t>
  </si>
  <si>
    <t>Sick Cost</t>
  </si>
  <si>
    <t>Percentage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</si>
</sst>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£&quot;#,##0;[Red]\-&quot;£&quot;#,##0"/>
    <numFmt numFmtId="165" formatCode="_-* #,##0_-;\-* #,##0_-;_-* &quot;-&quot;??_-;_-@_-"/>
    <numFmt numFmtId="166" formatCode="0.0%"/>
    <numFmt numFmtId="167" formatCode="_-* #,##0.000000_-;\-* #,##0.000000_-;_-* &quot;-&quot;??_-;_-@_-"/>
    <numFmt numFmtId="168" formatCode="#,##0.000000"/>
    <numFmt numFmtId="169" formatCode="#,##0.0"/>
    <numFmt numFmtId="170" formatCode="###\ ##0"/>
    <numFmt numFmtId="171" formatCode="_-[$$-409]* #,##0_ ;_-[$$-409]* \-#,##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0" borderId="0" xfId="0" applyNumberFormat="1"/>
    <xf numFmtId="10" fontId="0" fillId="0" borderId="0" xfId="2" applyNumberFormat="1" applyFont="1"/>
    <xf numFmtId="9" fontId="2" fillId="0" borderId="0" xfId="0" applyNumberFormat="1" applyFont="1"/>
    <xf numFmtId="43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43" fontId="0" fillId="0" borderId="0" xfId="1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2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165" fontId="2" fillId="0" borderId="0" xfId="1" applyNumberFormat="1" applyFont="1" applyFill="1"/>
    <xf numFmtId="0" fontId="4" fillId="0" borderId="0" xfId="0" applyFont="1"/>
    <xf numFmtId="43" fontId="0" fillId="0" borderId="0" xfId="1" applyFont="1" applyFill="1"/>
    <xf numFmtId="164" fontId="0" fillId="0" borderId="0" xfId="1" applyNumberFormat="1" applyFont="1" applyFill="1"/>
    <xf numFmtId="9" fontId="0" fillId="0" borderId="0" xfId="2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1" applyNumberFormat="1" applyFont="1" applyFill="1" applyBorder="1"/>
    <xf numFmtId="0" fontId="0" fillId="0" borderId="9" xfId="0" applyBorder="1"/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13" xfId="1" applyNumberFormat="1" applyFont="1" applyFill="1" applyBorder="1"/>
    <xf numFmtId="0" fontId="0" fillId="0" borderId="14" xfId="0" applyBorder="1"/>
    <xf numFmtId="169" fontId="0" fillId="0" borderId="0" xfId="0" applyNumberFormat="1"/>
    <xf numFmtId="0" fontId="3" fillId="0" borderId="1" xfId="0" applyFont="1" applyBorder="1"/>
    <xf numFmtId="171" fontId="0" fillId="0" borderId="0" xfId="0" applyNumberFormat="1"/>
    <xf numFmtId="168" fontId="6" fillId="0" borderId="1" xfId="0" applyNumberFormat="1" applyFont="1" applyBorder="1" applyAlignment="1">
      <alignment horizontal="center"/>
    </xf>
    <xf numFmtId="167" fontId="0" fillId="0" borderId="0" xfId="0" applyNumberFormat="1"/>
    <xf numFmtId="10" fontId="2" fillId="0" borderId="0" xfId="0" applyNumberFormat="1" applyFont="1"/>
    <xf numFmtId="170" fontId="5" fillId="0" borderId="0" xfId="0" applyNumberFormat="1" applyFont="1"/>
    <xf numFmtId="10" fontId="0" fillId="0" borderId="0" xfId="1" applyNumberFormat="1" applyFont="1" applyFill="1"/>
    <xf numFmtId="167" fontId="0" fillId="0" borderId="0" xfId="1" applyNumberFormat="1" applyFont="1" applyFill="1"/>
    <xf numFmtId="9" fontId="0" fillId="0" borderId="0" xfId="1" applyNumberFormat="1" applyFont="1"/>
    <xf numFmtId="2" fontId="0" fillId="0" borderId="0" xfId="1" applyNumberFormat="1" applyFont="1"/>
    <xf numFmtId="0" fontId="0" fillId="3" borderId="0" xfId="1" applyNumberFormat="1" applyFont="1" applyFill="1" applyBorder="1"/>
    <xf numFmtId="10" fontId="0" fillId="0" borderId="0" xfId="0" applyNumberFormat="1"/>
    <xf numFmtId="0" fontId="3" fillId="2" borderId="0" xfId="0" applyFont="1" applyFill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725A-78B5-4BD7-9DEE-7BDAE22C933F}">
  <dimension ref="B1:Q35"/>
  <sheetViews>
    <sheetView workbookViewId="0">
      <selection activeCell="O31" sqref="O31"/>
    </sheetView>
  </sheetViews>
  <sheetFormatPr defaultRowHeight="14.25" x14ac:dyDescent="0.45"/>
  <cols>
    <col min="2" max="2" width="46" bestFit="1" customWidth="1"/>
    <col min="3" max="3" width="13" customWidth="1"/>
    <col min="15" max="15" width="10.86328125" customWidth="1"/>
  </cols>
  <sheetData>
    <row r="1" spans="2:17" x14ac:dyDescent="0.45">
      <c r="B1" s="11" t="s">
        <v>0</v>
      </c>
      <c r="M1" s="11"/>
      <c r="O1" s="49" t="s">
        <v>1</v>
      </c>
    </row>
    <row r="2" spans="2:17" x14ac:dyDescent="0.45">
      <c r="M2" s="11"/>
      <c r="O2" s="49"/>
    </row>
    <row r="3" spans="2:17" x14ac:dyDescent="0.45">
      <c r="B3" t="s">
        <v>2</v>
      </c>
      <c r="C3">
        <v>32</v>
      </c>
    </row>
    <row r="4" spans="2:17" ht="15.75" x14ac:dyDescent="0.55000000000000004">
      <c r="B4" t="s">
        <v>3</v>
      </c>
      <c r="C4" s="38">
        <v>5000</v>
      </c>
      <c r="D4" t="s">
        <v>4</v>
      </c>
      <c r="M4" s="17" t="s">
        <v>5</v>
      </c>
      <c r="N4" s="11"/>
      <c r="O4" s="39" t="s">
        <v>6</v>
      </c>
      <c r="P4" s="11"/>
      <c r="Q4" s="11"/>
    </row>
    <row r="5" spans="2:17" x14ac:dyDescent="0.45">
      <c r="B5" t="s">
        <v>7</v>
      </c>
      <c r="C5" s="38">
        <v>2500000</v>
      </c>
      <c r="D5" t="s">
        <v>8</v>
      </c>
      <c r="M5" s="17">
        <v>30</v>
      </c>
      <c r="N5" s="42"/>
      <c r="O5" s="37">
        <v>5.8339999999999998E-4</v>
      </c>
    </row>
    <row r="6" spans="2:17" x14ac:dyDescent="0.45">
      <c r="B6" t="s">
        <v>9</v>
      </c>
      <c r="C6" s="13"/>
      <c r="M6" s="17">
        <v>31</v>
      </c>
      <c r="N6" s="42"/>
      <c r="O6" s="37">
        <v>6.2319999999999997E-4</v>
      </c>
    </row>
    <row r="7" spans="2:17" x14ac:dyDescent="0.45">
      <c r="C7" s="13"/>
      <c r="M7" s="17">
        <v>32</v>
      </c>
      <c r="N7" s="42"/>
      <c r="O7" s="37">
        <v>7.4629999999999998E-4</v>
      </c>
    </row>
    <row r="8" spans="2:17" x14ac:dyDescent="0.45">
      <c r="C8" s="13"/>
      <c r="M8" s="17">
        <v>33</v>
      </c>
      <c r="N8" s="42"/>
      <c r="O8" s="37">
        <v>7.3439999999999996E-4</v>
      </c>
    </row>
    <row r="9" spans="2:17" x14ac:dyDescent="0.45">
      <c r="B9" s="11" t="s">
        <v>10</v>
      </c>
      <c r="M9" s="17">
        <v>34</v>
      </c>
      <c r="N9" s="42"/>
      <c r="O9" s="37">
        <v>7.9520000000000003E-4</v>
      </c>
    </row>
    <row r="10" spans="2:17" x14ac:dyDescent="0.45">
      <c r="M10" s="17">
        <v>35</v>
      </c>
      <c r="N10" s="42"/>
      <c r="O10" s="37">
        <v>8.4710000000000004E-4</v>
      </c>
    </row>
    <row r="11" spans="2:17" x14ac:dyDescent="0.45">
      <c r="B11" t="s">
        <v>11</v>
      </c>
      <c r="C11" t="s">
        <v>12</v>
      </c>
      <c r="M11" s="17">
        <v>36</v>
      </c>
      <c r="N11" s="42"/>
      <c r="O11" s="37">
        <v>9.7460000000000005E-4</v>
      </c>
    </row>
    <row r="12" spans="2:17" x14ac:dyDescent="0.45">
      <c r="B12" t="s">
        <v>13</v>
      </c>
      <c r="C12" s="1">
        <v>0.02</v>
      </c>
      <c r="D12" t="s">
        <v>14</v>
      </c>
      <c r="M12" s="17">
        <v>37</v>
      </c>
      <c r="N12" s="42"/>
      <c r="O12" s="37">
        <v>9.703E-4</v>
      </c>
    </row>
    <row r="13" spans="2:17" x14ac:dyDescent="0.45">
      <c r="B13" t="s">
        <v>15</v>
      </c>
      <c r="C13" s="38">
        <v>1000</v>
      </c>
      <c r="D13" t="s">
        <v>16</v>
      </c>
      <c r="M13" s="17">
        <v>38</v>
      </c>
      <c r="N13" s="42"/>
      <c r="O13" s="37">
        <v>1.0281000000000001E-3</v>
      </c>
    </row>
    <row r="14" spans="2:17" x14ac:dyDescent="0.45">
      <c r="B14" t="s">
        <v>17</v>
      </c>
      <c r="C14" s="2">
        <v>5.7500000000000002E-2</v>
      </c>
      <c r="D14" t="s">
        <v>18</v>
      </c>
      <c r="M14" s="17">
        <v>39</v>
      </c>
      <c r="N14" s="42"/>
      <c r="O14" s="37">
        <v>1.1375999999999999E-3</v>
      </c>
    </row>
    <row r="15" spans="2:17" x14ac:dyDescent="0.45">
      <c r="M15" s="17">
        <v>40</v>
      </c>
      <c r="N15" s="42"/>
      <c r="O15" s="37">
        <v>1.2492E-3</v>
      </c>
    </row>
    <row r="16" spans="2:17" x14ac:dyDescent="0.45">
      <c r="B16" t="s">
        <v>19</v>
      </c>
      <c r="M16" s="17">
        <v>41</v>
      </c>
      <c r="N16" s="42"/>
      <c r="O16" s="37">
        <v>1.4165E-3</v>
      </c>
    </row>
    <row r="17" spans="13:15" x14ac:dyDescent="0.45">
      <c r="M17" s="17">
        <v>42</v>
      </c>
      <c r="N17" s="42"/>
      <c r="O17" s="37">
        <v>1.4904E-3</v>
      </c>
    </row>
    <row r="18" spans="13:15" x14ac:dyDescent="0.45">
      <c r="M18" s="17">
        <v>43</v>
      </c>
      <c r="N18" s="42"/>
      <c r="O18" s="37">
        <v>1.6599E-3</v>
      </c>
    </row>
    <row r="19" spans="13:15" x14ac:dyDescent="0.45">
      <c r="M19" s="17">
        <v>44</v>
      </c>
      <c r="N19" s="42"/>
      <c r="O19" s="37">
        <v>1.7665999999999999E-3</v>
      </c>
    </row>
    <row r="20" spans="13:15" x14ac:dyDescent="0.45">
      <c r="M20" s="17">
        <v>45</v>
      </c>
      <c r="N20" s="42"/>
      <c r="O20" s="37">
        <v>1.8494E-3</v>
      </c>
    </row>
    <row r="21" spans="13:15" x14ac:dyDescent="0.45">
      <c r="M21" s="17">
        <v>46</v>
      </c>
      <c r="N21" s="42"/>
      <c r="O21" s="37">
        <v>1.9819999999999998E-3</v>
      </c>
    </row>
    <row r="22" spans="13:15" x14ac:dyDescent="0.45">
      <c r="M22" s="17">
        <v>47</v>
      </c>
      <c r="N22" s="42"/>
      <c r="O22" s="37">
        <v>2.3176E-3</v>
      </c>
    </row>
    <row r="23" spans="13:15" x14ac:dyDescent="0.45">
      <c r="M23" s="17">
        <v>48</v>
      </c>
      <c r="N23" s="42"/>
      <c r="O23" s="37">
        <v>2.3668000000000001E-3</v>
      </c>
    </row>
    <row r="24" spans="13:15" x14ac:dyDescent="0.45">
      <c r="M24" s="17">
        <v>49</v>
      </c>
      <c r="N24" s="42"/>
      <c r="O24" s="37">
        <v>2.6407000000000002E-3</v>
      </c>
    </row>
    <row r="25" spans="13:15" x14ac:dyDescent="0.45">
      <c r="M25" s="17">
        <v>50</v>
      </c>
      <c r="N25" s="42"/>
      <c r="O25" s="37">
        <v>2.9207E-3</v>
      </c>
    </row>
    <row r="26" spans="13:15" x14ac:dyDescent="0.45">
      <c r="M26" s="17">
        <v>51</v>
      </c>
      <c r="N26" s="42"/>
      <c r="O26" s="37">
        <v>2.9822E-3</v>
      </c>
    </row>
    <row r="27" spans="13:15" x14ac:dyDescent="0.45">
      <c r="M27" s="17">
        <v>52</v>
      </c>
      <c r="N27" s="42"/>
      <c r="O27" s="37">
        <v>3.2391999999999998E-3</v>
      </c>
    </row>
    <row r="28" spans="13:15" x14ac:dyDescent="0.45">
      <c r="M28" s="17">
        <v>53</v>
      </c>
      <c r="N28" s="42"/>
      <c r="O28" s="37">
        <v>3.4328000000000002E-3</v>
      </c>
    </row>
    <row r="29" spans="13:15" x14ac:dyDescent="0.45">
      <c r="M29" s="17">
        <v>54</v>
      </c>
      <c r="N29" s="42"/>
      <c r="O29" s="37">
        <v>3.7502E-3</v>
      </c>
    </row>
    <row r="30" spans="13:15" x14ac:dyDescent="0.45">
      <c r="M30" s="17">
        <v>55</v>
      </c>
      <c r="N30" s="42"/>
      <c r="O30" s="37">
        <v>4.2396999999999999E-3</v>
      </c>
    </row>
    <row r="31" spans="13:15" x14ac:dyDescent="0.45">
      <c r="M31" s="17">
        <v>56</v>
      </c>
      <c r="N31" s="42"/>
      <c r="O31" s="37">
        <v>4.6829000000000003E-3</v>
      </c>
    </row>
    <row r="32" spans="13:15" x14ac:dyDescent="0.45">
      <c r="M32" s="17">
        <v>57</v>
      </c>
      <c r="N32" s="42"/>
      <c r="O32" s="37">
        <v>5.0749999999999997E-3</v>
      </c>
    </row>
    <row r="33" spans="13:15" x14ac:dyDescent="0.45">
      <c r="M33" s="17">
        <v>58</v>
      </c>
      <c r="N33" s="42"/>
      <c r="O33" s="37">
        <v>5.5069000000000003E-3</v>
      </c>
    </row>
    <row r="34" spans="13:15" x14ac:dyDescent="0.45">
      <c r="M34" s="17">
        <v>59</v>
      </c>
      <c r="N34" s="42"/>
      <c r="O34" s="37">
        <v>6.0330000000000002E-3</v>
      </c>
    </row>
    <row r="35" spans="13:15" x14ac:dyDescent="0.45">
      <c r="M35" s="17">
        <v>60</v>
      </c>
      <c r="N35" s="42"/>
      <c r="O35" s="37">
        <v>6.8894000000000004E-3</v>
      </c>
    </row>
  </sheetData>
  <mergeCells count="1">
    <mergeCell ref="O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517D-3078-4782-998C-30355DC1CAC0}">
  <dimension ref="A1:U29"/>
  <sheetViews>
    <sheetView workbookViewId="0">
      <selection activeCell="V3" sqref="V3"/>
    </sheetView>
  </sheetViews>
  <sheetFormatPr defaultColWidth="9.1328125" defaultRowHeight="14.25" x14ac:dyDescent="0.45"/>
  <cols>
    <col min="5" max="5" width="11.59765625" customWidth="1"/>
    <col min="6" max="6" width="12.59765625" customWidth="1"/>
    <col min="7" max="8" width="11.86328125" customWidth="1"/>
    <col min="9" max="10" width="10.59765625" customWidth="1"/>
    <col min="11" max="11" width="11.86328125" customWidth="1"/>
    <col min="12" max="12" width="12.59765625" customWidth="1"/>
    <col min="13" max="13" width="11.265625" customWidth="1"/>
    <col min="14" max="17" width="13.3984375" customWidth="1"/>
    <col min="18" max="18" width="14.3984375" customWidth="1"/>
    <col min="19" max="19" width="16.59765625" customWidth="1"/>
    <col min="21" max="21" width="11.33203125" customWidth="1"/>
  </cols>
  <sheetData>
    <row r="1" spans="1:21" x14ac:dyDescent="0.45">
      <c r="E1" s="19"/>
      <c r="F1" s="19"/>
      <c r="G1" s="3"/>
      <c r="H1" s="19"/>
      <c r="I1" s="41"/>
      <c r="N1" s="11"/>
      <c r="O1" s="11"/>
      <c r="P1" s="11"/>
    </row>
    <row r="2" spans="1:21" s="12" customFormat="1" x14ac:dyDescent="0.45"/>
    <row r="3" spans="1:21" s="18" customFormat="1" ht="33.75" customHeight="1" x14ac:dyDescent="0.45">
      <c r="A3" s="18" t="s">
        <v>20</v>
      </c>
      <c r="B3" s="18" t="s">
        <v>21</v>
      </c>
      <c r="C3" s="18" t="s">
        <v>72</v>
      </c>
      <c r="D3" s="18" t="s">
        <v>73</v>
      </c>
      <c r="E3" s="18" t="s">
        <v>75</v>
      </c>
      <c r="F3" s="18" t="s">
        <v>76</v>
      </c>
      <c r="G3" s="18" t="s">
        <v>77</v>
      </c>
      <c r="H3" s="18" t="s">
        <v>78</v>
      </c>
      <c r="I3" s="18" t="s">
        <v>71</v>
      </c>
      <c r="J3" s="18" t="s">
        <v>79</v>
      </c>
      <c r="K3" s="18" t="s">
        <v>80</v>
      </c>
      <c r="L3" s="18" t="s">
        <v>81</v>
      </c>
      <c r="M3" s="18" t="s">
        <v>82</v>
      </c>
      <c r="N3" s="18" t="s">
        <v>83</v>
      </c>
      <c r="O3" s="18" t="s">
        <v>84</v>
      </c>
      <c r="P3" s="18" t="s">
        <v>85</v>
      </c>
      <c r="Q3" s="18" t="s">
        <v>86</v>
      </c>
      <c r="R3" s="18" t="s">
        <v>87</v>
      </c>
      <c r="S3" s="18" t="s">
        <v>88</v>
      </c>
      <c r="T3" s="18" t="s">
        <v>89</v>
      </c>
      <c r="U3" s="18" t="s">
        <v>90</v>
      </c>
    </row>
    <row r="4" spans="1:21" x14ac:dyDescent="0.45">
      <c r="A4">
        <v>1</v>
      </c>
      <c r="B4">
        <v>32</v>
      </c>
      <c r="C4">
        <f>'Q1 Base'!$C$5</f>
        <v>2500000</v>
      </c>
      <c r="D4">
        <f>'Q1 Base'!$C$13</f>
        <v>1000</v>
      </c>
      <c r="E4" s="43">
        <f>'Q1 Base'!$C$12</f>
        <v>0.02</v>
      </c>
      <c r="F4" s="21">
        <f>'Q1 Base'!$C$4</f>
        <v>5000</v>
      </c>
      <c r="G4" s="21">
        <f>F4*E4</f>
        <v>100</v>
      </c>
      <c r="H4" s="21">
        <f>F4-G4-D4</f>
        <v>3900</v>
      </c>
      <c r="I4">
        <f>1-'Q1 Base'!O7</f>
        <v>0.99925370000000002</v>
      </c>
      <c r="J4">
        <f>'Q1 Base'!O7</f>
        <v>7.4629999999999998E-4</v>
      </c>
      <c r="K4" s="44">
        <f>1/(1+'Q1 Base'!$C$14)</f>
        <v>0.94562647754137108</v>
      </c>
      <c r="L4" s="40">
        <f>K4*I4</f>
        <v>0.94492075650118201</v>
      </c>
      <c r="M4" s="40">
        <f>K4*J4</f>
        <v>7.0572104018912522E-4</v>
      </c>
      <c r="N4" s="40">
        <f>M4+L4*N5</f>
        <v>2.1060297795065866E-2</v>
      </c>
      <c r="O4" s="40">
        <f>1+L4*O5</f>
        <v>13.685521880618648</v>
      </c>
      <c r="P4" s="4">
        <f>H4*O4</f>
        <v>53373.535334412729</v>
      </c>
      <c r="Q4" s="4">
        <f>C4*N4</f>
        <v>52650.744487664662</v>
      </c>
      <c r="R4" s="4">
        <f>Q4-P4</f>
        <v>-722.79084674806654</v>
      </c>
      <c r="S4" s="4">
        <f>R5</f>
        <v>1495.2645955315747</v>
      </c>
      <c r="T4">
        <f>0</f>
        <v>0</v>
      </c>
      <c r="U4" s="4">
        <f>((T4+H4)*(1+'Q1 Base'!$C$14)-C4*J4)/I4</f>
        <v>2260.1867773919676</v>
      </c>
    </row>
    <row r="5" spans="1:21" x14ac:dyDescent="0.45">
      <c r="A5">
        <v>2</v>
      </c>
      <c r="B5">
        <v>33</v>
      </c>
      <c r="C5">
        <f>'Q1 Base'!$C$5</f>
        <v>2500000</v>
      </c>
      <c r="D5">
        <f>'Q1 Base'!$C$13</f>
        <v>1000</v>
      </c>
      <c r="E5" s="43">
        <f>'Q1 Base'!$C$12</f>
        <v>0.02</v>
      </c>
      <c r="F5" s="21">
        <f>'Q1 Base'!$C$4</f>
        <v>5000</v>
      </c>
      <c r="G5" s="21">
        <f t="shared" ref="G5:G28" si="0">F5*E5</f>
        <v>100</v>
      </c>
      <c r="H5" s="21">
        <f t="shared" ref="H5:H28" si="1">F5-G5-D5</f>
        <v>3900</v>
      </c>
      <c r="I5">
        <f>1-'Q1 Base'!O8</f>
        <v>0.99926559999999998</v>
      </c>
      <c r="J5">
        <f>'Q1 Base'!O8</f>
        <v>7.3439999999999996E-4</v>
      </c>
      <c r="K5" s="44">
        <f>1/(1+'Q1 Base'!$C$14)</f>
        <v>0.94562647754137108</v>
      </c>
      <c r="L5" s="40">
        <f t="shared" ref="L5:L28" si="2">K5*I5</f>
        <v>0.94493200945626465</v>
      </c>
      <c r="M5" s="40">
        <f t="shared" ref="M5:M28" si="3">K5*J5</f>
        <v>6.9446808510638294E-4</v>
      </c>
      <c r="N5" s="40">
        <f t="shared" ref="N5:N28" si="4">M5+L5*N6</f>
        <v>2.1541040997178348E-2</v>
      </c>
      <c r="O5" s="40">
        <f t="shared" ref="O5:O28" si="5">1+L5*O6</f>
        <v>13.424958435234435</v>
      </c>
      <c r="P5" s="4">
        <f t="shared" ref="P5:P28" si="6">H5*O5</f>
        <v>52357.337897414298</v>
      </c>
      <c r="Q5" s="4">
        <f t="shared" ref="Q5:Q28" si="7">C5*N5</f>
        <v>53852.602492945873</v>
      </c>
      <c r="R5" s="4">
        <f t="shared" ref="R5:R28" si="8">Q5-P5</f>
        <v>1495.2645955315747</v>
      </c>
      <c r="S5" s="4">
        <f t="shared" ref="S5:S28" si="9">R6</f>
        <v>3872.3361534457144</v>
      </c>
      <c r="T5">
        <f>U4</f>
        <v>2260.1867773919676</v>
      </c>
      <c r="U5" s="4">
        <f>((T5+H5)*(1+'Q1 Base'!$C$14)-C5*J5)/I5</f>
        <v>4681.8358573456417</v>
      </c>
    </row>
    <row r="6" spans="1:21" x14ac:dyDescent="0.45">
      <c r="A6">
        <v>3</v>
      </c>
      <c r="B6">
        <v>34</v>
      </c>
      <c r="C6">
        <f>'Q1 Base'!$C$5</f>
        <v>2500000</v>
      </c>
      <c r="D6">
        <f>'Q1 Base'!$C$13</f>
        <v>1000</v>
      </c>
      <c r="E6" s="43">
        <f>'Q1 Base'!$C$12</f>
        <v>0.02</v>
      </c>
      <c r="F6" s="21">
        <f>'Q1 Base'!$C$4</f>
        <v>5000</v>
      </c>
      <c r="G6" s="21">
        <f t="shared" si="0"/>
        <v>100</v>
      </c>
      <c r="H6" s="21">
        <f t="shared" si="1"/>
        <v>3900</v>
      </c>
      <c r="I6">
        <f>1-'Q1 Base'!O9</f>
        <v>0.9992048</v>
      </c>
      <c r="J6">
        <f>'Q1 Base'!O9</f>
        <v>7.9520000000000003E-4</v>
      </c>
      <c r="K6" s="44">
        <f>1/(1+'Q1 Base'!$C$14)</f>
        <v>0.94562647754137108</v>
      </c>
      <c r="L6" s="40">
        <f t="shared" si="2"/>
        <v>0.94487451536643019</v>
      </c>
      <c r="M6" s="40">
        <f t="shared" si="3"/>
        <v>7.5196217494089836E-4</v>
      </c>
      <c r="N6" s="40">
        <f t="shared" si="4"/>
        <v>2.2061452785441731E-2</v>
      </c>
      <c r="O6" s="40">
        <f t="shared" si="5"/>
        <v>13.149050207732977</v>
      </c>
      <c r="P6" s="4">
        <f t="shared" si="6"/>
        <v>51281.295810158612</v>
      </c>
      <c r="Q6" s="4">
        <f t="shared" si="7"/>
        <v>55153.631963604326</v>
      </c>
      <c r="R6" s="4">
        <f t="shared" si="8"/>
        <v>3872.3361534457144</v>
      </c>
      <c r="S6" s="4">
        <f t="shared" si="9"/>
        <v>6236.204512096876</v>
      </c>
      <c r="T6">
        <f t="shared" ref="T6:T28" si="10">U5</f>
        <v>4681.8358573456417</v>
      </c>
      <c r="U6" s="4">
        <f>((T6+H6)*(1+'Q1 Base'!$C$14)-C6*J6)/I6</f>
        <v>7092.9317184455249</v>
      </c>
    </row>
    <row r="7" spans="1:21" x14ac:dyDescent="0.45">
      <c r="A7">
        <v>4</v>
      </c>
      <c r="B7">
        <v>35</v>
      </c>
      <c r="C7">
        <f>'Q1 Base'!$C$5</f>
        <v>2500000</v>
      </c>
      <c r="D7">
        <f>'Q1 Base'!$C$13</f>
        <v>1000</v>
      </c>
      <c r="E7" s="43">
        <f>'Q1 Base'!$C$12</f>
        <v>0.02</v>
      </c>
      <c r="F7" s="21">
        <f>'Q1 Base'!$C$4</f>
        <v>5000</v>
      </c>
      <c r="G7" s="21">
        <f t="shared" si="0"/>
        <v>100</v>
      </c>
      <c r="H7" s="21">
        <f t="shared" si="1"/>
        <v>3900</v>
      </c>
      <c r="I7">
        <f>1-'Q1 Base'!O10</f>
        <v>0.99915290000000001</v>
      </c>
      <c r="J7">
        <f>'Q1 Base'!O10</f>
        <v>8.4710000000000004E-4</v>
      </c>
      <c r="K7" s="44">
        <f>1/(1+'Q1 Base'!$C$14)</f>
        <v>0.94562647754137108</v>
      </c>
      <c r="L7" s="40">
        <f t="shared" si="2"/>
        <v>0.94482543735224578</v>
      </c>
      <c r="M7" s="40">
        <f t="shared" si="3"/>
        <v>8.0104018912529544E-4</v>
      </c>
      <c r="N7" s="40">
        <f t="shared" si="4"/>
        <v>2.2552720243742459E-2</v>
      </c>
      <c r="O7" s="40">
        <f t="shared" si="5"/>
        <v>12.857845153143403</v>
      </c>
      <c r="P7" s="4">
        <f t="shared" si="6"/>
        <v>50145.596097259273</v>
      </c>
      <c r="Q7" s="4">
        <f t="shared" si="7"/>
        <v>56381.800609356149</v>
      </c>
      <c r="R7" s="4">
        <f t="shared" si="8"/>
        <v>6236.204512096876</v>
      </c>
      <c r="S7" s="4">
        <f t="shared" si="9"/>
        <v>8608.5785984732211</v>
      </c>
      <c r="T7">
        <f t="shared" si="10"/>
        <v>7092.9317184455249</v>
      </c>
      <c r="U7" s="4">
        <f>((T7+H7)*(1+'Q1 Base'!$C$14)-C7*J7)/I7</f>
        <v>9515.3357331556999</v>
      </c>
    </row>
    <row r="8" spans="1:21" x14ac:dyDescent="0.45">
      <c r="A8">
        <v>5</v>
      </c>
      <c r="B8">
        <v>36</v>
      </c>
      <c r="C8">
        <f>'Q1 Base'!$C$5</f>
        <v>2500000</v>
      </c>
      <c r="D8">
        <f>'Q1 Base'!$C$13</f>
        <v>1000</v>
      </c>
      <c r="E8" s="43">
        <f>'Q1 Base'!$C$12</f>
        <v>0.02</v>
      </c>
      <c r="F8" s="21">
        <f>'Q1 Base'!$C$4</f>
        <v>5000</v>
      </c>
      <c r="G8" s="21">
        <f t="shared" si="0"/>
        <v>100</v>
      </c>
      <c r="H8" s="21">
        <f t="shared" si="1"/>
        <v>3900</v>
      </c>
      <c r="I8">
        <f>1-'Q1 Base'!O11</f>
        <v>0.99902539999999995</v>
      </c>
      <c r="J8">
        <f>'Q1 Base'!O11</f>
        <v>9.7460000000000005E-4</v>
      </c>
      <c r="K8" s="44">
        <f>1/(1+'Q1 Base'!$C$14)</f>
        <v>0.94562647754137108</v>
      </c>
      <c r="L8" s="40">
        <f t="shared" si="2"/>
        <v>0.94470486997635916</v>
      </c>
      <c r="M8" s="40">
        <f t="shared" si="3"/>
        <v>9.2160756501182028E-4</v>
      </c>
      <c r="N8" s="40">
        <f t="shared" si="4"/>
        <v>2.3021903512222858E-2</v>
      </c>
      <c r="O8" s="40">
        <f t="shared" si="5"/>
        <v>12.55030261079075</v>
      </c>
      <c r="P8" s="4">
        <f t="shared" si="6"/>
        <v>48946.180182083925</v>
      </c>
      <c r="Q8" s="4">
        <f t="shared" si="7"/>
        <v>57554.758780557146</v>
      </c>
      <c r="R8" s="4">
        <f t="shared" si="8"/>
        <v>8608.5785984732211</v>
      </c>
      <c r="S8" s="4">
        <f t="shared" si="9"/>
        <v>10801.849350262208</v>
      </c>
      <c r="T8">
        <f t="shared" si="10"/>
        <v>9515.3357331556999</v>
      </c>
      <c r="U8" s="4">
        <f>((T8+H8)*(1+'Q1 Base'!$C$14)-C8*J8)/I8</f>
        <v>11761.680471599775</v>
      </c>
    </row>
    <row r="9" spans="1:21" x14ac:dyDescent="0.45">
      <c r="A9">
        <v>6</v>
      </c>
      <c r="B9">
        <v>37</v>
      </c>
      <c r="C9">
        <f>'Q1 Base'!$C$5</f>
        <v>2500000</v>
      </c>
      <c r="D9">
        <f>'Q1 Base'!$C$13</f>
        <v>1000</v>
      </c>
      <c r="E9" s="43">
        <f>'Q1 Base'!$C$12</f>
        <v>0.02</v>
      </c>
      <c r="F9" s="21">
        <f>'Q1 Base'!$C$4</f>
        <v>5000</v>
      </c>
      <c r="G9" s="21">
        <f t="shared" si="0"/>
        <v>100</v>
      </c>
      <c r="H9" s="21">
        <f t="shared" si="1"/>
        <v>3900</v>
      </c>
      <c r="I9">
        <f>1-'Q1 Base'!O12</f>
        <v>0.99902970000000002</v>
      </c>
      <c r="J9">
        <f>'Q1 Base'!O12</f>
        <v>9.703E-4</v>
      </c>
      <c r="K9" s="44">
        <f>1/(1+'Q1 Base'!$C$14)</f>
        <v>0.94562647754137108</v>
      </c>
      <c r="L9" s="40">
        <f t="shared" si="2"/>
        <v>0.94470893617021268</v>
      </c>
      <c r="M9" s="40">
        <f t="shared" si="3"/>
        <v>9.1754137115839234E-4</v>
      </c>
      <c r="N9" s="40">
        <f t="shared" si="4"/>
        <v>2.339386262268775E-2</v>
      </c>
      <c r="O9" s="40">
        <f t="shared" si="5"/>
        <v>12.226360822168505</v>
      </c>
      <c r="P9" s="4">
        <f t="shared" si="6"/>
        <v>47682.807206457168</v>
      </c>
      <c r="Q9" s="4">
        <f t="shared" si="7"/>
        <v>58484.656556719376</v>
      </c>
      <c r="R9" s="4">
        <f t="shared" si="8"/>
        <v>10801.849350262208</v>
      </c>
      <c r="S9" s="4">
        <f t="shared" si="9"/>
        <v>13134.199801970128</v>
      </c>
      <c r="T9">
        <f t="shared" si="10"/>
        <v>11761.680471599775</v>
      </c>
      <c r="U9" s="4">
        <f>((T9+H9)*(1+'Q1 Base'!$C$14)-C9*J9)/I9</f>
        <v>14150.207044612152</v>
      </c>
    </row>
    <row r="10" spans="1:21" x14ac:dyDescent="0.45">
      <c r="A10">
        <v>7</v>
      </c>
      <c r="B10">
        <v>38</v>
      </c>
      <c r="C10">
        <f>'Q1 Base'!$C$5</f>
        <v>2500000</v>
      </c>
      <c r="D10">
        <f>'Q1 Base'!$C$13</f>
        <v>1000</v>
      </c>
      <c r="E10" s="43">
        <f>'Q1 Base'!$C$12</f>
        <v>0.02</v>
      </c>
      <c r="F10" s="21">
        <f>'Q1 Base'!$C$4</f>
        <v>5000</v>
      </c>
      <c r="G10" s="21">
        <f t="shared" si="0"/>
        <v>100</v>
      </c>
      <c r="H10" s="21">
        <f t="shared" si="1"/>
        <v>3900</v>
      </c>
      <c r="I10">
        <f>1-'Q1 Base'!O13</f>
        <v>0.99897190000000002</v>
      </c>
      <c r="J10">
        <f>'Q1 Base'!O13</f>
        <v>1.0281000000000001E-3</v>
      </c>
      <c r="K10" s="44">
        <f>1/(1+'Q1 Base'!$C$14)</f>
        <v>0.94562647754137108</v>
      </c>
      <c r="L10" s="40">
        <f t="shared" si="2"/>
        <v>0.9446542789598108</v>
      </c>
      <c r="M10" s="40">
        <f t="shared" si="3"/>
        <v>9.7219858156028373E-4</v>
      </c>
      <c r="N10" s="40">
        <f t="shared" si="4"/>
        <v>2.379179490208579E-2</v>
      </c>
      <c r="O10" s="40">
        <f t="shared" si="5"/>
        <v>11.883407039293422</v>
      </c>
      <c r="P10" s="4">
        <f t="shared" si="6"/>
        <v>46345.287453244346</v>
      </c>
      <c r="Q10" s="4">
        <f t="shared" si="7"/>
        <v>59479.487255214473</v>
      </c>
      <c r="R10" s="4">
        <f t="shared" si="8"/>
        <v>13134.199801970128</v>
      </c>
      <c r="S10" s="4">
        <f t="shared" si="9"/>
        <v>15459.310007201813</v>
      </c>
      <c r="T10">
        <f t="shared" si="10"/>
        <v>14150.207044612152</v>
      </c>
      <c r="U10" s="4">
        <f>((T10+H10)*(1+'Q1 Base'!$C$14)-C10*J10)/I10</f>
        <v>16534.843422199712</v>
      </c>
    </row>
    <row r="11" spans="1:21" x14ac:dyDescent="0.45">
      <c r="A11">
        <v>8</v>
      </c>
      <c r="B11">
        <v>39</v>
      </c>
      <c r="C11">
        <f>'Q1 Base'!$C$5</f>
        <v>2500000</v>
      </c>
      <c r="D11">
        <f>'Q1 Base'!$C$13</f>
        <v>1000</v>
      </c>
      <c r="E11" s="43">
        <f>'Q1 Base'!$C$12</f>
        <v>0.02</v>
      </c>
      <c r="F11" s="21">
        <f>'Q1 Base'!$C$4</f>
        <v>5000</v>
      </c>
      <c r="G11" s="21">
        <f t="shared" si="0"/>
        <v>100</v>
      </c>
      <c r="H11" s="21">
        <f t="shared" si="1"/>
        <v>3900</v>
      </c>
      <c r="I11">
        <f>1-'Q1 Base'!O14</f>
        <v>0.99886240000000004</v>
      </c>
      <c r="J11">
        <f>'Q1 Base'!O14</f>
        <v>1.1375999999999999E-3</v>
      </c>
      <c r="K11" s="44">
        <f>1/(1+'Q1 Base'!$C$14)</f>
        <v>0.94562647754137108</v>
      </c>
      <c r="L11" s="40">
        <f t="shared" si="2"/>
        <v>0.94455073286052005</v>
      </c>
      <c r="M11" s="40">
        <f t="shared" si="3"/>
        <v>1.0757446808510637E-3</v>
      </c>
      <c r="N11" s="40">
        <f t="shared" si="4"/>
        <v>2.4156558466715355E-2</v>
      </c>
      <c r="O11" s="40">
        <f t="shared" si="5"/>
        <v>11.521047733227325</v>
      </c>
      <c r="P11" s="4">
        <f t="shared" si="6"/>
        <v>44932.086159586572</v>
      </c>
      <c r="Q11" s="4">
        <f t="shared" si="7"/>
        <v>60391.396166788385</v>
      </c>
      <c r="R11" s="4">
        <f t="shared" si="8"/>
        <v>15459.310007201813</v>
      </c>
      <c r="S11" s="4">
        <f t="shared" si="9"/>
        <v>17648.547320047219</v>
      </c>
      <c r="T11">
        <f t="shared" si="10"/>
        <v>16534.843422199712</v>
      </c>
      <c r="U11" s="4">
        <f>((T11+H11)*(1+'Q1 Base'!$C$14)-C11*J11)/I11</f>
        <v>18787.219259605925</v>
      </c>
    </row>
    <row r="12" spans="1:21" x14ac:dyDescent="0.45">
      <c r="A12">
        <v>9</v>
      </c>
      <c r="B12">
        <v>40</v>
      </c>
      <c r="C12">
        <f>'Q1 Base'!$C$5</f>
        <v>2500000</v>
      </c>
      <c r="D12">
        <f>'Q1 Base'!$C$13</f>
        <v>1000</v>
      </c>
      <c r="E12" s="43">
        <f>'Q1 Base'!$C$12</f>
        <v>0.02</v>
      </c>
      <c r="F12" s="21">
        <f>'Q1 Base'!$C$4</f>
        <v>5000</v>
      </c>
      <c r="G12" s="21">
        <f t="shared" si="0"/>
        <v>100</v>
      </c>
      <c r="H12" s="21">
        <f t="shared" si="1"/>
        <v>3900</v>
      </c>
      <c r="I12">
        <f>1-'Q1 Base'!O15</f>
        <v>0.99875080000000005</v>
      </c>
      <c r="J12">
        <f>'Q1 Base'!O15</f>
        <v>1.2492E-3</v>
      </c>
      <c r="K12" s="44">
        <f>1/(1+'Q1 Base'!$C$14)</f>
        <v>0.94562647754137108</v>
      </c>
      <c r="L12" s="40">
        <f t="shared" si="2"/>
        <v>0.94444520094562645</v>
      </c>
      <c r="M12" s="40">
        <f t="shared" si="3"/>
        <v>1.1812765957446808E-3</v>
      </c>
      <c r="N12" s="40">
        <f t="shared" si="4"/>
        <v>2.4435758697645932E-2</v>
      </c>
      <c r="O12" s="40">
        <f t="shared" si="5"/>
        <v>11.138679339504517</v>
      </c>
      <c r="P12" s="4">
        <f t="shared" si="6"/>
        <v>43440.849424067615</v>
      </c>
      <c r="Q12" s="4">
        <f t="shared" si="7"/>
        <v>61089.396744114834</v>
      </c>
      <c r="R12" s="4">
        <f t="shared" si="8"/>
        <v>17648.547320047219</v>
      </c>
      <c r="S12" s="4">
        <f t="shared" si="9"/>
        <v>19689.184520252638</v>
      </c>
      <c r="T12">
        <f t="shared" si="10"/>
        <v>18787.219259605925</v>
      </c>
      <c r="U12" s="4">
        <f>((T12+H12)*(1+'Q1 Base'!$C$14)-C12*J12)/I12</f>
        <v>20894.836196409822</v>
      </c>
    </row>
    <row r="13" spans="1:21" x14ac:dyDescent="0.45">
      <c r="A13">
        <v>10</v>
      </c>
      <c r="B13">
        <v>41</v>
      </c>
      <c r="C13">
        <f>'Q1 Base'!$C$5</f>
        <v>2500000</v>
      </c>
      <c r="D13">
        <f>'Q1 Base'!$C$13</f>
        <v>1000</v>
      </c>
      <c r="E13" s="43">
        <f>'Q1 Base'!$C$12</f>
        <v>0.02</v>
      </c>
      <c r="F13" s="21">
        <f>'Q1 Base'!$C$4</f>
        <v>5000</v>
      </c>
      <c r="G13" s="21">
        <f t="shared" si="0"/>
        <v>100</v>
      </c>
      <c r="H13" s="21">
        <f t="shared" si="1"/>
        <v>3900</v>
      </c>
      <c r="I13">
        <f>1-'Q1 Base'!O16</f>
        <v>0.99858349999999996</v>
      </c>
      <c r="J13">
        <f>'Q1 Base'!O16</f>
        <v>1.4165E-3</v>
      </c>
      <c r="K13" s="44">
        <f>1/(1+'Q1 Base'!$C$14)</f>
        <v>0.94562647754137108</v>
      </c>
      <c r="L13" s="40">
        <f t="shared" si="2"/>
        <v>0.94428699763593371</v>
      </c>
      <c r="M13" s="40">
        <f t="shared" si="3"/>
        <v>1.3394799054373522E-3</v>
      </c>
      <c r="N13" s="40">
        <f t="shared" si="4"/>
        <v>2.4622373091226134E-2</v>
      </c>
      <c r="O13" s="40">
        <f t="shared" si="5"/>
        <v>10.735063643028898</v>
      </c>
      <c r="P13" s="4">
        <f t="shared" si="6"/>
        <v>41866.7482078127</v>
      </c>
      <c r="Q13" s="4">
        <f t="shared" si="7"/>
        <v>61555.932728065338</v>
      </c>
      <c r="R13" s="4">
        <f t="shared" si="8"/>
        <v>19689.184520252638</v>
      </c>
      <c r="S13" s="4">
        <f t="shared" si="9"/>
        <v>21434.674847088063</v>
      </c>
      <c r="T13">
        <f t="shared" si="10"/>
        <v>20894.836196409822</v>
      </c>
      <c r="U13" s="4">
        <f>((T13+H13)*(1+'Q1 Base'!$C$14)-C13*J13)/I13</f>
        <v>22711.460060879625</v>
      </c>
    </row>
    <row r="14" spans="1:21" x14ac:dyDescent="0.45">
      <c r="A14">
        <v>11</v>
      </c>
      <c r="B14">
        <v>42</v>
      </c>
      <c r="C14">
        <f>'Q1 Base'!$C$5</f>
        <v>2500000</v>
      </c>
      <c r="D14">
        <f>'Q1 Base'!$C$13</f>
        <v>1000</v>
      </c>
      <c r="E14" s="43">
        <f>'Q1 Base'!$C$12</f>
        <v>0.02</v>
      </c>
      <c r="F14" s="21">
        <f>'Q1 Base'!$C$4</f>
        <v>5000</v>
      </c>
      <c r="G14" s="21">
        <f t="shared" si="0"/>
        <v>100</v>
      </c>
      <c r="H14" s="21">
        <f t="shared" si="1"/>
        <v>3900</v>
      </c>
      <c r="I14">
        <f>1-'Q1 Base'!O17</f>
        <v>0.9985096</v>
      </c>
      <c r="J14">
        <f>'Q1 Base'!O17</f>
        <v>1.4904E-3</v>
      </c>
      <c r="K14" s="44">
        <f>1/(1+'Q1 Base'!$C$14)</f>
        <v>0.94562647754137108</v>
      </c>
      <c r="L14" s="40">
        <f t="shared" si="2"/>
        <v>0.94421711583924339</v>
      </c>
      <c r="M14" s="40">
        <f t="shared" si="3"/>
        <v>1.4093617021276594E-3</v>
      </c>
      <c r="N14" s="40">
        <f t="shared" si="4"/>
        <v>2.4656585597470457E-2</v>
      </c>
      <c r="O14" s="40">
        <f t="shared" si="5"/>
        <v>10.309433114509764</v>
      </c>
      <c r="P14" s="4">
        <f t="shared" si="6"/>
        <v>40206.789146588082</v>
      </c>
      <c r="Q14" s="4">
        <f t="shared" si="7"/>
        <v>61641.463993676145</v>
      </c>
      <c r="R14" s="4">
        <f t="shared" si="8"/>
        <v>21434.674847088063</v>
      </c>
      <c r="S14" s="4">
        <f t="shared" si="9"/>
        <v>23099.846662261072</v>
      </c>
      <c r="T14">
        <f t="shared" si="10"/>
        <v>22711.460060879625</v>
      </c>
      <c r="U14" s="4">
        <f>((T14+H14)*(1+'Q1 Base'!$C$14)-C14*J14)/I14</f>
        <v>24452.062368133673</v>
      </c>
    </row>
    <row r="15" spans="1:21" x14ac:dyDescent="0.45">
      <c r="A15">
        <v>12</v>
      </c>
      <c r="B15">
        <v>43</v>
      </c>
      <c r="C15">
        <f>'Q1 Base'!$C$5</f>
        <v>2500000</v>
      </c>
      <c r="D15">
        <f>'Q1 Base'!$C$13</f>
        <v>1000</v>
      </c>
      <c r="E15" s="43">
        <f>'Q1 Base'!$C$12</f>
        <v>0.02</v>
      </c>
      <c r="F15" s="21">
        <f>'Q1 Base'!$C$4</f>
        <v>5000</v>
      </c>
      <c r="G15" s="21">
        <f t="shared" si="0"/>
        <v>100</v>
      </c>
      <c r="H15" s="21">
        <f t="shared" si="1"/>
        <v>3900</v>
      </c>
      <c r="I15">
        <f>1-'Q1 Base'!O18</f>
        <v>0.99834009999999995</v>
      </c>
      <c r="J15">
        <f>'Q1 Base'!O18</f>
        <v>1.6599E-3</v>
      </c>
      <c r="K15" s="44">
        <f>1/(1+'Q1 Base'!$C$14)</f>
        <v>0.94562647754137108</v>
      </c>
      <c r="L15" s="40">
        <f t="shared" si="2"/>
        <v>0.9440568321513001</v>
      </c>
      <c r="M15" s="40">
        <f t="shared" si="3"/>
        <v>1.5696453900709219E-3</v>
      </c>
      <c r="N15" s="40">
        <f t="shared" si="4"/>
        <v>2.4620633862032986E-2</v>
      </c>
      <c r="O15" s="40">
        <f t="shared" si="5"/>
        <v>9.859419998159332</v>
      </c>
      <c r="P15" s="4">
        <f t="shared" si="6"/>
        <v>38451.737992821392</v>
      </c>
      <c r="Q15" s="4">
        <f t="shared" si="7"/>
        <v>61551.584655082464</v>
      </c>
      <c r="R15" s="4">
        <f t="shared" si="8"/>
        <v>23099.846662261072</v>
      </c>
      <c r="S15" s="4">
        <f t="shared" si="9"/>
        <v>24443.161048365269</v>
      </c>
      <c r="T15">
        <f t="shared" si="10"/>
        <v>24452.062368133673</v>
      </c>
      <c r="U15" s="4">
        <f>((T15+H15)*(1+'Q1 Base'!$C$14)-C15*J15)/I15</f>
        <v>25875.506707885783</v>
      </c>
    </row>
    <row r="16" spans="1:21" x14ac:dyDescent="0.45">
      <c r="A16">
        <v>13</v>
      </c>
      <c r="B16">
        <v>44</v>
      </c>
      <c r="C16">
        <f>'Q1 Base'!$C$5</f>
        <v>2500000</v>
      </c>
      <c r="D16">
        <f>'Q1 Base'!$C$13</f>
        <v>1000</v>
      </c>
      <c r="E16" s="43">
        <f>'Q1 Base'!$C$12</f>
        <v>0.02</v>
      </c>
      <c r="F16" s="21">
        <f>'Q1 Base'!$C$4</f>
        <v>5000</v>
      </c>
      <c r="G16" s="21">
        <f t="shared" si="0"/>
        <v>100</v>
      </c>
      <c r="H16" s="21">
        <f t="shared" si="1"/>
        <v>3900</v>
      </c>
      <c r="I16">
        <f>1-'Q1 Base'!O19</f>
        <v>0.99823340000000005</v>
      </c>
      <c r="J16">
        <f>'Q1 Base'!O19</f>
        <v>1.7665999999999999E-3</v>
      </c>
      <c r="K16" s="44">
        <f>1/(1+'Q1 Base'!$C$14)</f>
        <v>0.94562647754137108</v>
      </c>
      <c r="L16" s="40">
        <f t="shared" si="2"/>
        <v>0.94395593380614651</v>
      </c>
      <c r="M16" s="40">
        <f t="shared" si="3"/>
        <v>1.6705437352245861E-3</v>
      </c>
      <c r="N16" s="40">
        <f t="shared" si="4"/>
        <v>2.441695000441221E-2</v>
      </c>
      <c r="O16" s="40">
        <f t="shared" si="5"/>
        <v>9.3844138365808352</v>
      </c>
      <c r="P16" s="4">
        <f t="shared" si="6"/>
        <v>36599.213962665257</v>
      </c>
      <c r="Q16" s="4">
        <f t="shared" si="7"/>
        <v>61042.375011030526</v>
      </c>
      <c r="R16" s="4">
        <f t="shared" si="8"/>
        <v>24443.161048365269</v>
      </c>
      <c r="S16" s="4">
        <f t="shared" si="9"/>
        <v>25601.620631654157</v>
      </c>
      <c r="T16">
        <f t="shared" si="10"/>
        <v>25875.506707885783</v>
      </c>
      <c r="U16" s="4">
        <f>((T16+H16)*(1+'Q1 Base'!$C$14)-C16*J16)/I16</f>
        <v>27119.006780968477</v>
      </c>
    </row>
    <row r="17" spans="1:21" x14ac:dyDescent="0.45">
      <c r="A17">
        <v>14</v>
      </c>
      <c r="B17">
        <v>45</v>
      </c>
      <c r="C17">
        <f>'Q1 Base'!$C$5</f>
        <v>2500000</v>
      </c>
      <c r="D17">
        <f>'Q1 Base'!$C$13</f>
        <v>1000</v>
      </c>
      <c r="E17" s="43">
        <f>'Q1 Base'!$C$12</f>
        <v>0.02</v>
      </c>
      <c r="F17" s="21">
        <f>'Q1 Base'!$C$4</f>
        <v>5000</v>
      </c>
      <c r="G17" s="21">
        <f t="shared" si="0"/>
        <v>100</v>
      </c>
      <c r="H17" s="21">
        <f t="shared" si="1"/>
        <v>3900</v>
      </c>
      <c r="I17">
        <f>1-'Q1 Base'!O20</f>
        <v>0.9981506</v>
      </c>
      <c r="J17">
        <f>'Q1 Base'!O20</f>
        <v>1.8494E-3</v>
      </c>
      <c r="K17" s="44">
        <f>1/(1+'Q1 Base'!$C$14)</f>
        <v>0.94562647754137108</v>
      </c>
      <c r="L17" s="40">
        <f t="shared" si="2"/>
        <v>0.94387763593380603</v>
      </c>
      <c r="M17" s="40">
        <f t="shared" si="3"/>
        <v>1.7488416075650116E-3</v>
      </c>
      <c r="N17" s="40">
        <f t="shared" si="4"/>
        <v>2.4096894202964871E-2</v>
      </c>
      <c r="O17" s="40">
        <f t="shared" si="5"/>
        <v>8.8822089425020572</v>
      </c>
      <c r="P17" s="4">
        <f t="shared" si="6"/>
        <v>34640.614875758023</v>
      </c>
      <c r="Q17" s="4">
        <f t="shared" si="7"/>
        <v>60242.235507412181</v>
      </c>
      <c r="R17" s="4">
        <f t="shared" si="8"/>
        <v>25601.620631654157</v>
      </c>
      <c r="S17" s="4">
        <f t="shared" si="9"/>
        <v>26623.701691883238</v>
      </c>
      <c r="T17">
        <f t="shared" si="10"/>
        <v>27119.006780968477</v>
      </c>
      <c r="U17" s="4">
        <f>((T17+H17)*(1+'Q1 Base'!$C$14)-C17*J17)/I17</f>
        <v>28231.310656802856</v>
      </c>
    </row>
    <row r="18" spans="1:21" x14ac:dyDescent="0.45">
      <c r="A18">
        <v>15</v>
      </c>
      <c r="B18">
        <v>46</v>
      </c>
      <c r="C18">
        <f>'Q1 Base'!$C$5</f>
        <v>2500000</v>
      </c>
      <c r="D18">
        <f>'Q1 Base'!$C$13</f>
        <v>1000</v>
      </c>
      <c r="E18" s="43">
        <f>'Q1 Base'!$C$12</f>
        <v>0.02</v>
      </c>
      <c r="F18" s="21">
        <f>'Q1 Base'!$C$4</f>
        <v>5000</v>
      </c>
      <c r="G18" s="21">
        <f t="shared" si="0"/>
        <v>100</v>
      </c>
      <c r="H18" s="21">
        <f t="shared" si="1"/>
        <v>3900</v>
      </c>
      <c r="I18">
        <f>1-'Q1 Base'!O21</f>
        <v>0.99801799999999996</v>
      </c>
      <c r="J18">
        <f>'Q1 Base'!O21</f>
        <v>1.9819999999999998E-3</v>
      </c>
      <c r="K18" s="44">
        <f>1/(1+'Q1 Base'!$C$14)</f>
        <v>0.94562647754137108</v>
      </c>
      <c r="L18" s="40">
        <f t="shared" si="2"/>
        <v>0.94375224586288409</v>
      </c>
      <c r="M18" s="40">
        <f t="shared" si="3"/>
        <v>1.8742316784869973E-3</v>
      </c>
      <c r="N18" s="40">
        <f t="shared" si="4"/>
        <v>2.3676853592669637E-2</v>
      </c>
      <c r="O18" s="40">
        <f t="shared" si="5"/>
        <v>8.3508800743053477</v>
      </c>
      <c r="P18" s="4">
        <f t="shared" si="6"/>
        <v>32568.432289790857</v>
      </c>
      <c r="Q18" s="4">
        <f t="shared" si="7"/>
        <v>59192.133981674095</v>
      </c>
      <c r="R18" s="4">
        <f t="shared" si="8"/>
        <v>26623.701691883238</v>
      </c>
      <c r="S18" s="4">
        <f t="shared" si="9"/>
        <v>27378.077889543609</v>
      </c>
      <c r="T18">
        <f t="shared" si="10"/>
        <v>28231.310656802856</v>
      </c>
      <c r="U18" s="4">
        <f>((T18+H18)*(1+'Q1 Base'!$C$14)-C18*J18)/I18</f>
        <v>29081.500553666396</v>
      </c>
    </row>
    <row r="19" spans="1:21" x14ac:dyDescent="0.45">
      <c r="A19">
        <v>16</v>
      </c>
      <c r="B19">
        <v>47</v>
      </c>
      <c r="C19">
        <f>'Q1 Base'!$C$5</f>
        <v>2500000</v>
      </c>
      <c r="D19">
        <f>'Q1 Base'!$C$13</f>
        <v>1000</v>
      </c>
      <c r="E19" s="43">
        <f>'Q1 Base'!$C$12</f>
        <v>0.02</v>
      </c>
      <c r="F19" s="21">
        <f>'Q1 Base'!$C$4</f>
        <v>5000</v>
      </c>
      <c r="G19" s="21">
        <f t="shared" si="0"/>
        <v>100</v>
      </c>
      <c r="H19" s="21">
        <f t="shared" si="1"/>
        <v>3900</v>
      </c>
      <c r="I19">
        <f>1-'Q1 Base'!O22</f>
        <v>0.99768239999999997</v>
      </c>
      <c r="J19">
        <f>'Q1 Base'!O22</f>
        <v>2.3176E-3</v>
      </c>
      <c r="K19" s="44">
        <f>1/(1+'Q1 Base'!$C$14)</f>
        <v>0.94562647754137108</v>
      </c>
      <c r="L19" s="40">
        <f t="shared" si="2"/>
        <v>0.94343489361702115</v>
      </c>
      <c r="M19" s="40">
        <f t="shared" si="3"/>
        <v>2.1915839243498818E-3</v>
      </c>
      <c r="N19" s="40">
        <f t="shared" si="4"/>
        <v>2.3102060959069019E-2</v>
      </c>
      <c r="O19" s="40">
        <f t="shared" si="5"/>
        <v>7.7889934636228055</v>
      </c>
      <c r="P19" s="4">
        <f t="shared" si="6"/>
        <v>30377.074508128942</v>
      </c>
      <c r="Q19" s="4">
        <f t="shared" si="7"/>
        <v>57755.152397672551</v>
      </c>
      <c r="R19" s="4">
        <f t="shared" si="8"/>
        <v>27378.077889543609</v>
      </c>
      <c r="S19" s="4">
        <f t="shared" si="9"/>
        <v>27345.944328768725</v>
      </c>
      <c r="T19">
        <f t="shared" si="10"/>
        <v>29081.500553666396</v>
      </c>
      <c r="U19" s="4">
        <f>((T19+H19)*(1+'Q1 Base'!$C$14)-C19*J19)/I19</f>
        <v>29151.498348073714</v>
      </c>
    </row>
    <row r="20" spans="1:21" x14ac:dyDescent="0.45">
      <c r="A20">
        <v>17</v>
      </c>
      <c r="B20">
        <v>48</v>
      </c>
      <c r="C20">
        <f>'Q1 Base'!$C$5</f>
        <v>2500000</v>
      </c>
      <c r="D20">
        <f>'Q1 Base'!$C$13</f>
        <v>1000</v>
      </c>
      <c r="E20" s="43">
        <f>'Q1 Base'!$C$12</f>
        <v>0.02</v>
      </c>
      <c r="F20" s="21">
        <f>'Q1 Base'!$C$4</f>
        <v>5000</v>
      </c>
      <c r="G20" s="21">
        <f t="shared" si="0"/>
        <v>100</v>
      </c>
      <c r="H20" s="21">
        <f t="shared" si="1"/>
        <v>3900</v>
      </c>
      <c r="I20">
        <f>1-'Q1 Base'!O23</f>
        <v>0.9976332</v>
      </c>
      <c r="J20">
        <f>'Q1 Base'!O23</f>
        <v>2.3668000000000001E-3</v>
      </c>
      <c r="K20" s="44">
        <f>1/(1+'Q1 Base'!$C$14)</f>
        <v>0.94562647754137108</v>
      </c>
      <c r="L20" s="40">
        <f t="shared" si="2"/>
        <v>0.94338836879432619</v>
      </c>
      <c r="M20" s="40">
        <f t="shared" si="3"/>
        <v>2.2381087470449172E-3</v>
      </c>
      <c r="N20" s="40">
        <f t="shared" si="4"/>
        <v>2.2164197207663973E-2</v>
      </c>
      <c r="O20" s="40">
        <f t="shared" si="5"/>
        <v>7.1960381257413362</v>
      </c>
      <c r="P20" s="4">
        <f t="shared" si="6"/>
        <v>28064.54869039121</v>
      </c>
      <c r="Q20" s="4">
        <f t="shared" si="7"/>
        <v>55410.493019159934</v>
      </c>
      <c r="R20" s="4">
        <f t="shared" si="8"/>
        <v>27345.944328768725</v>
      </c>
      <c r="S20" s="4">
        <f t="shared" si="9"/>
        <v>27189.939275951248</v>
      </c>
      <c r="T20">
        <f t="shared" si="10"/>
        <v>29151.498348073714</v>
      </c>
      <c r="U20" s="4">
        <f>((T20+H20)*(1+'Q1 Base'!$C$14)-C20*J20)/I20</f>
        <v>29103.842477463619</v>
      </c>
    </row>
    <row r="21" spans="1:21" x14ac:dyDescent="0.45">
      <c r="A21">
        <v>18</v>
      </c>
      <c r="B21">
        <v>49</v>
      </c>
      <c r="C21">
        <f>'Q1 Base'!$C$5</f>
        <v>2500000</v>
      </c>
      <c r="D21">
        <f>'Q1 Base'!$C$13</f>
        <v>1000</v>
      </c>
      <c r="E21" s="43">
        <f>'Q1 Base'!$C$12</f>
        <v>0.02</v>
      </c>
      <c r="F21" s="21">
        <f>'Q1 Base'!$C$4</f>
        <v>5000</v>
      </c>
      <c r="G21" s="21">
        <f t="shared" si="0"/>
        <v>100</v>
      </c>
      <c r="H21" s="21">
        <f t="shared" si="1"/>
        <v>3900</v>
      </c>
      <c r="I21">
        <f>1-'Q1 Base'!O24</f>
        <v>0.99735929999999995</v>
      </c>
      <c r="J21">
        <f>'Q1 Base'!O24</f>
        <v>2.6407000000000002E-3</v>
      </c>
      <c r="K21" s="44">
        <f>1/(1+'Q1 Base'!$C$14)</f>
        <v>0.94562647754137108</v>
      </c>
      <c r="L21" s="40">
        <f t="shared" si="2"/>
        <v>0.94312936170212758</v>
      </c>
      <c r="M21" s="40">
        <f t="shared" si="3"/>
        <v>2.4971158392434988E-3</v>
      </c>
      <c r="N21" s="40">
        <f t="shared" si="4"/>
        <v>2.1121829693623521E-2</v>
      </c>
      <c r="O21" s="40">
        <f t="shared" si="5"/>
        <v>6.5678551174634761</v>
      </c>
      <c r="P21" s="4">
        <f t="shared" si="6"/>
        <v>25614.634958107556</v>
      </c>
      <c r="Q21" s="4">
        <f t="shared" si="7"/>
        <v>52804.574234058804</v>
      </c>
      <c r="R21" s="4">
        <f t="shared" si="8"/>
        <v>27189.939275951248</v>
      </c>
      <c r="S21" s="4">
        <f t="shared" si="9"/>
        <v>26345.431164394264</v>
      </c>
      <c r="T21">
        <f t="shared" si="10"/>
        <v>29103.842477463619</v>
      </c>
      <c r="U21" s="4">
        <f>((T21+H21)*(1+'Q1 Base'!$C$14)-C21*J21)/I21</f>
        <v>28374.74260270876</v>
      </c>
    </row>
    <row r="22" spans="1:21" x14ac:dyDescent="0.45">
      <c r="A22">
        <v>19</v>
      </c>
      <c r="B22">
        <v>50</v>
      </c>
      <c r="C22">
        <f>'Q1 Base'!$C$5</f>
        <v>2500000</v>
      </c>
      <c r="D22">
        <f>'Q1 Base'!$C$13</f>
        <v>1000</v>
      </c>
      <c r="E22" s="43">
        <f>'Q1 Base'!$C$12</f>
        <v>0.02</v>
      </c>
      <c r="F22" s="21">
        <f>'Q1 Base'!$C$4</f>
        <v>5000</v>
      </c>
      <c r="G22" s="21">
        <f t="shared" si="0"/>
        <v>100</v>
      </c>
      <c r="H22" s="21">
        <f t="shared" si="1"/>
        <v>3900</v>
      </c>
      <c r="I22">
        <f>1-'Q1 Base'!O25</f>
        <v>0.9970793</v>
      </c>
      <c r="J22">
        <f>'Q1 Base'!O25</f>
        <v>2.9207E-3</v>
      </c>
      <c r="K22" s="44">
        <f>1/(1+'Q1 Base'!$C$14)</f>
        <v>0.94562647754137108</v>
      </c>
      <c r="L22" s="40">
        <f t="shared" si="2"/>
        <v>0.94286458628841596</v>
      </c>
      <c r="M22" s="40">
        <f t="shared" si="3"/>
        <v>2.7618912529550825E-3</v>
      </c>
      <c r="N22" s="40">
        <f t="shared" si="4"/>
        <v>1.9747782871234947E-2</v>
      </c>
      <c r="O22" s="40">
        <f t="shared" si="5"/>
        <v>5.9035964137674624</v>
      </c>
      <c r="P22" s="4">
        <f t="shared" si="6"/>
        <v>23024.026013693103</v>
      </c>
      <c r="Q22" s="4">
        <f t="shared" si="7"/>
        <v>49369.457178087367</v>
      </c>
      <c r="R22" s="4">
        <f t="shared" si="8"/>
        <v>26345.431164394264</v>
      </c>
      <c r="S22" s="4">
        <f t="shared" si="9"/>
        <v>24755.09566425352</v>
      </c>
      <c r="T22">
        <f t="shared" si="10"/>
        <v>28374.74260270876</v>
      </c>
      <c r="U22" s="4">
        <f>((T22+H22)*(1+'Q1 Base'!$C$14)-C22*J22)/I22</f>
        <v>26907.378683284791</v>
      </c>
    </row>
    <row r="23" spans="1:21" x14ac:dyDescent="0.45">
      <c r="A23">
        <v>20</v>
      </c>
      <c r="B23">
        <v>51</v>
      </c>
      <c r="C23">
        <f>'Q1 Base'!$C$5</f>
        <v>2500000</v>
      </c>
      <c r="D23">
        <f>'Q1 Base'!$C$13</f>
        <v>1000</v>
      </c>
      <c r="E23" s="43">
        <f>'Q1 Base'!$C$12</f>
        <v>0.02</v>
      </c>
      <c r="F23" s="21">
        <f>'Q1 Base'!$C$4</f>
        <v>5000</v>
      </c>
      <c r="G23" s="21">
        <f t="shared" si="0"/>
        <v>100</v>
      </c>
      <c r="H23" s="21">
        <f t="shared" si="1"/>
        <v>3900</v>
      </c>
      <c r="I23">
        <f>1-'Q1 Base'!O26</f>
        <v>0.99701779999999995</v>
      </c>
      <c r="J23">
        <f>'Q1 Base'!O26</f>
        <v>2.9822E-3</v>
      </c>
      <c r="K23" s="44">
        <f>1/(1+'Q1 Base'!$C$14)</f>
        <v>0.94562647754137108</v>
      </c>
      <c r="L23" s="40">
        <f t="shared" si="2"/>
        <v>0.94280643026004718</v>
      </c>
      <c r="M23" s="40">
        <f t="shared" si="3"/>
        <v>2.820047281323877E-3</v>
      </c>
      <c r="N23" s="40">
        <f t="shared" si="4"/>
        <v>1.8015197373299152E-2</v>
      </c>
      <c r="O23" s="40">
        <f t="shared" si="5"/>
        <v>5.2007430176908613</v>
      </c>
      <c r="P23" s="4">
        <f t="shared" si="6"/>
        <v>20282.89776899436</v>
      </c>
      <c r="Q23" s="4">
        <f t="shared" si="7"/>
        <v>45037.993433247881</v>
      </c>
      <c r="R23" s="4">
        <f t="shared" si="8"/>
        <v>24755.09566425352</v>
      </c>
      <c r="S23" s="4">
        <f t="shared" si="9"/>
        <v>22915.602574947108</v>
      </c>
      <c r="T23">
        <f t="shared" si="10"/>
        <v>26907.378683284791</v>
      </c>
      <c r="U23" s="4">
        <f>((T23+H23)*(1+'Q1 Base'!$C$14)-C23*J23)/I23</f>
        <v>25198.449774491157</v>
      </c>
    </row>
    <row r="24" spans="1:21" x14ac:dyDescent="0.45">
      <c r="A24">
        <v>21</v>
      </c>
      <c r="B24">
        <v>52</v>
      </c>
      <c r="C24">
        <f>'Q1 Base'!$C$5</f>
        <v>2500000</v>
      </c>
      <c r="D24">
        <f>'Q1 Base'!$C$13</f>
        <v>1000</v>
      </c>
      <c r="E24" s="43">
        <f>'Q1 Base'!$C$12</f>
        <v>0.02</v>
      </c>
      <c r="F24" s="21">
        <f>'Q1 Base'!$C$4</f>
        <v>5000</v>
      </c>
      <c r="G24" s="21">
        <f t="shared" si="0"/>
        <v>100</v>
      </c>
      <c r="H24" s="21">
        <f t="shared" si="1"/>
        <v>3900</v>
      </c>
      <c r="I24">
        <f>1-'Q1 Base'!O27</f>
        <v>0.9967608</v>
      </c>
      <c r="J24">
        <f>'Q1 Base'!O27</f>
        <v>3.2391999999999998E-3</v>
      </c>
      <c r="K24" s="44">
        <f>1/(1+'Q1 Base'!$C$14)</f>
        <v>0.94562647754137108</v>
      </c>
      <c r="L24" s="40">
        <f t="shared" si="2"/>
        <v>0.94256340425531904</v>
      </c>
      <c r="M24" s="40">
        <f t="shared" si="3"/>
        <v>3.0630732860520088E-3</v>
      </c>
      <c r="N24" s="40">
        <f t="shared" si="4"/>
        <v>1.6116935146257023E-2</v>
      </c>
      <c r="O24" s="40">
        <f t="shared" si="5"/>
        <v>4.4555731514603716</v>
      </c>
      <c r="P24" s="4">
        <f t="shared" si="6"/>
        <v>17376.735290695447</v>
      </c>
      <c r="Q24" s="4">
        <f t="shared" si="7"/>
        <v>40292.337865642556</v>
      </c>
      <c r="R24" s="4">
        <f t="shared" si="8"/>
        <v>22915.602574947108</v>
      </c>
      <c r="S24" s="4">
        <f t="shared" si="9"/>
        <v>20325.337556419319</v>
      </c>
      <c r="T24">
        <f t="shared" si="10"/>
        <v>25198.449774491157</v>
      </c>
      <c r="U24" s="4">
        <f>((T24+H24)*(1+'Q1 Base'!$C$14)-C24*J24)/I24</f>
        <v>22747.29367018085</v>
      </c>
    </row>
    <row r="25" spans="1:21" x14ac:dyDescent="0.45">
      <c r="A25">
        <v>22</v>
      </c>
      <c r="B25">
        <v>53</v>
      </c>
      <c r="C25">
        <f>'Q1 Base'!$C$5</f>
        <v>2500000</v>
      </c>
      <c r="D25">
        <f>'Q1 Base'!$C$13</f>
        <v>1000</v>
      </c>
      <c r="E25" s="43">
        <f>'Q1 Base'!$C$12</f>
        <v>0.02</v>
      </c>
      <c r="F25" s="21">
        <f>'Q1 Base'!$C$4</f>
        <v>5000</v>
      </c>
      <c r="G25" s="21">
        <f t="shared" si="0"/>
        <v>100</v>
      </c>
      <c r="H25" s="21">
        <f t="shared" si="1"/>
        <v>3900</v>
      </c>
      <c r="I25">
        <f>1-'Q1 Base'!O28</f>
        <v>0.99656719999999999</v>
      </c>
      <c r="J25">
        <f>'Q1 Base'!O28</f>
        <v>3.4328000000000002E-3</v>
      </c>
      <c r="K25" s="44">
        <f>1/(1+'Q1 Base'!$C$14)</f>
        <v>0.94562647754137108</v>
      </c>
      <c r="L25" s="40">
        <f t="shared" si="2"/>
        <v>0.9423803309692671</v>
      </c>
      <c r="M25" s="40">
        <f t="shared" si="3"/>
        <v>3.2461465721040188E-3</v>
      </c>
      <c r="N25" s="40">
        <f t="shared" si="4"/>
        <v>1.3849319633323063E-2</v>
      </c>
      <c r="O25" s="40">
        <f t="shared" si="5"/>
        <v>3.6661439812534193</v>
      </c>
      <c r="P25" s="4">
        <f t="shared" si="6"/>
        <v>14297.961526888335</v>
      </c>
      <c r="Q25" s="4">
        <f t="shared" si="7"/>
        <v>34623.299083307655</v>
      </c>
      <c r="R25" s="4">
        <f t="shared" si="8"/>
        <v>20325.337556419319</v>
      </c>
      <c r="S25" s="4">
        <f t="shared" si="9"/>
        <v>17094.978106758317</v>
      </c>
      <c r="T25">
        <f t="shared" si="10"/>
        <v>22747.29367018085</v>
      </c>
      <c r="U25" s="4">
        <f>((T25+H25)*(1+'Q1 Base'!$C$14)-C25*J25)/I25</f>
        <v>19665.019133899103</v>
      </c>
    </row>
    <row r="26" spans="1:21" x14ac:dyDescent="0.45">
      <c r="A26">
        <v>23</v>
      </c>
      <c r="B26">
        <v>54</v>
      </c>
      <c r="C26">
        <f>'Q1 Base'!$C$5</f>
        <v>2500000</v>
      </c>
      <c r="D26">
        <f>'Q1 Base'!$C$13</f>
        <v>1000</v>
      </c>
      <c r="E26" s="43">
        <f>'Q1 Base'!$C$12</f>
        <v>0.02</v>
      </c>
      <c r="F26" s="21">
        <f>'Q1 Base'!$C$4</f>
        <v>5000</v>
      </c>
      <c r="G26" s="21">
        <f t="shared" si="0"/>
        <v>100</v>
      </c>
      <c r="H26" s="21">
        <f t="shared" si="1"/>
        <v>3900</v>
      </c>
      <c r="I26">
        <f>1-'Q1 Base'!O29</f>
        <v>0.99624979999999996</v>
      </c>
      <c r="J26">
        <f>'Q1 Base'!O29</f>
        <v>3.7502E-3</v>
      </c>
      <c r="K26" s="44">
        <f>1/(1+'Q1 Base'!$C$14)</f>
        <v>0.94562647754137108</v>
      </c>
      <c r="L26" s="40">
        <f t="shared" si="2"/>
        <v>0.94208018912529534</v>
      </c>
      <c r="M26" s="40">
        <f t="shared" si="3"/>
        <v>3.5462884160756499E-3</v>
      </c>
      <c r="N26" s="40">
        <f t="shared" si="4"/>
        <v>1.1251479591380431E-2</v>
      </c>
      <c r="O26" s="40">
        <f t="shared" si="5"/>
        <v>2.8291591978699389</v>
      </c>
      <c r="P26" s="4">
        <f t="shared" si="6"/>
        <v>11033.720871692762</v>
      </c>
      <c r="Q26" s="4">
        <f t="shared" si="7"/>
        <v>28128.698978451077</v>
      </c>
      <c r="R26" s="4">
        <f t="shared" si="8"/>
        <v>17094.978106758317</v>
      </c>
      <c r="S26" s="4">
        <f t="shared" si="9"/>
        <v>12874.973071911201</v>
      </c>
      <c r="T26">
        <f t="shared" si="10"/>
        <v>19665.019133899103</v>
      </c>
      <c r="U26" s="4">
        <f>((T26+H26)*(1+'Q1 Base'!$C$14)-C26*J26)/I26</f>
        <v>15603.022187907396</v>
      </c>
    </row>
    <row r="27" spans="1:21" x14ac:dyDescent="0.45">
      <c r="A27">
        <v>24</v>
      </c>
      <c r="B27">
        <v>55</v>
      </c>
      <c r="C27">
        <f>'Q1 Base'!$C$5</f>
        <v>2500000</v>
      </c>
      <c r="D27">
        <f>'Q1 Base'!$C$13</f>
        <v>1000</v>
      </c>
      <c r="E27" s="43">
        <f>'Q1 Base'!$C$12</f>
        <v>0.02</v>
      </c>
      <c r="F27" s="21">
        <f>'Q1 Base'!$C$4</f>
        <v>5000</v>
      </c>
      <c r="G27" s="21">
        <f t="shared" si="0"/>
        <v>100</v>
      </c>
      <c r="H27" s="21">
        <f t="shared" si="1"/>
        <v>3900</v>
      </c>
      <c r="I27">
        <f>1-'Q1 Base'!O30</f>
        <v>0.99576030000000004</v>
      </c>
      <c r="J27">
        <f>'Q1 Base'!O30</f>
        <v>4.2396999999999999E-3</v>
      </c>
      <c r="K27" s="44">
        <f>1/(1+'Q1 Base'!$C$14)</f>
        <v>0.94562647754137108</v>
      </c>
      <c r="L27" s="40">
        <f t="shared" si="2"/>
        <v>0.94161730496453899</v>
      </c>
      <c r="M27" s="40">
        <f t="shared" si="3"/>
        <v>4.0091725768321507E-3</v>
      </c>
      <c r="N27" s="40">
        <f t="shared" si="4"/>
        <v>8.1789122245091612E-3</v>
      </c>
      <c r="O27" s="40">
        <f t="shared" si="5"/>
        <v>1.9416173049645389</v>
      </c>
      <c r="P27" s="4">
        <f t="shared" si="6"/>
        <v>7572.3074893617013</v>
      </c>
      <c r="Q27" s="4">
        <f t="shared" si="7"/>
        <v>20447.280561272903</v>
      </c>
      <c r="R27" s="4">
        <f t="shared" si="8"/>
        <v>12874.973071911201</v>
      </c>
      <c r="S27" s="4">
        <f t="shared" si="9"/>
        <v>7170.6855791962171</v>
      </c>
      <c r="T27">
        <f t="shared" si="10"/>
        <v>15603.022187907396</v>
      </c>
      <c r="U27" s="4">
        <f>((T27+H27)*(1+'Q1 Base'!$C$14)-C27*J27)/I27</f>
        <v>10067.880757760749</v>
      </c>
    </row>
    <row r="28" spans="1:21" x14ac:dyDescent="0.45">
      <c r="A28">
        <v>25</v>
      </c>
      <c r="B28">
        <v>56</v>
      </c>
      <c r="C28">
        <f>'Q1 Base'!$C$5</f>
        <v>2500000</v>
      </c>
      <c r="D28">
        <f>'Q1 Base'!$C$13</f>
        <v>1000</v>
      </c>
      <c r="E28" s="43">
        <f>'Q1 Base'!$C$12</f>
        <v>0.02</v>
      </c>
      <c r="F28" s="21">
        <f>'Q1 Base'!$C$4</f>
        <v>5000</v>
      </c>
      <c r="G28" s="21">
        <f t="shared" si="0"/>
        <v>100</v>
      </c>
      <c r="H28" s="21">
        <f t="shared" si="1"/>
        <v>3900</v>
      </c>
      <c r="I28">
        <f>1-'Q1 Base'!O31</f>
        <v>0.99531709999999995</v>
      </c>
      <c r="J28">
        <f>'Q1 Base'!O31</f>
        <v>4.6829000000000003E-3</v>
      </c>
      <c r="K28" s="44">
        <f>1/(1+'Q1 Base'!$C$14)</f>
        <v>0.94562647754137108</v>
      </c>
      <c r="L28" s="40">
        <f t="shared" si="2"/>
        <v>0.9411982033096925</v>
      </c>
      <c r="M28" s="40">
        <f t="shared" si="3"/>
        <v>4.4282742316784866E-3</v>
      </c>
      <c r="N28" s="40">
        <f t="shared" si="4"/>
        <v>4.4282742316784866E-3</v>
      </c>
      <c r="O28" s="40">
        <f t="shared" si="5"/>
        <v>1</v>
      </c>
      <c r="P28" s="4">
        <f t="shared" si="6"/>
        <v>3900</v>
      </c>
      <c r="Q28" s="4">
        <f t="shared" si="7"/>
        <v>11070.685579196217</v>
      </c>
      <c r="R28" s="4">
        <f t="shared" si="8"/>
        <v>7170.6855791962171</v>
      </c>
      <c r="S28" s="4">
        <f t="shared" si="9"/>
        <v>0</v>
      </c>
      <c r="T28">
        <f t="shared" si="10"/>
        <v>10067.880757760749</v>
      </c>
      <c r="U28" s="4">
        <f>((T28+H28)*(1+'Q1 Base'!$C$14)-C28*J28)/I28</f>
        <v>3078.1987984854209</v>
      </c>
    </row>
    <row r="29" spans="1:21" x14ac:dyDescent="0.45">
      <c r="L29" s="12"/>
      <c r="Q2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D3C-4175-4551-84DB-5421ACE2FC4D}">
  <dimension ref="A2:C31"/>
  <sheetViews>
    <sheetView workbookViewId="0">
      <selection activeCell="D5" sqref="D5"/>
    </sheetView>
  </sheetViews>
  <sheetFormatPr defaultRowHeight="14.25" x14ac:dyDescent="0.45"/>
  <cols>
    <col min="2" max="2" width="11.86328125" customWidth="1"/>
    <col min="3" max="3" width="13" customWidth="1"/>
  </cols>
  <sheetData>
    <row r="2" spans="1:3" ht="42.75" x14ac:dyDescent="0.45">
      <c r="A2" s="18" t="s">
        <v>20</v>
      </c>
      <c r="B2" s="18" t="s">
        <v>22</v>
      </c>
      <c r="C2" s="18" t="s">
        <v>23</v>
      </c>
    </row>
    <row r="3" spans="1:3" x14ac:dyDescent="0.45">
      <c r="A3">
        <v>1</v>
      </c>
      <c r="B3" s="4">
        <f>'Q1'!S4</f>
        <v>1495.2645955315747</v>
      </c>
      <c r="C3" s="4">
        <f>'Q1'!U4</f>
        <v>2260.1867773919676</v>
      </c>
    </row>
    <row r="4" spans="1:3" x14ac:dyDescent="0.45">
      <c r="A4">
        <v>2</v>
      </c>
      <c r="B4" s="4">
        <f>'Q1'!S5</f>
        <v>3872.3361534457144</v>
      </c>
      <c r="C4" s="4">
        <f>'Q1'!U5</f>
        <v>4681.8358573456417</v>
      </c>
    </row>
    <row r="5" spans="1:3" x14ac:dyDescent="0.45">
      <c r="A5">
        <v>3</v>
      </c>
      <c r="B5" s="4">
        <f>'Q1'!S6</f>
        <v>6236.204512096876</v>
      </c>
      <c r="C5" s="4">
        <f>'Q1'!U6</f>
        <v>7092.9317184455249</v>
      </c>
    </row>
    <row r="6" spans="1:3" x14ac:dyDescent="0.45">
      <c r="A6">
        <v>4</v>
      </c>
      <c r="B6" s="4">
        <f>'Q1'!S7</f>
        <v>8608.5785984732211</v>
      </c>
      <c r="C6" s="4">
        <f>'Q1'!U7</f>
        <v>9515.3357331556999</v>
      </c>
    </row>
    <row r="7" spans="1:3" x14ac:dyDescent="0.45">
      <c r="A7">
        <v>5</v>
      </c>
      <c r="B7" s="4">
        <f>'Q1'!S8</f>
        <v>10801.849350262208</v>
      </c>
      <c r="C7" s="4">
        <f>'Q1'!U8</f>
        <v>11761.680471599775</v>
      </c>
    </row>
    <row r="8" spans="1:3" x14ac:dyDescent="0.45">
      <c r="A8">
        <v>6</v>
      </c>
      <c r="B8" s="4">
        <f>'Q1'!S9</f>
        <v>13134.199801970128</v>
      </c>
      <c r="C8" s="4">
        <f>'Q1'!U9</f>
        <v>14150.207044612152</v>
      </c>
    </row>
    <row r="9" spans="1:3" x14ac:dyDescent="0.45">
      <c r="A9">
        <v>7</v>
      </c>
      <c r="B9" s="4">
        <f>'Q1'!S10</f>
        <v>15459.310007201813</v>
      </c>
      <c r="C9" s="4">
        <f>'Q1'!U10</f>
        <v>16534.843422199712</v>
      </c>
    </row>
    <row r="10" spans="1:3" x14ac:dyDescent="0.45">
      <c r="A10">
        <v>8</v>
      </c>
      <c r="B10" s="4">
        <f>'Q1'!S11</f>
        <v>17648.547320047219</v>
      </c>
      <c r="C10" s="4">
        <f>'Q1'!U11</f>
        <v>18787.219259605925</v>
      </c>
    </row>
    <row r="11" spans="1:3" x14ac:dyDescent="0.45">
      <c r="A11">
        <v>9</v>
      </c>
      <c r="B11" s="4">
        <f>'Q1'!S12</f>
        <v>19689.184520252638</v>
      </c>
      <c r="C11" s="4">
        <f>'Q1'!U12</f>
        <v>20894.836196409822</v>
      </c>
    </row>
    <row r="12" spans="1:3" x14ac:dyDescent="0.45">
      <c r="A12">
        <v>10</v>
      </c>
      <c r="B12" s="4">
        <f>'Q1'!S13</f>
        <v>21434.674847088063</v>
      </c>
      <c r="C12" s="4">
        <f>'Q1'!U13</f>
        <v>22711.460060879625</v>
      </c>
    </row>
    <row r="13" spans="1:3" x14ac:dyDescent="0.45">
      <c r="A13">
        <v>11</v>
      </c>
      <c r="B13" s="4">
        <f>'Q1'!S14</f>
        <v>23099.846662261072</v>
      </c>
      <c r="C13" s="4">
        <f>'Q1'!U14</f>
        <v>24452.062368133673</v>
      </c>
    </row>
    <row r="14" spans="1:3" x14ac:dyDescent="0.45">
      <c r="A14">
        <v>12</v>
      </c>
      <c r="B14" s="4">
        <f>'Q1'!S15</f>
        <v>24443.161048365269</v>
      </c>
      <c r="C14" s="4">
        <f>'Q1'!U15</f>
        <v>25875.506707885783</v>
      </c>
    </row>
    <row r="15" spans="1:3" x14ac:dyDescent="0.45">
      <c r="A15">
        <v>13</v>
      </c>
      <c r="B15" s="4">
        <f>'Q1'!S16</f>
        <v>25601.620631654157</v>
      </c>
      <c r="C15" s="4">
        <f>'Q1'!U16</f>
        <v>27119.006780968477</v>
      </c>
    </row>
    <row r="16" spans="1:3" x14ac:dyDescent="0.45">
      <c r="A16">
        <v>14</v>
      </c>
      <c r="B16" s="4">
        <f>'Q1'!S17</f>
        <v>26623.701691883238</v>
      </c>
      <c r="C16" s="4">
        <f>'Q1'!U17</f>
        <v>28231.310656802856</v>
      </c>
    </row>
    <row r="17" spans="1:3" x14ac:dyDescent="0.45">
      <c r="A17">
        <v>15</v>
      </c>
      <c r="B17" s="4">
        <f>'Q1'!S18</f>
        <v>27378.077889543609</v>
      </c>
      <c r="C17" s="4">
        <f>'Q1'!U18</f>
        <v>29081.500553666396</v>
      </c>
    </row>
    <row r="18" spans="1:3" x14ac:dyDescent="0.45">
      <c r="A18">
        <v>16</v>
      </c>
      <c r="B18" s="4">
        <f>'Q1'!S19</f>
        <v>27345.944328768725</v>
      </c>
      <c r="C18" s="4">
        <f>'Q1'!U19</f>
        <v>29151.498348073714</v>
      </c>
    </row>
    <row r="19" spans="1:3" x14ac:dyDescent="0.45">
      <c r="A19">
        <v>17</v>
      </c>
      <c r="B19" s="4">
        <f>'Q1'!S20</f>
        <v>27189.939275951248</v>
      </c>
      <c r="C19" s="4">
        <f>'Q1'!U20</f>
        <v>29103.842477463619</v>
      </c>
    </row>
    <row r="20" spans="1:3" x14ac:dyDescent="0.45">
      <c r="A20">
        <v>18</v>
      </c>
      <c r="B20" s="4">
        <f>'Q1'!S21</f>
        <v>26345.431164394264</v>
      </c>
      <c r="C20" s="4">
        <f>'Q1'!U21</f>
        <v>28374.74260270876</v>
      </c>
    </row>
    <row r="21" spans="1:3" x14ac:dyDescent="0.45">
      <c r="A21">
        <v>19</v>
      </c>
      <c r="B21" s="4">
        <f>'Q1'!S22</f>
        <v>24755.09566425352</v>
      </c>
      <c r="C21" s="4">
        <f>'Q1'!U22</f>
        <v>26907.378683284791</v>
      </c>
    </row>
    <row r="22" spans="1:3" x14ac:dyDescent="0.45">
      <c r="A22">
        <v>20</v>
      </c>
      <c r="B22" s="4">
        <f>'Q1'!S23</f>
        <v>22915.602574947108</v>
      </c>
      <c r="C22" s="4">
        <f>'Q1'!U23</f>
        <v>25198.449774491157</v>
      </c>
    </row>
    <row r="23" spans="1:3" x14ac:dyDescent="0.45">
      <c r="A23">
        <v>21</v>
      </c>
      <c r="B23" s="4">
        <f>'Q1'!S24</f>
        <v>20325.337556419319</v>
      </c>
      <c r="C23" s="4">
        <f>'Q1'!U24</f>
        <v>22747.29367018085</v>
      </c>
    </row>
    <row r="24" spans="1:3" x14ac:dyDescent="0.45">
      <c r="A24">
        <v>22</v>
      </c>
      <c r="B24" s="4">
        <f>'Q1'!S25</f>
        <v>17094.978106758317</v>
      </c>
      <c r="C24" s="4">
        <f>'Q1'!U25</f>
        <v>19665.019133899103</v>
      </c>
    </row>
    <row r="25" spans="1:3" x14ac:dyDescent="0.45">
      <c r="A25">
        <v>23</v>
      </c>
      <c r="B25" s="4">
        <f>'Q1'!S26</f>
        <v>12874.973071911201</v>
      </c>
      <c r="C25" s="4">
        <f>'Q1'!U26</f>
        <v>15603.022187907396</v>
      </c>
    </row>
    <row r="26" spans="1:3" x14ac:dyDescent="0.45">
      <c r="A26">
        <v>24</v>
      </c>
      <c r="B26" s="4">
        <f>'Q1'!S27</f>
        <v>7170.6855791962171</v>
      </c>
      <c r="C26" s="4">
        <f>'Q1'!U27</f>
        <v>10067.880757760749</v>
      </c>
    </row>
    <row r="27" spans="1:3" x14ac:dyDescent="0.45">
      <c r="A27">
        <v>25</v>
      </c>
      <c r="B27" s="4">
        <f>'Q1'!S28</f>
        <v>0</v>
      </c>
      <c r="C27" s="4">
        <f>'Q1'!U28</f>
        <v>3078.1987984854209</v>
      </c>
    </row>
    <row r="28" spans="1:3" x14ac:dyDescent="0.45">
      <c r="B28" s="4"/>
      <c r="C28" s="4"/>
    </row>
    <row r="29" spans="1:3" x14ac:dyDescent="0.45">
      <c r="B29" s="4"/>
      <c r="C29" s="4"/>
    </row>
    <row r="30" spans="1:3" x14ac:dyDescent="0.45">
      <c r="B30" s="4"/>
      <c r="C30" s="4"/>
    </row>
    <row r="31" spans="1:3" x14ac:dyDescent="0.45">
      <c r="B31" s="4"/>
      <c r="C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0605-BDEE-4D1E-A107-CAF2A7A46EC8}">
  <dimension ref="B1:I27"/>
  <sheetViews>
    <sheetView workbookViewId="0">
      <selection activeCell="H8" sqref="H8"/>
    </sheetView>
  </sheetViews>
  <sheetFormatPr defaultRowHeight="14.25" x14ac:dyDescent="0.45"/>
  <cols>
    <col min="3" max="6" width="13.73046875" customWidth="1"/>
    <col min="7" max="7" width="33.3984375" bestFit="1" customWidth="1"/>
    <col min="16" max="16" width="13.265625" customWidth="1"/>
    <col min="17" max="17" width="14.3984375" customWidth="1"/>
    <col min="18" max="18" width="17.3984375" customWidth="1"/>
    <col min="19" max="19" width="16.1328125" customWidth="1"/>
  </cols>
  <sheetData>
    <row r="1" spans="2:9" ht="14.65" thickBot="1" x14ac:dyDescent="0.5"/>
    <row r="2" spans="2:9" ht="14.65" thickBot="1" x14ac:dyDescent="0.5">
      <c r="B2" s="50" t="s">
        <v>20</v>
      </c>
      <c r="C2" s="51"/>
      <c r="G2" s="11" t="s">
        <v>24</v>
      </c>
    </row>
    <row r="3" spans="2:9" ht="47.25" customHeight="1" thickBot="1" x14ac:dyDescent="0.5">
      <c r="B3" s="30" t="s">
        <v>25</v>
      </c>
      <c r="C3" s="31" t="s">
        <v>26</v>
      </c>
      <c r="D3" s="33" t="s">
        <v>27</v>
      </c>
      <c r="E3" s="33" t="s">
        <v>28</v>
      </c>
      <c r="F3" s="15"/>
    </row>
    <row r="4" spans="2:9" x14ac:dyDescent="0.45">
      <c r="B4" s="24">
        <v>0</v>
      </c>
      <c r="C4" s="25">
        <v>1</v>
      </c>
      <c r="D4" s="34">
        <v>4.0008002133969133E-4</v>
      </c>
      <c r="E4" s="34">
        <v>5.0412705069077443E-4</v>
      </c>
      <c r="F4" s="28"/>
      <c r="G4" t="s">
        <v>29</v>
      </c>
      <c r="H4">
        <v>30</v>
      </c>
      <c r="I4" t="s">
        <v>30</v>
      </c>
    </row>
    <row r="5" spans="2:9" ht="14.25" customHeight="1" x14ac:dyDescent="0.45">
      <c r="B5" s="24">
        <v>1</v>
      </c>
      <c r="C5" s="25">
        <v>2</v>
      </c>
      <c r="D5" s="34">
        <v>4.0008002133969133E-4</v>
      </c>
      <c r="E5" s="34">
        <v>5.4114639330157886E-4</v>
      </c>
      <c r="F5" s="28"/>
      <c r="G5" t="s">
        <v>31</v>
      </c>
      <c r="H5">
        <v>20</v>
      </c>
      <c r="I5" t="s">
        <v>32</v>
      </c>
    </row>
    <row r="6" spans="2:9" x14ac:dyDescent="0.45">
      <c r="B6" s="24">
        <v>2</v>
      </c>
      <c r="C6" s="25">
        <v>3</v>
      </c>
      <c r="D6" s="34">
        <v>4.5010128038520567E-4</v>
      </c>
      <c r="E6" s="34">
        <v>5.7516537589712461E-4</v>
      </c>
      <c r="F6" s="28"/>
      <c r="G6" t="s">
        <v>33</v>
      </c>
      <c r="H6" s="7">
        <v>15000</v>
      </c>
    </row>
    <row r="7" spans="2:9" x14ac:dyDescent="0.45">
      <c r="B7" s="24">
        <v>3</v>
      </c>
      <c r="C7" s="25">
        <v>4</v>
      </c>
      <c r="D7" s="34">
        <v>4.5010128038520567E-4</v>
      </c>
      <c r="E7" s="34">
        <v>6.1218734844200988E-4</v>
      </c>
      <c r="F7" s="28"/>
      <c r="G7" t="s">
        <v>34</v>
      </c>
      <c r="H7" s="7">
        <v>2000</v>
      </c>
      <c r="I7" t="s">
        <v>35</v>
      </c>
    </row>
    <row r="8" spans="2:9" x14ac:dyDescent="0.45">
      <c r="B8" s="24">
        <v>4</v>
      </c>
      <c r="C8" s="25">
        <v>5</v>
      </c>
      <c r="D8" s="34">
        <v>5.0012504168224286E-4</v>
      </c>
      <c r="E8" s="34">
        <v>6.5321329736052025E-4</v>
      </c>
      <c r="F8" s="28"/>
      <c r="G8" t="s">
        <v>36</v>
      </c>
      <c r="H8" s="1">
        <v>0.95</v>
      </c>
    </row>
    <row r="9" spans="2:9" x14ac:dyDescent="0.45">
      <c r="B9" s="24">
        <v>5</v>
      </c>
      <c r="C9" s="25">
        <v>6</v>
      </c>
      <c r="D9" s="34">
        <v>5.501513054812704E-4</v>
      </c>
      <c r="E9" s="34">
        <v>6.9624232044323935E-4</v>
      </c>
      <c r="F9" s="28"/>
      <c r="G9" t="s">
        <v>37</v>
      </c>
      <c r="H9" s="1">
        <v>0.01</v>
      </c>
    </row>
    <row r="10" spans="2:9" x14ac:dyDescent="0.45">
      <c r="B10" s="24">
        <v>6</v>
      </c>
      <c r="C10" s="25">
        <v>7</v>
      </c>
      <c r="D10" s="34">
        <v>6.0018007203246058E-4</v>
      </c>
      <c r="E10" s="34">
        <v>7.4727914352218426E-4</v>
      </c>
      <c r="F10" s="28"/>
      <c r="G10" t="s">
        <v>38</v>
      </c>
      <c r="H10" s="6">
        <v>5.0000000000000001E-3</v>
      </c>
      <c r="I10" t="s">
        <v>39</v>
      </c>
    </row>
    <row r="11" spans="2:9" x14ac:dyDescent="0.45">
      <c r="B11" s="24">
        <v>7</v>
      </c>
      <c r="C11" s="25">
        <v>8</v>
      </c>
      <c r="D11" s="34">
        <v>7.0024511439342589E-4</v>
      </c>
      <c r="E11" s="34">
        <v>8.0232177405333298E-4</v>
      </c>
      <c r="F11" s="28"/>
    </row>
    <row r="12" spans="2:9" x14ac:dyDescent="0.45">
      <c r="B12" s="24">
        <v>8</v>
      </c>
      <c r="C12" s="25">
        <v>9</v>
      </c>
      <c r="D12" s="34">
        <v>9.0040524316415511E-4</v>
      </c>
      <c r="E12" s="34">
        <v>8.5436486574504242E-4</v>
      </c>
      <c r="F12" s="28"/>
    </row>
    <row r="13" spans="2:9" x14ac:dyDescent="0.45">
      <c r="B13" s="24">
        <v>9</v>
      </c>
      <c r="C13" s="25">
        <v>10</v>
      </c>
      <c r="D13" s="34">
        <v>1.0005003335835344E-3</v>
      </c>
      <c r="E13" s="34">
        <v>9.014061444758151E-4</v>
      </c>
      <c r="F13" s="28"/>
    </row>
    <row r="14" spans="2:9" x14ac:dyDescent="0.45">
      <c r="B14" s="24">
        <v>10</v>
      </c>
      <c r="C14" s="25">
        <v>11</v>
      </c>
      <c r="D14" s="34">
        <v>1.0005003335835344E-3</v>
      </c>
      <c r="E14" s="34">
        <v>9.4945058559301853E-4</v>
      </c>
      <c r="F14" s="28"/>
    </row>
    <row r="15" spans="2:9" x14ac:dyDescent="0.45">
      <c r="B15" s="24">
        <v>11</v>
      </c>
      <c r="C15" s="25">
        <v>12</v>
      </c>
      <c r="D15" s="34">
        <v>1.1006054440330039E-3</v>
      </c>
      <c r="E15" s="34">
        <v>1.007507365139709E-3</v>
      </c>
      <c r="F15" s="28"/>
      <c r="G15" s="11" t="s">
        <v>40</v>
      </c>
    </row>
    <row r="16" spans="2:9" x14ac:dyDescent="0.45">
      <c r="B16" s="24">
        <v>12</v>
      </c>
      <c r="C16" s="25">
        <v>13</v>
      </c>
      <c r="D16" s="34">
        <v>1.2007205765188771E-3</v>
      </c>
      <c r="E16" s="34">
        <v>1.0835868682570894E-3</v>
      </c>
      <c r="F16" s="28"/>
    </row>
    <row r="17" spans="2:9" x14ac:dyDescent="0.45">
      <c r="B17" s="24">
        <v>13</v>
      </c>
      <c r="C17" s="25">
        <v>14</v>
      </c>
      <c r="D17" s="34">
        <v>1.2007205765188771E-3</v>
      </c>
      <c r="E17" s="34">
        <v>1.1796955672696637E-3</v>
      </c>
      <c r="F17" s="28"/>
      <c r="G17" t="s">
        <v>41</v>
      </c>
      <c r="H17" s="1">
        <v>0.04</v>
      </c>
      <c r="I17" t="s">
        <v>42</v>
      </c>
    </row>
    <row r="18" spans="2:9" x14ac:dyDescent="0.45">
      <c r="B18" s="24">
        <v>14</v>
      </c>
      <c r="C18" s="25">
        <v>15</v>
      </c>
      <c r="D18" s="34">
        <v>1.3008457330480696E-3</v>
      </c>
      <c r="E18" s="34">
        <v>1.3008457330480696E-3</v>
      </c>
      <c r="F18" s="28"/>
      <c r="G18" t="s">
        <v>43</v>
      </c>
      <c r="H18" s="1">
        <v>0.01</v>
      </c>
      <c r="I18" t="s">
        <v>42</v>
      </c>
    </row>
    <row r="19" spans="2:9" x14ac:dyDescent="0.45">
      <c r="B19" s="24">
        <v>15</v>
      </c>
      <c r="C19" s="25">
        <v>16</v>
      </c>
      <c r="D19" s="34">
        <v>1.4009809156281003E-3</v>
      </c>
      <c r="E19" s="34">
        <v>1.4480479155111296E-3</v>
      </c>
      <c r="F19" s="28"/>
      <c r="G19" t="s">
        <v>44</v>
      </c>
      <c r="H19" s="1">
        <v>7.0000000000000007E-2</v>
      </c>
      <c r="I19" t="s">
        <v>42</v>
      </c>
    </row>
    <row r="20" spans="2:9" x14ac:dyDescent="0.45">
      <c r="B20" s="24">
        <v>16</v>
      </c>
      <c r="C20" s="25">
        <v>17</v>
      </c>
      <c r="D20" s="34">
        <v>1.5011261262670914E-3</v>
      </c>
      <c r="E20" s="34">
        <v>1.6153039011865468E-3</v>
      </c>
      <c r="F20" s="28"/>
    </row>
    <row r="21" spans="2:9" x14ac:dyDescent="0.45">
      <c r="B21" s="24">
        <v>17</v>
      </c>
      <c r="C21" s="25">
        <v>18</v>
      </c>
      <c r="D21" s="34">
        <v>1.6012813669738792E-3</v>
      </c>
      <c r="E21" s="34">
        <v>1.8066309754025064E-3</v>
      </c>
      <c r="F21" s="28"/>
      <c r="G21" t="s">
        <v>45</v>
      </c>
    </row>
    <row r="22" spans="2:9" x14ac:dyDescent="0.45">
      <c r="B22" s="24">
        <v>18</v>
      </c>
      <c r="C22" s="25">
        <v>19</v>
      </c>
      <c r="D22" s="34">
        <v>1.8016219466282088E-3</v>
      </c>
      <c r="E22" s="34">
        <v>2.0310612091007279E-3</v>
      </c>
      <c r="F22" s="28"/>
      <c r="G22" t="s">
        <v>46</v>
      </c>
    </row>
    <row r="23" spans="2:9" x14ac:dyDescent="0.45">
      <c r="B23" s="24">
        <v>19</v>
      </c>
      <c r="C23" s="25">
        <v>20</v>
      </c>
      <c r="D23" s="34">
        <v>2.0020026706730793E-3</v>
      </c>
      <c r="E23" s="34">
        <v>2.2916237651302452E-3</v>
      </c>
      <c r="F23" s="28"/>
    </row>
    <row r="24" spans="2:9" ht="14.65" thickBot="1" x14ac:dyDescent="0.5">
      <c r="B24" s="26">
        <v>20</v>
      </c>
      <c r="C24" s="27"/>
      <c r="D24" s="35"/>
      <c r="E24" s="35"/>
      <c r="G24" t="s">
        <v>47</v>
      </c>
      <c r="H24" s="7">
        <v>75</v>
      </c>
      <c r="I24" t="s">
        <v>48</v>
      </c>
    </row>
    <row r="25" spans="2:9" x14ac:dyDescent="0.45">
      <c r="G25" t="s">
        <v>49</v>
      </c>
      <c r="H25" s="7">
        <v>25</v>
      </c>
      <c r="I25" t="s">
        <v>50</v>
      </c>
    </row>
    <row r="26" spans="2:9" x14ac:dyDescent="0.45">
      <c r="G26" t="s">
        <v>51</v>
      </c>
      <c r="H26" s="1">
        <v>0.5</v>
      </c>
      <c r="I26" t="s">
        <v>52</v>
      </c>
    </row>
    <row r="27" spans="2:9" x14ac:dyDescent="0.45">
      <c r="G27" t="s">
        <v>53</v>
      </c>
      <c r="H27" s="1">
        <v>0.01</v>
      </c>
      <c r="I27" t="s">
        <v>54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1385-B543-431A-AE13-82000207CC70}">
  <dimension ref="B1:K23"/>
  <sheetViews>
    <sheetView topLeftCell="B1" workbookViewId="0">
      <selection activeCell="D4" sqref="D4"/>
    </sheetView>
  </sheetViews>
  <sheetFormatPr defaultRowHeight="14.25" x14ac:dyDescent="0.45"/>
  <cols>
    <col min="3" max="3" width="10.59765625" bestFit="1" customWidth="1"/>
    <col min="4" max="5" width="9.59765625" bestFit="1" customWidth="1"/>
    <col min="6" max="6" width="9.265625" bestFit="1" customWidth="1"/>
    <col min="7" max="7" width="12.33203125" customWidth="1"/>
    <col min="8" max="8" width="16.73046875" customWidth="1"/>
    <col min="9" max="9" width="12.796875" customWidth="1"/>
    <col min="10" max="10" width="10.59765625" bestFit="1" customWidth="1"/>
    <col min="11" max="11" width="12.6640625" customWidth="1"/>
  </cols>
  <sheetData>
    <row r="1" spans="2:11" s="12" customFormat="1" x14ac:dyDescent="0.45"/>
    <row r="2" spans="2:11" x14ac:dyDescent="0.45">
      <c r="B2" s="11" t="s">
        <v>55</v>
      </c>
      <c r="D2" s="8"/>
      <c r="E2" s="3"/>
      <c r="F2" s="3"/>
      <c r="G2" s="3"/>
      <c r="H2" s="3"/>
      <c r="I2" s="14"/>
    </row>
    <row r="3" spans="2:11" s="15" customFormat="1" ht="42.75" x14ac:dyDescent="0.45">
      <c r="B3" s="15" t="s">
        <v>20</v>
      </c>
      <c r="C3" s="15" t="s">
        <v>76</v>
      </c>
      <c r="D3" s="15" t="s">
        <v>91</v>
      </c>
      <c r="E3" s="15" t="s">
        <v>92</v>
      </c>
      <c r="F3" s="15" t="s">
        <v>93</v>
      </c>
      <c r="G3" s="15" t="s">
        <v>98</v>
      </c>
      <c r="H3" s="15" t="s">
        <v>94</v>
      </c>
      <c r="I3" s="15" t="s">
        <v>95</v>
      </c>
      <c r="J3" s="15" t="s">
        <v>96</v>
      </c>
      <c r="K3" s="15" t="s">
        <v>97</v>
      </c>
    </row>
    <row r="4" spans="2:11" x14ac:dyDescent="0.45">
      <c r="B4">
        <v>1</v>
      </c>
      <c r="C4" s="10">
        <f>'Q2 Base'!$H$7</f>
        <v>2000</v>
      </c>
      <c r="D4" s="45">
        <f>'Q2 Base'!$H$8</f>
        <v>0.95</v>
      </c>
      <c r="E4" s="45">
        <f>1-'Q2 Base'!$H$9</f>
        <v>0.99</v>
      </c>
      <c r="F4" s="10">
        <f t="shared" ref="F4:F23" si="0">C4*D4*E4</f>
        <v>1881</v>
      </c>
      <c r="G4" s="10">
        <f>F4</f>
        <v>1881</v>
      </c>
      <c r="H4" s="46">
        <f>G4*'Q2 Base'!$H$17</f>
        <v>75.239999999999995</v>
      </c>
      <c r="I4" s="10">
        <f>G4+H4</f>
        <v>1956.24</v>
      </c>
      <c r="J4" s="10">
        <f>I4*'Q2 Base'!$H$10</f>
        <v>9.7812000000000001</v>
      </c>
      <c r="K4" s="4">
        <f>I4-J4</f>
        <v>1946.4588000000001</v>
      </c>
    </row>
    <row r="5" spans="2:11" x14ac:dyDescent="0.45">
      <c r="B5">
        <v>2</v>
      </c>
      <c r="C5" s="10">
        <f>'Q2 Base'!$H$7</f>
        <v>2000</v>
      </c>
      <c r="D5" s="45">
        <f>'Q2 Base'!$H$8</f>
        <v>0.95</v>
      </c>
      <c r="E5" s="45">
        <f>1-'Q2 Base'!$H$9</f>
        <v>0.99</v>
      </c>
      <c r="F5" s="10">
        <f t="shared" si="0"/>
        <v>1881</v>
      </c>
      <c r="G5" s="10">
        <f>K4+F5</f>
        <v>3827.4588000000003</v>
      </c>
      <c r="H5" s="46">
        <f>G5*'Q2 Base'!$H$17</f>
        <v>153.09835200000001</v>
      </c>
      <c r="I5" s="10">
        <f t="shared" ref="I5:I23" si="1">G5+H5</f>
        <v>3980.5571520000003</v>
      </c>
      <c r="J5" s="10">
        <f>I5*'Q2 Base'!$H$10</f>
        <v>19.90278576</v>
      </c>
      <c r="K5" s="4">
        <f t="shared" ref="K5:K23" si="2">I5-J5</f>
        <v>3960.6543662400004</v>
      </c>
    </row>
    <row r="6" spans="2:11" x14ac:dyDescent="0.45">
      <c r="B6">
        <v>3</v>
      </c>
      <c r="C6" s="10">
        <f>'Q2 Base'!$H$7</f>
        <v>2000</v>
      </c>
      <c r="D6" s="45">
        <f>'Q2 Base'!$H$8</f>
        <v>0.95</v>
      </c>
      <c r="E6" s="45">
        <f>1-'Q2 Base'!$H$9</f>
        <v>0.99</v>
      </c>
      <c r="F6" s="10">
        <f t="shared" si="0"/>
        <v>1881</v>
      </c>
      <c r="G6" s="10">
        <f t="shared" ref="G6:G23" si="3">K5+F6</f>
        <v>5841.6543662399999</v>
      </c>
      <c r="H6" s="46">
        <f>G6*'Q2 Base'!$H$17</f>
        <v>233.66617464960001</v>
      </c>
      <c r="I6" s="10">
        <f t="shared" si="1"/>
        <v>6075.3205408896001</v>
      </c>
      <c r="J6" s="10">
        <f>I6*'Q2 Base'!$H$10</f>
        <v>30.376602704448</v>
      </c>
      <c r="K6" s="4">
        <f t="shared" si="2"/>
        <v>6044.9439381851525</v>
      </c>
    </row>
    <row r="7" spans="2:11" x14ac:dyDescent="0.45">
      <c r="B7">
        <v>4</v>
      </c>
      <c r="C7" s="10">
        <f>'Q2 Base'!$H$7</f>
        <v>2000</v>
      </c>
      <c r="D7" s="45">
        <f>'Q2 Base'!$H$8</f>
        <v>0.95</v>
      </c>
      <c r="E7" s="45">
        <f>1-'Q2 Base'!$H$9</f>
        <v>0.99</v>
      </c>
      <c r="F7" s="10">
        <f t="shared" si="0"/>
        <v>1881</v>
      </c>
      <c r="G7" s="10">
        <f t="shared" si="3"/>
        <v>7925.9439381851525</v>
      </c>
      <c r="H7" s="46">
        <f>G7*'Q2 Base'!$H$17</f>
        <v>317.03775752740609</v>
      </c>
      <c r="I7" s="10">
        <f t="shared" si="1"/>
        <v>8242.9816957125586</v>
      </c>
      <c r="J7" s="10">
        <f>I7*'Q2 Base'!$H$10</f>
        <v>41.214908478562791</v>
      </c>
      <c r="K7" s="4">
        <f t="shared" si="2"/>
        <v>8201.7667872339953</v>
      </c>
    </row>
    <row r="8" spans="2:11" x14ac:dyDescent="0.45">
      <c r="B8">
        <v>5</v>
      </c>
      <c r="C8" s="10">
        <f>'Q2 Base'!$H$7</f>
        <v>2000</v>
      </c>
      <c r="D8" s="45">
        <f>'Q2 Base'!$H$8</f>
        <v>0.95</v>
      </c>
      <c r="E8" s="45">
        <f>1-'Q2 Base'!$H$9</f>
        <v>0.99</v>
      </c>
      <c r="F8" s="10">
        <f t="shared" si="0"/>
        <v>1881</v>
      </c>
      <c r="G8" s="10">
        <f t="shared" si="3"/>
        <v>10082.766787233995</v>
      </c>
      <c r="H8" s="46">
        <f>G8*'Q2 Base'!$H$17</f>
        <v>403.31067148935983</v>
      </c>
      <c r="I8" s="10">
        <f t="shared" si="1"/>
        <v>10486.077458723355</v>
      </c>
      <c r="J8" s="10">
        <f>I8*'Q2 Base'!$H$10</f>
        <v>52.430387293616775</v>
      </c>
      <c r="K8" s="4">
        <f t="shared" si="2"/>
        <v>10433.647071429739</v>
      </c>
    </row>
    <row r="9" spans="2:11" x14ac:dyDescent="0.45">
      <c r="B9">
        <v>6</v>
      </c>
      <c r="C9" s="10">
        <f>'Q2 Base'!$H$7</f>
        <v>2000</v>
      </c>
      <c r="D9" s="45">
        <f>'Q2 Base'!$H$8</f>
        <v>0.95</v>
      </c>
      <c r="E9" s="45">
        <f>1-'Q2 Base'!$H$9</f>
        <v>0.99</v>
      </c>
      <c r="F9" s="10">
        <f t="shared" si="0"/>
        <v>1881</v>
      </c>
      <c r="G9" s="10">
        <f t="shared" si="3"/>
        <v>12314.647071429739</v>
      </c>
      <c r="H9" s="46">
        <f>G9*'Q2 Base'!$H$17</f>
        <v>492.58588285718957</v>
      </c>
      <c r="I9" s="10">
        <f t="shared" si="1"/>
        <v>12807.232954286928</v>
      </c>
      <c r="J9" s="10">
        <f>I9*'Q2 Base'!$H$10</f>
        <v>64.036164771434642</v>
      </c>
      <c r="K9" s="4">
        <f t="shared" si="2"/>
        <v>12743.196789515494</v>
      </c>
    </row>
    <row r="10" spans="2:11" x14ac:dyDescent="0.45">
      <c r="B10">
        <v>7</v>
      </c>
      <c r="C10" s="10">
        <f>'Q2 Base'!$H$7</f>
        <v>2000</v>
      </c>
      <c r="D10" s="45">
        <f>'Q2 Base'!$H$8</f>
        <v>0.95</v>
      </c>
      <c r="E10" s="45">
        <f>1-'Q2 Base'!$H$9</f>
        <v>0.99</v>
      </c>
      <c r="F10" s="10">
        <f t="shared" si="0"/>
        <v>1881</v>
      </c>
      <c r="G10" s="10">
        <f t="shared" si="3"/>
        <v>14624.196789515494</v>
      </c>
      <c r="H10" s="46">
        <f>G10*'Q2 Base'!$H$17</f>
        <v>584.96787158061977</v>
      </c>
      <c r="I10" s="10">
        <f t="shared" si="1"/>
        <v>15209.164661096114</v>
      </c>
      <c r="J10" s="10">
        <f>I10*'Q2 Base'!$H$10</f>
        <v>76.045823305480567</v>
      </c>
      <c r="K10" s="4">
        <f t="shared" si="2"/>
        <v>15133.118837790633</v>
      </c>
    </row>
    <row r="11" spans="2:11" x14ac:dyDescent="0.45">
      <c r="B11">
        <v>8</v>
      </c>
      <c r="C11" s="10">
        <f>'Q2 Base'!$H$7</f>
        <v>2000</v>
      </c>
      <c r="D11" s="45">
        <f>'Q2 Base'!$H$8</f>
        <v>0.95</v>
      </c>
      <c r="E11" s="45">
        <f>1-'Q2 Base'!$H$9</f>
        <v>0.99</v>
      </c>
      <c r="F11" s="10">
        <f t="shared" si="0"/>
        <v>1881</v>
      </c>
      <c r="G11" s="10">
        <f t="shared" si="3"/>
        <v>17014.118837790633</v>
      </c>
      <c r="H11" s="46">
        <f>G11*'Q2 Base'!$H$17</f>
        <v>680.56475351162533</v>
      </c>
      <c r="I11" s="10">
        <f t="shared" si="1"/>
        <v>17694.683591302259</v>
      </c>
      <c r="J11" s="10">
        <f>I11*'Q2 Base'!$H$10</f>
        <v>88.473417956511298</v>
      </c>
      <c r="K11" s="4">
        <f t="shared" si="2"/>
        <v>17606.210173345746</v>
      </c>
    </row>
    <row r="12" spans="2:11" x14ac:dyDescent="0.45">
      <c r="B12">
        <v>9</v>
      </c>
      <c r="C12" s="10">
        <f>'Q2 Base'!$H$7</f>
        <v>2000</v>
      </c>
      <c r="D12" s="45">
        <f>'Q2 Base'!$H$8</f>
        <v>0.95</v>
      </c>
      <c r="E12" s="45">
        <f>1-'Q2 Base'!$H$9</f>
        <v>0.99</v>
      </c>
      <c r="F12" s="10">
        <f t="shared" si="0"/>
        <v>1881</v>
      </c>
      <c r="G12" s="10">
        <f t="shared" si="3"/>
        <v>19487.210173345746</v>
      </c>
      <c r="H12" s="46">
        <f>G12*'Q2 Base'!$H$17</f>
        <v>779.48840693382988</v>
      </c>
      <c r="I12" s="10">
        <f t="shared" si="1"/>
        <v>20266.698580279575</v>
      </c>
      <c r="J12" s="10">
        <f>I12*'Q2 Base'!$H$10</f>
        <v>101.33349290139788</v>
      </c>
      <c r="K12" s="4">
        <f t="shared" si="2"/>
        <v>20165.365087378177</v>
      </c>
    </row>
    <row r="13" spans="2:11" x14ac:dyDescent="0.45">
      <c r="B13">
        <v>10</v>
      </c>
      <c r="C13" s="10">
        <f>'Q2 Base'!$H$7</f>
        <v>2000</v>
      </c>
      <c r="D13" s="45">
        <f>'Q2 Base'!$H$8</f>
        <v>0.95</v>
      </c>
      <c r="E13" s="45">
        <f>1-'Q2 Base'!$H$9</f>
        <v>0.99</v>
      </c>
      <c r="F13" s="10">
        <f t="shared" si="0"/>
        <v>1881</v>
      </c>
      <c r="G13" s="10">
        <f t="shared" si="3"/>
        <v>22046.365087378177</v>
      </c>
      <c r="H13" s="46">
        <f>G13*'Q2 Base'!$H$17</f>
        <v>881.85460349512709</v>
      </c>
      <c r="I13" s="10">
        <f t="shared" si="1"/>
        <v>22928.219690873306</v>
      </c>
      <c r="J13" s="10">
        <f>I13*'Q2 Base'!$H$10</f>
        <v>114.64109845436653</v>
      </c>
      <c r="K13" s="4">
        <f t="shared" si="2"/>
        <v>22813.57859241894</v>
      </c>
    </row>
    <row r="14" spans="2:11" x14ac:dyDescent="0.45">
      <c r="B14">
        <v>11</v>
      </c>
      <c r="C14" s="10">
        <f>'Q2 Base'!$H$7</f>
        <v>2000</v>
      </c>
      <c r="D14" s="45">
        <f>'Q2 Base'!$H$8</f>
        <v>0.95</v>
      </c>
      <c r="E14" s="45">
        <f>1-'Q2 Base'!$H$9</f>
        <v>0.99</v>
      </c>
      <c r="F14" s="10">
        <f t="shared" si="0"/>
        <v>1881</v>
      </c>
      <c r="G14" s="10">
        <f t="shared" si="3"/>
        <v>24694.57859241894</v>
      </c>
      <c r="H14" s="46">
        <f>G14*'Q2 Base'!$H$17</f>
        <v>987.78314369675763</v>
      </c>
      <c r="I14" s="10">
        <f t="shared" si="1"/>
        <v>25682.361736115698</v>
      </c>
      <c r="J14" s="10">
        <f>I14*'Q2 Base'!$H$10</f>
        <v>128.4118086805785</v>
      </c>
      <c r="K14" s="4">
        <f t="shared" si="2"/>
        <v>25553.949927435118</v>
      </c>
    </row>
    <row r="15" spans="2:11" x14ac:dyDescent="0.45">
      <c r="B15">
        <v>12</v>
      </c>
      <c r="C15" s="10">
        <f>'Q2 Base'!$H$7</f>
        <v>2000</v>
      </c>
      <c r="D15" s="45">
        <f>'Q2 Base'!$H$8</f>
        <v>0.95</v>
      </c>
      <c r="E15" s="45">
        <f>1-'Q2 Base'!$H$9</f>
        <v>0.99</v>
      </c>
      <c r="F15" s="10">
        <f t="shared" si="0"/>
        <v>1881</v>
      </c>
      <c r="G15" s="10">
        <f t="shared" si="3"/>
        <v>27434.949927435118</v>
      </c>
      <c r="H15" s="46">
        <f>G15*'Q2 Base'!$H$17</f>
        <v>1097.3979970974049</v>
      </c>
      <c r="I15" s="10">
        <f t="shared" si="1"/>
        <v>28532.347924532522</v>
      </c>
      <c r="J15" s="10">
        <f>I15*'Q2 Base'!$H$10</f>
        <v>142.66173962266262</v>
      </c>
      <c r="K15" s="4">
        <f t="shared" si="2"/>
        <v>28389.68618490986</v>
      </c>
    </row>
    <row r="16" spans="2:11" x14ac:dyDescent="0.45">
      <c r="B16">
        <v>13</v>
      </c>
      <c r="C16" s="10">
        <f>'Q2 Base'!$H$7</f>
        <v>2000</v>
      </c>
      <c r="D16" s="45">
        <f>'Q2 Base'!$H$8</f>
        <v>0.95</v>
      </c>
      <c r="E16" s="45">
        <f>1-'Q2 Base'!$H$9</f>
        <v>0.99</v>
      </c>
      <c r="F16" s="10">
        <f t="shared" si="0"/>
        <v>1881</v>
      </c>
      <c r="G16" s="10">
        <f t="shared" si="3"/>
        <v>30270.68618490986</v>
      </c>
      <c r="H16" s="46">
        <f>G16*'Q2 Base'!$H$17</f>
        <v>1210.8274473963945</v>
      </c>
      <c r="I16" s="10">
        <f t="shared" si="1"/>
        <v>31481.513632306254</v>
      </c>
      <c r="J16" s="10">
        <f>I16*'Q2 Base'!$H$10</f>
        <v>157.40756816153129</v>
      </c>
      <c r="K16" s="4">
        <f t="shared" si="2"/>
        <v>31324.106064144722</v>
      </c>
    </row>
    <row r="17" spans="2:11" x14ac:dyDescent="0.45">
      <c r="B17">
        <v>14</v>
      </c>
      <c r="C17" s="10">
        <f>'Q2 Base'!$H$7</f>
        <v>2000</v>
      </c>
      <c r="D17" s="45">
        <f>'Q2 Base'!$H$8</f>
        <v>0.95</v>
      </c>
      <c r="E17" s="45">
        <f>1-'Q2 Base'!$H$9</f>
        <v>0.99</v>
      </c>
      <c r="F17" s="10">
        <f t="shared" si="0"/>
        <v>1881</v>
      </c>
      <c r="G17" s="10">
        <f t="shared" si="3"/>
        <v>33205.106064144726</v>
      </c>
      <c r="H17" s="46">
        <f>G17*'Q2 Base'!$H$17</f>
        <v>1328.2042425657889</v>
      </c>
      <c r="I17" s="10">
        <f t="shared" si="1"/>
        <v>34533.310306710511</v>
      </c>
      <c r="J17" s="10">
        <f>I17*'Q2 Base'!$H$10</f>
        <v>172.66655153355256</v>
      </c>
      <c r="K17" s="4">
        <f t="shared" si="2"/>
        <v>34360.643755176956</v>
      </c>
    </row>
    <row r="18" spans="2:11" x14ac:dyDescent="0.45">
      <c r="B18">
        <v>15</v>
      </c>
      <c r="C18" s="10">
        <f>'Q2 Base'!$H$7</f>
        <v>2000</v>
      </c>
      <c r="D18" s="45">
        <f>'Q2 Base'!$H$8</f>
        <v>0.95</v>
      </c>
      <c r="E18" s="45">
        <f>1-'Q2 Base'!$H$9</f>
        <v>0.99</v>
      </c>
      <c r="F18" s="10">
        <f t="shared" si="0"/>
        <v>1881</v>
      </c>
      <c r="G18" s="10">
        <f t="shared" si="3"/>
        <v>36241.643755176956</v>
      </c>
      <c r="H18" s="46">
        <f>G18*'Q2 Base'!$H$17</f>
        <v>1449.6657502070782</v>
      </c>
      <c r="I18" s="10">
        <f t="shared" si="1"/>
        <v>37691.309505384037</v>
      </c>
      <c r="J18" s="10">
        <f>I18*'Q2 Base'!$H$10</f>
        <v>188.45654752692019</v>
      </c>
      <c r="K18" s="4">
        <f t="shared" si="2"/>
        <v>37502.852957857118</v>
      </c>
    </row>
    <row r="19" spans="2:11" x14ac:dyDescent="0.45">
      <c r="B19">
        <v>16</v>
      </c>
      <c r="C19" s="10">
        <f>'Q2 Base'!$H$7</f>
        <v>2000</v>
      </c>
      <c r="D19" s="45">
        <f>'Q2 Base'!$H$8</f>
        <v>0.95</v>
      </c>
      <c r="E19" s="45">
        <f>1-'Q2 Base'!$H$9</f>
        <v>0.99</v>
      </c>
      <c r="F19" s="10">
        <f t="shared" si="0"/>
        <v>1881</v>
      </c>
      <c r="G19" s="10">
        <f t="shared" si="3"/>
        <v>39383.852957857118</v>
      </c>
      <c r="H19" s="46">
        <f>G19*'Q2 Base'!$H$17</f>
        <v>1575.3541183142847</v>
      </c>
      <c r="I19" s="10">
        <f t="shared" si="1"/>
        <v>40959.207076171406</v>
      </c>
      <c r="J19" s="10">
        <f>I19*'Q2 Base'!$H$10</f>
        <v>204.79603538085703</v>
      </c>
      <c r="K19" s="4">
        <f t="shared" si="2"/>
        <v>40754.411040790546</v>
      </c>
    </row>
    <row r="20" spans="2:11" x14ac:dyDescent="0.45">
      <c r="B20">
        <v>17</v>
      </c>
      <c r="C20" s="10">
        <f>'Q2 Base'!$H$7</f>
        <v>2000</v>
      </c>
      <c r="D20" s="45">
        <f>'Q2 Base'!$H$8</f>
        <v>0.95</v>
      </c>
      <c r="E20" s="45">
        <f>1-'Q2 Base'!$H$9</f>
        <v>0.99</v>
      </c>
      <c r="F20" s="10">
        <f t="shared" si="0"/>
        <v>1881</v>
      </c>
      <c r="G20" s="10">
        <f t="shared" si="3"/>
        <v>42635.411040790546</v>
      </c>
      <c r="H20" s="46">
        <f>G20*'Q2 Base'!$H$17</f>
        <v>1705.4164416316219</v>
      </c>
      <c r="I20" s="10">
        <f t="shared" si="1"/>
        <v>44340.827482422166</v>
      </c>
      <c r="J20" s="10">
        <f>I20*'Q2 Base'!$H$10</f>
        <v>221.70413741211084</v>
      </c>
      <c r="K20" s="4">
        <f t="shared" si="2"/>
        <v>44119.123345010055</v>
      </c>
    </row>
    <row r="21" spans="2:11" x14ac:dyDescent="0.45">
      <c r="B21">
        <v>18</v>
      </c>
      <c r="C21" s="10">
        <f>'Q2 Base'!$H$7</f>
        <v>2000</v>
      </c>
      <c r="D21" s="45">
        <f>'Q2 Base'!$H$8</f>
        <v>0.95</v>
      </c>
      <c r="E21" s="45">
        <f>1-'Q2 Base'!$H$9</f>
        <v>0.99</v>
      </c>
      <c r="F21" s="10">
        <f t="shared" si="0"/>
        <v>1881</v>
      </c>
      <c r="G21" s="10">
        <f t="shared" si="3"/>
        <v>46000.123345010055</v>
      </c>
      <c r="H21" s="46">
        <f>G21*'Q2 Base'!$H$17</f>
        <v>1840.0049338004023</v>
      </c>
      <c r="I21" s="10">
        <f t="shared" si="1"/>
        <v>47840.128278810458</v>
      </c>
      <c r="J21" s="10">
        <f>I21*'Q2 Base'!$H$10</f>
        <v>239.2006413940523</v>
      </c>
      <c r="K21" s="4">
        <f t="shared" si="2"/>
        <v>47600.927637416404</v>
      </c>
    </row>
    <row r="22" spans="2:11" x14ac:dyDescent="0.45">
      <c r="B22">
        <v>19</v>
      </c>
      <c r="C22" s="10">
        <f>'Q2 Base'!$H$7</f>
        <v>2000</v>
      </c>
      <c r="D22" s="45">
        <f>'Q2 Base'!$H$8</f>
        <v>0.95</v>
      </c>
      <c r="E22" s="45">
        <f>1-'Q2 Base'!$H$9</f>
        <v>0.99</v>
      </c>
      <c r="F22" s="10">
        <f t="shared" si="0"/>
        <v>1881</v>
      </c>
      <c r="G22" s="10">
        <f t="shared" si="3"/>
        <v>49481.927637416404</v>
      </c>
      <c r="H22" s="46">
        <f>G22*'Q2 Base'!$H$17</f>
        <v>1979.2771054966563</v>
      </c>
      <c r="I22" s="10">
        <f t="shared" si="1"/>
        <v>51461.204742913062</v>
      </c>
      <c r="J22" s="10">
        <f>I22*'Q2 Base'!$H$10</f>
        <v>257.3060237145653</v>
      </c>
      <c r="K22" s="4">
        <f t="shared" si="2"/>
        <v>51203.8987191985</v>
      </c>
    </row>
    <row r="23" spans="2:11" x14ac:dyDescent="0.45">
      <c r="B23">
        <v>20</v>
      </c>
      <c r="C23" s="10">
        <f>'Q2 Base'!$H$7</f>
        <v>2000</v>
      </c>
      <c r="D23" s="45">
        <f>'Q2 Base'!$H$8</f>
        <v>0.95</v>
      </c>
      <c r="E23" s="45">
        <f>1-'Q2 Base'!$H$9</f>
        <v>0.99</v>
      </c>
      <c r="F23" s="10">
        <f t="shared" si="0"/>
        <v>1881</v>
      </c>
      <c r="G23" s="10">
        <f t="shared" si="3"/>
        <v>53084.8987191985</v>
      </c>
      <c r="H23" s="46">
        <f>G23*'Q2 Base'!$H$17</f>
        <v>2123.3959487679399</v>
      </c>
      <c r="I23" s="10">
        <f t="shared" si="1"/>
        <v>55208.294667966438</v>
      </c>
      <c r="J23" s="10">
        <f>I23*'Q2 Base'!$H$10</f>
        <v>276.04147333983218</v>
      </c>
      <c r="K23" s="4">
        <f t="shared" si="2"/>
        <v>54932.253194626603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8435-6140-484C-A38F-60842352D2E5}">
  <dimension ref="A1:Y24"/>
  <sheetViews>
    <sheetView topLeftCell="A4" workbookViewId="0">
      <selection activeCell="E24" sqref="E24"/>
    </sheetView>
  </sheetViews>
  <sheetFormatPr defaultRowHeight="14.25" x14ac:dyDescent="0.45"/>
  <cols>
    <col min="3" max="5" width="10.59765625" customWidth="1"/>
    <col min="6" max="6" width="13.265625" customWidth="1"/>
    <col min="7" max="7" width="14.86328125" customWidth="1"/>
    <col min="8" max="8" width="15.265625" customWidth="1"/>
    <col min="9" max="9" width="15.86328125" customWidth="1"/>
    <col min="10" max="10" width="20.86328125" customWidth="1"/>
    <col min="11" max="11" width="16.59765625" customWidth="1"/>
    <col min="12" max="12" width="17.86328125" customWidth="1"/>
    <col min="14" max="14" width="12.1328125" bestFit="1" customWidth="1"/>
    <col min="15" max="15" width="9.59765625" bestFit="1" customWidth="1"/>
  </cols>
  <sheetData>
    <row r="1" spans="1:25" s="12" customFormat="1" ht="14.65" thickBot="1" x14ac:dyDescent="0.5">
      <c r="F1"/>
      <c r="G1" t="s">
        <v>99</v>
      </c>
      <c r="H1">
        <v>1</v>
      </c>
      <c r="I1"/>
      <c r="J1"/>
      <c r="K1"/>
      <c r="L1"/>
      <c r="M1"/>
      <c r="N1"/>
      <c r="O1"/>
    </row>
    <row r="2" spans="1:25" ht="28.5" customHeight="1" thickBot="1" x14ac:dyDescent="0.5">
      <c r="A2" s="50" t="s">
        <v>20</v>
      </c>
      <c r="B2" s="51"/>
      <c r="S2" s="12" t="s">
        <v>56</v>
      </c>
      <c r="T2" s="20" t="s">
        <v>57</v>
      </c>
    </row>
    <row r="3" spans="1:25" s="15" customFormat="1" ht="43.15" thickBot="1" x14ac:dyDescent="0.5">
      <c r="A3" s="30" t="s">
        <v>58</v>
      </c>
      <c r="B3" s="31" t="s">
        <v>59</v>
      </c>
      <c r="C3" s="32" t="s">
        <v>60</v>
      </c>
      <c r="D3" s="32" t="s">
        <v>61</v>
      </c>
      <c r="E3" s="15" t="s">
        <v>104</v>
      </c>
      <c r="F3" s="15" t="s">
        <v>100</v>
      </c>
      <c r="G3" s="15" t="s">
        <v>101</v>
      </c>
      <c r="H3" s="15" t="s">
        <v>102</v>
      </c>
      <c r="I3" s="15" t="s">
        <v>103</v>
      </c>
      <c r="J3" s="15" t="s">
        <v>105</v>
      </c>
      <c r="K3" s="11" t="s">
        <v>106</v>
      </c>
      <c r="L3"/>
      <c r="M3"/>
      <c r="N3"/>
      <c r="O3"/>
      <c r="S3"/>
      <c r="T3"/>
      <c r="U3"/>
      <c r="V3" s="12" t="s">
        <v>56</v>
      </c>
      <c r="W3" s="12" t="s">
        <v>62</v>
      </c>
      <c r="X3" s="12" t="s">
        <v>56</v>
      </c>
      <c r="Y3" s="12" t="s">
        <v>56</v>
      </c>
    </row>
    <row r="4" spans="1:25" x14ac:dyDescent="0.45">
      <c r="A4" s="24">
        <v>0</v>
      </c>
      <c r="B4" s="25">
        <f>A4+1</f>
        <v>1</v>
      </c>
      <c r="C4" s="28">
        <f>'Q2 Base'!D4</f>
        <v>4.0008002133969133E-4</v>
      </c>
      <c r="D4" s="28">
        <f>'Q2 Base'!E4</f>
        <v>5.0412705069077443E-4</v>
      </c>
      <c r="E4" s="28">
        <f>1</f>
        <v>1</v>
      </c>
      <c r="F4">
        <f>C4*E4</f>
        <v>4.0008002133969133E-4</v>
      </c>
      <c r="G4">
        <f>E4*D4</f>
        <v>5.0412705069077443E-4</v>
      </c>
      <c r="H4">
        <f>0</f>
        <v>0</v>
      </c>
      <c r="I4">
        <f>0</f>
        <v>0</v>
      </c>
      <c r="J4">
        <f>(H5-H4)/$E4</f>
        <v>4.0008002133969133E-4</v>
      </c>
      <c r="K4">
        <f>(I5-I4)/$E4</f>
        <v>5.0412705069077443E-4</v>
      </c>
      <c r="P4" s="1"/>
      <c r="Q4" s="1"/>
    </row>
    <row r="5" spans="1:25" x14ac:dyDescent="0.45">
      <c r="A5" s="24">
        <f>A4+1</f>
        <v>1</v>
      </c>
      <c r="B5" s="25">
        <f t="shared" ref="B5:B23" si="0">A5+1</f>
        <v>2</v>
      </c>
      <c r="C5" s="28">
        <f>'Q2 Base'!D5</f>
        <v>4.0008002133969133E-4</v>
      </c>
      <c r="D5" s="28">
        <f>'Q2 Base'!E5</f>
        <v>5.4114639330157886E-4</v>
      </c>
      <c r="E5" s="28">
        <f>E4*EXP(-C4-D4)</f>
        <v>0.99909620160000012</v>
      </c>
      <c r="F5">
        <f t="shared" ref="F5:F24" si="1">C5*E5</f>
        <v>3.997184296565326E-4</v>
      </c>
      <c r="G5">
        <f t="shared" ref="G5:G24" si="2">E5*D5</f>
        <v>5.4065730605714723E-4</v>
      </c>
      <c r="H5">
        <f>H4+$H$1*F4</f>
        <v>4.0008002133969133E-4</v>
      </c>
      <c r="I5">
        <f>I4+$H$1*G4</f>
        <v>5.0412705069077443E-4</v>
      </c>
      <c r="J5">
        <f t="shared" ref="J5:J23" si="3">(H6-H5)/$E5</f>
        <v>4.0008002133969128E-4</v>
      </c>
      <c r="K5">
        <f t="shared" ref="K5:K23" si="4">(I6-I5)/$E5</f>
        <v>5.4114639330157875E-4</v>
      </c>
      <c r="P5" s="1"/>
      <c r="Q5" s="1"/>
    </row>
    <row r="6" spans="1:25" x14ac:dyDescent="0.45">
      <c r="A6" s="24">
        <f t="shared" ref="A6:A24" si="5">A5+1</f>
        <v>2</v>
      </c>
      <c r="B6" s="25">
        <f t="shared" si="0"/>
        <v>3</v>
      </c>
      <c r="C6" s="28">
        <f>'Q2 Base'!D6</f>
        <v>4.5010128038520567E-4</v>
      </c>
      <c r="D6" s="28">
        <f>'Q2 Base'!E6</f>
        <v>5.7516537589712461E-4</v>
      </c>
      <c r="E6" s="28">
        <f t="shared" ref="E6:E24" si="6">E5*EXP(-C5-D5)</f>
        <v>0.99815626827871262</v>
      </c>
      <c r="F6">
        <f t="shared" si="1"/>
        <v>4.4927141437676738E-4</v>
      </c>
      <c r="G6">
        <f t="shared" si="2"/>
        <v>5.741049252485969E-4</v>
      </c>
      <c r="H6">
        <f t="shared" ref="H6:H24" si="7">H5+$H$1*F5</f>
        <v>7.9979845099622388E-4</v>
      </c>
      <c r="I6">
        <f t="shared" ref="I6:I24" si="8">I5+$H$1*G5</f>
        <v>1.0447843567479216E-3</v>
      </c>
      <c r="J6">
        <f t="shared" si="3"/>
        <v>4.5010128038520578E-4</v>
      </c>
      <c r="K6">
        <f t="shared" si="4"/>
        <v>5.7516537589712461E-4</v>
      </c>
      <c r="P6" s="1"/>
      <c r="Q6" s="1"/>
    </row>
    <row r="7" spans="1:25" x14ac:dyDescent="0.45">
      <c r="A7" s="24">
        <f t="shared" si="5"/>
        <v>3</v>
      </c>
      <c r="B7" s="25">
        <f t="shared" si="0"/>
        <v>4</v>
      </c>
      <c r="C7" s="28">
        <f>'Q2 Base'!D7</f>
        <v>4.5010128038520567E-4</v>
      </c>
      <c r="D7" s="28">
        <f>'Q2 Base'!E7</f>
        <v>6.1218734844200988E-4</v>
      </c>
      <c r="E7" s="28">
        <f t="shared" si="6"/>
        <v>0.99713341637666142</v>
      </c>
      <c r="F7">
        <f t="shared" si="1"/>
        <v>4.4881102742600973E-4</v>
      </c>
      <c r="G7">
        <f t="shared" si="2"/>
        <v>6.1043246221455098E-4</v>
      </c>
      <c r="H7">
        <f t="shared" si="7"/>
        <v>1.2490698653729914E-3</v>
      </c>
      <c r="I7">
        <f t="shared" si="8"/>
        <v>1.6188892819965185E-3</v>
      </c>
      <c r="J7">
        <f t="shared" si="3"/>
        <v>4.5010128038520567E-4</v>
      </c>
      <c r="K7">
        <f t="shared" si="4"/>
        <v>6.1218734844200977E-4</v>
      </c>
      <c r="P7" s="1"/>
      <c r="Q7" s="1"/>
    </row>
    <row r="8" spans="1:25" x14ac:dyDescent="0.45">
      <c r="A8" s="24">
        <f t="shared" si="5"/>
        <v>4</v>
      </c>
      <c r="B8" s="25">
        <f t="shared" si="0"/>
        <v>5</v>
      </c>
      <c r="C8" s="28">
        <f>'Q2 Base'!D8</f>
        <v>5.0012504168224286E-4</v>
      </c>
      <c r="D8" s="28">
        <f>'Q2 Base'!E8</f>
        <v>6.5321329736052025E-4</v>
      </c>
      <c r="E8" s="28">
        <f t="shared" si="6"/>
        <v>0.99607473529901236</v>
      </c>
      <c r="F8">
        <f t="shared" si="1"/>
        <v>4.9816191851004754E-4</v>
      </c>
      <c r="G8">
        <f t="shared" si="2"/>
        <v>6.506492622621753E-4</v>
      </c>
      <c r="H8">
        <f t="shared" si="7"/>
        <v>1.6978808927990011E-3</v>
      </c>
      <c r="I8">
        <f t="shared" si="8"/>
        <v>2.2293217442110693E-3</v>
      </c>
      <c r="J8">
        <f t="shared" si="3"/>
        <v>5.0012504168224286E-4</v>
      </c>
      <c r="K8">
        <f t="shared" si="4"/>
        <v>6.5321329736052014E-4</v>
      </c>
      <c r="P8" s="1"/>
      <c r="Q8" s="1"/>
    </row>
    <row r="9" spans="1:25" x14ac:dyDescent="0.45">
      <c r="A9" s="24">
        <f t="shared" si="5"/>
        <v>5</v>
      </c>
      <c r="B9" s="25">
        <f t="shared" si="0"/>
        <v>6</v>
      </c>
      <c r="C9" s="28">
        <f>'Q2 Base'!D9</f>
        <v>5.501513054812704E-4</v>
      </c>
      <c r="D9" s="28">
        <f>'Q2 Base'!E9</f>
        <v>6.9624232044323935E-4</v>
      </c>
      <c r="E9" s="28">
        <f t="shared" si="6"/>
        <v>0.99492658634761377</v>
      </c>
      <c r="F9">
        <f t="shared" si="1"/>
        <v>5.4736016033716368E-4</v>
      </c>
      <c r="G9">
        <f t="shared" si="2"/>
        <v>6.927099951493335E-4</v>
      </c>
      <c r="H9">
        <f t="shared" si="7"/>
        <v>2.1960428113090486E-3</v>
      </c>
      <c r="I9">
        <f t="shared" si="8"/>
        <v>2.8799710064732445E-3</v>
      </c>
      <c r="J9">
        <f t="shared" si="3"/>
        <v>5.5015130548127019E-4</v>
      </c>
      <c r="K9">
        <f t="shared" si="4"/>
        <v>6.9624232044323956E-4</v>
      </c>
      <c r="P9" s="1"/>
      <c r="Q9" s="1"/>
    </row>
    <row r="10" spans="1:25" x14ac:dyDescent="0.45">
      <c r="A10" s="24">
        <f t="shared" si="5"/>
        <v>6</v>
      </c>
      <c r="B10" s="25">
        <f t="shared" si="0"/>
        <v>7</v>
      </c>
      <c r="C10" s="28">
        <f>'Q2 Base'!D10</f>
        <v>6.0018007203246058E-4</v>
      </c>
      <c r="D10" s="28">
        <f>'Q2 Base'!E10</f>
        <v>7.4727914352218426E-4</v>
      </c>
      <c r="E10" s="28">
        <f t="shared" si="6"/>
        <v>0.99368728867892187</v>
      </c>
      <c r="F10">
        <f t="shared" si="1"/>
        <v>5.9639130849705574E-4</v>
      </c>
      <c r="G10">
        <f t="shared" si="2"/>
        <v>7.4256178601286621E-4</v>
      </c>
      <c r="H10">
        <f t="shared" si="7"/>
        <v>2.7434029716462121E-3</v>
      </c>
      <c r="I10">
        <f t="shared" si="8"/>
        <v>3.5726810016225782E-3</v>
      </c>
      <c r="J10">
        <f t="shared" si="3"/>
        <v>6.001800720324608E-4</v>
      </c>
      <c r="K10">
        <f t="shared" si="4"/>
        <v>7.4727914352218404E-4</v>
      </c>
      <c r="P10" s="1"/>
      <c r="Q10" s="1"/>
    </row>
    <row r="11" spans="1:25" x14ac:dyDescent="0.45">
      <c r="A11" s="24">
        <f t="shared" si="5"/>
        <v>7</v>
      </c>
      <c r="B11" s="25">
        <f t="shared" si="0"/>
        <v>8</v>
      </c>
      <c r="C11" s="28">
        <f>'Q2 Base'!D11</f>
        <v>7.0024511439342589E-4</v>
      </c>
      <c r="D11" s="28">
        <f>'Q2 Base'!E11</f>
        <v>8.0232177405333298E-4</v>
      </c>
      <c r="E11" s="28">
        <f t="shared" si="6"/>
        <v>0.99234923727171409</v>
      </c>
      <c r="F11">
        <f t="shared" si="1"/>
        <v>6.948877051715604E-4</v>
      </c>
      <c r="G11">
        <f t="shared" si="2"/>
        <v>7.9618340052831354E-4</v>
      </c>
      <c r="H11">
        <f t="shared" si="7"/>
        <v>3.3397942801432681E-3</v>
      </c>
      <c r="I11">
        <f t="shared" si="8"/>
        <v>4.3152427876354442E-3</v>
      </c>
      <c r="J11">
        <f t="shared" si="3"/>
        <v>7.0024511439342545E-4</v>
      </c>
      <c r="K11">
        <f t="shared" si="4"/>
        <v>8.0232177405333287E-4</v>
      </c>
      <c r="P11" s="1"/>
      <c r="Q11" s="1"/>
    </row>
    <row r="12" spans="1:25" x14ac:dyDescent="0.45">
      <c r="A12" s="24">
        <f t="shared" si="5"/>
        <v>8</v>
      </c>
      <c r="B12" s="25">
        <f t="shared" si="0"/>
        <v>9</v>
      </c>
      <c r="C12" s="28">
        <f>'Q2 Base'!D12</f>
        <v>9.0040524316415511E-4</v>
      </c>
      <c r="D12" s="28">
        <f>'Q2 Base'!E12</f>
        <v>8.5436486574504242E-4</v>
      </c>
      <c r="E12" s="28">
        <f t="shared" si="6"/>
        <v>0.99085928582219385</v>
      </c>
      <c r="F12">
        <f t="shared" si="1"/>
        <v>8.9217489619219351E-4</v>
      </c>
      <c r="G12">
        <f t="shared" si="2"/>
        <v>8.4655536070370727E-4</v>
      </c>
      <c r="H12">
        <f t="shared" si="7"/>
        <v>4.034681985314828E-3</v>
      </c>
      <c r="I12">
        <f t="shared" si="8"/>
        <v>5.1114261881637577E-3</v>
      </c>
      <c r="J12">
        <f t="shared" si="3"/>
        <v>9.0040524316415489E-4</v>
      </c>
      <c r="K12">
        <f t="shared" si="4"/>
        <v>8.5436486574504221E-4</v>
      </c>
      <c r="P12" s="1"/>
      <c r="Q12" s="1"/>
    </row>
    <row r="13" spans="1:25" x14ac:dyDescent="0.45">
      <c r="A13" s="24">
        <f t="shared" si="5"/>
        <v>9</v>
      </c>
      <c r="B13" s="25">
        <f t="shared" si="0"/>
        <v>10</v>
      </c>
      <c r="C13" s="28">
        <f>'Q2 Base'!D13</f>
        <v>1.0005003335835344E-3</v>
      </c>
      <c r="D13" s="28">
        <f>'Q2 Base'!E13</f>
        <v>9.014061444758151E-4</v>
      </c>
      <c r="E13" s="28">
        <f t="shared" si="6"/>
        <v>0.9891220802093087</v>
      </c>
      <c r="F13">
        <f t="shared" si="1"/>
        <v>9.8961697120425289E-4</v>
      </c>
      <c r="G13">
        <f t="shared" si="2"/>
        <v>8.9160072073737092E-4</v>
      </c>
      <c r="H13">
        <f t="shared" si="7"/>
        <v>4.9268568815070213E-3</v>
      </c>
      <c r="I13">
        <f t="shared" si="8"/>
        <v>5.9579815488674647E-3</v>
      </c>
      <c r="J13">
        <f t="shared" si="3"/>
        <v>1.0005003335835344E-3</v>
      </c>
      <c r="K13">
        <f t="shared" si="4"/>
        <v>9.014061444758152E-4</v>
      </c>
      <c r="P13" s="1"/>
      <c r="Q13" s="1"/>
    </row>
    <row r="14" spans="1:25" x14ac:dyDescent="0.45">
      <c r="A14" s="24">
        <f t="shared" si="5"/>
        <v>10</v>
      </c>
      <c r="B14" s="25">
        <f t="shared" si="0"/>
        <v>11</v>
      </c>
      <c r="C14" s="28">
        <f>'Q2 Base'!D14</f>
        <v>1.0005003335835344E-3</v>
      </c>
      <c r="D14" s="28">
        <f>'Q2 Base'!E14</f>
        <v>9.4945058559301853E-4</v>
      </c>
      <c r="E14" s="28">
        <f t="shared" si="6"/>
        <v>0.98724265033382508</v>
      </c>
      <c r="F14">
        <f t="shared" si="1"/>
        <v>9.8773660098688452E-4</v>
      </c>
      <c r="G14">
        <f t="shared" si="2"/>
        <v>9.3733811248185382E-4</v>
      </c>
      <c r="H14">
        <f t="shared" si="7"/>
        <v>5.9164738527112742E-3</v>
      </c>
      <c r="I14">
        <f t="shared" si="8"/>
        <v>6.8495822696048357E-3</v>
      </c>
      <c r="J14">
        <f t="shared" si="3"/>
        <v>1.0005003335835346E-3</v>
      </c>
      <c r="K14">
        <f t="shared" si="4"/>
        <v>9.4945058559301864E-4</v>
      </c>
      <c r="P14" s="1"/>
      <c r="Q14" s="1"/>
    </row>
    <row r="15" spans="1:25" x14ac:dyDescent="0.45">
      <c r="A15" s="24">
        <f t="shared" si="5"/>
        <v>11</v>
      </c>
      <c r="B15" s="25">
        <f t="shared" si="0"/>
        <v>12</v>
      </c>
      <c r="C15" s="28">
        <f>'Q2 Base'!D15</f>
        <v>1.1006054440330039E-3</v>
      </c>
      <c r="D15" s="28">
        <f>'Q2 Base'!E15</f>
        <v>1.007507365139709E-3</v>
      </c>
      <c r="E15" s="28">
        <f t="shared" si="6"/>
        <v>0.9853194513015997</v>
      </c>
      <c r="F15">
        <f t="shared" si="1"/>
        <v>1.0844479522141529E-3</v>
      </c>
      <c r="G15">
        <f t="shared" si="2"/>
        <v>9.9271660420177849E-4</v>
      </c>
      <c r="H15">
        <f t="shared" si="7"/>
        <v>6.9042104536981589E-3</v>
      </c>
      <c r="I15">
        <f t="shared" si="8"/>
        <v>7.7869203820866897E-3</v>
      </c>
      <c r="J15">
        <f t="shared" si="3"/>
        <v>1.1006054440330037E-3</v>
      </c>
      <c r="K15">
        <f t="shared" si="4"/>
        <v>1.0075073651397088E-3</v>
      </c>
      <c r="P15" s="1"/>
      <c r="Q15" s="1"/>
    </row>
    <row r="16" spans="1:25" x14ac:dyDescent="0.45">
      <c r="A16" s="24">
        <f t="shared" si="5"/>
        <v>12</v>
      </c>
      <c r="B16" s="25">
        <f t="shared" si="0"/>
        <v>13</v>
      </c>
      <c r="C16" s="28">
        <f>'Q2 Base'!D16</f>
        <v>1.2007205765188771E-3</v>
      </c>
      <c r="D16" s="28">
        <f>'Q2 Base'!E16</f>
        <v>1.0835868682570894E-3</v>
      </c>
      <c r="E16" s="28">
        <f t="shared" si="6"/>
        <v>0.98324447465606346</v>
      </c>
      <c r="F16">
        <f t="shared" si="1"/>
        <v>1.1806018724680289E-3</v>
      </c>
      <c r="G16">
        <f t="shared" si="2"/>
        <v>1.0654308010236509E-3</v>
      </c>
      <c r="H16">
        <f t="shared" si="7"/>
        <v>7.9886584059123116E-3</v>
      </c>
      <c r="I16">
        <f t="shared" si="8"/>
        <v>8.7796369862884679E-3</v>
      </c>
      <c r="J16">
        <f t="shared" si="3"/>
        <v>1.2007205765188764E-3</v>
      </c>
      <c r="K16">
        <f t="shared" si="4"/>
        <v>1.0835868682570896E-3</v>
      </c>
      <c r="P16" s="1"/>
      <c r="Q16" s="1"/>
    </row>
    <row r="17" spans="1:17" x14ac:dyDescent="0.45">
      <c r="A17" s="24">
        <f t="shared" si="5"/>
        <v>13</v>
      </c>
      <c r="B17" s="25">
        <f t="shared" si="0"/>
        <v>14</v>
      </c>
      <c r="C17" s="28">
        <f>'Q2 Base'!D17</f>
        <v>1.2007205765188771E-3</v>
      </c>
      <c r="D17" s="28">
        <f>'Q2 Base'!E17</f>
        <v>1.1796955672696637E-3</v>
      </c>
      <c r="E17" s="28">
        <f t="shared" si="6"/>
        <v>0.98100100534494294</v>
      </c>
      <c r="F17">
        <f t="shared" si="1"/>
        <v>1.1779080927033778E-3</v>
      </c>
      <c r="G17">
        <f t="shared" si="2"/>
        <v>1.1572825374925129E-3</v>
      </c>
      <c r="H17">
        <f t="shared" si="7"/>
        <v>9.1692602783803399E-3</v>
      </c>
      <c r="I17">
        <f t="shared" si="8"/>
        <v>9.845067787312119E-3</v>
      </c>
      <c r="J17">
        <f t="shared" si="3"/>
        <v>1.2007205765188773E-3</v>
      </c>
      <c r="K17">
        <f t="shared" si="4"/>
        <v>1.1796955672696639E-3</v>
      </c>
      <c r="P17" s="1"/>
      <c r="Q17" s="1"/>
    </row>
    <row r="18" spans="1:17" x14ac:dyDescent="0.45">
      <c r="A18" s="24">
        <f t="shared" si="5"/>
        <v>14</v>
      </c>
      <c r="B18" s="25">
        <f t="shared" si="0"/>
        <v>15</v>
      </c>
      <c r="C18" s="28">
        <f>'Q2 Base'!D18</f>
        <v>1.3008457330480696E-3</v>
      </c>
      <c r="D18" s="28">
        <f>'Q2 Base'!E18</f>
        <v>1.3008457330480696E-3</v>
      </c>
      <c r="E18" s="28">
        <f t="shared" si="6"/>
        <v>0.97866859187344968</v>
      </c>
      <c r="F18">
        <f t="shared" si="1"/>
        <v>1.2730968618067397E-3</v>
      </c>
      <c r="G18">
        <f t="shared" si="2"/>
        <v>1.2730968618067397E-3</v>
      </c>
      <c r="H18">
        <f t="shared" si="7"/>
        <v>1.0347168371083718E-2</v>
      </c>
      <c r="I18">
        <f t="shared" si="8"/>
        <v>1.1002350324804632E-2</v>
      </c>
      <c r="J18">
        <f t="shared" si="3"/>
        <v>1.3008457330480701E-3</v>
      </c>
      <c r="K18">
        <f t="shared" si="4"/>
        <v>1.3008457330480701E-3</v>
      </c>
      <c r="P18" s="1"/>
      <c r="Q18" s="1"/>
    </row>
    <row r="19" spans="1:17" x14ac:dyDescent="0.45">
      <c r="A19" s="24">
        <f t="shared" si="5"/>
        <v>15</v>
      </c>
      <c r="B19" s="25">
        <f t="shared" si="0"/>
        <v>16</v>
      </c>
      <c r="C19" s="28">
        <f>'Q2 Base'!D19</f>
        <v>1.4009809156281003E-3</v>
      </c>
      <c r="D19" s="28">
        <f>'Q2 Base'!E19</f>
        <v>1.4480479155111296E-3</v>
      </c>
      <c r="E19" s="28">
        <f t="shared" si="6"/>
        <v>0.97612570748449912</v>
      </c>
      <c r="F19">
        <f t="shared" si="1"/>
        <v>1.3675334874397606E-3</v>
      </c>
      <c r="G19">
        <f t="shared" si="2"/>
        <v>1.4134767959997556E-3</v>
      </c>
      <c r="H19">
        <f t="shared" si="7"/>
        <v>1.1620265232890458E-2</v>
      </c>
      <c r="I19">
        <f t="shared" si="8"/>
        <v>1.2275447186611372E-2</v>
      </c>
      <c r="J19">
        <f t="shared" si="3"/>
        <v>1.4009809156281007E-3</v>
      </c>
      <c r="K19">
        <f t="shared" si="4"/>
        <v>1.4480479155111301E-3</v>
      </c>
      <c r="P19" s="1"/>
      <c r="Q19" s="1"/>
    </row>
    <row r="20" spans="1:17" x14ac:dyDescent="0.45">
      <c r="A20" s="24">
        <f t="shared" si="5"/>
        <v>16</v>
      </c>
      <c r="B20" s="25">
        <f t="shared" si="0"/>
        <v>17</v>
      </c>
      <c r="C20" s="28">
        <f>'Q2 Base'!D20</f>
        <v>1.5011261262670914E-3</v>
      </c>
      <c r="D20" s="28">
        <f>'Q2 Base'!E20</f>
        <v>1.6153039011865468E-3</v>
      </c>
      <c r="E20" s="28">
        <f t="shared" si="6"/>
        <v>0.97334865503074897</v>
      </c>
      <c r="F20">
        <f t="shared" si="1"/>
        <v>1.4611190960335915E-3</v>
      </c>
      <c r="G20">
        <f t="shared" si="2"/>
        <v>1.5722538796858472E-3</v>
      </c>
      <c r="H20">
        <f t="shared" si="7"/>
        <v>1.2987798720330219E-2</v>
      </c>
      <c r="I20">
        <f t="shared" si="8"/>
        <v>1.3688923982611128E-2</v>
      </c>
      <c r="J20">
        <f t="shared" si="3"/>
        <v>1.5011261262670907E-3</v>
      </c>
      <c r="K20">
        <f t="shared" si="4"/>
        <v>1.6153039011865473E-3</v>
      </c>
      <c r="P20" s="1"/>
      <c r="Q20" s="1"/>
    </row>
    <row r="21" spans="1:17" x14ac:dyDescent="0.45">
      <c r="A21" s="24">
        <f t="shared" si="5"/>
        <v>17</v>
      </c>
      <c r="B21" s="25">
        <f t="shared" si="0"/>
        <v>18</v>
      </c>
      <c r="C21" s="28">
        <f>'Q2 Base'!D21</f>
        <v>1.6012813669738792E-3</v>
      </c>
      <c r="D21" s="28">
        <f>'Q2 Base'!E21</f>
        <v>1.8066309754025064E-3</v>
      </c>
      <c r="E21" s="28">
        <f t="shared" si="6"/>
        <v>0.97032000379607708</v>
      </c>
      <c r="F21">
        <f t="shared" si="1"/>
        <v>1.5537553420806819E-3</v>
      </c>
      <c r="G21">
        <f t="shared" si="2"/>
        <v>1.7530101749106705E-3</v>
      </c>
      <c r="H21">
        <f t="shared" si="7"/>
        <v>1.444891781636381E-2</v>
      </c>
      <c r="I21">
        <f t="shared" si="8"/>
        <v>1.5261177862296976E-2</v>
      </c>
      <c r="J21">
        <f t="shared" si="3"/>
        <v>1.6012813669738792E-3</v>
      </c>
      <c r="K21">
        <f t="shared" si="4"/>
        <v>1.8066309754025062E-3</v>
      </c>
      <c r="P21" s="1"/>
      <c r="Q21" s="1"/>
    </row>
    <row r="22" spans="1:17" x14ac:dyDescent="0.45">
      <c r="A22" s="24">
        <f t="shared" si="5"/>
        <v>18</v>
      </c>
      <c r="B22" s="25">
        <f t="shared" si="0"/>
        <v>19</v>
      </c>
      <c r="C22" s="28">
        <f>'Q2 Base'!D22</f>
        <v>1.8016219466282088E-3</v>
      </c>
      <c r="D22" s="28">
        <f>'Q2 Base'!E22</f>
        <v>2.0310612091007279E-3</v>
      </c>
      <c r="E22" s="28">
        <f t="shared" si="6"/>
        <v>0.96701886646732249</v>
      </c>
      <c r="F22">
        <f t="shared" si="1"/>
        <v>1.7422024126310615E-3</v>
      </c>
      <c r="G22">
        <f t="shared" si="2"/>
        <v>1.9640745081503353E-3</v>
      </c>
      <c r="H22">
        <f t="shared" si="7"/>
        <v>1.6002673158444492E-2</v>
      </c>
      <c r="I22">
        <f t="shared" si="8"/>
        <v>1.7014188037207646E-2</v>
      </c>
      <c r="J22">
        <f t="shared" si="3"/>
        <v>1.8016219466282105E-3</v>
      </c>
      <c r="K22">
        <f t="shared" si="4"/>
        <v>2.0310612091007266E-3</v>
      </c>
      <c r="P22" s="1"/>
      <c r="Q22" s="1"/>
    </row>
    <row r="23" spans="1:17" x14ac:dyDescent="0.45">
      <c r="A23" s="24">
        <f t="shared" si="5"/>
        <v>19</v>
      </c>
      <c r="B23" s="25">
        <f t="shared" si="0"/>
        <v>20</v>
      </c>
      <c r="C23" s="28">
        <f>'Q2 Base'!D23</f>
        <v>2.0020026706730793E-3</v>
      </c>
      <c r="D23" s="28">
        <f>'Q2 Base'!E23</f>
        <v>2.2916237651302452E-3</v>
      </c>
      <c r="E23" s="28">
        <f t="shared" si="6"/>
        <v>0.96331968297392323</v>
      </c>
      <c r="F23">
        <f t="shared" si="1"/>
        <v>1.9285685780257382E-3</v>
      </c>
      <c r="G23">
        <f t="shared" si="2"/>
        <v>2.207566278920776E-3</v>
      </c>
      <c r="H23">
        <f t="shared" si="7"/>
        <v>1.7744875571075555E-2</v>
      </c>
      <c r="I23">
        <f t="shared" si="8"/>
        <v>1.897826254535798E-2</v>
      </c>
      <c r="J23">
        <f t="shared" si="3"/>
        <v>2.002002670673078E-3</v>
      </c>
      <c r="K23">
        <f t="shared" si="4"/>
        <v>2.2916237651302456E-3</v>
      </c>
      <c r="P23" s="1"/>
      <c r="Q23" s="1"/>
    </row>
    <row r="24" spans="1:17" ht="14.65" thickBot="1" x14ac:dyDescent="0.5">
      <c r="A24" s="26">
        <f t="shared" si="5"/>
        <v>20</v>
      </c>
      <c r="B24" s="27"/>
      <c r="C24" s="29"/>
      <c r="D24" s="29"/>
      <c r="E24" s="47">
        <f t="shared" si="6"/>
        <v>0.9591924149311567</v>
      </c>
      <c r="F24">
        <f t="shared" si="1"/>
        <v>0</v>
      </c>
      <c r="G24">
        <f t="shared" si="2"/>
        <v>0</v>
      </c>
      <c r="H24">
        <f t="shared" si="7"/>
        <v>1.9673444149101292E-2</v>
      </c>
      <c r="I24">
        <f t="shared" si="8"/>
        <v>2.1185828824278757E-2</v>
      </c>
      <c r="P24" s="1"/>
      <c r="Q24" s="1"/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246E-7A7F-4A8A-9E8D-CA43CF55E25E}">
  <dimension ref="B1:AD28"/>
  <sheetViews>
    <sheetView tabSelected="1" zoomScale="85" zoomScaleNormal="85" workbookViewId="0">
      <selection activeCell="AA24" sqref="AA24"/>
    </sheetView>
  </sheetViews>
  <sheetFormatPr defaultRowHeight="14.25" x14ac:dyDescent="0.45"/>
  <cols>
    <col min="3" max="3" width="10.59765625" bestFit="1" customWidth="1"/>
    <col min="4" max="5" width="9.59765625" bestFit="1" customWidth="1"/>
    <col min="6" max="6" width="9.265625" bestFit="1" customWidth="1"/>
    <col min="7" max="8" width="16.73046875" customWidth="1"/>
    <col min="9" max="9" width="11.19921875" customWidth="1"/>
    <col min="10" max="10" width="10.59765625" bestFit="1" customWidth="1"/>
    <col min="11" max="11" width="11.46484375" customWidth="1"/>
    <col min="12" max="12" width="9.3984375" bestFit="1" customWidth="1"/>
    <col min="13" max="15" width="9.265625" bestFit="1" customWidth="1"/>
    <col min="16" max="16" width="11.86328125" customWidth="1"/>
    <col min="18" max="18" width="10.59765625" bestFit="1" customWidth="1"/>
    <col min="21" max="21" width="11" bestFit="1" customWidth="1"/>
    <col min="22" max="22" width="11" customWidth="1"/>
    <col min="24" max="24" width="10.73046875" customWidth="1"/>
    <col min="25" max="25" width="11.86328125" customWidth="1"/>
    <col min="26" max="26" width="15.3984375" customWidth="1"/>
    <col min="27" max="27" width="14.1328125" customWidth="1"/>
    <col min="28" max="28" width="10.73046875" customWidth="1"/>
  </cols>
  <sheetData>
    <row r="1" spans="2:28" s="12" customFormat="1" x14ac:dyDescent="0.45">
      <c r="D1" s="52"/>
      <c r="E1" s="52"/>
      <c r="F1" s="52"/>
      <c r="G1" s="52"/>
      <c r="H1" s="52"/>
      <c r="I1" s="52"/>
      <c r="J1" s="52"/>
    </row>
    <row r="2" spans="2:28" x14ac:dyDescent="0.45">
      <c r="B2" s="11" t="s">
        <v>55</v>
      </c>
      <c r="D2" s="41">
        <v>0.98135503759140486</v>
      </c>
      <c r="E2" s="3" t="s">
        <v>116</v>
      </c>
      <c r="F2" s="3"/>
      <c r="G2" s="41"/>
      <c r="H2" s="3"/>
      <c r="I2" s="14"/>
      <c r="O2" s="11" t="s">
        <v>117</v>
      </c>
      <c r="Q2" s="8"/>
      <c r="R2" s="3"/>
      <c r="S2" s="3"/>
      <c r="T2" s="3"/>
      <c r="U2" s="3"/>
      <c r="V2" s="3"/>
      <c r="W2" s="14"/>
      <c r="Z2" s="11">
        <f>1/(1+'Q2 Base'!H19)</f>
        <v>0.93457943925233644</v>
      </c>
    </row>
    <row r="3" spans="2:28" s="15" customFormat="1" ht="42.75" x14ac:dyDescent="0.45">
      <c r="B3" s="15" t="s">
        <v>20</v>
      </c>
      <c r="C3" s="15" t="s">
        <v>76</v>
      </c>
      <c r="D3" s="15" t="s">
        <v>91</v>
      </c>
      <c r="E3" s="15" t="s">
        <v>92</v>
      </c>
      <c r="F3" s="15" t="s">
        <v>93</v>
      </c>
      <c r="G3" s="15" t="s">
        <v>98</v>
      </c>
      <c r="H3" s="15" t="s">
        <v>94</v>
      </c>
      <c r="I3" s="15" t="s">
        <v>95</v>
      </c>
      <c r="J3" s="15" t="s">
        <v>96</v>
      </c>
      <c r="K3" s="15" t="s">
        <v>97</v>
      </c>
      <c r="O3" s="15" t="s">
        <v>20</v>
      </c>
      <c r="P3" s="15" t="s">
        <v>107</v>
      </c>
      <c r="Q3" s="15" t="s">
        <v>15</v>
      </c>
      <c r="R3" s="15" t="s">
        <v>74</v>
      </c>
      <c r="S3" s="15" t="s">
        <v>108</v>
      </c>
      <c r="T3" s="15" t="s">
        <v>96</v>
      </c>
      <c r="U3" s="15" t="s">
        <v>115</v>
      </c>
      <c r="V3" s="15" t="s">
        <v>118</v>
      </c>
      <c r="W3" s="15" t="s">
        <v>109</v>
      </c>
      <c r="X3" s="15" t="s">
        <v>110</v>
      </c>
      <c r="Y3" s="15" t="s">
        <v>111</v>
      </c>
      <c r="Z3" s="15" t="s">
        <v>112</v>
      </c>
      <c r="AA3" s="15" t="s">
        <v>113</v>
      </c>
    </row>
    <row r="4" spans="2:28" x14ac:dyDescent="0.45">
      <c r="B4">
        <v>1</v>
      </c>
      <c r="C4" s="10">
        <f>'Q2 Base'!$H$7</f>
        <v>2000</v>
      </c>
      <c r="D4" s="45">
        <f>$D$2</f>
        <v>0.98135503759140486</v>
      </c>
      <c r="E4" s="45">
        <f>1-'Q2 Base'!$H$9</f>
        <v>0.99</v>
      </c>
      <c r="F4" s="10">
        <f t="shared" ref="F4:F23" si="0">C4*D4*E4</f>
        <v>1943.0829744309817</v>
      </c>
      <c r="G4" s="10">
        <f>F4</f>
        <v>1943.0829744309817</v>
      </c>
      <c r="H4" s="46">
        <f>G4*'Q2 Base'!$H$17</f>
        <v>77.723318977239273</v>
      </c>
      <c r="I4" s="10">
        <f>G4+H4</f>
        <v>2020.8062934082209</v>
      </c>
      <c r="J4" s="10">
        <f>I4*'Q2 Base'!$H$10</f>
        <v>10.104031467041105</v>
      </c>
      <c r="K4" s="4">
        <f>I4-J4</f>
        <v>2010.7022619411798</v>
      </c>
      <c r="N4" s="21"/>
      <c r="O4">
        <v>1</v>
      </c>
      <c r="P4" s="21">
        <f>C4-F4</f>
        <v>56.917025569018278</v>
      </c>
      <c r="Q4" s="22">
        <f>'Q2 Base'!H24</f>
        <v>75</v>
      </c>
      <c r="R4" s="21">
        <f>'Q2 Base'!H7*'Q2 Base'!H26</f>
        <v>1000</v>
      </c>
      <c r="S4" s="21">
        <f>(P4-Q4-R4)*'Q2 Base'!$H$18</f>
        <v>-10.180829744309817</v>
      </c>
      <c r="T4" s="21">
        <f>J4</f>
        <v>10.104031467041105</v>
      </c>
      <c r="U4" s="21">
        <f>MAX('Q2 (ii)'!K4*('Q2 Base'!$H$6-'Q2 (iii)'!K4),0)</f>
        <v>6.5482563592319405</v>
      </c>
      <c r="V4" s="21">
        <f>'Q2 (ii)'!J4*'Q2 (iii)'!J4</f>
        <v>4.0424211249507182E-3</v>
      </c>
      <c r="W4" s="21">
        <f>P4-Q4-R4+S4+T4-U4-V4</f>
        <v>-1024.7120714886075</v>
      </c>
      <c r="X4" s="44">
        <f>'Q2 (ii)'!E4</f>
        <v>1</v>
      </c>
      <c r="Y4">
        <f>X4*W4</f>
        <v>-1024.7120714886075</v>
      </c>
      <c r="Z4" s="44">
        <f t="shared" ref="Z4:Z23" si="1">$Z$2^O4</f>
        <v>0.93457943925233644</v>
      </c>
      <c r="AA4" s="21">
        <f>Y4*Z4</f>
        <v>-957.67483316692289</v>
      </c>
      <c r="AB4" s="4"/>
    </row>
    <row r="5" spans="2:28" x14ac:dyDescent="0.45">
      <c r="B5">
        <v>2</v>
      </c>
      <c r="C5" s="10">
        <f>'Q2 Base'!$H$7</f>
        <v>2000</v>
      </c>
      <c r="D5" s="45">
        <f t="shared" ref="D5:D23" si="2">$D$2</f>
        <v>0.98135503759140486</v>
      </c>
      <c r="E5" s="45">
        <f>1-'Q2 Base'!$H$9</f>
        <v>0.99</v>
      </c>
      <c r="F5" s="10">
        <f t="shared" si="0"/>
        <v>1943.0829744309817</v>
      </c>
      <c r="G5" s="10">
        <f>K4+F5</f>
        <v>3953.7852363721613</v>
      </c>
      <c r="H5" s="46">
        <f>G5*'Q2 Base'!$H$17</f>
        <v>158.15140945488645</v>
      </c>
      <c r="I5" s="10">
        <f t="shared" ref="I5:I23" si="3">G5+H5</f>
        <v>4111.9366458270479</v>
      </c>
      <c r="J5" s="10">
        <f>I5*'Q2 Base'!$H$10</f>
        <v>20.559683229135238</v>
      </c>
      <c r="K5" s="4">
        <f t="shared" ref="K5:K23" si="4">I5-J5</f>
        <v>4091.3769625979126</v>
      </c>
      <c r="N5" s="21"/>
      <c r="O5">
        <v>2</v>
      </c>
      <c r="P5" s="21">
        <f t="shared" ref="P5:P23" si="5">C5-F5</f>
        <v>56.917025569018278</v>
      </c>
      <c r="Q5" s="22">
        <f>'Q2 Base'!$H$25</f>
        <v>25</v>
      </c>
      <c r="R5" s="21">
        <f>'Q2 Base'!$H$7*'Q2 Base'!$H$27</f>
        <v>20</v>
      </c>
      <c r="S5" s="21">
        <f>(P5-Q5-R5)*'Q2 Base'!$H$18</f>
        <v>0.11917025569018279</v>
      </c>
      <c r="T5" s="21">
        <f t="shared" ref="T5:T23" si="6">J5</f>
        <v>20.559683229135238</v>
      </c>
      <c r="U5" s="21">
        <f>MAX('Q2 (ii)'!K5*('Q2 Base'!$H$6-'Q2 (iii)'!K5),0)</f>
        <v>5.9031620125766526</v>
      </c>
      <c r="V5" s="21">
        <f>'Q2 (ii)'!J5*'Q2 (iii)'!J5</f>
        <v>8.2255185050497184E-3</v>
      </c>
      <c r="W5" s="21">
        <f t="shared" ref="W5:W23" si="7">P5-Q5-R5+S5+T5-U5-V5</f>
        <v>26.684491522762002</v>
      </c>
      <c r="X5" s="44">
        <f>'Q2 (ii)'!E5</f>
        <v>0.99909620160000012</v>
      </c>
      <c r="Y5">
        <f t="shared" ref="Y5:Y23" si="8">X5*W5</f>
        <v>26.660374122018919</v>
      </c>
      <c r="Z5" s="44">
        <f t="shared" si="1"/>
        <v>0.87343872827321167</v>
      </c>
      <c r="AA5" s="21">
        <f t="shared" ref="AA5:AA23" si="9">Y5*Z5</f>
        <v>23.286203268424245</v>
      </c>
      <c r="AB5" s="4"/>
    </row>
    <row r="6" spans="2:28" x14ac:dyDescent="0.45">
      <c r="B6">
        <v>3</v>
      </c>
      <c r="C6" s="10">
        <f>'Q2 Base'!$H$7</f>
        <v>2000</v>
      </c>
      <c r="D6" s="45">
        <f t="shared" si="2"/>
        <v>0.98135503759140486</v>
      </c>
      <c r="E6" s="45">
        <f>1-'Q2 Base'!$H$9</f>
        <v>0.99</v>
      </c>
      <c r="F6" s="10">
        <f t="shared" si="0"/>
        <v>1943.0829744309817</v>
      </c>
      <c r="G6" s="10">
        <f t="shared" ref="G6:G23" si="10">K5+F6</f>
        <v>6034.4599370288943</v>
      </c>
      <c r="H6" s="46">
        <f>G6*'Q2 Base'!$H$17</f>
        <v>241.37839748115579</v>
      </c>
      <c r="I6" s="10">
        <f t="shared" si="3"/>
        <v>6275.8383345100501</v>
      </c>
      <c r="J6" s="10">
        <f>I6*'Q2 Base'!$H$10</f>
        <v>31.379191672550252</v>
      </c>
      <c r="K6" s="4">
        <f t="shared" si="4"/>
        <v>6244.4591428374997</v>
      </c>
      <c r="N6" s="21"/>
      <c r="O6">
        <v>3</v>
      </c>
      <c r="P6" s="21">
        <f t="shared" si="5"/>
        <v>56.917025569018278</v>
      </c>
      <c r="Q6" s="22">
        <f>'Q2 Base'!$H$25</f>
        <v>25</v>
      </c>
      <c r="R6" s="21">
        <f>'Q2 Base'!$H$7*'Q2 Base'!$H$27</f>
        <v>20</v>
      </c>
      <c r="S6" s="21">
        <f>(P6-Q6-R6)*'Q2 Base'!$H$18</f>
        <v>0.11917025569018279</v>
      </c>
      <c r="T6" s="21">
        <f t="shared" si="6"/>
        <v>31.379191672550252</v>
      </c>
      <c r="U6" s="21">
        <f>MAX('Q2 (ii)'!K6*('Q2 Base'!$H$6-'Q2 (iii)'!K6),0)</f>
        <v>5.0358839482925024</v>
      </c>
      <c r="V6" s="21">
        <f>'Q2 (ii)'!J6*'Q2 (iii)'!J6</f>
        <v>1.4123814349267655E-2</v>
      </c>
      <c r="W6" s="21">
        <f t="shared" si="7"/>
        <v>38.365379734616944</v>
      </c>
      <c r="X6" s="44">
        <f>'Q2 (ii)'!E6</f>
        <v>0.99815626827871262</v>
      </c>
      <c r="Y6">
        <f t="shared" si="8"/>
        <v>38.294644267000997</v>
      </c>
      <c r="Z6" s="44">
        <f t="shared" si="1"/>
        <v>0.81629787689085198</v>
      </c>
      <c r="AA6" s="21">
        <f t="shared" si="9"/>
        <v>31.25983681144335</v>
      </c>
      <c r="AB6" s="4"/>
    </row>
    <row r="7" spans="2:28" x14ac:dyDescent="0.45">
      <c r="B7">
        <v>4</v>
      </c>
      <c r="C7" s="10">
        <f>'Q2 Base'!$H$7</f>
        <v>2000</v>
      </c>
      <c r="D7" s="45">
        <f t="shared" si="2"/>
        <v>0.98135503759140486</v>
      </c>
      <c r="E7" s="45">
        <f>1-'Q2 Base'!$H$9</f>
        <v>0.99</v>
      </c>
      <c r="F7" s="10">
        <f t="shared" si="0"/>
        <v>1943.0829744309817</v>
      </c>
      <c r="G7" s="10">
        <f t="shared" si="10"/>
        <v>8187.5421172684819</v>
      </c>
      <c r="H7" s="46">
        <f>G7*'Q2 Base'!$H$17</f>
        <v>327.5016846907393</v>
      </c>
      <c r="I7" s="10">
        <f t="shared" si="3"/>
        <v>8515.043801959222</v>
      </c>
      <c r="J7" s="10">
        <f>I7*'Q2 Base'!$H$10</f>
        <v>42.575219009796108</v>
      </c>
      <c r="K7" s="4">
        <f t="shared" si="4"/>
        <v>8472.4685829494265</v>
      </c>
      <c r="N7" s="21"/>
      <c r="O7">
        <v>4</v>
      </c>
      <c r="P7" s="21">
        <f t="shared" si="5"/>
        <v>56.917025569018278</v>
      </c>
      <c r="Q7" s="22">
        <f>'Q2 Base'!$H$25</f>
        <v>25</v>
      </c>
      <c r="R7" s="21">
        <f>'Q2 Base'!$H$7*'Q2 Base'!$H$27</f>
        <v>20</v>
      </c>
      <c r="S7" s="21">
        <f>(P7-Q7-R7)*'Q2 Base'!$H$18</f>
        <v>0.11917025569018279</v>
      </c>
      <c r="T7" s="21">
        <f t="shared" si="6"/>
        <v>42.575219009796108</v>
      </c>
      <c r="U7" s="21">
        <f>MAX('Q2 (ii)'!K7*('Q2 Base'!$H$6-'Q2 (iii)'!K7),0)</f>
        <v>3.9960721500761052</v>
      </c>
      <c r="V7" s="21">
        <f>'Q2 (ii)'!J7*'Q2 (iii)'!J7</f>
        <v>1.9163160588989776E-2</v>
      </c>
      <c r="W7" s="21">
        <f t="shared" si="7"/>
        <v>50.596179523839481</v>
      </c>
      <c r="X7" s="44">
        <f>'Q2 (ii)'!E7</f>
        <v>0.99713341637666142</v>
      </c>
      <c r="Y7">
        <f t="shared" si="8"/>
        <v>50.451141344212942</v>
      </c>
      <c r="Z7" s="44">
        <f t="shared" si="1"/>
        <v>0.76289521204752531</v>
      </c>
      <c r="AA7" s="21">
        <f t="shared" si="9"/>
        <v>38.488934173833002</v>
      </c>
      <c r="AB7" s="4"/>
    </row>
    <row r="8" spans="2:28" x14ac:dyDescent="0.45">
      <c r="B8">
        <v>5</v>
      </c>
      <c r="C8" s="10">
        <f>'Q2 Base'!$H$7</f>
        <v>2000</v>
      </c>
      <c r="D8" s="45">
        <f t="shared" si="2"/>
        <v>0.98135503759140486</v>
      </c>
      <c r="E8" s="45">
        <f>1-'Q2 Base'!$H$9</f>
        <v>0.99</v>
      </c>
      <c r="F8" s="10">
        <f t="shared" si="0"/>
        <v>1943.0829744309817</v>
      </c>
      <c r="G8" s="10">
        <f t="shared" si="10"/>
        <v>10415.551557380408</v>
      </c>
      <c r="H8" s="46">
        <f>G8*'Q2 Base'!$H$17</f>
        <v>416.62206229521632</v>
      </c>
      <c r="I8" s="10">
        <f t="shared" si="3"/>
        <v>10832.173619675625</v>
      </c>
      <c r="J8" s="10">
        <f>I8*'Q2 Base'!$H$10</f>
        <v>54.160868098378124</v>
      </c>
      <c r="K8" s="4">
        <f t="shared" si="4"/>
        <v>10778.012751577247</v>
      </c>
      <c r="N8" s="21"/>
      <c r="O8">
        <v>5</v>
      </c>
      <c r="P8" s="21">
        <f t="shared" si="5"/>
        <v>56.917025569018278</v>
      </c>
      <c r="Q8" s="22">
        <f>'Q2 Base'!$H$25</f>
        <v>25</v>
      </c>
      <c r="R8" s="21">
        <f>'Q2 Base'!$H$7*'Q2 Base'!$H$27</f>
        <v>20</v>
      </c>
      <c r="S8" s="21">
        <f>(P8-Q8-R8)*'Q2 Base'!$H$18</f>
        <v>0.11917025569018279</v>
      </c>
      <c r="T8" s="21">
        <f t="shared" si="6"/>
        <v>54.160868098378124</v>
      </c>
      <c r="U8" s="21">
        <f>MAX('Q2 (ii)'!K8*('Q2 Base'!$H$6-'Q2 (iii)'!K8),0)</f>
        <v>2.7578582119562958</v>
      </c>
      <c r="V8" s="21">
        <f>'Q2 (ii)'!J8*'Q2 (iii)'!J8</f>
        <v>2.7087206415247818E-2</v>
      </c>
      <c r="W8" s="21">
        <f t="shared" si="7"/>
        <v>63.412118504715046</v>
      </c>
      <c r="X8" s="44">
        <f>'Q2 (ii)'!E8</f>
        <v>0.99607473529901236</v>
      </c>
      <c r="Y8">
        <f t="shared" si="8"/>
        <v>63.163209154333643</v>
      </c>
      <c r="Z8" s="44">
        <f t="shared" si="1"/>
        <v>0.71298617948366849</v>
      </c>
      <c r="AA8" s="21">
        <f t="shared" si="9"/>
        <v>45.03449517887622</v>
      </c>
      <c r="AB8" s="4"/>
    </row>
    <row r="9" spans="2:28" x14ac:dyDescent="0.45">
      <c r="B9">
        <v>6</v>
      </c>
      <c r="C9" s="10">
        <f>'Q2 Base'!$H$7</f>
        <v>2000</v>
      </c>
      <c r="D9" s="45">
        <f t="shared" si="2"/>
        <v>0.98135503759140486</v>
      </c>
      <c r="E9" s="45">
        <f>1-'Q2 Base'!$H$9</f>
        <v>0.99</v>
      </c>
      <c r="F9" s="10">
        <f t="shared" si="0"/>
        <v>1943.0829744309817</v>
      </c>
      <c r="G9" s="10">
        <f t="shared" si="10"/>
        <v>12721.095726008229</v>
      </c>
      <c r="H9" s="46">
        <f>G9*'Q2 Base'!$H$17</f>
        <v>508.84382904032918</v>
      </c>
      <c r="I9" s="10">
        <f t="shared" si="3"/>
        <v>13229.939555048557</v>
      </c>
      <c r="J9" s="10">
        <f>I9*'Q2 Base'!$H$10</f>
        <v>66.149697775242785</v>
      </c>
      <c r="K9" s="4">
        <f t="shared" si="4"/>
        <v>13163.789857273314</v>
      </c>
      <c r="N9" s="21"/>
      <c r="O9">
        <v>6</v>
      </c>
      <c r="P9" s="21">
        <f t="shared" si="5"/>
        <v>56.917025569018278</v>
      </c>
      <c r="Q9" s="22">
        <f>'Q2 Base'!$H$25</f>
        <v>25</v>
      </c>
      <c r="R9" s="21">
        <f>'Q2 Base'!$H$7*'Q2 Base'!$H$27</f>
        <v>20</v>
      </c>
      <c r="S9" s="21">
        <f>(P9-Q9-R9)*'Q2 Base'!$H$18</f>
        <v>0.11917025569018279</v>
      </c>
      <c r="T9" s="21">
        <f t="shared" si="6"/>
        <v>66.149697775242785</v>
      </c>
      <c r="U9" s="21">
        <f>MAX('Q2 (ii)'!K9*('Q2 Base'!$H$6-'Q2 (iii)'!K9),0)</f>
        <v>1.2784472105934401</v>
      </c>
      <c r="V9" s="21">
        <f>'Q2 (ii)'!J9*'Q2 (iii)'!J9</f>
        <v>3.639234258824129E-2</v>
      </c>
      <c r="W9" s="21">
        <f t="shared" si="7"/>
        <v>76.871054046769558</v>
      </c>
      <c r="X9" s="44">
        <f>'Q2 (ii)'!E9</f>
        <v>0.99492658634761377</v>
      </c>
      <c r="Y9">
        <f t="shared" si="8"/>
        <v>76.481055391695364</v>
      </c>
      <c r="Z9" s="44">
        <f t="shared" si="1"/>
        <v>0.66634222381651265</v>
      </c>
      <c r="AA9" s="21">
        <f t="shared" si="9"/>
        <v>50.962556529536172</v>
      </c>
      <c r="AB9" s="4"/>
    </row>
    <row r="10" spans="2:28" x14ac:dyDescent="0.45">
      <c r="B10">
        <v>7</v>
      </c>
      <c r="C10" s="10">
        <f>'Q2 Base'!$H$7</f>
        <v>2000</v>
      </c>
      <c r="D10" s="45">
        <f t="shared" si="2"/>
        <v>0.98135503759140486</v>
      </c>
      <c r="E10" s="45">
        <f>1-'Q2 Base'!$H$9</f>
        <v>0.99</v>
      </c>
      <c r="F10" s="10">
        <f t="shared" si="0"/>
        <v>1943.0829744309817</v>
      </c>
      <c r="G10" s="10">
        <f t="shared" si="10"/>
        <v>15106.872831704295</v>
      </c>
      <c r="H10" s="46">
        <f>G10*'Q2 Base'!$H$17</f>
        <v>604.27491326817187</v>
      </c>
      <c r="I10" s="10">
        <f t="shared" si="3"/>
        <v>15711.147744972466</v>
      </c>
      <c r="J10" s="10">
        <f>I10*'Q2 Base'!$H$10</f>
        <v>78.555738724862337</v>
      </c>
      <c r="K10" s="4">
        <f t="shared" si="4"/>
        <v>15632.592006247603</v>
      </c>
      <c r="N10" s="21"/>
      <c r="O10">
        <v>7</v>
      </c>
      <c r="P10" s="21">
        <f t="shared" si="5"/>
        <v>56.917025569018278</v>
      </c>
      <c r="Q10" s="22">
        <f>'Q2 Base'!$H$25</f>
        <v>25</v>
      </c>
      <c r="R10" s="21">
        <f>'Q2 Base'!$H$7*'Q2 Base'!$H$27</f>
        <v>20</v>
      </c>
      <c r="S10" s="21">
        <f>(P10-Q10-R10)*'Q2 Base'!$H$18</f>
        <v>0.11917025569018279</v>
      </c>
      <c r="T10" s="21">
        <f t="shared" si="6"/>
        <v>78.555738724862337</v>
      </c>
      <c r="U10" s="21">
        <f>MAX('Q2 (ii)'!K10*('Q2 Base'!$H$6-'Q2 (iii)'!K10),0)</f>
        <v>0</v>
      </c>
      <c r="V10" s="21">
        <f>'Q2 (ii)'!J10*'Q2 (iii)'!J10</f>
        <v>4.7147588926451045E-2</v>
      </c>
      <c r="W10" s="21">
        <f t="shared" si="7"/>
        <v>90.544786960644345</v>
      </c>
      <c r="X10" s="44">
        <f>'Q2 (ii)'!E10</f>
        <v>0.99368728867892187</v>
      </c>
      <c r="Y10">
        <f t="shared" si="8"/>
        <v>89.973203858933275</v>
      </c>
      <c r="Z10" s="44">
        <f t="shared" si="1"/>
        <v>0.6227497418845912</v>
      </c>
      <c r="AA10" s="21">
        <f t="shared" si="9"/>
        <v>56.030789479680401</v>
      </c>
      <c r="AB10" s="4"/>
    </row>
    <row r="11" spans="2:28" x14ac:dyDescent="0.45">
      <c r="B11">
        <v>8</v>
      </c>
      <c r="C11" s="10">
        <f>'Q2 Base'!$H$7</f>
        <v>2000</v>
      </c>
      <c r="D11" s="45">
        <f t="shared" si="2"/>
        <v>0.98135503759140486</v>
      </c>
      <c r="E11" s="45">
        <f>1-'Q2 Base'!$H$9</f>
        <v>0.99</v>
      </c>
      <c r="F11" s="10">
        <f t="shared" si="0"/>
        <v>1943.0829744309817</v>
      </c>
      <c r="G11" s="10">
        <f t="shared" si="10"/>
        <v>17575.674980678585</v>
      </c>
      <c r="H11" s="46">
        <f>G11*'Q2 Base'!$H$17</f>
        <v>703.02699922714339</v>
      </c>
      <c r="I11" s="10">
        <f t="shared" si="3"/>
        <v>18278.701979905727</v>
      </c>
      <c r="J11" s="10">
        <f>I11*'Q2 Base'!$H$10</f>
        <v>91.393509899528638</v>
      </c>
      <c r="K11" s="4">
        <f t="shared" si="4"/>
        <v>18187.308470006199</v>
      </c>
      <c r="N11" s="21"/>
      <c r="O11">
        <v>8</v>
      </c>
      <c r="P11" s="21">
        <f t="shared" si="5"/>
        <v>56.917025569018278</v>
      </c>
      <c r="Q11" s="22">
        <f>'Q2 Base'!$H$25</f>
        <v>25</v>
      </c>
      <c r="R11" s="21">
        <f>'Q2 Base'!$H$7*'Q2 Base'!$H$27</f>
        <v>20</v>
      </c>
      <c r="S11" s="21">
        <f>(P11-Q11-R11)*'Q2 Base'!$H$18</f>
        <v>0.11917025569018279</v>
      </c>
      <c r="T11" s="21">
        <f t="shared" si="6"/>
        <v>91.393509899528638</v>
      </c>
      <c r="U11" s="21">
        <f>MAX('Q2 (ii)'!K11*('Q2 Base'!$H$6-'Q2 (iii)'!K11),0)</f>
        <v>0</v>
      </c>
      <c r="V11" s="21">
        <f>'Q2 (ii)'!J11*'Q2 (iii)'!J11</f>
        <v>6.3997858794412096E-2</v>
      </c>
      <c r="W11" s="21">
        <f t="shared" si="7"/>
        <v>103.36570786544269</v>
      </c>
      <c r="X11" s="44">
        <f>'Q2 (ii)'!E11</f>
        <v>0.99234923727171409</v>
      </c>
      <c r="Y11">
        <f t="shared" si="8"/>
        <v>102.57488136032286</v>
      </c>
      <c r="Z11" s="44">
        <f t="shared" si="1"/>
        <v>0.58200910456503863</v>
      </c>
      <c r="AA11" s="21">
        <f t="shared" si="9"/>
        <v>59.699514851386581</v>
      </c>
      <c r="AB11" s="4"/>
    </row>
    <row r="12" spans="2:28" x14ac:dyDescent="0.45">
      <c r="B12">
        <v>9</v>
      </c>
      <c r="C12" s="10">
        <f>'Q2 Base'!$H$7</f>
        <v>2000</v>
      </c>
      <c r="D12" s="45">
        <f t="shared" si="2"/>
        <v>0.98135503759140486</v>
      </c>
      <c r="E12" s="45">
        <f>1-'Q2 Base'!$H$9</f>
        <v>0.99</v>
      </c>
      <c r="F12" s="10">
        <f t="shared" si="0"/>
        <v>1943.0829744309817</v>
      </c>
      <c r="G12" s="10">
        <f t="shared" si="10"/>
        <v>20130.39144443718</v>
      </c>
      <c r="H12" s="46">
        <f>G12*'Q2 Base'!$H$17</f>
        <v>805.21565777748719</v>
      </c>
      <c r="I12" s="10">
        <f t="shared" si="3"/>
        <v>20935.607102214668</v>
      </c>
      <c r="J12" s="10">
        <f>I12*'Q2 Base'!$H$10</f>
        <v>104.67803551107335</v>
      </c>
      <c r="K12" s="4">
        <f t="shared" si="4"/>
        <v>20830.929066703593</v>
      </c>
      <c r="N12" s="21"/>
      <c r="O12">
        <v>9</v>
      </c>
      <c r="P12" s="21">
        <f t="shared" si="5"/>
        <v>56.917025569018278</v>
      </c>
      <c r="Q12" s="22">
        <f>'Q2 Base'!$H$25</f>
        <v>25</v>
      </c>
      <c r="R12" s="21">
        <f>'Q2 Base'!$H$7*'Q2 Base'!$H$27</f>
        <v>20</v>
      </c>
      <c r="S12" s="21">
        <f>(P12-Q12-R12)*'Q2 Base'!$H$18</f>
        <v>0.11917025569018279</v>
      </c>
      <c r="T12" s="21">
        <f t="shared" si="6"/>
        <v>104.67803551107335</v>
      </c>
      <c r="U12" s="21">
        <f>MAX('Q2 (ii)'!K12*('Q2 Base'!$H$6-'Q2 (iii)'!K12),0)</f>
        <v>0</v>
      </c>
      <c r="V12" s="21">
        <f>'Q2 (ii)'!J12*'Q2 (iii)'!J12</f>
        <v>9.4252652018294039E-2</v>
      </c>
      <c r="W12" s="21">
        <f t="shared" si="7"/>
        <v>116.61997868376351</v>
      </c>
      <c r="X12" s="44">
        <f>'Q2 (ii)'!E12</f>
        <v>0.99085928582219385</v>
      </c>
      <c r="Y12">
        <f t="shared" si="8"/>
        <v>115.55398879119338</v>
      </c>
      <c r="Z12" s="44">
        <f t="shared" si="1"/>
        <v>0.54393374258414828</v>
      </c>
      <c r="AA12" s="21">
        <f t="shared" si="9"/>
        <v>62.853713593720535</v>
      </c>
      <c r="AB12" s="4"/>
    </row>
    <row r="13" spans="2:28" x14ac:dyDescent="0.45">
      <c r="B13">
        <v>10</v>
      </c>
      <c r="C13" s="10">
        <f>'Q2 Base'!$H$7</f>
        <v>2000</v>
      </c>
      <c r="D13" s="45">
        <f t="shared" si="2"/>
        <v>0.98135503759140486</v>
      </c>
      <c r="E13" s="45">
        <f>1-'Q2 Base'!$H$9</f>
        <v>0.99</v>
      </c>
      <c r="F13" s="10">
        <f t="shared" si="0"/>
        <v>1943.0829744309817</v>
      </c>
      <c r="G13" s="10">
        <f t="shared" si="10"/>
        <v>22774.012041134574</v>
      </c>
      <c r="H13" s="46">
        <f>G13*'Q2 Base'!$H$17</f>
        <v>910.96048164538297</v>
      </c>
      <c r="I13" s="10">
        <f t="shared" si="3"/>
        <v>23684.972522779957</v>
      </c>
      <c r="J13" s="10">
        <f>I13*'Q2 Base'!$H$10</f>
        <v>118.42486261389979</v>
      </c>
      <c r="K13" s="4">
        <f t="shared" si="4"/>
        <v>23566.547660166056</v>
      </c>
      <c r="N13" s="21"/>
      <c r="O13">
        <v>10</v>
      </c>
      <c r="P13" s="21">
        <f t="shared" si="5"/>
        <v>56.917025569018278</v>
      </c>
      <c r="Q13" s="22">
        <f>'Q2 Base'!$H$25</f>
        <v>25</v>
      </c>
      <c r="R13" s="21">
        <f>'Q2 Base'!$H$7*'Q2 Base'!$H$27</f>
        <v>20</v>
      </c>
      <c r="S13" s="21">
        <f>(P13-Q13-R13)*'Q2 Base'!$H$18</f>
        <v>0.11917025569018279</v>
      </c>
      <c r="T13" s="21">
        <f t="shared" si="6"/>
        <v>118.42486261389979</v>
      </c>
      <c r="U13" s="21">
        <f>MAX('Q2 (ii)'!K13*('Q2 Base'!$H$6-'Q2 (iii)'!K13),0)</f>
        <v>0</v>
      </c>
      <c r="V13" s="21">
        <f>'Q2 (ii)'!J13*'Q2 (iii)'!J13</f>
        <v>0.11848411454979096</v>
      </c>
      <c r="W13" s="21">
        <f t="shared" si="7"/>
        <v>130.34257432405846</v>
      </c>
      <c r="X13" s="44">
        <f>'Q2 (ii)'!E13</f>
        <v>0.9891220802093087</v>
      </c>
      <c r="Y13">
        <f t="shared" si="8"/>
        <v>128.92471825524913</v>
      </c>
      <c r="Z13" s="44">
        <f t="shared" si="1"/>
        <v>0.50834929213471802</v>
      </c>
      <c r="AA13" s="21">
        <f t="shared" si="9"/>
        <v>65.538789263723856</v>
      </c>
      <c r="AB13" s="4"/>
    </row>
    <row r="14" spans="2:28" x14ac:dyDescent="0.45">
      <c r="B14">
        <v>11</v>
      </c>
      <c r="C14" s="10">
        <f>'Q2 Base'!$H$7</f>
        <v>2000</v>
      </c>
      <c r="D14" s="45">
        <f t="shared" si="2"/>
        <v>0.98135503759140486</v>
      </c>
      <c r="E14" s="45">
        <f>1-'Q2 Base'!$H$9</f>
        <v>0.99</v>
      </c>
      <c r="F14" s="10">
        <f t="shared" si="0"/>
        <v>1943.0829744309817</v>
      </c>
      <c r="G14" s="10">
        <f t="shared" si="10"/>
        <v>25509.630634597037</v>
      </c>
      <c r="H14" s="46">
        <f>G14*'Q2 Base'!$H$17</f>
        <v>1020.3852253838814</v>
      </c>
      <c r="I14" s="10">
        <f t="shared" si="3"/>
        <v>26530.015859980918</v>
      </c>
      <c r="J14" s="10">
        <f>I14*'Q2 Base'!$H$10</f>
        <v>132.6500792999046</v>
      </c>
      <c r="K14" s="4">
        <f t="shared" si="4"/>
        <v>26397.365780681015</v>
      </c>
      <c r="N14" s="21"/>
      <c r="O14">
        <v>11</v>
      </c>
      <c r="P14" s="21">
        <f t="shared" si="5"/>
        <v>56.917025569018278</v>
      </c>
      <c r="Q14" s="22">
        <f>'Q2 Base'!$H$25</f>
        <v>25</v>
      </c>
      <c r="R14" s="21">
        <f>'Q2 Base'!$H$7*'Q2 Base'!$H$27</f>
        <v>20</v>
      </c>
      <c r="S14" s="21">
        <f>(P14-Q14-R14)*'Q2 Base'!$H$18</f>
        <v>0.11917025569018279</v>
      </c>
      <c r="T14" s="21">
        <f t="shared" si="6"/>
        <v>132.6500792999046</v>
      </c>
      <c r="U14" s="21">
        <f>MAX('Q2 (ii)'!K14*('Q2 Base'!$H$6-'Q2 (iii)'!K14),0)</f>
        <v>0</v>
      </c>
      <c r="V14" s="21">
        <f>'Q2 (ii)'!J14*'Q2 (iii)'!J14</f>
        <v>0.13271644858943688</v>
      </c>
      <c r="W14" s="21">
        <f t="shared" si="7"/>
        <v>144.55355867602364</v>
      </c>
      <c r="X14" s="44">
        <f>'Q2 (ii)'!E14</f>
        <v>0.98724265033382508</v>
      </c>
      <c r="Y14">
        <f t="shared" si="8"/>
        <v>142.70943838250366</v>
      </c>
      <c r="Z14" s="44">
        <f t="shared" si="1"/>
        <v>0.47509279638758689</v>
      </c>
      <c r="AA14" s="21">
        <f t="shared" si="9"/>
        <v>67.800226152045695</v>
      </c>
      <c r="AB14" s="4"/>
    </row>
    <row r="15" spans="2:28" x14ac:dyDescent="0.45">
      <c r="B15">
        <v>12</v>
      </c>
      <c r="C15" s="10">
        <f>'Q2 Base'!$H$7</f>
        <v>2000</v>
      </c>
      <c r="D15" s="45">
        <f t="shared" si="2"/>
        <v>0.98135503759140486</v>
      </c>
      <c r="E15" s="45">
        <f>1-'Q2 Base'!$H$9</f>
        <v>0.99</v>
      </c>
      <c r="F15" s="10">
        <f t="shared" si="0"/>
        <v>1943.0829744309817</v>
      </c>
      <c r="G15" s="10">
        <f t="shared" si="10"/>
        <v>28340.448755111996</v>
      </c>
      <c r="H15" s="46">
        <f>G15*'Q2 Base'!$H$17</f>
        <v>1133.6179502044799</v>
      </c>
      <c r="I15" s="10">
        <f t="shared" si="3"/>
        <v>29474.066705316476</v>
      </c>
      <c r="J15" s="10">
        <f>I15*'Q2 Base'!$H$10</f>
        <v>147.37033352658239</v>
      </c>
      <c r="K15" s="4">
        <f t="shared" si="4"/>
        <v>29326.696371789894</v>
      </c>
      <c r="N15" s="21"/>
      <c r="O15">
        <v>12</v>
      </c>
      <c r="P15" s="21">
        <f t="shared" si="5"/>
        <v>56.917025569018278</v>
      </c>
      <c r="Q15" s="22">
        <f>'Q2 Base'!$H$25</f>
        <v>25</v>
      </c>
      <c r="R15" s="21">
        <f>'Q2 Base'!$H$7*'Q2 Base'!$H$27</f>
        <v>20</v>
      </c>
      <c r="S15" s="21">
        <f>(P15-Q15-R15)*'Q2 Base'!$H$18</f>
        <v>0.11917025569018279</v>
      </c>
      <c r="T15" s="21">
        <f t="shared" si="6"/>
        <v>147.37033352658239</v>
      </c>
      <c r="U15" s="21">
        <f>MAX('Q2 (ii)'!K15*('Q2 Base'!$H$6-'Q2 (iii)'!K15),0)</f>
        <v>0</v>
      </c>
      <c r="V15" s="21">
        <f>'Q2 (ii)'!J15*'Q2 (iii)'!J15</f>
        <v>0.16219659136831605</v>
      </c>
      <c r="W15" s="21">
        <f t="shared" si="7"/>
        <v>159.24433275992254</v>
      </c>
      <c r="X15" s="44">
        <f>'Q2 (ii)'!E15</f>
        <v>0.9853194513015997</v>
      </c>
      <c r="Y15">
        <f t="shared" si="8"/>
        <v>156.90653857789624</v>
      </c>
      <c r="Z15" s="44">
        <f t="shared" si="1"/>
        <v>0.4440119592407355</v>
      </c>
      <c r="AA15" s="21">
        <f t="shared" si="9"/>
        <v>69.668379611653762</v>
      </c>
      <c r="AB15" s="4"/>
    </row>
    <row r="16" spans="2:28" x14ac:dyDescent="0.45">
      <c r="B16">
        <v>13</v>
      </c>
      <c r="C16" s="10">
        <f>'Q2 Base'!$H$7</f>
        <v>2000</v>
      </c>
      <c r="D16" s="45">
        <f t="shared" si="2"/>
        <v>0.98135503759140486</v>
      </c>
      <c r="E16" s="45">
        <f>1-'Q2 Base'!$H$9</f>
        <v>0.99</v>
      </c>
      <c r="F16" s="10">
        <f t="shared" si="0"/>
        <v>1943.0829744309817</v>
      </c>
      <c r="G16" s="10">
        <f t="shared" si="10"/>
        <v>31269.779346220876</v>
      </c>
      <c r="H16" s="46">
        <f>G16*'Q2 Base'!$H$17</f>
        <v>1250.7911738488351</v>
      </c>
      <c r="I16" s="10">
        <f t="shared" si="3"/>
        <v>32520.570520069712</v>
      </c>
      <c r="J16" s="10">
        <f>I16*'Q2 Base'!$H$10</f>
        <v>162.60285260034857</v>
      </c>
      <c r="K16" s="4">
        <f t="shared" si="4"/>
        <v>32357.967667469362</v>
      </c>
      <c r="N16" s="21"/>
      <c r="O16">
        <v>13</v>
      </c>
      <c r="P16" s="21">
        <f t="shared" si="5"/>
        <v>56.917025569018278</v>
      </c>
      <c r="Q16" s="22">
        <f>'Q2 Base'!$H$25</f>
        <v>25</v>
      </c>
      <c r="R16" s="21">
        <f>'Q2 Base'!$H$7*'Q2 Base'!$H$27</f>
        <v>20</v>
      </c>
      <c r="S16" s="21">
        <f>(P16-Q16-R16)*'Q2 Base'!$H$18</f>
        <v>0.11917025569018279</v>
      </c>
      <c r="T16" s="21">
        <f t="shared" si="6"/>
        <v>162.60285260034857</v>
      </c>
      <c r="U16" s="21">
        <f>MAX('Q2 (ii)'!K16*('Q2 Base'!$H$6-'Q2 (iii)'!K16),0)</f>
        <v>0</v>
      </c>
      <c r="V16" s="21">
        <f>'Q2 (ii)'!J16*'Q2 (iii)'!J16</f>
        <v>0.19524059091790441</v>
      </c>
      <c r="W16" s="21">
        <f t="shared" si="7"/>
        <v>174.44380783413914</v>
      </c>
      <c r="X16" s="44">
        <f>'Q2 (ii)'!E16</f>
        <v>0.98324447465606346</v>
      </c>
      <c r="Y16">
        <f t="shared" si="8"/>
        <v>171.52091019088141</v>
      </c>
      <c r="Z16" s="44">
        <f t="shared" si="1"/>
        <v>0.41496444788853781</v>
      </c>
      <c r="AA16" s="21">
        <f t="shared" si="9"/>
        <v>71.175079798698576</v>
      </c>
      <c r="AB16" s="4"/>
    </row>
    <row r="17" spans="2:30" x14ac:dyDescent="0.45">
      <c r="B17">
        <v>14</v>
      </c>
      <c r="C17" s="10">
        <f>'Q2 Base'!$H$7</f>
        <v>2000</v>
      </c>
      <c r="D17" s="45">
        <f t="shared" si="2"/>
        <v>0.98135503759140486</v>
      </c>
      <c r="E17" s="45">
        <f>1-'Q2 Base'!$H$9</f>
        <v>0.99</v>
      </c>
      <c r="F17" s="10">
        <f t="shared" si="0"/>
        <v>1943.0829744309817</v>
      </c>
      <c r="G17" s="10">
        <f t="shared" si="10"/>
        <v>34301.050641900343</v>
      </c>
      <c r="H17" s="46">
        <f>G17*'Q2 Base'!$H$17</f>
        <v>1372.0420256760137</v>
      </c>
      <c r="I17" s="10">
        <f t="shared" si="3"/>
        <v>35673.092667576355</v>
      </c>
      <c r="J17" s="10">
        <f>I17*'Q2 Base'!$H$10</f>
        <v>178.36546333788178</v>
      </c>
      <c r="K17" s="4">
        <f t="shared" si="4"/>
        <v>35494.727204238472</v>
      </c>
      <c r="N17" s="21"/>
      <c r="O17">
        <v>14</v>
      </c>
      <c r="P17" s="21">
        <f t="shared" si="5"/>
        <v>56.917025569018278</v>
      </c>
      <c r="Q17" s="22">
        <f>'Q2 Base'!$H$25</f>
        <v>25</v>
      </c>
      <c r="R17" s="21">
        <f>'Q2 Base'!$H$7*'Q2 Base'!$H$27</f>
        <v>20</v>
      </c>
      <c r="S17" s="21">
        <f>(P17-Q17-R17)*'Q2 Base'!$H$18</f>
        <v>0.11917025569018279</v>
      </c>
      <c r="T17" s="21">
        <f t="shared" si="6"/>
        <v>178.36546333788178</v>
      </c>
      <c r="U17" s="21">
        <f>MAX('Q2 (ii)'!K17*('Q2 Base'!$H$6-'Q2 (iii)'!K17),0)</f>
        <v>0</v>
      </c>
      <c r="V17" s="21">
        <f>'Q2 (ii)'!J17*'Q2 (iii)'!J17</f>
        <v>0.21416708197011808</v>
      </c>
      <c r="W17" s="21">
        <f t="shared" si="7"/>
        <v>190.18749208062013</v>
      </c>
      <c r="X17" s="44">
        <f>'Q2 (ii)'!E17</f>
        <v>0.98100100534494294</v>
      </c>
      <c r="Y17">
        <f t="shared" si="8"/>
        <v>186.57412093512173</v>
      </c>
      <c r="Z17" s="44">
        <f t="shared" si="1"/>
        <v>0.38781724101732507</v>
      </c>
      <c r="AA17" s="21">
        <f t="shared" si="9"/>
        <v>72.356660826291659</v>
      </c>
      <c r="AB17" s="4"/>
    </row>
    <row r="18" spans="2:30" x14ac:dyDescent="0.45">
      <c r="B18">
        <v>15</v>
      </c>
      <c r="C18" s="10">
        <f>'Q2 Base'!$H$7</f>
        <v>2000</v>
      </c>
      <c r="D18" s="45">
        <f t="shared" si="2"/>
        <v>0.98135503759140486</v>
      </c>
      <c r="E18" s="45">
        <f>1-'Q2 Base'!$H$9</f>
        <v>0.99</v>
      </c>
      <c r="F18" s="10">
        <f t="shared" si="0"/>
        <v>1943.0829744309817</v>
      </c>
      <c r="G18" s="10">
        <f t="shared" si="10"/>
        <v>37437.810178669453</v>
      </c>
      <c r="H18" s="46">
        <f>G18*'Q2 Base'!$H$17</f>
        <v>1497.5124071467781</v>
      </c>
      <c r="I18" s="10">
        <f t="shared" si="3"/>
        <v>38935.322585816233</v>
      </c>
      <c r="J18" s="10">
        <f>I18*'Q2 Base'!$H$10</f>
        <v>194.67661292908116</v>
      </c>
      <c r="K18" s="4">
        <f t="shared" si="4"/>
        <v>38740.645972887149</v>
      </c>
      <c r="N18" s="21"/>
      <c r="O18">
        <v>15</v>
      </c>
      <c r="P18" s="21">
        <f t="shared" si="5"/>
        <v>56.917025569018278</v>
      </c>
      <c r="Q18" s="22">
        <f>'Q2 Base'!$H$25</f>
        <v>25</v>
      </c>
      <c r="R18" s="21">
        <f>'Q2 Base'!$H$7*'Q2 Base'!$H$27</f>
        <v>20</v>
      </c>
      <c r="S18" s="21">
        <f>(P18-Q18-R18)*'Q2 Base'!$H$18</f>
        <v>0.11917025569018279</v>
      </c>
      <c r="T18" s="21">
        <f t="shared" si="6"/>
        <v>194.67661292908116</v>
      </c>
      <c r="U18" s="21">
        <f>MAX('Q2 (ii)'!K18*('Q2 Base'!$H$6-'Q2 (iii)'!K18),0)</f>
        <v>0</v>
      </c>
      <c r="V18" s="21">
        <f>'Q2 (ii)'!J18*'Q2 (iii)'!J18</f>
        <v>0.25324424125304595</v>
      </c>
      <c r="W18" s="21">
        <f t="shared" si="7"/>
        <v>206.45956451253659</v>
      </c>
      <c r="X18" s="44">
        <f>'Q2 (ii)'!E18</f>
        <v>0.97866859187344968</v>
      </c>
      <c r="Y18">
        <f t="shared" si="8"/>
        <v>202.05549128028983</v>
      </c>
      <c r="Z18" s="44">
        <f t="shared" si="1"/>
        <v>0.36244601964235984</v>
      </c>
      <c r="AA18" s="21">
        <f t="shared" si="9"/>
        <v>73.234208561422591</v>
      </c>
      <c r="AB18" s="4"/>
    </row>
    <row r="19" spans="2:30" x14ac:dyDescent="0.45">
      <c r="B19">
        <v>16</v>
      </c>
      <c r="C19" s="10">
        <f>'Q2 Base'!$H$7</f>
        <v>2000</v>
      </c>
      <c r="D19" s="45">
        <f t="shared" si="2"/>
        <v>0.98135503759140486</v>
      </c>
      <c r="E19" s="45">
        <f>1-'Q2 Base'!$H$9</f>
        <v>0.99</v>
      </c>
      <c r="F19" s="10">
        <f t="shared" si="0"/>
        <v>1943.0829744309817</v>
      </c>
      <c r="G19" s="10">
        <f t="shared" si="10"/>
        <v>40683.72894731813</v>
      </c>
      <c r="H19" s="46">
        <f>G19*'Q2 Base'!$H$17</f>
        <v>1627.3491578927253</v>
      </c>
      <c r="I19" s="10">
        <f t="shared" si="3"/>
        <v>42311.078105210858</v>
      </c>
      <c r="J19" s="10">
        <f>I19*'Q2 Base'!$H$10</f>
        <v>211.55539052605428</v>
      </c>
      <c r="K19" s="4">
        <f t="shared" si="4"/>
        <v>42099.522714684805</v>
      </c>
      <c r="N19" s="21"/>
      <c r="O19">
        <v>16</v>
      </c>
      <c r="P19" s="21">
        <f t="shared" si="5"/>
        <v>56.917025569018278</v>
      </c>
      <c r="Q19" s="22">
        <f>'Q2 Base'!$H$25</f>
        <v>25</v>
      </c>
      <c r="R19" s="21">
        <f>'Q2 Base'!$H$7*'Q2 Base'!$H$27</f>
        <v>20</v>
      </c>
      <c r="S19" s="21">
        <f>(P19-Q19-R19)*'Q2 Base'!$H$18</f>
        <v>0.11917025569018279</v>
      </c>
      <c r="T19" s="21">
        <f t="shared" si="6"/>
        <v>211.55539052605428</v>
      </c>
      <c r="U19" s="21">
        <f>MAX('Q2 (ii)'!K19*('Q2 Base'!$H$6-'Q2 (iii)'!K19),0)</f>
        <v>0</v>
      </c>
      <c r="V19" s="21">
        <f>'Q2 (ii)'!J19*'Q2 (iii)'!J19</f>
        <v>0.29638506472525195</v>
      </c>
      <c r="W19" s="21">
        <f t="shared" si="7"/>
        <v>223.2952012860375</v>
      </c>
      <c r="X19" s="44">
        <f>'Q2 (ii)'!E19</f>
        <v>0.97612570748449912</v>
      </c>
      <c r="Y19">
        <f t="shared" si="8"/>
        <v>217.96418633322699</v>
      </c>
      <c r="Z19" s="44">
        <f t="shared" si="1"/>
        <v>0.33873459779659809</v>
      </c>
      <c r="AA19" s="21">
        <f t="shared" si="9"/>
        <v>73.832010991648403</v>
      </c>
      <c r="AB19" s="4"/>
    </row>
    <row r="20" spans="2:30" x14ac:dyDescent="0.45">
      <c r="B20">
        <v>17</v>
      </c>
      <c r="C20" s="10">
        <f>'Q2 Base'!$H$7</f>
        <v>2000</v>
      </c>
      <c r="D20" s="45">
        <f t="shared" si="2"/>
        <v>0.98135503759140486</v>
      </c>
      <c r="E20" s="45">
        <f>1-'Q2 Base'!$H$9</f>
        <v>0.99</v>
      </c>
      <c r="F20" s="10">
        <f t="shared" si="0"/>
        <v>1943.0829744309817</v>
      </c>
      <c r="G20" s="10">
        <f t="shared" si="10"/>
        <v>44042.605689115786</v>
      </c>
      <c r="H20" s="46">
        <f>G20*'Q2 Base'!$H$17</f>
        <v>1761.7042275646315</v>
      </c>
      <c r="I20" s="10">
        <f t="shared" si="3"/>
        <v>45804.309916680417</v>
      </c>
      <c r="J20" s="10">
        <f>I20*'Q2 Base'!$H$10</f>
        <v>229.02154958340208</v>
      </c>
      <c r="K20" s="4">
        <f t="shared" si="4"/>
        <v>45575.288367097011</v>
      </c>
      <c r="N20" s="21"/>
      <c r="O20">
        <v>17</v>
      </c>
      <c r="P20" s="21">
        <f t="shared" si="5"/>
        <v>56.917025569018278</v>
      </c>
      <c r="Q20" s="22">
        <f>'Q2 Base'!$H$25</f>
        <v>25</v>
      </c>
      <c r="R20" s="21">
        <f>'Q2 Base'!$H$7*'Q2 Base'!$H$27</f>
        <v>20</v>
      </c>
      <c r="S20" s="21">
        <f>(P20-Q20-R20)*'Q2 Base'!$H$18</f>
        <v>0.11917025569018279</v>
      </c>
      <c r="T20" s="21">
        <f t="shared" si="6"/>
        <v>229.02154958340208</v>
      </c>
      <c r="U20" s="21">
        <f>MAX('Q2 (ii)'!K20*('Q2 Base'!$H$6-'Q2 (iii)'!K20),0)</f>
        <v>0</v>
      </c>
      <c r="V20" s="21">
        <f>'Q2 (ii)'!J20*'Q2 (iii)'!J20</f>
        <v>0.34379023155781879</v>
      </c>
      <c r="W20" s="21">
        <f t="shared" si="7"/>
        <v>240.71395517655273</v>
      </c>
      <c r="X20" s="44">
        <f>'Q2 (ii)'!E20</f>
        <v>0.97334865503074897</v>
      </c>
      <c r="Y20">
        <f t="shared" si="8"/>
        <v>234.29860451822958</v>
      </c>
      <c r="Z20" s="44">
        <f t="shared" si="1"/>
        <v>0.31657439046411034</v>
      </c>
      <c r="AA20" s="21">
        <f t="shared" si="9"/>
        <v>74.172937911950186</v>
      </c>
      <c r="AB20" s="4"/>
    </row>
    <row r="21" spans="2:30" x14ac:dyDescent="0.45">
      <c r="B21">
        <v>18</v>
      </c>
      <c r="C21" s="10">
        <f>'Q2 Base'!$H$7</f>
        <v>2000</v>
      </c>
      <c r="D21" s="45">
        <f t="shared" si="2"/>
        <v>0.98135503759140486</v>
      </c>
      <c r="E21" s="45">
        <f>1-'Q2 Base'!$H$9</f>
        <v>0.99</v>
      </c>
      <c r="F21" s="10">
        <f t="shared" si="0"/>
        <v>1943.0829744309817</v>
      </c>
      <c r="G21" s="10">
        <f t="shared" si="10"/>
        <v>47518.371341527993</v>
      </c>
      <c r="H21" s="46">
        <f>G21*'Q2 Base'!$H$17</f>
        <v>1900.7348536611198</v>
      </c>
      <c r="I21" s="10">
        <f t="shared" si="3"/>
        <v>49419.10619518911</v>
      </c>
      <c r="J21" s="10">
        <f>I21*'Q2 Base'!$H$10</f>
        <v>247.09553097594556</v>
      </c>
      <c r="K21" s="4">
        <f t="shared" si="4"/>
        <v>49172.010664213165</v>
      </c>
      <c r="N21" s="21"/>
      <c r="O21">
        <v>18</v>
      </c>
      <c r="P21" s="21">
        <f t="shared" si="5"/>
        <v>56.917025569018278</v>
      </c>
      <c r="Q21" s="22">
        <f>'Q2 Base'!$H$25</f>
        <v>25</v>
      </c>
      <c r="R21" s="21">
        <f>'Q2 Base'!$H$7*'Q2 Base'!$H$27</f>
        <v>20</v>
      </c>
      <c r="S21" s="21">
        <f>(P21-Q21-R21)*'Q2 Base'!$H$18</f>
        <v>0.11917025569018279</v>
      </c>
      <c r="T21" s="21">
        <f t="shared" si="6"/>
        <v>247.09553097594556</v>
      </c>
      <c r="U21" s="21">
        <f>MAX('Q2 (ii)'!K21*('Q2 Base'!$H$6-'Q2 (iii)'!K21),0)</f>
        <v>0</v>
      </c>
      <c r="V21" s="21">
        <f>'Q2 (ii)'!J21*'Q2 (iii)'!J21</f>
        <v>0.39566946961429861</v>
      </c>
      <c r="W21" s="21">
        <f t="shared" si="7"/>
        <v>258.73605733103972</v>
      </c>
      <c r="X21" s="44">
        <f>'Q2 (ii)'!E21</f>
        <v>0.97032000379607708</v>
      </c>
      <c r="Y21">
        <f t="shared" si="8"/>
        <v>251.05677213163648</v>
      </c>
      <c r="Z21" s="44">
        <f t="shared" si="1"/>
        <v>0.29586391632159847</v>
      </c>
      <c r="AA21" s="21">
        <f t="shared" si="9"/>
        <v>74.278639821925111</v>
      </c>
      <c r="AB21" s="4"/>
    </row>
    <row r="22" spans="2:30" x14ac:dyDescent="0.45">
      <c r="B22">
        <v>19</v>
      </c>
      <c r="C22" s="10">
        <f>'Q2 Base'!$H$7</f>
        <v>2000</v>
      </c>
      <c r="D22" s="45">
        <f t="shared" si="2"/>
        <v>0.98135503759140486</v>
      </c>
      <c r="E22" s="45">
        <f>1-'Q2 Base'!$H$9</f>
        <v>0.99</v>
      </c>
      <c r="F22" s="10">
        <f t="shared" si="0"/>
        <v>1943.0829744309817</v>
      </c>
      <c r="G22" s="10">
        <f t="shared" si="10"/>
        <v>51115.093638644146</v>
      </c>
      <c r="H22" s="46">
        <f>G22*'Q2 Base'!$H$17</f>
        <v>2044.6037455457658</v>
      </c>
      <c r="I22" s="10">
        <f t="shared" si="3"/>
        <v>53159.697384189909</v>
      </c>
      <c r="J22" s="10">
        <f>I22*'Q2 Base'!$H$10</f>
        <v>265.79848692094953</v>
      </c>
      <c r="K22" s="4">
        <f t="shared" si="4"/>
        <v>52893.898897268962</v>
      </c>
      <c r="N22" s="21"/>
      <c r="O22">
        <v>19</v>
      </c>
      <c r="P22" s="21">
        <f t="shared" si="5"/>
        <v>56.917025569018278</v>
      </c>
      <c r="Q22" s="22">
        <f>'Q2 Base'!$H$25</f>
        <v>25</v>
      </c>
      <c r="R22" s="21">
        <f>'Q2 Base'!$H$7*'Q2 Base'!$H$27</f>
        <v>20</v>
      </c>
      <c r="S22" s="21">
        <f>(P22-Q22-R22)*'Q2 Base'!$H$18</f>
        <v>0.11917025569018279</v>
      </c>
      <c r="T22" s="21">
        <f t="shared" si="6"/>
        <v>265.79848692094953</v>
      </c>
      <c r="U22" s="21">
        <f>MAX('Q2 (ii)'!K22*('Q2 Base'!$H$6-'Q2 (iii)'!K22),0)</f>
        <v>0</v>
      </c>
      <c r="V22" s="21">
        <f>'Q2 (ii)'!J22*'Q2 (iii)'!J22</f>
        <v>0.47886838741735405</v>
      </c>
      <c r="W22" s="21">
        <f t="shared" si="7"/>
        <v>277.35581435824059</v>
      </c>
      <c r="X22" s="44">
        <f>'Q2 (ii)'!E22</f>
        <v>0.96701886646732249</v>
      </c>
      <c r="Y22">
        <f t="shared" si="8"/>
        <v>268.20830520882697</v>
      </c>
      <c r="Z22" s="44">
        <f t="shared" si="1"/>
        <v>0.27650833301083971</v>
      </c>
      <c r="AA22" s="21">
        <f t="shared" si="9"/>
        <v>74.161831372955263</v>
      </c>
      <c r="AB22" s="4"/>
    </row>
    <row r="23" spans="2:30" x14ac:dyDescent="0.45">
      <c r="B23">
        <v>20</v>
      </c>
      <c r="C23" s="10">
        <f>'Q2 Base'!$H$7</f>
        <v>2000</v>
      </c>
      <c r="D23" s="45">
        <f t="shared" si="2"/>
        <v>0.98135503759140486</v>
      </c>
      <c r="E23" s="45">
        <f>1-'Q2 Base'!$H$9</f>
        <v>0.99</v>
      </c>
      <c r="F23" s="10">
        <f t="shared" si="0"/>
        <v>1943.0829744309817</v>
      </c>
      <c r="G23" s="10">
        <f t="shared" si="10"/>
        <v>54836.981871699943</v>
      </c>
      <c r="H23" s="46">
        <f>G23*'Q2 Base'!$H$17</f>
        <v>2193.4792748679979</v>
      </c>
      <c r="I23" s="10">
        <f t="shared" si="3"/>
        <v>57030.461146567941</v>
      </c>
      <c r="J23" s="10">
        <f>I23*'Q2 Base'!$H$10</f>
        <v>285.15230573283969</v>
      </c>
      <c r="K23" s="4">
        <f t="shared" si="4"/>
        <v>56745.308840835103</v>
      </c>
      <c r="N23" s="21"/>
      <c r="O23">
        <v>20</v>
      </c>
      <c r="P23" s="21">
        <f t="shared" si="5"/>
        <v>56.917025569018278</v>
      </c>
      <c r="Q23" s="22">
        <f>'Q2 Base'!$H$25</f>
        <v>25</v>
      </c>
      <c r="R23" s="21">
        <f>'Q2 Base'!$H$7*'Q2 Base'!$H$27</f>
        <v>20</v>
      </c>
      <c r="S23" s="21">
        <f>(P23-Q23-R23)*'Q2 Base'!$H$18</f>
        <v>0.11917025569018279</v>
      </c>
      <c r="T23" s="21">
        <f t="shared" si="6"/>
        <v>285.15230573283969</v>
      </c>
      <c r="U23" s="21">
        <f>MAX('Q2 (ii)'!K23*('Q2 Base'!$H$6-'Q2 (iii)'!K23),0)</f>
        <v>0</v>
      </c>
      <c r="V23" s="21">
        <f>'Q2 (ii)'!J23*'Q2 (iii)'!J23</f>
        <v>0.5708756776257311</v>
      </c>
      <c r="W23" s="21">
        <f t="shared" si="7"/>
        <v>296.6176258799224</v>
      </c>
      <c r="X23" s="44">
        <f>'Q2 (ii)'!E23</f>
        <v>0.96331968297392323</v>
      </c>
      <c r="Y23">
        <f t="shared" si="8"/>
        <v>285.7375973271246</v>
      </c>
      <c r="Z23" s="44">
        <f t="shared" si="1"/>
        <v>0.25841900281386893</v>
      </c>
      <c r="AA23" s="21">
        <f t="shared" si="9"/>
        <v>73.840024967706356</v>
      </c>
      <c r="AB23" s="4"/>
    </row>
    <row r="24" spans="2:30" x14ac:dyDescent="0.45">
      <c r="Z24" t="s">
        <v>114</v>
      </c>
      <c r="AA24" s="4">
        <f>SUM(AA4:AA23)</f>
        <v>199.99999999999898</v>
      </c>
    </row>
    <row r="25" spans="2:30" x14ac:dyDescent="0.45">
      <c r="AC25" s="36"/>
    </row>
    <row r="26" spans="2:30" x14ac:dyDescent="0.45">
      <c r="Z26" t="s">
        <v>119</v>
      </c>
      <c r="AA26" s="48">
        <f>AA24/C4</f>
        <v>9.9999999999999492E-2</v>
      </c>
    </row>
    <row r="27" spans="2:30" x14ac:dyDescent="0.45">
      <c r="AC27" s="23"/>
      <c r="AD27" s="12"/>
    </row>
    <row r="28" spans="2:30" x14ac:dyDescent="0.45">
      <c r="AD28" s="12"/>
    </row>
  </sheetData>
  <mergeCells count="1">
    <mergeCell ref="D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F10A-7393-4348-8713-01359B921359}">
  <dimension ref="A1:K22"/>
  <sheetViews>
    <sheetView workbookViewId="0">
      <selection activeCell="H12" sqref="H12"/>
    </sheetView>
  </sheetViews>
  <sheetFormatPr defaultRowHeight="14.25" x14ac:dyDescent="0.45"/>
  <cols>
    <col min="1" max="1" width="9.1328125" style="13"/>
    <col min="2" max="2" width="10.59765625" bestFit="1" customWidth="1"/>
    <col min="4" max="5" width="12.3984375" bestFit="1" customWidth="1"/>
    <col min="7" max="7" width="9.73046875" customWidth="1"/>
    <col min="11" max="11" width="9.59765625" bestFit="1" customWidth="1"/>
  </cols>
  <sheetData>
    <row r="1" spans="1:11" x14ac:dyDescent="0.45">
      <c r="B1" s="13" t="s">
        <v>63</v>
      </c>
      <c r="D1" s="53" t="s">
        <v>64</v>
      </c>
      <c r="E1" s="53"/>
      <c r="G1" t="s">
        <v>65</v>
      </c>
      <c r="I1" s="13" t="s">
        <v>66</v>
      </c>
    </row>
    <row r="2" spans="1:11" ht="32.25" customHeight="1" x14ac:dyDescent="0.45">
      <c r="A2" s="16" t="s">
        <v>20</v>
      </c>
      <c r="B2" s="16" t="s">
        <v>67</v>
      </c>
      <c r="D2" s="9" t="s">
        <v>68</v>
      </c>
      <c r="E2" s="9" t="s">
        <v>69</v>
      </c>
      <c r="G2">
        <f>'Q2 (ii)'!E24</f>
        <v>0.9591924149311567</v>
      </c>
      <c r="I2" s="16" t="s">
        <v>70</v>
      </c>
      <c r="J2" s="9"/>
      <c r="K2" s="9"/>
    </row>
    <row r="3" spans="1:11" x14ac:dyDescent="0.45">
      <c r="A3" s="13">
        <v>1</v>
      </c>
      <c r="B3" s="4">
        <f>'Q2 (i)'!K4</f>
        <v>1946.4588000000001</v>
      </c>
      <c r="D3">
        <f>'Q2 (ii)'!J4</f>
        <v>4.0008002133969133E-4</v>
      </c>
      <c r="E3">
        <f>'Q2 (ii)'!K4</f>
        <v>5.0412705069077443E-4</v>
      </c>
      <c r="G3" s="6"/>
      <c r="I3" s="48">
        <f>'Q2 (iii)'!D2</f>
        <v>0.98135503759140486</v>
      </c>
      <c r="J3" s="5"/>
      <c r="K3" s="4"/>
    </row>
    <row r="4" spans="1:11" x14ac:dyDescent="0.45">
      <c r="A4" s="13">
        <v>2</v>
      </c>
      <c r="B4" s="4">
        <f>'Q2 (i)'!K5</f>
        <v>3960.6543662400004</v>
      </c>
      <c r="D4">
        <f>'Q2 (ii)'!J5</f>
        <v>4.0008002133969128E-4</v>
      </c>
      <c r="E4">
        <f>'Q2 (ii)'!K5</f>
        <v>5.4114639330157875E-4</v>
      </c>
      <c r="J4" s="5"/>
      <c r="K4" s="4"/>
    </row>
    <row r="5" spans="1:11" x14ac:dyDescent="0.45">
      <c r="A5" s="13">
        <v>3</v>
      </c>
      <c r="B5" s="4">
        <f>'Q2 (i)'!K6</f>
        <v>6044.9439381851525</v>
      </c>
      <c r="D5">
        <f>'Q2 (ii)'!J6</f>
        <v>4.5010128038520578E-4</v>
      </c>
      <c r="E5">
        <f>'Q2 (ii)'!K6</f>
        <v>5.7516537589712461E-4</v>
      </c>
      <c r="J5" s="5"/>
      <c r="K5" s="4"/>
    </row>
    <row r="6" spans="1:11" x14ac:dyDescent="0.45">
      <c r="A6" s="13">
        <v>4</v>
      </c>
      <c r="B6" s="4">
        <f>'Q2 (i)'!K7</f>
        <v>8201.7667872339953</v>
      </c>
      <c r="D6">
        <f>'Q2 (ii)'!J7</f>
        <v>4.5010128038520567E-4</v>
      </c>
      <c r="E6">
        <f>'Q2 (ii)'!K7</f>
        <v>6.1218734844200977E-4</v>
      </c>
      <c r="J6" s="5"/>
      <c r="K6" s="4"/>
    </row>
    <row r="7" spans="1:11" x14ac:dyDescent="0.45">
      <c r="A7" s="13">
        <v>5</v>
      </c>
      <c r="B7" s="4">
        <f>'Q2 (i)'!K8</f>
        <v>10433.647071429739</v>
      </c>
      <c r="D7">
        <f>'Q2 (ii)'!J8</f>
        <v>5.0012504168224286E-4</v>
      </c>
      <c r="E7">
        <f>'Q2 (ii)'!K8</f>
        <v>6.5321329736052014E-4</v>
      </c>
      <c r="J7" s="5"/>
      <c r="K7" s="4"/>
    </row>
    <row r="8" spans="1:11" x14ac:dyDescent="0.45">
      <c r="A8" s="13">
        <v>6</v>
      </c>
      <c r="B8" s="4">
        <f>'Q2 (i)'!K9</f>
        <v>12743.196789515494</v>
      </c>
      <c r="D8">
        <f>'Q2 (ii)'!J9</f>
        <v>5.5015130548127019E-4</v>
      </c>
      <c r="E8">
        <f>'Q2 (ii)'!K9</f>
        <v>6.9624232044323956E-4</v>
      </c>
      <c r="I8" s="13"/>
      <c r="J8" s="5"/>
      <c r="K8" s="4"/>
    </row>
    <row r="9" spans="1:11" x14ac:dyDescent="0.45">
      <c r="A9" s="13">
        <v>7</v>
      </c>
      <c r="B9" s="4">
        <f>'Q2 (i)'!K10</f>
        <v>15133.118837790633</v>
      </c>
      <c r="D9">
        <f>'Q2 (ii)'!J10</f>
        <v>6.001800720324608E-4</v>
      </c>
      <c r="E9">
        <f>'Q2 (ii)'!K10</f>
        <v>7.4727914352218404E-4</v>
      </c>
      <c r="J9" s="5"/>
      <c r="K9" s="4"/>
    </row>
    <row r="10" spans="1:11" x14ac:dyDescent="0.45">
      <c r="A10" s="13">
        <v>8</v>
      </c>
      <c r="B10" s="4">
        <f>'Q2 (i)'!K11</f>
        <v>17606.210173345746</v>
      </c>
      <c r="D10">
        <f>'Q2 (ii)'!J11</f>
        <v>7.0024511439342545E-4</v>
      </c>
      <c r="E10">
        <f>'Q2 (ii)'!K11</f>
        <v>8.0232177405333287E-4</v>
      </c>
      <c r="J10" s="5"/>
      <c r="K10" s="4"/>
    </row>
    <row r="11" spans="1:11" x14ac:dyDescent="0.45">
      <c r="A11" s="13">
        <v>9</v>
      </c>
      <c r="B11" s="4">
        <f>'Q2 (i)'!K12</f>
        <v>20165.365087378177</v>
      </c>
      <c r="D11">
        <f>'Q2 (ii)'!J12</f>
        <v>9.0040524316415489E-4</v>
      </c>
      <c r="E11">
        <f>'Q2 (ii)'!K12</f>
        <v>8.5436486574504221E-4</v>
      </c>
      <c r="J11" s="5"/>
      <c r="K11" s="4"/>
    </row>
    <row r="12" spans="1:11" x14ac:dyDescent="0.45">
      <c r="A12" s="13">
        <v>10</v>
      </c>
      <c r="B12" s="4">
        <f>'Q2 (i)'!K13</f>
        <v>22813.57859241894</v>
      </c>
      <c r="D12">
        <f>'Q2 (ii)'!J13</f>
        <v>1.0005003335835344E-3</v>
      </c>
      <c r="E12">
        <f>'Q2 (ii)'!K13</f>
        <v>9.014061444758152E-4</v>
      </c>
      <c r="J12" s="5"/>
      <c r="K12" s="4"/>
    </row>
    <row r="13" spans="1:11" x14ac:dyDescent="0.45">
      <c r="A13" s="13">
        <v>11</v>
      </c>
      <c r="B13" s="4">
        <f>'Q2 (i)'!K14</f>
        <v>25553.949927435118</v>
      </c>
      <c r="D13">
        <f>'Q2 (ii)'!J14</f>
        <v>1.0005003335835346E-3</v>
      </c>
      <c r="E13">
        <f>'Q2 (ii)'!K14</f>
        <v>9.4945058559301864E-4</v>
      </c>
      <c r="J13" s="5"/>
      <c r="K13" s="4"/>
    </row>
    <row r="14" spans="1:11" x14ac:dyDescent="0.45">
      <c r="A14" s="13">
        <v>12</v>
      </c>
      <c r="B14" s="4">
        <f>'Q2 (i)'!K15</f>
        <v>28389.68618490986</v>
      </c>
      <c r="D14">
        <f>'Q2 (ii)'!J15</f>
        <v>1.1006054440330037E-3</v>
      </c>
      <c r="E14">
        <f>'Q2 (ii)'!K15</f>
        <v>1.0075073651397088E-3</v>
      </c>
      <c r="J14" s="5"/>
      <c r="K14" s="4"/>
    </row>
    <row r="15" spans="1:11" x14ac:dyDescent="0.45">
      <c r="A15" s="13">
        <v>13</v>
      </c>
      <c r="B15" s="4">
        <f>'Q2 (i)'!K16</f>
        <v>31324.106064144722</v>
      </c>
      <c r="D15">
        <f>'Q2 (ii)'!J16</f>
        <v>1.2007205765188764E-3</v>
      </c>
      <c r="E15">
        <f>'Q2 (ii)'!K16</f>
        <v>1.0835868682570896E-3</v>
      </c>
      <c r="J15" s="5"/>
      <c r="K15" s="4"/>
    </row>
    <row r="16" spans="1:11" x14ac:dyDescent="0.45">
      <c r="A16" s="13">
        <v>14</v>
      </c>
      <c r="B16" s="4">
        <f>'Q2 (i)'!K17</f>
        <v>34360.643755176956</v>
      </c>
      <c r="D16">
        <f>'Q2 (ii)'!J17</f>
        <v>1.2007205765188773E-3</v>
      </c>
      <c r="E16">
        <f>'Q2 (ii)'!K17</f>
        <v>1.1796955672696639E-3</v>
      </c>
      <c r="J16" s="5"/>
      <c r="K16" s="4"/>
    </row>
    <row r="17" spans="1:11" x14ac:dyDescent="0.45">
      <c r="A17" s="13">
        <v>15</v>
      </c>
      <c r="B17" s="4">
        <f>'Q2 (i)'!K18</f>
        <v>37502.852957857118</v>
      </c>
      <c r="D17">
        <f>'Q2 (ii)'!J18</f>
        <v>1.3008457330480701E-3</v>
      </c>
      <c r="E17">
        <f>'Q2 (ii)'!K18</f>
        <v>1.3008457330480701E-3</v>
      </c>
      <c r="J17" s="5"/>
      <c r="K17" s="4"/>
    </row>
    <row r="18" spans="1:11" x14ac:dyDescent="0.45">
      <c r="A18" s="13">
        <v>16</v>
      </c>
      <c r="B18" s="4">
        <f>'Q2 (i)'!K19</f>
        <v>40754.411040790546</v>
      </c>
      <c r="D18">
        <f>'Q2 (ii)'!J19</f>
        <v>1.4009809156281007E-3</v>
      </c>
      <c r="E18">
        <f>'Q2 (ii)'!K19</f>
        <v>1.4480479155111301E-3</v>
      </c>
      <c r="J18" s="5"/>
      <c r="K18" s="4"/>
    </row>
    <row r="19" spans="1:11" x14ac:dyDescent="0.45">
      <c r="A19" s="13">
        <v>17</v>
      </c>
      <c r="B19" s="4">
        <f>'Q2 (i)'!K20</f>
        <v>44119.123345010055</v>
      </c>
      <c r="D19">
        <f>'Q2 (ii)'!J20</f>
        <v>1.5011261262670907E-3</v>
      </c>
      <c r="E19">
        <f>'Q2 (ii)'!K20</f>
        <v>1.6153039011865473E-3</v>
      </c>
      <c r="J19" s="5"/>
      <c r="K19" s="4"/>
    </row>
    <row r="20" spans="1:11" x14ac:dyDescent="0.45">
      <c r="A20" s="13">
        <v>18</v>
      </c>
      <c r="B20" s="4">
        <f>'Q2 (i)'!K21</f>
        <v>47600.927637416404</v>
      </c>
      <c r="D20">
        <f>'Q2 (ii)'!J21</f>
        <v>1.6012813669738792E-3</v>
      </c>
      <c r="E20">
        <f>'Q2 (ii)'!K21</f>
        <v>1.8066309754025062E-3</v>
      </c>
      <c r="J20" s="5"/>
      <c r="K20" s="4"/>
    </row>
    <row r="21" spans="1:11" x14ac:dyDescent="0.45">
      <c r="A21" s="13">
        <v>19</v>
      </c>
      <c r="B21" s="4">
        <f>'Q2 (i)'!K22</f>
        <v>51203.8987191985</v>
      </c>
      <c r="D21">
        <f>'Q2 (ii)'!J22</f>
        <v>1.8016219466282105E-3</v>
      </c>
      <c r="E21">
        <f>'Q2 (ii)'!K22</f>
        <v>2.0310612091007266E-3</v>
      </c>
      <c r="J21" s="5"/>
      <c r="K21" s="4"/>
    </row>
    <row r="22" spans="1:11" x14ac:dyDescent="0.45">
      <c r="A22" s="13">
        <v>20</v>
      </c>
      <c r="B22" s="4">
        <f>'Q2 (i)'!K23</f>
        <v>54932.253194626603</v>
      </c>
      <c r="D22">
        <f>'Q2 (ii)'!J23</f>
        <v>2.002002670673078E-3</v>
      </c>
      <c r="E22">
        <f>'Q2 (ii)'!K23</f>
        <v>2.2916237651302456E-3</v>
      </c>
      <c r="J22" s="5"/>
      <c r="K22" s="4"/>
    </row>
  </sheetData>
  <mergeCells count="1"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096F5CF448841AE72BA02EB7D85E8" ma:contentTypeVersion="19" ma:contentTypeDescription="Create a new document." ma:contentTypeScope="" ma:versionID="e82e7f5e3b0bb8e72bf313293077abf7">
  <xsd:schema xmlns:xsd="http://www.w3.org/2001/XMLSchema" xmlns:xs="http://www.w3.org/2001/XMLSchema" xmlns:p="http://schemas.microsoft.com/office/2006/metadata/properties" xmlns:ns2="e094b6f7-70e4-4439-8c94-44b3d4882fb7" xmlns:ns3="7831c684-3554-4bbf-bebd-6b1cd33301bf" targetNamespace="http://schemas.microsoft.com/office/2006/metadata/properties" ma:root="true" ma:fieldsID="7b901172775bbeb2abea215875838cd2" ns2:_="" ns3:_="">
    <xsd:import namespace="e094b6f7-70e4-4439-8c94-44b3d4882fb7"/>
    <xsd:import namespace="7831c684-3554-4bbf-bebd-6b1cd33301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DocType" minOccurs="0"/>
                <xsd:element ref="ns3:Status" minOccurs="0"/>
                <xsd:element ref="ns3:Note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4b6f7-70e4-4439-8c94-44b3d4882f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2ad3440-77f3-4c46-a75a-2a198f27e4b2}" ma:internalName="TaxCatchAll" ma:showField="CatchAllData" ma:web="e094b6f7-70e4-4439-8c94-44b3d4882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1c684-3554-4bbf-bebd-6b1cd3330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DocType" ma:index="12" nillable="true" ma:displayName="Doc Type" ma:format="Dropdown" ma:internalName="DocType">
      <xsd:simpleType>
        <xsd:restriction base="dms:Choice">
          <xsd:enumeration value="Exam paper"/>
          <xsd:enumeration value="Solutions"/>
          <xsd:enumeration value="SRF"/>
          <xsd:enumeration value="TOC"/>
          <xsd:enumeration value="EE review"/>
          <xsd:enumeration value="IM review"/>
        </xsd:restriction>
      </xsd:simpleType>
    </xsd:element>
    <xsd:element name="Status" ma:index="13" nillable="true" ma:displayName="Status" ma:default="New" ma:format="Dropdown" ma:internalName="Status">
      <xsd:simpleType>
        <xsd:restriction base="dms:Choice">
          <xsd:enumeration value="New"/>
          <xsd:enumeration value="Checked in"/>
          <xsd:enumeration value="Formatted"/>
          <xsd:enumeration value="Complete"/>
        </xsd:restriction>
      </xsd:simpleType>
    </xsd:element>
    <xsd:element name="Note" ma:index="14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8fe375-cbb6-4b35-9ea2-3916cf22ce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831c684-3554-4bbf-bebd-6b1cd33301bf">New</Status>
    <lcf76f155ced4ddcb4097134ff3c332f xmlns="7831c684-3554-4bbf-bebd-6b1cd33301bf">
      <Terms xmlns="http://schemas.microsoft.com/office/infopath/2007/PartnerControls"/>
    </lcf76f155ced4ddcb4097134ff3c332f>
    <Note xmlns="7831c684-3554-4bbf-bebd-6b1cd33301bf" xsi:nil="true"/>
    <DocType xmlns="7831c684-3554-4bbf-bebd-6b1cd33301bf" xsi:nil="true"/>
    <TaxCatchAll xmlns="e094b6f7-70e4-4439-8c94-44b3d4882f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D2A109-9D88-4332-8A47-CDDF0829F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94b6f7-70e4-4439-8c94-44b3d4882fb7"/>
    <ds:schemaRef ds:uri="7831c684-3554-4bbf-bebd-6b1cd3330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258F24-5952-4FF3-ADE9-628D831A2841}">
  <ds:schemaRefs>
    <ds:schemaRef ds:uri="http://schemas.microsoft.com/office/2006/metadata/properties"/>
    <ds:schemaRef ds:uri="http://schemas.microsoft.com/office/infopath/2007/PartnerControls"/>
    <ds:schemaRef ds:uri="7831c684-3554-4bbf-bebd-6b1cd33301bf"/>
    <ds:schemaRef ds:uri="e094b6f7-70e4-4439-8c94-44b3d4882fb7"/>
  </ds:schemaRefs>
</ds:datastoreItem>
</file>

<file path=customXml/itemProps3.xml><?xml version="1.0" encoding="utf-8"?>
<ds:datastoreItem xmlns:ds="http://schemas.openxmlformats.org/officeDocument/2006/customXml" ds:itemID="{08834229-7527-4539-97AC-2C8D7A5C5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 Base</vt:lpstr>
      <vt:lpstr>Q1</vt:lpstr>
      <vt:lpstr>Q1 Answers</vt:lpstr>
      <vt:lpstr>Q2 Base</vt:lpstr>
      <vt:lpstr>Q2 (i)</vt:lpstr>
      <vt:lpstr>Q2 (ii)</vt:lpstr>
      <vt:lpstr>Q2 (iii)</vt:lpstr>
      <vt:lpstr>Q2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Marcus Gwee Wen Hong</cp:lastModifiedBy>
  <cp:revision/>
  <dcterms:created xsi:type="dcterms:W3CDTF">2022-09-08T14:06:02Z</dcterms:created>
  <dcterms:modified xsi:type="dcterms:W3CDTF">2026-03-02T14:03:38Z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0x010100FFB096F5CF448841AE72BA02EB7D85E8</vt:lpwstr>
  </property>
  <property fmtid="{D5CDD505-2E9C-101B-9397-08002B2CF9AE}" pid="3" name="MediaServiceImageTags">
    <vt:lpwstr/>
  </property>
</Properties>
</file>