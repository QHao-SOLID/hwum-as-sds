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mi\OneDrive\Documents\Heriot-Watt\F70LB\2025 rewrites\Sample assessment\Final sample assessment\"/>
    </mc:Choice>
  </mc:AlternateContent>
  <xr:revisionPtr revIDLastSave="0" documentId="13_ncr:1_{E9E33671-CBF3-46F5-99D0-5C382EF94992}" xr6:coauthVersionLast="47" xr6:coauthVersionMax="47" xr10:uidLastSave="{00000000-0000-0000-0000-000000000000}"/>
  <bookViews>
    <workbookView xWindow="-98" yWindow="-98" windowWidth="24496" windowHeight="15675" activeTab="6" xr2:uid="{801F8B12-6C45-460D-B2F7-656EFECF5BC9}"/>
  </bookViews>
  <sheets>
    <sheet name="Q1 Base" sheetId="25" r:id="rId1"/>
    <sheet name="Q1" sheetId="26" r:id="rId2"/>
    <sheet name="Q1 Answers" sheetId="27" r:id="rId3"/>
    <sheet name="Q2 Base" sheetId="12" r:id="rId4"/>
    <sheet name="Q2 (i)" sheetId="23" r:id="rId5"/>
    <sheet name="Q2 (ii)" sheetId="21" r:id="rId6"/>
    <sheet name="Q2 (iii)" sheetId="22" r:id="rId7"/>
    <sheet name="Q2 Answers" sheetId="1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22" l="1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4" i="22"/>
  <c r="R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4" i="22"/>
  <c r="I10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4" i="21"/>
  <c r="J4" i="21"/>
  <c r="G1" i="26"/>
  <c r="H1" i="26"/>
  <c r="I1" i="26"/>
  <c r="J1" i="26"/>
  <c r="E1" i="26"/>
  <c r="C4" i="26"/>
  <c r="D4" i="26" s="1"/>
  <c r="M4" i="26" s="1"/>
  <c r="N4" i="26"/>
  <c r="C5" i="26"/>
  <c r="D5" i="26" s="1"/>
  <c r="C6" i="26"/>
  <c r="D6" i="26" s="1"/>
  <c r="C7" i="26"/>
  <c r="D7" i="26" s="1"/>
  <c r="C8" i="26"/>
  <c r="D8" i="26"/>
  <c r="C9" i="26"/>
  <c r="D9" i="26"/>
  <c r="C10" i="26"/>
  <c r="D10" i="26" s="1"/>
  <c r="C11" i="26"/>
  <c r="D11" i="26" s="1"/>
  <c r="C12" i="26"/>
  <c r="D12" i="26" s="1"/>
  <c r="C13" i="26"/>
  <c r="D13" i="26" s="1"/>
  <c r="C14" i="26"/>
  <c r="C15" i="26"/>
  <c r="D15" i="26" s="1"/>
  <c r="C16" i="26"/>
  <c r="C17" i="26"/>
  <c r="D17" i="26"/>
  <c r="C18" i="26"/>
  <c r="D18" i="26" s="1"/>
  <c r="C19" i="26"/>
  <c r="D19" i="26" s="1"/>
  <c r="C20" i="26"/>
  <c r="D20" i="26" s="1"/>
  <c r="C21" i="26"/>
  <c r="D21" i="26" s="1"/>
  <c r="C22" i="26"/>
  <c r="C23" i="26"/>
  <c r="D23" i="26"/>
  <c r="C24" i="26"/>
  <c r="C25" i="26"/>
  <c r="D25" i="26"/>
  <c r="C26" i="26"/>
  <c r="D26" i="26"/>
  <c r="R26" i="26"/>
  <c r="C27" i="26"/>
  <c r="D27" i="26"/>
  <c r="F27" i="26" s="1"/>
  <c r="C28" i="26"/>
  <c r="D28" i="26" s="1"/>
  <c r="F28" i="26"/>
  <c r="L28" i="26"/>
  <c r="B27" i="27" s="1"/>
  <c r="E28" i="26" l="1"/>
  <c r="J28" i="26" s="1"/>
  <c r="G27" i="26"/>
  <c r="O5" i="26"/>
  <c r="H28" i="26"/>
  <c r="I27" i="26"/>
  <c r="D14" i="26"/>
  <c r="D22" i="26"/>
  <c r="F26" i="26"/>
  <c r="I28" i="26"/>
  <c r="E27" i="26"/>
  <c r="J27" i="26" s="1"/>
  <c r="G28" i="26"/>
  <c r="H27" i="26"/>
  <c r="Q4" i="26"/>
  <c r="Q5" i="26" s="1"/>
  <c r="Q6" i="26" s="1"/>
  <c r="Q7" i="26" s="1"/>
  <c r="Q8" i="26" s="1"/>
  <c r="Q9" i="26" s="1"/>
  <c r="Q10" i="26" s="1"/>
  <c r="Q11" i="26" s="1"/>
  <c r="Q12" i="26" s="1"/>
  <c r="Q13" i="26" s="1"/>
  <c r="Q14" i="26" s="1"/>
  <c r="Q15" i="26" s="1"/>
  <c r="P4" i="26"/>
  <c r="C3" i="27" s="1"/>
  <c r="N5" i="26"/>
  <c r="M5" i="26"/>
  <c r="M6" i="26" s="1"/>
  <c r="M7" i="26" s="1"/>
  <c r="M8" i="26" s="1"/>
  <c r="M9" i="26" s="1"/>
  <c r="M10" i="26" s="1"/>
  <c r="M11" i="26" s="1"/>
  <c r="M12" i="26" s="1"/>
  <c r="M13" i="26" s="1"/>
  <c r="M14" i="26" s="1"/>
  <c r="M15" i="26" s="1"/>
  <c r="D24" i="26"/>
  <c r="D16" i="26"/>
  <c r="K28" i="26" l="1"/>
  <c r="L27" i="26" s="1"/>
  <c r="B26" i="27" s="1"/>
  <c r="Q16" i="26"/>
  <c r="Q17" i="26" s="1"/>
  <c r="Q18" i="26" s="1"/>
  <c r="Q19" i="26" s="1"/>
  <c r="Q20" i="26" s="1"/>
  <c r="Q21" i="26" s="1"/>
  <c r="Q22" i="26" s="1"/>
  <c r="Q23" i="26" s="1"/>
  <c r="Q24" i="26" s="1"/>
  <c r="Q25" i="26" s="1"/>
  <c r="Q26" i="26" s="1"/>
  <c r="Q27" i="26" s="1"/>
  <c r="Q28" i="26" s="1"/>
  <c r="M16" i="26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E26" i="26"/>
  <c r="F25" i="26"/>
  <c r="H26" i="26"/>
  <c r="I26" i="26"/>
  <c r="P5" i="26"/>
  <c r="C4" i="27" s="1"/>
  <c r="G26" i="26"/>
  <c r="O6" i="26"/>
  <c r="N6" i="26"/>
  <c r="N7" i="26" s="1"/>
  <c r="N8" i="26" s="1"/>
  <c r="N9" i="26" s="1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K27" i="26"/>
  <c r="L26" i="26" s="1"/>
  <c r="B25" i="27" s="1"/>
  <c r="J26" i="26" l="1"/>
  <c r="K26" i="26" s="1"/>
  <c r="L25" i="26" s="1"/>
  <c r="B24" i="27" s="1"/>
  <c r="E25" i="26"/>
  <c r="O7" i="26"/>
  <c r="P6" i="26"/>
  <c r="C5" i="27" s="1"/>
  <c r="G25" i="26"/>
  <c r="F24" i="26"/>
  <c r="H25" i="26"/>
  <c r="I25" i="26"/>
  <c r="E24" i="26" l="1"/>
  <c r="J25" i="26"/>
  <c r="K25" i="26" s="1"/>
  <c r="L24" i="26" s="1"/>
  <c r="B23" i="27" s="1"/>
  <c r="F23" i="26"/>
  <c r="H24" i="26"/>
  <c r="G24" i="26"/>
  <c r="I24" i="26"/>
  <c r="O8" i="26"/>
  <c r="P7" i="26"/>
  <c r="C6" i="27" s="1"/>
  <c r="E23" i="26" l="1"/>
  <c r="J24" i="26"/>
  <c r="O9" i="26"/>
  <c r="P8" i="26"/>
  <c r="C7" i="27" s="1"/>
  <c r="K24" i="26"/>
  <c r="L23" i="26" s="1"/>
  <c r="B22" i="27" s="1"/>
  <c r="F22" i="26"/>
  <c r="G23" i="26"/>
  <c r="I23" i="26"/>
  <c r="H23" i="26"/>
  <c r="E22" i="26" l="1"/>
  <c r="J23" i="26"/>
  <c r="K23" i="26" s="1"/>
  <c r="L22" i="26" s="1"/>
  <c r="B21" i="27" s="1"/>
  <c r="F21" i="26"/>
  <c r="I22" i="26"/>
  <c r="H22" i="26"/>
  <c r="G22" i="26"/>
  <c r="O10" i="26"/>
  <c r="P9" i="26"/>
  <c r="C8" i="27" s="1"/>
  <c r="J22" i="26" l="1"/>
  <c r="K22" i="26" s="1"/>
  <c r="L21" i="26" s="1"/>
  <c r="B20" i="27" s="1"/>
  <c r="E21" i="26"/>
  <c r="P10" i="26"/>
  <c r="C9" i="27" s="1"/>
  <c r="O11" i="26"/>
  <c r="F20" i="26"/>
  <c r="H21" i="26"/>
  <c r="G21" i="26"/>
  <c r="I21" i="26"/>
  <c r="E20" i="26" l="1"/>
  <c r="J21" i="26"/>
  <c r="K21" i="26" s="1"/>
  <c r="L20" i="26" s="1"/>
  <c r="B19" i="27" s="1"/>
  <c r="F19" i="26"/>
  <c r="H20" i="26"/>
  <c r="I20" i="26"/>
  <c r="G20" i="26"/>
  <c r="O12" i="26"/>
  <c r="P11" i="26"/>
  <c r="C10" i="27" s="1"/>
  <c r="E19" i="26" l="1"/>
  <c r="J20" i="26"/>
  <c r="O13" i="26"/>
  <c r="P12" i="26"/>
  <c r="C11" i="27" s="1"/>
  <c r="K20" i="26"/>
  <c r="L19" i="26" s="1"/>
  <c r="B18" i="27" s="1"/>
  <c r="F18" i="26"/>
  <c r="H19" i="26"/>
  <c r="G19" i="26"/>
  <c r="I19" i="26"/>
  <c r="E18" i="26" l="1"/>
  <c r="J19" i="26"/>
  <c r="K19" i="26"/>
  <c r="L18" i="26" s="1"/>
  <c r="B17" i="27" s="1"/>
  <c r="F17" i="26"/>
  <c r="H18" i="26"/>
  <c r="I18" i="26"/>
  <c r="G18" i="26"/>
  <c r="O14" i="26"/>
  <c r="P13" i="26"/>
  <c r="C12" i="27" s="1"/>
  <c r="E17" i="26" l="1"/>
  <c r="J18" i="26"/>
  <c r="K18" i="26"/>
  <c r="L17" i="26" s="1"/>
  <c r="B16" i="27" s="1"/>
  <c r="F16" i="26"/>
  <c r="H17" i="26"/>
  <c r="I17" i="26"/>
  <c r="G17" i="26"/>
  <c r="O15" i="26"/>
  <c r="P14" i="26"/>
  <c r="C13" i="27" s="1"/>
  <c r="E16" i="26" l="1"/>
  <c r="J17" i="26"/>
  <c r="K17" i="26"/>
  <c r="L16" i="26" s="1"/>
  <c r="B15" i="27" s="1"/>
  <c r="F15" i="26"/>
  <c r="H16" i="26"/>
  <c r="G16" i="26"/>
  <c r="I16" i="26"/>
  <c r="O16" i="26"/>
  <c r="P15" i="26"/>
  <c r="C14" i="27" s="1"/>
  <c r="J16" i="26" l="1"/>
  <c r="K16" i="26" s="1"/>
  <c r="L15" i="26" s="1"/>
  <c r="B14" i="27" s="1"/>
  <c r="E15" i="26"/>
  <c r="F14" i="26"/>
  <c r="I15" i="26"/>
  <c r="H15" i="26"/>
  <c r="G15" i="26"/>
  <c r="O17" i="26"/>
  <c r="P16" i="26"/>
  <c r="C15" i="27" s="1"/>
  <c r="J15" i="26" l="1"/>
  <c r="E14" i="26"/>
  <c r="O18" i="26"/>
  <c r="P17" i="26"/>
  <c r="C16" i="27" s="1"/>
  <c r="F13" i="26"/>
  <c r="G14" i="26"/>
  <c r="H14" i="26"/>
  <c r="I14" i="26"/>
  <c r="K15" i="26"/>
  <c r="L14" i="26" s="1"/>
  <c r="B13" i="27" s="1"/>
  <c r="E13" i="26" l="1"/>
  <c r="J14" i="26"/>
  <c r="K14" i="26" s="1"/>
  <c r="L13" i="26" s="1"/>
  <c r="B12" i="27" s="1"/>
  <c r="I13" i="26"/>
  <c r="F12" i="26"/>
  <c r="H13" i="26"/>
  <c r="G13" i="26"/>
  <c r="O19" i="26"/>
  <c r="P18" i="26"/>
  <c r="C17" i="27" s="1"/>
  <c r="E12" i="26" l="1"/>
  <c r="J13" i="26"/>
  <c r="F11" i="26"/>
  <c r="H12" i="26"/>
  <c r="I12" i="26"/>
  <c r="G12" i="26"/>
  <c r="K13" i="26"/>
  <c r="L12" i="26" s="1"/>
  <c r="B11" i="27" s="1"/>
  <c r="O20" i="26"/>
  <c r="P19" i="26"/>
  <c r="C18" i="27" s="1"/>
  <c r="E11" i="26" l="1"/>
  <c r="J12" i="26"/>
  <c r="F10" i="26"/>
  <c r="H11" i="26"/>
  <c r="I11" i="26"/>
  <c r="G11" i="26"/>
  <c r="K12" i="26"/>
  <c r="L11" i="26" s="1"/>
  <c r="B10" i="27" s="1"/>
  <c r="O21" i="26"/>
  <c r="P20" i="26"/>
  <c r="C19" i="27" s="1"/>
  <c r="E10" i="26" l="1"/>
  <c r="J11" i="26"/>
  <c r="K11" i="26" s="1"/>
  <c r="L10" i="26" s="1"/>
  <c r="B9" i="27" s="1"/>
  <c r="F9" i="26"/>
  <c r="G10" i="26"/>
  <c r="H10" i="26"/>
  <c r="I10" i="26"/>
  <c r="O22" i="26"/>
  <c r="P21" i="26"/>
  <c r="C20" i="27" s="1"/>
  <c r="J10" i="26" l="1"/>
  <c r="K10" i="26" s="1"/>
  <c r="L9" i="26" s="1"/>
  <c r="B8" i="27" s="1"/>
  <c r="E9" i="26"/>
  <c r="G9" i="26"/>
  <c r="F8" i="26"/>
  <c r="I9" i="26"/>
  <c r="H9" i="26"/>
  <c r="O23" i="26"/>
  <c r="P22" i="26"/>
  <c r="C21" i="27" s="1"/>
  <c r="E8" i="26" l="1"/>
  <c r="J9" i="26"/>
  <c r="K9" i="26" s="1"/>
  <c r="L8" i="26" s="1"/>
  <c r="B7" i="27" s="1"/>
  <c r="O24" i="26"/>
  <c r="P23" i="26"/>
  <c r="C22" i="27" s="1"/>
  <c r="F7" i="26"/>
  <c r="H8" i="26"/>
  <c r="G8" i="26"/>
  <c r="I8" i="26"/>
  <c r="E7" i="26" l="1"/>
  <c r="J8" i="26"/>
  <c r="O25" i="26"/>
  <c r="P24" i="26"/>
  <c r="C23" i="27" s="1"/>
  <c r="K8" i="26"/>
  <c r="L7" i="26" s="1"/>
  <c r="B6" i="27" s="1"/>
  <c r="F6" i="26"/>
  <c r="I7" i="26"/>
  <c r="H7" i="26"/>
  <c r="G7" i="26"/>
  <c r="E6" i="26" l="1"/>
  <c r="J7" i="26"/>
  <c r="K7" i="26" s="1"/>
  <c r="L6" i="26" s="1"/>
  <c r="B5" i="27" s="1"/>
  <c r="F5" i="26"/>
  <c r="H6" i="26"/>
  <c r="I6" i="26"/>
  <c r="G6" i="26"/>
  <c r="O26" i="26"/>
  <c r="P25" i="26"/>
  <c r="C24" i="27" s="1"/>
  <c r="E5" i="26" l="1"/>
  <c r="J6" i="26"/>
  <c r="K6" i="26" s="1"/>
  <c r="L5" i="26" s="1"/>
  <c r="B4" i="27" s="1"/>
  <c r="O27" i="26"/>
  <c r="P26" i="26"/>
  <c r="C25" i="27" s="1"/>
  <c r="F4" i="26"/>
  <c r="G5" i="26"/>
  <c r="I5" i="26"/>
  <c r="H5" i="26"/>
  <c r="E4" i="26" l="1"/>
  <c r="J4" i="26" s="1"/>
  <c r="J5" i="26"/>
  <c r="K5" i="26" s="1"/>
  <c r="L4" i="26" s="1"/>
  <c r="B3" i="27" s="1"/>
  <c r="O28" i="26"/>
  <c r="P28" i="26" s="1"/>
  <c r="C27" i="27" s="1"/>
  <c r="P27" i="26"/>
  <c r="C26" i="27" s="1"/>
  <c r="H4" i="26"/>
  <c r="G4" i="26"/>
  <c r="I4" i="26"/>
  <c r="K4" i="26" l="1"/>
  <c r="D3" i="19" l="1"/>
  <c r="E3" i="19"/>
  <c r="D4" i="19"/>
  <c r="E4" i="19"/>
  <c r="D5" i="19"/>
  <c r="E5" i="19"/>
  <c r="D6" i="19"/>
  <c r="E6" i="19"/>
  <c r="D7" i="19"/>
  <c r="E7" i="19"/>
  <c r="D8" i="19"/>
  <c r="E8" i="19"/>
  <c r="D9" i="19"/>
  <c r="E9" i="19"/>
  <c r="D10" i="19"/>
  <c r="E10" i="19"/>
  <c r="D11" i="19"/>
  <c r="E11" i="19"/>
  <c r="D12" i="19"/>
  <c r="E12" i="19"/>
  <c r="D13" i="19"/>
  <c r="E13" i="19"/>
  <c r="D14" i="19"/>
  <c r="E14" i="19"/>
  <c r="D15" i="19"/>
  <c r="E15" i="19"/>
  <c r="D16" i="19"/>
  <c r="E16" i="19"/>
  <c r="D17" i="19"/>
  <c r="E17" i="19"/>
  <c r="D18" i="19"/>
  <c r="E18" i="19"/>
  <c r="D19" i="19"/>
  <c r="E19" i="19"/>
  <c r="D20" i="19"/>
  <c r="E20" i="19"/>
  <c r="D21" i="19"/>
  <c r="E21" i="19"/>
  <c r="D22" i="19"/>
  <c r="E22" i="19"/>
  <c r="D23" i="19"/>
  <c r="E23" i="19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X4" i="22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4" i="21"/>
  <c r="B4" i="21"/>
  <c r="A5" i="21"/>
  <c r="A6" i="21" s="1"/>
  <c r="B5" i="21" l="1"/>
  <c r="B6" i="21"/>
  <c r="A7" i="21"/>
  <c r="G3" i="19"/>
  <c r="D5" i="22"/>
  <c r="O5" i="22" s="1"/>
  <c r="D6" i="22"/>
  <c r="O6" i="22" s="1"/>
  <c r="D7" i="22"/>
  <c r="E7" i="22" s="1"/>
  <c r="F7" i="22" s="1"/>
  <c r="M7" i="22" s="1"/>
  <c r="D8" i="22"/>
  <c r="E8" i="22" s="1"/>
  <c r="D9" i="22"/>
  <c r="O9" i="22" s="1"/>
  <c r="D10" i="22"/>
  <c r="E10" i="22" s="1"/>
  <c r="F10" i="22" s="1"/>
  <c r="M10" i="22" s="1"/>
  <c r="D11" i="22"/>
  <c r="E11" i="22" s="1"/>
  <c r="F11" i="22" s="1"/>
  <c r="M11" i="22" s="1"/>
  <c r="D12" i="22"/>
  <c r="E12" i="22" s="1"/>
  <c r="D13" i="22"/>
  <c r="O13" i="22" s="1"/>
  <c r="D14" i="22"/>
  <c r="O14" i="22" s="1"/>
  <c r="D15" i="22"/>
  <c r="E15" i="22" s="1"/>
  <c r="F15" i="22" s="1"/>
  <c r="M15" i="22" s="1"/>
  <c r="D16" i="22"/>
  <c r="E16" i="22" s="1"/>
  <c r="D17" i="22"/>
  <c r="O17" i="22" s="1"/>
  <c r="D18" i="22"/>
  <c r="E18" i="22" s="1"/>
  <c r="F18" i="22" s="1"/>
  <c r="M18" i="22" s="1"/>
  <c r="D19" i="22"/>
  <c r="E19" i="22" s="1"/>
  <c r="F19" i="22" s="1"/>
  <c r="M19" i="22" s="1"/>
  <c r="D20" i="22"/>
  <c r="E20" i="22" s="1"/>
  <c r="D21" i="22"/>
  <c r="O21" i="22" s="1"/>
  <c r="D22" i="22"/>
  <c r="O22" i="22" s="1"/>
  <c r="D23" i="22"/>
  <c r="E23" i="22" s="1"/>
  <c r="F23" i="22" s="1"/>
  <c r="M23" i="22" s="1"/>
  <c r="D4" i="22"/>
  <c r="E4" i="22" s="1"/>
  <c r="B7" i="21" l="1"/>
  <c r="A8" i="21"/>
  <c r="O18" i="22"/>
  <c r="O10" i="22"/>
  <c r="O7" i="22"/>
  <c r="O11" i="22"/>
  <c r="O15" i="22"/>
  <c r="O19" i="22"/>
  <c r="O23" i="22"/>
  <c r="O4" i="22"/>
  <c r="O8" i="22"/>
  <c r="O12" i="22"/>
  <c r="O16" i="22"/>
  <c r="O20" i="22"/>
  <c r="F4" i="22"/>
  <c r="M4" i="22" s="1"/>
  <c r="L4" i="22"/>
  <c r="F16" i="22"/>
  <c r="M16" i="22" s="1"/>
  <c r="L16" i="22"/>
  <c r="F8" i="22"/>
  <c r="M8" i="22" s="1"/>
  <c r="L8" i="22"/>
  <c r="L20" i="22"/>
  <c r="F20" i="22"/>
  <c r="M20" i="22" s="1"/>
  <c r="F12" i="22"/>
  <c r="M12" i="22" s="1"/>
  <c r="L12" i="22"/>
  <c r="E14" i="22"/>
  <c r="F14" i="22" s="1"/>
  <c r="M14" i="22" s="1"/>
  <c r="E21" i="22"/>
  <c r="F21" i="22" s="1"/>
  <c r="M21" i="22" s="1"/>
  <c r="E17" i="22"/>
  <c r="F17" i="22" s="1"/>
  <c r="M17" i="22" s="1"/>
  <c r="E13" i="22"/>
  <c r="F13" i="22" s="1"/>
  <c r="M13" i="22" s="1"/>
  <c r="E9" i="22"/>
  <c r="F9" i="22" s="1"/>
  <c r="M9" i="22" s="1"/>
  <c r="E5" i="22"/>
  <c r="F5" i="22" s="1"/>
  <c r="M5" i="22" s="1"/>
  <c r="L23" i="22"/>
  <c r="L19" i="22"/>
  <c r="L15" i="22"/>
  <c r="L11" i="22"/>
  <c r="L7" i="22"/>
  <c r="E22" i="22"/>
  <c r="F22" i="22" s="1"/>
  <c r="M22" i="22" s="1"/>
  <c r="E6" i="22"/>
  <c r="F6" i="22" s="1"/>
  <c r="M6" i="22" s="1"/>
  <c r="L18" i="22"/>
  <c r="L10" i="22"/>
  <c r="D23" i="23"/>
  <c r="E23" i="23" s="1"/>
  <c r="D22" i="23"/>
  <c r="D21" i="23"/>
  <c r="D20" i="23"/>
  <c r="E20" i="23" s="1"/>
  <c r="D19" i="23"/>
  <c r="E19" i="23" s="1"/>
  <c r="D18" i="23"/>
  <c r="E18" i="23" s="1"/>
  <c r="D17" i="23"/>
  <c r="E17" i="23" s="1"/>
  <c r="D16" i="23"/>
  <c r="E16" i="23" s="1"/>
  <c r="D15" i="23"/>
  <c r="E15" i="23" s="1"/>
  <c r="D14" i="23"/>
  <c r="E14" i="23" s="1"/>
  <c r="D13" i="23"/>
  <c r="E13" i="23" s="1"/>
  <c r="D12" i="23"/>
  <c r="E12" i="23" s="1"/>
  <c r="D11" i="23"/>
  <c r="E11" i="23" s="1"/>
  <c r="D10" i="23"/>
  <c r="E10" i="23" s="1"/>
  <c r="D9" i="23"/>
  <c r="E9" i="23" s="1"/>
  <c r="D8" i="23"/>
  <c r="E8" i="23" s="1"/>
  <c r="D7" i="23"/>
  <c r="E7" i="23" s="1"/>
  <c r="D6" i="23"/>
  <c r="E6" i="23" s="1"/>
  <c r="D5" i="23"/>
  <c r="E5" i="23" s="1"/>
  <c r="D4" i="23"/>
  <c r="Y23" i="22"/>
  <c r="N23" i="22"/>
  <c r="Y22" i="22"/>
  <c r="N22" i="22"/>
  <c r="Y21" i="22"/>
  <c r="N21" i="22"/>
  <c r="Y20" i="22"/>
  <c r="N20" i="22"/>
  <c r="Y19" i="22"/>
  <c r="N19" i="22"/>
  <c r="Y18" i="22"/>
  <c r="N18" i="22"/>
  <c r="Y17" i="22"/>
  <c r="N17" i="22"/>
  <c r="Y16" i="22"/>
  <c r="N16" i="22"/>
  <c r="Y15" i="22"/>
  <c r="N15" i="22"/>
  <c r="Y14" i="22"/>
  <c r="N14" i="22"/>
  <c r="Y13" i="22"/>
  <c r="N13" i="22"/>
  <c r="Y12" i="22"/>
  <c r="N12" i="22"/>
  <c r="Y11" i="22"/>
  <c r="N11" i="22"/>
  <c r="Y10" i="22"/>
  <c r="N10" i="22"/>
  <c r="Y9" i="22"/>
  <c r="N9" i="22"/>
  <c r="Y8" i="22"/>
  <c r="N8" i="22"/>
  <c r="Y7" i="22"/>
  <c r="N7" i="22"/>
  <c r="Y6" i="22"/>
  <c r="N6" i="22"/>
  <c r="Y5" i="22"/>
  <c r="N5" i="22"/>
  <c r="Y4" i="22"/>
  <c r="N4" i="22"/>
  <c r="H4" i="21"/>
  <c r="F5" i="21" s="1"/>
  <c r="A9" i="21" l="1"/>
  <c r="B8" i="21"/>
  <c r="I4" i="21"/>
  <c r="G5" i="21" s="1"/>
  <c r="E5" i="21"/>
  <c r="X5" i="22" s="1"/>
  <c r="L5" i="22"/>
  <c r="L22" i="22"/>
  <c r="L17" i="22"/>
  <c r="L21" i="22"/>
  <c r="G4" i="22"/>
  <c r="H4" i="22" s="1"/>
  <c r="L9" i="22"/>
  <c r="L6" i="22"/>
  <c r="L13" i="22"/>
  <c r="L14" i="22"/>
  <c r="F5" i="23"/>
  <c r="F9" i="23"/>
  <c r="F13" i="23"/>
  <c r="F17" i="23"/>
  <c r="F8" i="23"/>
  <c r="F12" i="23"/>
  <c r="F20" i="23"/>
  <c r="F6" i="23"/>
  <c r="F10" i="23"/>
  <c r="F14" i="23"/>
  <c r="F18" i="23"/>
  <c r="F16" i="23"/>
  <c r="F11" i="23"/>
  <c r="F15" i="23"/>
  <c r="F19" i="23"/>
  <c r="F23" i="23"/>
  <c r="E22" i="23"/>
  <c r="E4" i="23"/>
  <c r="F7" i="23"/>
  <c r="E21" i="23"/>
  <c r="A10" i="21" l="1"/>
  <c r="B9" i="21"/>
  <c r="I5" i="21"/>
  <c r="G6" i="21" s="1"/>
  <c r="E6" i="21"/>
  <c r="X6" i="22" s="1"/>
  <c r="H5" i="21"/>
  <c r="F6" i="21" s="1"/>
  <c r="V4" i="22"/>
  <c r="U4" i="22"/>
  <c r="I4" i="22"/>
  <c r="C5" i="22" s="1"/>
  <c r="G5" i="22" s="1"/>
  <c r="H5" i="22" s="1"/>
  <c r="F22" i="23"/>
  <c r="F21" i="23"/>
  <c r="F4" i="23"/>
  <c r="A11" i="21" l="1"/>
  <c r="B10" i="21"/>
  <c r="E7" i="21"/>
  <c r="X7" i="22" s="1"/>
  <c r="H6" i="21"/>
  <c r="F7" i="21" s="1"/>
  <c r="I6" i="21"/>
  <c r="G7" i="21" s="1"/>
  <c r="Q4" i="22"/>
  <c r="I5" i="22"/>
  <c r="V5" i="22"/>
  <c r="G4" i="23"/>
  <c r="H4" i="23" s="1"/>
  <c r="P8" i="22"/>
  <c r="P12" i="22"/>
  <c r="P5" i="22"/>
  <c r="P22" i="22"/>
  <c r="A12" i="21" l="1"/>
  <c r="B11" i="21"/>
  <c r="U5" i="22"/>
  <c r="E8" i="21"/>
  <c r="X8" i="22" s="1"/>
  <c r="H7" i="21"/>
  <c r="F8" i="21" s="1"/>
  <c r="I7" i="21"/>
  <c r="G8" i="21" s="1"/>
  <c r="C6" i="22"/>
  <c r="G6" i="22" s="1"/>
  <c r="H6" i="22" s="1"/>
  <c r="Q5" i="22"/>
  <c r="I4" i="23"/>
  <c r="P14" i="22"/>
  <c r="P19" i="22"/>
  <c r="P13" i="22"/>
  <c r="P6" i="22"/>
  <c r="P20" i="22"/>
  <c r="P15" i="22"/>
  <c r="P11" i="22"/>
  <c r="P7" i="22"/>
  <c r="P16" i="22"/>
  <c r="P10" i="22"/>
  <c r="P21" i="22"/>
  <c r="P17" i="22"/>
  <c r="P18" i="22"/>
  <c r="P4" i="22"/>
  <c r="A13" i="21" l="1"/>
  <c r="B12" i="21"/>
  <c r="E9" i="21"/>
  <c r="X9" i="22" s="1"/>
  <c r="I8" i="21"/>
  <c r="G9" i="21" s="1"/>
  <c r="H8" i="21"/>
  <c r="F9" i="21" s="1"/>
  <c r="U6" i="22"/>
  <c r="V6" i="22"/>
  <c r="I6" i="22"/>
  <c r="C7" i="22" s="1"/>
  <c r="G7" i="22" s="1"/>
  <c r="P23" i="22"/>
  <c r="P9" i="22"/>
  <c r="B3" i="19"/>
  <c r="S4" i="22"/>
  <c r="W4" i="22" s="1"/>
  <c r="A14" i="21" l="1"/>
  <c r="B13" i="21"/>
  <c r="E10" i="21"/>
  <c r="X10" i="22" s="1"/>
  <c r="H9" i="21"/>
  <c r="F10" i="21" s="1"/>
  <c r="I9" i="21"/>
  <c r="G10" i="21" s="1"/>
  <c r="Q6" i="22"/>
  <c r="H7" i="22"/>
  <c r="Z4" i="22"/>
  <c r="AA4" i="22" s="1"/>
  <c r="C5" i="23"/>
  <c r="G5" i="23" s="1"/>
  <c r="A15" i="21" l="1"/>
  <c r="B14" i="21"/>
  <c r="U7" i="22"/>
  <c r="E11" i="21"/>
  <c r="X11" i="22" s="1"/>
  <c r="H10" i="21"/>
  <c r="F11" i="21" s="1"/>
  <c r="G11" i="21"/>
  <c r="I7" i="22"/>
  <c r="V7" i="22"/>
  <c r="H5" i="23"/>
  <c r="A16" i="21" l="1"/>
  <c r="B15" i="21"/>
  <c r="E12" i="21"/>
  <c r="X12" i="22" s="1"/>
  <c r="I11" i="21"/>
  <c r="G12" i="21" s="1"/>
  <c r="H11" i="21"/>
  <c r="F12" i="21" s="1"/>
  <c r="C8" i="22"/>
  <c r="G8" i="22" s="1"/>
  <c r="H8" i="22" s="1"/>
  <c r="U8" i="22" s="1"/>
  <c r="Q7" i="22"/>
  <c r="I5" i="23"/>
  <c r="A17" i="21" l="1"/>
  <c r="B16" i="21"/>
  <c r="E13" i="21"/>
  <c r="X13" i="22" s="1"/>
  <c r="H12" i="21"/>
  <c r="F13" i="21" s="1"/>
  <c r="I12" i="21"/>
  <c r="G13" i="21" s="1"/>
  <c r="I8" i="22"/>
  <c r="V8" i="22"/>
  <c r="B4" i="19"/>
  <c r="A18" i="21" l="1"/>
  <c r="B17" i="21"/>
  <c r="E14" i="21"/>
  <c r="X14" i="22" s="1"/>
  <c r="I13" i="21"/>
  <c r="G14" i="21" s="1"/>
  <c r="H13" i="21"/>
  <c r="F14" i="21" s="1"/>
  <c r="C9" i="22"/>
  <c r="G9" i="22" s="1"/>
  <c r="H9" i="22" s="1"/>
  <c r="U9" i="22" s="1"/>
  <c r="Q8" i="22"/>
  <c r="C6" i="23"/>
  <c r="G6" i="23" s="1"/>
  <c r="S5" i="22"/>
  <c r="W5" i="22" s="1"/>
  <c r="A19" i="21" l="1"/>
  <c r="B18" i="21"/>
  <c r="E15" i="21"/>
  <c r="X15" i="22" s="1"/>
  <c r="I14" i="21"/>
  <c r="G15" i="21" s="1"/>
  <c r="H14" i="21"/>
  <c r="F15" i="21" s="1"/>
  <c r="I9" i="22"/>
  <c r="V9" i="22"/>
  <c r="H6" i="23"/>
  <c r="Z5" i="22"/>
  <c r="AA5" i="22" s="1"/>
  <c r="A20" i="21" l="1"/>
  <c r="B19" i="21"/>
  <c r="E16" i="21"/>
  <c r="X16" i="22" s="1"/>
  <c r="H15" i="21"/>
  <c r="F16" i="21" s="1"/>
  <c r="I15" i="21"/>
  <c r="G16" i="21" s="1"/>
  <c r="C10" i="22"/>
  <c r="G10" i="22" s="1"/>
  <c r="H10" i="22" s="1"/>
  <c r="U10" i="22" s="1"/>
  <c r="Q9" i="22"/>
  <c r="I6" i="23"/>
  <c r="A21" i="21" l="1"/>
  <c r="B20" i="21"/>
  <c r="E17" i="21"/>
  <c r="X17" i="22" s="1"/>
  <c r="H16" i="21"/>
  <c r="F17" i="21" s="1"/>
  <c r="I16" i="21"/>
  <c r="G17" i="21" s="1"/>
  <c r="I10" i="22"/>
  <c r="V10" i="22"/>
  <c r="B5" i="19"/>
  <c r="C7" i="23"/>
  <c r="G7" i="23" s="1"/>
  <c r="S6" i="22"/>
  <c r="W6" i="22" s="1"/>
  <c r="A22" i="21" l="1"/>
  <c r="B21" i="21"/>
  <c r="E18" i="21"/>
  <c r="X18" i="22" s="1"/>
  <c r="I17" i="21"/>
  <c r="G18" i="21" s="1"/>
  <c r="H17" i="21"/>
  <c r="F18" i="21" s="1"/>
  <c r="C11" i="22"/>
  <c r="G11" i="22" s="1"/>
  <c r="H11" i="22" s="1"/>
  <c r="U11" i="22" s="1"/>
  <c r="Q10" i="22"/>
  <c r="H7" i="23"/>
  <c r="Z6" i="22"/>
  <c r="AA6" i="22" s="1"/>
  <c r="A23" i="21" l="1"/>
  <c r="B22" i="21"/>
  <c r="E19" i="21"/>
  <c r="X19" i="22" s="1"/>
  <c r="H18" i="21"/>
  <c r="F19" i="21" s="1"/>
  <c r="I18" i="21"/>
  <c r="G19" i="21" s="1"/>
  <c r="I11" i="22"/>
  <c r="V11" i="22"/>
  <c r="I7" i="23"/>
  <c r="B23" i="21" l="1"/>
  <c r="A24" i="21"/>
  <c r="E20" i="21"/>
  <c r="X20" i="22" s="1"/>
  <c r="H19" i="21"/>
  <c r="F20" i="21" s="1"/>
  <c r="I19" i="21"/>
  <c r="G20" i="21" s="1"/>
  <c r="C12" i="22"/>
  <c r="G12" i="22" s="1"/>
  <c r="H12" i="22" s="1"/>
  <c r="U12" i="22" s="1"/>
  <c r="Q11" i="22"/>
  <c r="B6" i="19"/>
  <c r="E21" i="21" l="1"/>
  <c r="X21" i="22" s="1"/>
  <c r="I20" i="21"/>
  <c r="G21" i="21" s="1"/>
  <c r="H20" i="21"/>
  <c r="F21" i="21" s="1"/>
  <c r="I12" i="22"/>
  <c r="V12" i="22"/>
  <c r="C8" i="23"/>
  <c r="G8" i="23" s="1"/>
  <c r="S7" i="22"/>
  <c r="W7" i="22" s="1"/>
  <c r="E22" i="21" l="1"/>
  <c r="X22" i="22" s="1"/>
  <c r="I21" i="21"/>
  <c r="G22" i="21" s="1"/>
  <c r="H21" i="21"/>
  <c r="F22" i="21" s="1"/>
  <c r="C13" i="22"/>
  <c r="G13" i="22" s="1"/>
  <c r="H13" i="22" s="1"/>
  <c r="U13" i="22" s="1"/>
  <c r="Q12" i="22"/>
  <c r="H8" i="23"/>
  <c r="Z7" i="22"/>
  <c r="AA7" i="22" s="1"/>
  <c r="E23" i="21" l="1"/>
  <c r="X23" i="22" s="1"/>
  <c r="I22" i="21"/>
  <c r="G23" i="21" s="1"/>
  <c r="H22" i="21"/>
  <c r="F23" i="21" s="1"/>
  <c r="I13" i="22"/>
  <c r="V13" i="22"/>
  <c r="I8" i="23"/>
  <c r="B7" i="19"/>
  <c r="H23" i="21" l="1"/>
  <c r="F24" i="21" s="1"/>
  <c r="I23" i="21"/>
  <c r="G24" i="21" s="1"/>
  <c r="E24" i="21"/>
  <c r="C14" i="22"/>
  <c r="G14" i="22" s="1"/>
  <c r="H14" i="22" s="1"/>
  <c r="U14" i="22" s="1"/>
  <c r="Q13" i="22"/>
  <c r="C9" i="23"/>
  <c r="G9" i="23" s="1"/>
  <c r="I14" i="22" l="1"/>
  <c r="V14" i="22"/>
  <c r="H9" i="23"/>
  <c r="S8" i="22"/>
  <c r="C15" i="22" l="1"/>
  <c r="G15" i="22" s="1"/>
  <c r="H15" i="22" s="1"/>
  <c r="Q14" i="22"/>
  <c r="I9" i="23"/>
  <c r="W8" i="22"/>
  <c r="V15" i="22" l="1"/>
  <c r="U15" i="22"/>
  <c r="I15" i="22"/>
  <c r="Q15" i="22" s="1"/>
  <c r="Z8" i="22"/>
  <c r="AA8" i="22" s="1"/>
  <c r="B8" i="19"/>
  <c r="C16" i="22" l="1"/>
  <c r="G16" i="22" s="1"/>
  <c r="H16" i="22" s="1"/>
  <c r="U16" i="22" s="1"/>
  <c r="C10" i="23"/>
  <c r="G10" i="23" s="1"/>
  <c r="I16" i="22" l="1"/>
  <c r="V16" i="22"/>
  <c r="C17" i="22"/>
  <c r="G17" i="22" s="1"/>
  <c r="Q16" i="22"/>
  <c r="H10" i="23"/>
  <c r="S9" i="22"/>
  <c r="W9" i="22" s="1"/>
  <c r="H17" i="22" l="1"/>
  <c r="U17" i="22" s="1"/>
  <c r="I10" i="23"/>
  <c r="Z9" i="22"/>
  <c r="AA9" i="22" s="1"/>
  <c r="B9" i="19"/>
  <c r="I17" i="22" l="1"/>
  <c r="V17" i="22"/>
  <c r="C11" i="23"/>
  <c r="G11" i="23" s="1"/>
  <c r="C18" i="22" l="1"/>
  <c r="G18" i="22" s="1"/>
  <c r="H18" i="22" s="1"/>
  <c r="U18" i="22" s="1"/>
  <c r="Q17" i="22"/>
  <c r="H11" i="23"/>
  <c r="I18" i="22" l="1"/>
  <c r="V18" i="22"/>
  <c r="I11" i="23"/>
  <c r="S10" i="22"/>
  <c r="W10" i="22" s="1"/>
  <c r="C19" i="22" l="1"/>
  <c r="G19" i="22" s="1"/>
  <c r="H19" i="22" s="1"/>
  <c r="U19" i="22" s="1"/>
  <c r="Q18" i="22"/>
  <c r="Z10" i="22"/>
  <c r="AA10" i="22" s="1"/>
  <c r="B10" i="19"/>
  <c r="I19" i="22" l="1"/>
  <c r="V19" i="22"/>
  <c r="C12" i="23"/>
  <c r="G12" i="23" s="1"/>
  <c r="C20" i="22" l="1"/>
  <c r="G20" i="22" s="1"/>
  <c r="H20" i="22" s="1"/>
  <c r="U20" i="22" s="1"/>
  <c r="Q19" i="22"/>
  <c r="H12" i="23"/>
  <c r="I20" i="22" l="1"/>
  <c r="V20" i="22"/>
  <c r="I12" i="23"/>
  <c r="S11" i="22"/>
  <c r="C21" i="22" l="1"/>
  <c r="G21" i="22" s="1"/>
  <c r="H21" i="22" s="1"/>
  <c r="U21" i="22" s="1"/>
  <c r="Q20" i="22"/>
  <c r="B11" i="19"/>
  <c r="W11" i="22"/>
  <c r="C13" i="23"/>
  <c r="G13" i="23" s="1"/>
  <c r="I21" i="22" l="1"/>
  <c r="V21" i="22"/>
  <c r="H13" i="23"/>
  <c r="Z11" i="22"/>
  <c r="AA11" i="22" s="1"/>
  <c r="C22" i="22" l="1"/>
  <c r="G22" i="22" s="1"/>
  <c r="H22" i="22" s="1"/>
  <c r="U22" i="22" s="1"/>
  <c r="Q21" i="22"/>
  <c r="I13" i="23"/>
  <c r="I22" i="22" l="1"/>
  <c r="V22" i="22"/>
  <c r="B12" i="19"/>
  <c r="S12" i="22"/>
  <c r="W12" i="22" s="1"/>
  <c r="C23" i="22" l="1"/>
  <c r="G23" i="22" s="1"/>
  <c r="H23" i="22" s="1"/>
  <c r="U23" i="22" s="1"/>
  <c r="Q22" i="22"/>
  <c r="Z12" i="22"/>
  <c r="AA12" i="22" s="1"/>
  <c r="C14" i="23"/>
  <c r="G14" i="23" s="1"/>
  <c r="I23" i="22" l="1"/>
  <c r="Q23" i="22" s="1"/>
  <c r="V23" i="22"/>
  <c r="H14" i="23"/>
  <c r="I14" i="23" l="1"/>
  <c r="B13" i="19" l="1"/>
  <c r="C15" i="23"/>
  <c r="G15" i="23" s="1"/>
  <c r="S13" i="22"/>
  <c r="W13" i="22" s="1"/>
  <c r="H15" i="23" l="1"/>
  <c r="Z13" i="22"/>
  <c r="AA13" i="22" s="1"/>
  <c r="I15" i="23" l="1"/>
  <c r="B14" i="19" l="1"/>
  <c r="C16" i="23" l="1"/>
  <c r="G16" i="23" s="1"/>
  <c r="H16" i="23" l="1"/>
  <c r="S14" i="22"/>
  <c r="W14" i="22" s="1"/>
  <c r="I16" i="23" l="1"/>
  <c r="Z14" i="22"/>
  <c r="AA14" i="22" s="1"/>
  <c r="B15" i="19" l="1"/>
  <c r="C17" i="23"/>
  <c r="G17" i="23" s="1"/>
  <c r="S15" i="22" l="1"/>
  <c r="W15" i="22" s="1"/>
  <c r="H17" i="23"/>
  <c r="Z15" i="22" l="1"/>
  <c r="AA15" i="22" s="1"/>
  <c r="I17" i="23"/>
  <c r="B16" i="19" l="1"/>
  <c r="C18" i="23" l="1"/>
  <c r="G18" i="23" s="1"/>
  <c r="S16" i="22"/>
  <c r="W16" i="22" s="1"/>
  <c r="H18" i="23" l="1"/>
  <c r="Z16" i="22"/>
  <c r="AA16" i="22" s="1"/>
  <c r="I18" i="23" l="1"/>
  <c r="B17" i="19"/>
  <c r="C19" i="23" l="1"/>
  <c r="G19" i="23" s="1"/>
  <c r="H19" i="23" l="1"/>
  <c r="S17" i="22"/>
  <c r="W17" i="22" s="1"/>
  <c r="I19" i="23" l="1"/>
  <c r="Z17" i="22"/>
  <c r="AA17" i="22" s="1"/>
  <c r="B18" i="19" l="1"/>
  <c r="C20" i="23" l="1"/>
  <c r="G20" i="23" s="1"/>
  <c r="H20" i="23" l="1"/>
  <c r="S18" i="22"/>
  <c r="W18" i="22" s="1"/>
  <c r="I20" i="23" l="1"/>
  <c r="Z18" i="22"/>
  <c r="AA18" i="22" s="1"/>
  <c r="B19" i="19" l="1"/>
  <c r="C21" i="23" l="1"/>
  <c r="G21" i="23" s="1"/>
  <c r="H21" i="23" l="1"/>
  <c r="S19" i="22"/>
  <c r="I21" i="23" l="1"/>
  <c r="W19" i="22"/>
  <c r="Z19" i="22" l="1"/>
  <c r="AA19" i="22" s="1"/>
  <c r="B20" i="19"/>
  <c r="C22" i="23" l="1"/>
  <c r="G22" i="23" s="1"/>
  <c r="H22" i="23" l="1"/>
  <c r="S20" i="22"/>
  <c r="W20" i="22" s="1"/>
  <c r="I22" i="23" l="1"/>
  <c r="Z20" i="22"/>
  <c r="AA20" i="22" s="1"/>
  <c r="B21" i="19" l="1"/>
  <c r="C23" i="23" l="1"/>
  <c r="G23" i="23" s="1"/>
  <c r="H23" i="23" l="1"/>
  <c r="S21" i="22"/>
  <c r="I23" i="23" l="1"/>
  <c r="W21" i="22"/>
  <c r="B22" i="19"/>
  <c r="Z21" i="22" l="1"/>
  <c r="AA21" i="22" s="1"/>
  <c r="S22" i="22" l="1"/>
  <c r="W22" i="22" l="1"/>
  <c r="Z22" i="22" l="1"/>
  <c r="AA22" i="22" s="1"/>
  <c r="S23" i="22" l="1"/>
  <c r="W23" i="22" s="1"/>
  <c r="Z23" i="22" l="1"/>
  <c r="AA23" i="22" s="1"/>
  <c r="AA25" i="22" s="1"/>
  <c r="AA27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Ian Sharpe</author>
  </authors>
  <commentList>
    <comment ref="Q4" authorId="0" shapeId="0" xr:uid="{D0643F82-79A9-4131-A61B-04013A5C0278}">
      <text>
        <r>
          <rPr>
            <b/>
            <sz val="9"/>
            <color indexed="81"/>
            <rFont val="Tahoma"/>
            <family val="2"/>
          </rPr>
          <t>disconinuous formula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<sst xmlns="http://schemas.openxmlformats.org/spreadsheetml/2006/main" count="205" uniqueCount="130">
  <si>
    <t>Policy information - portfolio of 25-year term assurance policies</t>
  </si>
  <si>
    <t>Mortality Rate</t>
  </si>
  <si>
    <t>Policyholder age at start of policy</t>
  </si>
  <si>
    <t>Total premium</t>
  </si>
  <si>
    <t>per annum, payable annually in advance, ceasing immediately on death</t>
  </si>
  <si>
    <t>Age</t>
  </si>
  <si>
    <r>
      <t>q</t>
    </r>
    <r>
      <rPr>
        <b/>
        <vertAlign val="subscript"/>
        <sz val="11"/>
        <rFont val="Calibri"/>
        <family val="2"/>
        <scheme val="minor"/>
      </rPr>
      <t>x</t>
    </r>
  </si>
  <si>
    <t>Sum assured</t>
  </si>
  <si>
    <t>payable at the end of the year of death</t>
  </si>
  <si>
    <t>The policy ceases on the payment of a benefit</t>
  </si>
  <si>
    <t xml:space="preserve">Reserving assumptions </t>
  </si>
  <si>
    <t>Mortality</t>
  </si>
  <si>
    <t>See table on right</t>
  </si>
  <si>
    <t>Commission</t>
  </si>
  <si>
    <t>of all premiums, including the premium in the first year.</t>
  </si>
  <si>
    <t>Expenses</t>
  </si>
  <si>
    <t>per annum, at the start of each year, including the first year.</t>
  </si>
  <si>
    <t>Risk discount rate</t>
  </si>
  <si>
    <t>per annum</t>
  </si>
  <si>
    <t>You should ignore claim expenses.</t>
  </si>
  <si>
    <t>[1]</t>
  </si>
  <si>
    <t>[2]</t>
  </si>
  <si>
    <t>[7]</t>
  </si>
  <si>
    <t>Policy Year</t>
  </si>
  <si>
    <t>Age at start</t>
  </si>
  <si>
    <t>Mortality qx</t>
  </si>
  <si>
    <t>Survival px</t>
  </si>
  <si>
    <t>PV premiums to start year</t>
  </si>
  <si>
    <t>PV of expenses to start year</t>
  </si>
  <si>
    <t>PV of commission to start year</t>
  </si>
  <si>
    <t>PV of Benefits to start year</t>
  </si>
  <si>
    <t>TAx:&lt;n&gt;</t>
  </si>
  <si>
    <t>aduex:&lt;n&gt;</t>
  </si>
  <si>
    <t>Prospective Reserve at BOY</t>
  </si>
  <si>
    <t>Prospective Reserve at EOY</t>
  </si>
  <si>
    <t>tpx</t>
  </si>
  <si>
    <t>Retro: Alternative Calculation</t>
  </si>
  <si>
    <t>Picking up correct mortality rates</t>
  </si>
  <si>
    <t>Survival probability</t>
  </si>
  <si>
    <t>PV of premiums</t>
  </si>
  <si>
    <t>PV of expenses</t>
  </si>
  <si>
    <t>PV of commission</t>
  </si>
  <si>
    <t>PV of benefits</t>
  </si>
  <si>
    <t>Prosp: TAx:&lt;n&gt; calculation</t>
  </si>
  <si>
    <t>Prosp: aduex:&lt;n&gt; calculation</t>
  </si>
  <si>
    <t>Prosp: including all elements</t>
  </si>
  <si>
    <t>Prosp: Quoting end of year figures.</t>
  </si>
  <si>
    <t>Prosp: Final year reserve = 0</t>
  </si>
  <si>
    <t>Retro: tpx</t>
  </si>
  <si>
    <t>Retro: TAx:&lt;n&gt; calculation</t>
  </si>
  <si>
    <t>Retro: aduex:&lt;n&gt; calculation</t>
  </si>
  <si>
    <t>Retro: including all elements</t>
  </si>
  <si>
    <t>Retro: allowing for survivorship</t>
  </si>
  <si>
    <t>Retro: rolling up to year end</t>
  </si>
  <si>
    <t>(i)</t>
  </si>
  <si>
    <t>(ii)</t>
  </si>
  <si>
    <t>Retrospective Reserve at EOY</t>
  </si>
  <si>
    <t>See separate sheet</t>
  </si>
  <si>
    <t>Policy Terms</t>
  </si>
  <si>
    <t>Beginning (t-1)</t>
  </si>
  <si>
    <t>Ending (t)</t>
  </si>
  <si>
    <t>mu(01)(x+t-1)
critical illness</t>
  </si>
  <si>
    <t>mu(02)(x+t-1)
mortality</t>
  </si>
  <si>
    <t>Age at outset</t>
  </si>
  <si>
    <t>exact.</t>
  </si>
  <si>
    <t>Policy Term</t>
  </si>
  <si>
    <t>years.</t>
  </si>
  <si>
    <t>Minimum guaranteed death benefit</t>
  </si>
  <si>
    <t>Annual Premium</t>
  </si>
  <si>
    <t>payable annually in advance.</t>
  </si>
  <si>
    <t>Allocation rate for all policy years</t>
  </si>
  <si>
    <t>Bid offer spread</t>
  </si>
  <si>
    <t>Annual Management Charge</t>
  </si>
  <si>
    <t>per annum, payable at the end of each policy year by unit cancellation.</t>
  </si>
  <si>
    <t>Profit Test Assumptions</t>
  </si>
  <si>
    <t>Unit growth rate</t>
  </si>
  <si>
    <t>per annum effective.</t>
  </si>
  <si>
    <t>Return on non-unit balances</t>
  </si>
  <si>
    <t>Risk Discount Rate</t>
  </si>
  <si>
    <t>Independent mortality and critical illness diagnosis rates are given by the table.</t>
  </si>
  <si>
    <t>You should assume that deaths and critical illness diagnoses occur uniformly across each policy year.</t>
  </si>
  <si>
    <t>Initial Expenses</t>
  </si>
  <si>
    <t>at the start of the first policy year.</t>
  </si>
  <si>
    <t>Renewal expenses</t>
  </si>
  <si>
    <t>per annum, at the start of each subsequent policy year.</t>
  </si>
  <si>
    <t>Initial Commision</t>
  </si>
  <si>
    <t>of the premium payable at the start of the first policy year.</t>
  </si>
  <si>
    <t>Renewal Commission</t>
  </si>
  <si>
    <t>of the premiums payable at the start of each subsequent policy year.</t>
  </si>
  <si>
    <t>UNIT FUND</t>
  </si>
  <si>
    <t>Fund at start</t>
  </si>
  <si>
    <t>Premium</t>
  </si>
  <si>
    <t>Allocated Premium</t>
  </si>
  <si>
    <t>Fund at end year before AMC deduction</t>
  </si>
  <si>
    <t>AMC</t>
  </si>
  <si>
    <t>Fund at end</t>
  </si>
  <si>
    <t>For picking up correct probability</t>
  </si>
  <si>
    <t>Beginning</t>
  </si>
  <si>
    <t>Ending</t>
  </si>
  <si>
    <t>Force of critical illness</t>
  </si>
  <si>
    <t>Force of mortality</t>
  </si>
  <si>
    <t>(t-1)p(00)x</t>
  </si>
  <si>
    <t>(t-1)p(01)x</t>
  </si>
  <si>
    <t>(t-1)p(02)x</t>
  </si>
  <si>
    <t>(d/dt)(t-1)p(01)x</t>
  </si>
  <si>
    <t>(d/dt)(t-1)p(02)x</t>
  </si>
  <si>
    <t>(1)p(01)(x+t-1)</t>
  </si>
  <si>
    <t>(1)p(02)(x+t-1)</t>
  </si>
  <si>
    <t>NON-UNIT FUND</t>
  </si>
  <si>
    <t>Non-allocated premium</t>
  </si>
  <si>
    <t>Bid Offer Spread</t>
  </si>
  <si>
    <t>Interest</t>
  </si>
  <si>
    <t>Additional Death Benefit</t>
  </si>
  <si>
    <t>Mortality rate</t>
  </si>
  <si>
    <t>Cost of extra death cover</t>
  </si>
  <si>
    <t>Critical illness rate</t>
  </si>
  <si>
    <t>Cost of Critical Illness cover</t>
  </si>
  <si>
    <t>Profit</t>
  </si>
  <si>
    <t>Probability Policy in force at year start</t>
  </si>
  <si>
    <t>Discount factor</t>
  </si>
  <si>
    <t>Profit Signature</t>
  </si>
  <si>
    <t>Present Value of Profits</t>
  </si>
  <si>
    <t>Total PVP</t>
  </si>
  <si>
    <t>As percentage of P</t>
  </si>
  <si>
    <t>Solving for allocation rate</t>
  </si>
  <si>
    <t>(ii) (a)</t>
  </si>
  <si>
    <t>(iii)</t>
  </si>
  <si>
    <t>Unit fund at EOY</t>
  </si>
  <si>
    <t>Allocation rate</t>
  </si>
  <si>
    <t>Retrospective reserve (Recursive calculation)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</si>
</sst>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£&quot;#,##0;[Red]\-&quot;£&quot;#,##0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-* #,##0.0000_-;\-* #,##0.0000_-;_-* &quot;-&quot;??_-;_-@_-"/>
    <numFmt numFmtId="167" formatCode="_-* #,##0.000000_-;\-* #,##0.000000_-;_-* &quot;-&quot;??_-;_-@_-"/>
    <numFmt numFmtId="168" formatCode="_-* #,##0.0000000_-;\-* #,##0.0000000_-;_-* &quot;-&quot;??_-;_-@_-"/>
    <numFmt numFmtId="169" formatCode="#,##0.000000"/>
    <numFmt numFmtId="170" formatCode="#,##0.0"/>
    <numFmt numFmtId="171" formatCode="###\ ##0"/>
    <numFmt numFmtId="172" formatCode="_-[$$-409]* #,##0_ ;_-[$$-409]* \-#,##0\ ;_-[$$-409]* &quot;-&quot;??_ ;_-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9" fontId="0" fillId="0" borderId="0" xfId="0" applyNumberFormat="1"/>
    <xf numFmtId="10" fontId="0" fillId="0" borderId="0" xfId="2" applyNumberFormat="1" applyFont="1"/>
    <xf numFmtId="9" fontId="2" fillId="0" borderId="0" xfId="0" applyNumberFormat="1" applyFont="1"/>
    <xf numFmtId="43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6" fontId="0" fillId="0" borderId="0" xfId="0" applyNumberFormat="1"/>
    <xf numFmtId="6" fontId="2" fillId="0" borderId="0" xfId="0" applyNumberFormat="1" applyFont="1"/>
    <xf numFmtId="0" fontId="0" fillId="0" borderId="0" xfId="0" applyAlignment="1">
      <alignment wrapText="1"/>
    </xf>
    <xf numFmtId="43" fontId="0" fillId="0" borderId="0" xfId="1" applyFont="1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2" fillId="0" borderId="0" xfId="0" applyNumberFormat="1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164" fontId="0" fillId="0" borderId="0" xfId="1" applyNumberFormat="1" applyFont="1" applyFill="1"/>
    <xf numFmtId="164" fontId="2" fillId="0" borderId="0" xfId="1" applyNumberFormat="1" applyFont="1" applyFill="1"/>
    <xf numFmtId="0" fontId="4" fillId="0" borderId="0" xfId="0" applyFont="1"/>
    <xf numFmtId="43" fontId="0" fillId="0" borderId="0" xfId="1" applyFont="1" applyFill="1"/>
    <xf numFmtId="6" fontId="0" fillId="0" borderId="0" xfId="1" applyNumberFormat="1" applyFont="1" applyFill="1"/>
    <xf numFmtId="168" fontId="0" fillId="0" borderId="0" xfId="0" applyNumberFormat="1"/>
    <xf numFmtId="166" fontId="0" fillId="0" borderId="0" xfId="0" applyNumberFormat="1"/>
    <xf numFmtId="9" fontId="0" fillId="0" borderId="0" xfId="2" applyFont="1" applyFill="1"/>
    <xf numFmtId="4" fontId="0" fillId="0" borderId="0" xfId="0" applyNumberFormat="1"/>
    <xf numFmtId="169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1" applyNumberFormat="1" applyFont="1" applyFill="1" applyBorder="1"/>
    <xf numFmtId="0" fontId="0" fillId="0" borderId="9" xfId="0" applyBorder="1"/>
    <xf numFmtId="169" fontId="0" fillId="0" borderId="9" xfId="0" applyNumberFormat="1" applyBorder="1"/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2" xfId="0" applyFont="1" applyBorder="1"/>
    <xf numFmtId="0" fontId="3" fillId="0" borderId="11" xfId="0" applyFont="1" applyBorder="1"/>
    <xf numFmtId="0" fontId="3" fillId="0" borderId="2" xfId="0" applyFont="1" applyBorder="1" applyAlignment="1">
      <alignment wrapText="1"/>
    </xf>
    <xf numFmtId="0" fontId="0" fillId="0" borderId="13" xfId="1" applyNumberFormat="1" applyFont="1" applyFill="1" applyBorder="1"/>
    <xf numFmtId="0" fontId="0" fillId="0" borderId="14" xfId="0" applyBorder="1"/>
    <xf numFmtId="170" fontId="0" fillId="0" borderId="0" xfId="0" applyNumberFormat="1"/>
    <xf numFmtId="0" fontId="3" fillId="0" borderId="1" xfId="0" applyFont="1" applyBorder="1"/>
    <xf numFmtId="171" fontId="6" fillId="0" borderId="0" xfId="0" applyNumberFormat="1" applyFont="1"/>
    <xf numFmtId="172" fontId="0" fillId="0" borderId="0" xfId="0" applyNumberFormat="1"/>
    <xf numFmtId="169" fontId="7" fillId="0" borderId="1" xfId="0" applyNumberFormat="1" applyFont="1" applyBorder="1" applyAlignment="1">
      <alignment horizontal="center"/>
    </xf>
    <xf numFmtId="167" fontId="0" fillId="0" borderId="0" xfId="0" applyNumberFormat="1"/>
    <xf numFmtId="0" fontId="5" fillId="0" borderId="0" xfId="0" applyFont="1"/>
    <xf numFmtId="10" fontId="2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43" fontId="10" fillId="0" borderId="0" xfId="0" applyNumberFormat="1" applyFont="1"/>
    <xf numFmtId="0" fontId="10" fillId="0" borderId="0" xfId="0" applyFont="1"/>
    <xf numFmtId="43" fontId="0" fillId="3" borderId="0" xfId="0" applyNumberFormat="1" applyFill="1"/>
    <xf numFmtId="0" fontId="3" fillId="2" borderId="0" xfId="0" applyFont="1" applyFill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725A-78B5-4BD7-9DEE-7BDAE22C933F}">
  <dimension ref="B1:O35"/>
  <sheetViews>
    <sheetView workbookViewId="0">
      <selection activeCell="J11" sqref="J11"/>
    </sheetView>
  </sheetViews>
  <sheetFormatPr defaultRowHeight="14.25" x14ac:dyDescent="0.45"/>
  <cols>
    <col min="2" max="2" width="46" bestFit="1" customWidth="1"/>
    <col min="3" max="3" width="13" customWidth="1"/>
    <col min="15" max="15" width="10.86328125" customWidth="1"/>
  </cols>
  <sheetData>
    <row r="1" spans="2:15" x14ac:dyDescent="0.45">
      <c r="B1" s="11" t="s">
        <v>0</v>
      </c>
      <c r="M1" s="11"/>
      <c r="O1" s="58" t="s">
        <v>1</v>
      </c>
    </row>
    <row r="2" spans="2:15" x14ac:dyDescent="0.45">
      <c r="M2" s="11"/>
      <c r="O2" s="58"/>
    </row>
    <row r="3" spans="2:15" x14ac:dyDescent="0.45">
      <c r="B3" t="s">
        <v>2</v>
      </c>
      <c r="C3">
        <v>32</v>
      </c>
    </row>
    <row r="4" spans="2:15" ht="15.75" x14ac:dyDescent="0.55000000000000004">
      <c r="B4" t="s">
        <v>3</v>
      </c>
      <c r="C4" s="47">
        <v>5000</v>
      </c>
      <c r="D4" t="s">
        <v>4</v>
      </c>
      <c r="M4" s="17" t="s">
        <v>5</v>
      </c>
      <c r="N4" s="11"/>
      <c r="O4" s="48" t="s">
        <v>6</v>
      </c>
    </row>
    <row r="5" spans="2:15" x14ac:dyDescent="0.45">
      <c r="B5" t="s">
        <v>7</v>
      </c>
      <c r="C5" s="47">
        <v>2500000</v>
      </c>
      <c r="D5" t="s">
        <v>8</v>
      </c>
      <c r="M5" s="17">
        <v>30</v>
      </c>
      <c r="N5" s="46"/>
      <c r="O5" s="45">
        <v>5.8339999999999998E-4</v>
      </c>
    </row>
    <row r="6" spans="2:15" x14ac:dyDescent="0.45">
      <c r="B6" t="s">
        <v>9</v>
      </c>
      <c r="C6" s="13"/>
      <c r="M6" s="17">
        <v>31</v>
      </c>
      <c r="N6" s="46"/>
      <c r="O6" s="45">
        <v>6.2319999999999997E-4</v>
      </c>
    </row>
    <row r="7" spans="2:15" x14ac:dyDescent="0.45">
      <c r="C7" s="13"/>
      <c r="M7" s="17">
        <v>32</v>
      </c>
      <c r="N7" s="46"/>
      <c r="O7" s="45">
        <v>7.4629999999999998E-4</v>
      </c>
    </row>
    <row r="8" spans="2:15" x14ac:dyDescent="0.45">
      <c r="C8" s="13"/>
      <c r="M8" s="17">
        <v>33</v>
      </c>
      <c r="N8" s="46"/>
      <c r="O8" s="45">
        <v>7.3439999999999996E-4</v>
      </c>
    </row>
    <row r="9" spans="2:15" x14ac:dyDescent="0.45">
      <c r="B9" s="11" t="s">
        <v>10</v>
      </c>
      <c r="M9" s="17">
        <v>34</v>
      </c>
      <c r="N9" s="46"/>
      <c r="O9" s="45">
        <v>7.9520000000000003E-4</v>
      </c>
    </row>
    <row r="10" spans="2:15" x14ac:dyDescent="0.45">
      <c r="M10" s="17">
        <v>35</v>
      </c>
      <c r="N10" s="46"/>
      <c r="O10" s="45">
        <v>8.4710000000000004E-4</v>
      </c>
    </row>
    <row r="11" spans="2:15" x14ac:dyDescent="0.45">
      <c r="B11" t="s">
        <v>11</v>
      </c>
      <c r="C11" t="s">
        <v>12</v>
      </c>
      <c r="M11" s="17">
        <v>36</v>
      </c>
      <c r="N11" s="46"/>
      <c r="O11" s="45">
        <v>9.7460000000000005E-4</v>
      </c>
    </row>
    <row r="12" spans="2:15" x14ac:dyDescent="0.45">
      <c r="B12" t="s">
        <v>13</v>
      </c>
      <c r="C12" s="1">
        <v>0.02</v>
      </c>
      <c r="D12" t="s">
        <v>14</v>
      </c>
      <c r="M12" s="17">
        <v>37</v>
      </c>
      <c r="N12" s="46"/>
      <c r="O12" s="45">
        <v>9.703E-4</v>
      </c>
    </row>
    <row r="13" spans="2:15" x14ac:dyDescent="0.45">
      <c r="B13" t="s">
        <v>15</v>
      </c>
      <c r="C13" s="47">
        <v>1000</v>
      </c>
      <c r="D13" t="s">
        <v>16</v>
      </c>
      <c r="M13" s="17">
        <v>38</v>
      </c>
      <c r="N13" s="46"/>
      <c r="O13" s="45">
        <v>1.0281000000000001E-3</v>
      </c>
    </row>
    <row r="14" spans="2:15" x14ac:dyDescent="0.45">
      <c r="B14" t="s">
        <v>17</v>
      </c>
      <c r="C14" s="2">
        <v>5.7500000000000002E-2</v>
      </c>
      <c r="D14" t="s">
        <v>18</v>
      </c>
      <c r="M14" s="17">
        <v>39</v>
      </c>
      <c r="N14" s="46"/>
      <c r="O14" s="45">
        <v>1.1375999999999999E-3</v>
      </c>
    </row>
    <row r="15" spans="2:15" x14ac:dyDescent="0.45">
      <c r="M15" s="17">
        <v>40</v>
      </c>
      <c r="N15" s="46"/>
      <c r="O15" s="45">
        <v>1.2492E-3</v>
      </c>
    </row>
    <row r="16" spans="2:15" x14ac:dyDescent="0.45">
      <c r="B16" t="s">
        <v>19</v>
      </c>
      <c r="M16" s="17">
        <v>41</v>
      </c>
      <c r="N16" s="46"/>
      <c r="O16" s="45">
        <v>1.4165E-3</v>
      </c>
    </row>
    <row r="17" spans="13:15" x14ac:dyDescent="0.45">
      <c r="M17" s="17">
        <v>42</v>
      </c>
      <c r="N17" s="46"/>
      <c r="O17" s="45">
        <v>1.4904E-3</v>
      </c>
    </row>
    <row r="18" spans="13:15" x14ac:dyDescent="0.45">
      <c r="M18" s="17">
        <v>43</v>
      </c>
      <c r="N18" s="46"/>
      <c r="O18" s="45">
        <v>1.6599E-3</v>
      </c>
    </row>
    <row r="19" spans="13:15" x14ac:dyDescent="0.45">
      <c r="M19" s="17">
        <v>44</v>
      </c>
      <c r="N19" s="46"/>
      <c r="O19" s="45">
        <v>1.7665999999999999E-3</v>
      </c>
    </row>
    <row r="20" spans="13:15" x14ac:dyDescent="0.45">
      <c r="M20" s="17">
        <v>45</v>
      </c>
      <c r="N20" s="46"/>
      <c r="O20" s="45">
        <v>1.8494E-3</v>
      </c>
    </row>
    <row r="21" spans="13:15" x14ac:dyDescent="0.45">
      <c r="M21" s="17">
        <v>46</v>
      </c>
      <c r="N21" s="46"/>
      <c r="O21" s="45">
        <v>1.9819999999999998E-3</v>
      </c>
    </row>
    <row r="22" spans="13:15" x14ac:dyDescent="0.45">
      <c r="M22" s="17">
        <v>47</v>
      </c>
      <c r="N22" s="46"/>
      <c r="O22" s="45">
        <v>2.3176E-3</v>
      </c>
    </row>
    <row r="23" spans="13:15" x14ac:dyDescent="0.45">
      <c r="M23" s="17">
        <v>48</v>
      </c>
      <c r="N23" s="46"/>
      <c r="O23" s="45">
        <v>2.3668000000000001E-3</v>
      </c>
    </row>
    <row r="24" spans="13:15" x14ac:dyDescent="0.45">
      <c r="M24" s="17">
        <v>49</v>
      </c>
      <c r="N24" s="46"/>
      <c r="O24" s="45">
        <v>2.6407000000000002E-3</v>
      </c>
    </row>
    <row r="25" spans="13:15" x14ac:dyDescent="0.45">
      <c r="M25" s="17">
        <v>50</v>
      </c>
      <c r="N25" s="46"/>
      <c r="O25" s="45">
        <v>2.9207E-3</v>
      </c>
    </row>
    <row r="26" spans="13:15" x14ac:dyDescent="0.45">
      <c r="M26" s="17">
        <v>51</v>
      </c>
      <c r="N26" s="46"/>
      <c r="O26" s="45">
        <v>2.9822E-3</v>
      </c>
    </row>
    <row r="27" spans="13:15" x14ac:dyDescent="0.45">
      <c r="M27" s="17">
        <v>52</v>
      </c>
      <c r="N27" s="46"/>
      <c r="O27" s="45">
        <v>3.2391999999999998E-3</v>
      </c>
    </row>
    <row r="28" spans="13:15" x14ac:dyDescent="0.45">
      <c r="M28" s="17">
        <v>53</v>
      </c>
      <c r="N28" s="46"/>
      <c r="O28" s="45">
        <v>3.4328000000000002E-3</v>
      </c>
    </row>
    <row r="29" spans="13:15" x14ac:dyDescent="0.45">
      <c r="M29" s="17">
        <v>54</v>
      </c>
      <c r="N29" s="46"/>
      <c r="O29" s="45">
        <v>3.7502E-3</v>
      </c>
    </row>
    <row r="30" spans="13:15" x14ac:dyDescent="0.45">
      <c r="M30" s="17">
        <v>55</v>
      </c>
      <c r="N30" s="46"/>
      <c r="O30" s="45">
        <v>4.2396999999999999E-3</v>
      </c>
    </row>
    <row r="31" spans="13:15" x14ac:dyDescent="0.45">
      <c r="M31" s="17">
        <v>56</v>
      </c>
      <c r="N31" s="46"/>
      <c r="O31" s="45">
        <v>4.6829000000000003E-3</v>
      </c>
    </row>
    <row r="32" spans="13:15" x14ac:dyDescent="0.45">
      <c r="M32" s="17">
        <v>57</v>
      </c>
      <c r="N32" s="46"/>
      <c r="O32" s="45">
        <v>5.0749999999999997E-3</v>
      </c>
    </row>
    <row r="33" spans="13:15" x14ac:dyDescent="0.45">
      <c r="M33" s="17">
        <v>58</v>
      </c>
      <c r="N33" s="46"/>
      <c r="O33" s="45">
        <v>5.5069000000000003E-3</v>
      </c>
    </row>
    <row r="34" spans="13:15" x14ac:dyDescent="0.45">
      <c r="M34" s="17">
        <v>59</v>
      </c>
      <c r="N34" s="46"/>
      <c r="O34" s="45">
        <v>6.0330000000000002E-3</v>
      </c>
    </row>
    <row r="35" spans="13:15" x14ac:dyDescent="0.45">
      <c r="M35" s="17">
        <v>60</v>
      </c>
      <c r="N35" s="46"/>
      <c r="O35" s="45">
        <v>6.8894000000000004E-3</v>
      </c>
    </row>
  </sheetData>
  <mergeCells count="1">
    <mergeCell ref="O1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517D-3078-4782-998C-30355DC1CAC0}">
  <dimension ref="A1:S29"/>
  <sheetViews>
    <sheetView workbookViewId="0">
      <selection activeCell="H17" sqref="H17"/>
    </sheetView>
  </sheetViews>
  <sheetFormatPr defaultColWidth="9.1328125" defaultRowHeight="14.25" x14ac:dyDescent="0.45"/>
  <cols>
    <col min="5" max="6" width="10.59765625" customWidth="1"/>
    <col min="7" max="7" width="11.59765625" customWidth="1"/>
    <col min="8" max="8" width="12.59765625" customWidth="1"/>
    <col min="9" max="11" width="11.86328125" customWidth="1"/>
    <col min="12" max="12" width="12.59765625" customWidth="1"/>
    <col min="13" max="13" width="11.265625" customWidth="1"/>
    <col min="14" max="15" width="13.3984375" customWidth="1"/>
    <col min="16" max="16" width="13.3984375" style="56" customWidth="1"/>
    <col min="17" max="17" width="13.3984375" customWidth="1"/>
  </cols>
  <sheetData>
    <row r="1" spans="1:19" x14ac:dyDescent="0.45">
      <c r="E1" s="51">
        <f>'Q1 Base'!C14</f>
        <v>5.7500000000000002E-2</v>
      </c>
      <c r="G1" s="20">
        <f>'Q1 Base'!C4</f>
        <v>5000</v>
      </c>
      <c r="H1" s="20">
        <f>'Q1 Base'!C13</f>
        <v>1000</v>
      </c>
      <c r="I1" s="3">
        <f>'Q1 Base'!C12</f>
        <v>0.02</v>
      </c>
      <c r="J1" s="20">
        <f>'Q1 Base'!C5</f>
        <v>2500000</v>
      </c>
      <c r="N1" s="11"/>
      <c r="O1" s="11"/>
      <c r="P1" s="52"/>
    </row>
    <row r="2" spans="1:19" s="12" customFormat="1" x14ac:dyDescent="0.45">
      <c r="C2" s="12" t="s">
        <v>20</v>
      </c>
      <c r="D2" s="12" t="s">
        <v>20</v>
      </c>
      <c r="E2" s="12" t="s">
        <v>21</v>
      </c>
      <c r="F2" s="12" t="s">
        <v>21</v>
      </c>
      <c r="G2" s="12" t="s">
        <v>21</v>
      </c>
      <c r="H2" s="12" t="s">
        <v>21</v>
      </c>
      <c r="I2" s="12" t="s">
        <v>20</v>
      </c>
      <c r="J2" s="12" t="s">
        <v>21</v>
      </c>
      <c r="K2" s="12" t="s">
        <v>20</v>
      </c>
      <c r="L2" s="12" t="s">
        <v>20</v>
      </c>
      <c r="M2" s="12" t="s">
        <v>20</v>
      </c>
      <c r="N2" s="12" t="s">
        <v>21</v>
      </c>
      <c r="O2" s="12" t="s">
        <v>21</v>
      </c>
      <c r="P2" s="53" t="s">
        <v>21</v>
      </c>
      <c r="Q2" s="12" t="s">
        <v>22</v>
      </c>
    </row>
    <row r="3" spans="1:19" s="18" customFormat="1" ht="57" x14ac:dyDescent="0.45">
      <c r="A3" s="18" t="s">
        <v>23</v>
      </c>
      <c r="B3" s="18" t="s">
        <v>24</v>
      </c>
      <c r="C3" s="18" t="s">
        <v>25</v>
      </c>
      <c r="D3" s="18" t="s">
        <v>26</v>
      </c>
      <c r="E3" s="18" t="s">
        <v>31</v>
      </c>
      <c r="F3" s="18" t="s">
        <v>32</v>
      </c>
      <c r="G3" s="18" t="s">
        <v>27</v>
      </c>
      <c r="H3" s="18" t="s">
        <v>28</v>
      </c>
      <c r="I3" s="18" t="s">
        <v>29</v>
      </c>
      <c r="J3" s="18" t="s">
        <v>30</v>
      </c>
      <c r="K3" s="18" t="s">
        <v>33</v>
      </c>
      <c r="L3" s="18" t="s">
        <v>34</v>
      </c>
      <c r="M3" s="18" t="s">
        <v>35</v>
      </c>
      <c r="N3" s="18" t="s">
        <v>31</v>
      </c>
      <c r="O3" s="18" t="s">
        <v>32</v>
      </c>
      <c r="P3" s="54" t="s">
        <v>36</v>
      </c>
      <c r="Q3" s="18" t="s">
        <v>129</v>
      </c>
    </row>
    <row r="4" spans="1:19" x14ac:dyDescent="0.45">
      <c r="A4">
        <v>1</v>
      </c>
      <c r="B4">
        <v>32</v>
      </c>
      <c r="C4">
        <f>'Q1 Base'!O7</f>
        <v>7.4629999999999998E-4</v>
      </c>
      <c r="D4">
        <f t="shared" ref="D4:D28" si="0">1-C4</f>
        <v>0.99925370000000002</v>
      </c>
      <c r="E4">
        <f t="shared" ref="E4:E28" si="1">(C4+E5*D4)/(1+$E$1)</f>
        <v>2.1060297795065862E-2</v>
      </c>
      <c r="F4">
        <f t="shared" ref="F4:F27" si="2">1+(F5*D4/(1+$E$1))</f>
        <v>13.685521880618644</v>
      </c>
      <c r="G4" s="22">
        <f t="shared" ref="G4:G28" si="3">$G$1*F4</f>
        <v>68427.609403093214</v>
      </c>
      <c r="H4" s="22">
        <f t="shared" ref="H4:H28" si="4">$H$1*F4</f>
        <v>13685.521880618644</v>
      </c>
      <c r="I4" s="22">
        <f t="shared" ref="I4:I28" si="5">$G$1*$I$1*F4</f>
        <v>1368.5521880618644</v>
      </c>
      <c r="J4" s="22">
        <f t="shared" ref="J4:J28" si="6">$J$1*E4</f>
        <v>52650.744487664655</v>
      </c>
      <c r="K4" s="22">
        <f t="shared" ref="K4:K28" si="7">J4+H4+I4-G4</f>
        <v>-722.79084674805927</v>
      </c>
      <c r="L4" s="4">
        <f t="shared" ref="L4:L28" si="8">K5</f>
        <v>1495.2645955315966</v>
      </c>
      <c r="M4" s="49">
        <f>D4</f>
        <v>0.99925370000000002</v>
      </c>
      <c r="N4" s="49">
        <f>C4/(1+$E$1)</f>
        <v>7.0572104018912522E-4</v>
      </c>
      <c r="O4" s="49">
        <v>1</v>
      </c>
      <c r="P4" s="55">
        <f t="shared" ref="P4:P28" si="9">(($G$1*(1-$I$1)-$H$1)*O4-$J$1*N4)/M4*(1+$E$1)^A4</f>
        <v>2260.186777391968</v>
      </c>
      <c r="Q4" s="57">
        <f>(($G$1*(1-$I$1)+0-$H$1)*(1+$E$1)-$J$1*C4)/D4</f>
        <v>2260.1867773919676</v>
      </c>
      <c r="R4" s="4"/>
    </row>
    <row r="5" spans="1:19" x14ac:dyDescent="0.45">
      <c r="A5">
        <v>2</v>
      </c>
      <c r="B5">
        <v>33</v>
      </c>
      <c r="C5">
        <f>'Q1 Base'!O8</f>
        <v>7.3439999999999996E-4</v>
      </c>
      <c r="D5">
        <f t="shared" si="0"/>
        <v>0.99926559999999998</v>
      </c>
      <c r="E5">
        <f t="shared" si="1"/>
        <v>2.1541040997178348E-2</v>
      </c>
      <c r="F5">
        <f t="shared" si="2"/>
        <v>13.424958435234432</v>
      </c>
      <c r="G5" s="22">
        <f t="shared" si="3"/>
        <v>67124.792176172152</v>
      </c>
      <c r="H5" s="22">
        <f t="shared" si="4"/>
        <v>13424.958435234432</v>
      </c>
      <c r="I5" s="22">
        <f t="shared" si="5"/>
        <v>1342.4958435234432</v>
      </c>
      <c r="J5" s="22">
        <f t="shared" si="6"/>
        <v>53852.602492945873</v>
      </c>
      <c r="K5" s="22">
        <f t="shared" si="7"/>
        <v>1495.2645955315966</v>
      </c>
      <c r="L5" s="4">
        <f t="shared" si="8"/>
        <v>3872.3361534457363</v>
      </c>
      <c r="M5" s="49">
        <f t="shared" ref="M5:M28" si="10">M4*D5</f>
        <v>0.99851984808271999</v>
      </c>
      <c r="N5" s="49">
        <f t="shared" ref="N5:N28" si="11">N4+C5/(1+$E$1)^A5*M4</f>
        <v>1.3619383485337757E-3</v>
      </c>
      <c r="O5" s="49">
        <f t="shared" ref="O5:O28" si="12">O4+M4/(1+$E$1)^A4</f>
        <v>1.9449207565011819</v>
      </c>
      <c r="P5" s="55">
        <f t="shared" si="9"/>
        <v>4681.8358573456408</v>
      </c>
      <c r="Q5" s="4">
        <f t="shared" ref="Q5:Q28" si="13">(($G$1*(1-$I$1)+Q4-$H$1)*(1+$E$1)-$J$1*C5)/D5</f>
        <v>4681.8358573456417</v>
      </c>
      <c r="R5" s="4"/>
    </row>
    <row r="6" spans="1:19" x14ac:dyDescent="0.45">
      <c r="A6">
        <v>3</v>
      </c>
      <c r="B6">
        <v>34</v>
      </c>
      <c r="C6">
        <f>'Q1 Base'!O9</f>
        <v>7.9520000000000003E-4</v>
      </c>
      <c r="D6">
        <f t="shared" si="0"/>
        <v>0.9992048</v>
      </c>
      <c r="E6">
        <f t="shared" si="1"/>
        <v>2.2061452785441735E-2</v>
      </c>
      <c r="F6">
        <f t="shared" si="2"/>
        <v>13.149050207732973</v>
      </c>
      <c r="G6" s="22">
        <f t="shared" si="3"/>
        <v>65745.251038664865</v>
      </c>
      <c r="H6" s="22">
        <f t="shared" si="4"/>
        <v>13149.050207732973</v>
      </c>
      <c r="I6" s="22">
        <f t="shared" si="5"/>
        <v>1314.9050207732973</v>
      </c>
      <c r="J6" s="22">
        <f t="shared" si="6"/>
        <v>55153.631963604334</v>
      </c>
      <c r="K6" s="22">
        <f t="shared" si="7"/>
        <v>3872.3361534457363</v>
      </c>
      <c r="L6" s="4">
        <f t="shared" si="8"/>
        <v>6236.2045120968978</v>
      </c>
      <c r="M6" s="49">
        <f t="shared" si="10"/>
        <v>0.99772582509952457</v>
      </c>
      <c r="N6" s="49">
        <f t="shared" si="11"/>
        <v>2.0333547487246333E-3</v>
      </c>
      <c r="O6" s="49">
        <f t="shared" si="12"/>
        <v>2.8378066257187777</v>
      </c>
      <c r="P6" s="55">
        <f t="shared" si="9"/>
        <v>7092.9317184455258</v>
      </c>
      <c r="Q6" s="4">
        <f t="shared" si="13"/>
        <v>7092.9317184455249</v>
      </c>
      <c r="R6" s="21">
        <v>1</v>
      </c>
      <c r="S6" s="50" t="s">
        <v>37</v>
      </c>
    </row>
    <row r="7" spans="1:19" x14ac:dyDescent="0.45">
      <c r="A7">
        <v>4</v>
      </c>
      <c r="B7">
        <v>35</v>
      </c>
      <c r="C7">
        <f>'Q1 Base'!O10</f>
        <v>8.4710000000000004E-4</v>
      </c>
      <c r="D7">
        <f t="shared" si="0"/>
        <v>0.99915290000000001</v>
      </c>
      <c r="E7">
        <f t="shared" si="1"/>
        <v>2.2552720243742462E-2</v>
      </c>
      <c r="F7">
        <f t="shared" si="2"/>
        <v>12.857845153143399</v>
      </c>
      <c r="G7" s="22">
        <f t="shared" si="3"/>
        <v>64289.225765716998</v>
      </c>
      <c r="H7" s="22">
        <f t="shared" si="4"/>
        <v>12857.8451531434</v>
      </c>
      <c r="I7" s="22">
        <f t="shared" si="5"/>
        <v>1285.7845153143398</v>
      </c>
      <c r="J7" s="22">
        <f t="shared" si="6"/>
        <v>56381.800609356156</v>
      </c>
      <c r="K7" s="22">
        <f t="shared" si="7"/>
        <v>6236.2045120968978</v>
      </c>
      <c r="L7" s="4">
        <f t="shared" si="8"/>
        <v>8608.5785984732356</v>
      </c>
      <c r="M7" s="49">
        <f t="shared" si="10"/>
        <v>0.99688065155308281</v>
      </c>
      <c r="N7" s="49">
        <f t="shared" si="11"/>
        <v>2.7091644023537254E-3</v>
      </c>
      <c r="O7" s="49">
        <f t="shared" si="12"/>
        <v>3.6814717286732872</v>
      </c>
      <c r="P7" s="55">
        <f t="shared" si="9"/>
        <v>9515.3357331557017</v>
      </c>
      <c r="Q7" s="4">
        <f t="shared" si="13"/>
        <v>9515.3357331556999</v>
      </c>
      <c r="R7" s="21">
        <v>1</v>
      </c>
      <c r="S7" s="50" t="s">
        <v>38</v>
      </c>
    </row>
    <row r="8" spans="1:19" x14ac:dyDescent="0.45">
      <c r="A8">
        <v>5</v>
      </c>
      <c r="B8">
        <v>36</v>
      </c>
      <c r="C8">
        <f>'Q1 Base'!O11</f>
        <v>9.7460000000000005E-4</v>
      </c>
      <c r="D8">
        <f t="shared" si="0"/>
        <v>0.99902539999999995</v>
      </c>
      <c r="E8">
        <f t="shared" si="1"/>
        <v>2.3021903512222861E-2</v>
      </c>
      <c r="F8">
        <f t="shared" si="2"/>
        <v>12.550302610790746</v>
      </c>
      <c r="G8" s="22">
        <f t="shared" si="3"/>
        <v>62751.513053953735</v>
      </c>
      <c r="H8" s="22">
        <f t="shared" si="4"/>
        <v>12550.302610790746</v>
      </c>
      <c r="I8" s="22">
        <f t="shared" si="5"/>
        <v>1255.0302610790745</v>
      </c>
      <c r="J8" s="22">
        <f t="shared" si="6"/>
        <v>57554.758780557153</v>
      </c>
      <c r="K8" s="22">
        <f t="shared" si="7"/>
        <v>8608.5785984732356</v>
      </c>
      <c r="L8" s="4">
        <f t="shared" si="8"/>
        <v>10801.849350262222</v>
      </c>
      <c r="M8" s="49">
        <f t="shared" si="10"/>
        <v>0.99590909167007913</v>
      </c>
      <c r="N8" s="49">
        <f t="shared" si="11"/>
        <v>3.4437927684349782E-3</v>
      </c>
      <c r="O8" s="49">
        <f t="shared" si="12"/>
        <v>4.4785879785511087</v>
      </c>
      <c r="P8" s="55">
        <f t="shared" si="9"/>
        <v>11761.680471599779</v>
      </c>
      <c r="Q8" s="4">
        <f t="shared" si="13"/>
        <v>11761.680471599775</v>
      </c>
      <c r="R8" s="21">
        <v>2</v>
      </c>
      <c r="S8" s="50" t="s">
        <v>39</v>
      </c>
    </row>
    <row r="9" spans="1:19" x14ac:dyDescent="0.45">
      <c r="A9">
        <v>6</v>
      </c>
      <c r="B9">
        <v>37</v>
      </c>
      <c r="C9">
        <f>'Q1 Base'!O12</f>
        <v>9.703E-4</v>
      </c>
      <c r="D9">
        <f t="shared" si="0"/>
        <v>0.99902970000000002</v>
      </c>
      <c r="E9">
        <f t="shared" si="1"/>
        <v>2.339386262268775E-2</v>
      </c>
      <c r="F9">
        <f t="shared" si="2"/>
        <v>12.2263608221685</v>
      </c>
      <c r="G9" s="22">
        <f t="shared" si="3"/>
        <v>61131.804110842502</v>
      </c>
      <c r="H9" s="22">
        <f t="shared" si="4"/>
        <v>12226.360822168501</v>
      </c>
      <c r="I9" s="22">
        <f t="shared" si="5"/>
        <v>1222.6360822168499</v>
      </c>
      <c r="J9" s="22">
        <f t="shared" si="6"/>
        <v>58484.656556719376</v>
      </c>
      <c r="K9" s="22">
        <f t="shared" si="7"/>
        <v>10801.849350262222</v>
      </c>
      <c r="L9" s="4">
        <f t="shared" si="8"/>
        <v>13134.199801970142</v>
      </c>
      <c r="M9" s="49">
        <f t="shared" si="10"/>
        <v>0.99494276107843171</v>
      </c>
      <c r="N9" s="49">
        <f t="shared" si="11"/>
        <v>4.1347377584888068E-3</v>
      </c>
      <c r="O9" s="49">
        <f t="shared" si="12"/>
        <v>5.2316275817479791</v>
      </c>
      <c r="P9" s="55">
        <f t="shared" si="9"/>
        <v>14150.207044612154</v>
      </c>
      <c r="Q9" s="4">
        <f t="shared" si="13"/>
        <v>14150.207044612152</v>
      </c>
      <c r="R9" s="21">
        <v>2</v>
      </c>
      <c r="S9" s="50" t="s">
        <v>40</v>
      </c>
    </row>
    <row r="10" spans="1:19" x14ac:dyDescent="0.45">
      <c r="A10">
        <v>7</v>
      </c>
      <c r="B10">
        <v>38</v>
      </c>
      <c r="C10">
        <f>'Q1 Base'!O13</f>
        <v>1.0281000000000001E-3</v>
      </c>
      <c r="D10">
        <f t="shared" si="0"/>
        <v>0.99897190000000002</v>
      </c>
      <c r="E10">
        <f t="shared" si="1"/>
        <v>2.379179490208579E-2</v>
      </c>
      <c r="F10">
        <f t="shared" si="2"/>
        <v>11.883407039293417</v>
      </c>
      <c r="G10" s="22">
        <f t="shared" si="3"/>
        <v>59417.035196467084</v>
      </c>
      <c r="H10" s="22">
        <f t="shared" si="4"/>
        <v>11883.407039293417</v>
      </c>
      <c r="I10" s="22">
        <f t="shared" si="5"/>
        <v>1188.3407039293415</v>
      </c>
      <c r="J10" s="22">
        <f t="shared" si="6"/>
        <v>59479.487255214473</v>
      </c>
      <c r="K10" s="22">
        <f t="shared" si="7"/>
        <v>13134.199801970142</v>
      </c>
      <c r="L10" s="4">
        <f t="shared" si="8"/>
        <v>15459.310007201828</v>
      </c>
      <c r="M10" s="49">
        <f t="shared" si="10"/>
        <v>0.99391986042576697</v>
      </c>
      <c r="N10" s="49">
        <f t="shared" si="11"/>
        <v>4.8263629816967897E-3</v>
      </c>
      <c r="O10" s="49">
        <f t="shared" si="12"/>
        <v>5.943030824178134</v>
      </c>
      <c r="P10" s="55">
        <f t="shared" si="9"/>
        <v>16534.843422199716</v>
      </c>
      <c r="Q10" s="4">
        <f t="shared" si="13"/>
        <v>16534.843422199712</v>
      </c>
      <c r="R10" s="21">
        <v>1</v>
      </c>
      <c r="S10" s="50" t="s">
        <v>41</v>
      </c>
    </row>
    <row r="11" spans="1:19" x14ac:dyDescent="0.45">
      <c r="A11">
        <v>8</v>
      </c>
      <c r="B11">
        <v>39</v>
      </c>
      <c r="C11">
        <f>'Q1 Base'!O14</f>
        <v>1.1375999999999999E-3</v>
      </c>
      <c r="D11">
        <f t="shared" si="0"/>
        <v>0.99886240000000004</v>
      </c>
      <c r="E11">
        <f t="shared" si="1"/>
        <v>2.4156558466715352E-2</v>
      </c>
      <c r="F11">
        <f t="shared" si="2"/>
        <v>11.52104773322732</v>
      </c>
      <c r="G11" s="22">
        <f t="shared" si="3"/>
        <v>57605.238666136604</v>
      </c>
      <c r="H11" s="22">
        <f t="shared" si="4"/>
        <v>11521.04773322732</v>
      </c>
      <c r="I11" s="22">
        <f t="shared" si="5"/>
        <v>1152.1047733227319</v>
      </c>
      <c r="J11" s="22">
        <f t="shared" si="6"/>
        <v>60391.396166788378</v>
      </c>
      <c r="K11" s="22">
        <f t="shared" si="7"/>
        <v>15459.310007201828</v>
      </c>
      <c r="L11" s="4">
        <f t="shared" si="8"/>
        <v>17648.547320047219</v>
      </c>
      <c r="M11" s="49">
        <f t="shared" si="10"/>
        <v>0.99278917719254667</v>
      </c>
      <c r="N11" s="49">
        <f t="shared" si="11"/>
        <v>5.5492958054608726E-3</v>
      </c>
      <c r="O11" s="49">
        <f t="shared" si="12"/>
        <v>6.6150609412056633</v>
      </c>
      <c r="P11" s="55">
        <f t="shared" si="9"/>
        <v>18787.219259605932</v>
      </c>
      <c r="Q11" s="4">
        <f t="shared" si="13"/>
        <v>18787.219259605925</v>
      </c>
      <c r="R11" s="21">
        <v>2</v>
      </c>
      <c r="S11" s="50" t="s">
        <v>42</v>
      </c>
    </row>
    <row r="12" spans="1:19" x14ac:dyDescent="0.45">
      <c r="A12">
        <v>9</v>
      </c>
      <c r="B12">
        <v>40</v>
      </c>
      <c r="C12">
        <f>'Q1 Base'!O15</f>
        <v>1.2492E-3</v>
      </c>
      <c r="D12">
        <f t="shared" si="0"/>
        <v>0.99875080000000005</v>
      </c>
      <c r="E12">
        <f t="shared" si="1"/>
        <v>2.4435758697645929E-2</v>
      </c>
      <c r="F12">
        <f t="shared" si="2"/>
        <v>11.138679339504513</v>
      </c>
      <c r="G12" s="22">
        <f t="shared" si="3"/>
        <v>55693.396697522563</v>
      </c>
      <c r="H12" s="22">
        <f t="shared" si="4"/>
        <v>11138.679339504513</v>
      </c>
      <c r="I12" s="22">
        <f t="shared" si="5"/>
        <v>1113.8679339504513</v>
      </c>
      <c r="J12" s="22">
        <f t="shared" si="6"/>
        <v>61089.39674411482</v>
      </c>
      <c r="K12" s="22">
        <f t="shared" si="7"/>
        <v>17648.547320047219</v>
      </c>
      <c r="L12" s="4">
        <f t="shared" si="8"/>
        <v>19689.184520252638</v>
      </c>
      <c r="M12" s="49">
        <f t="shared" si="10"/>
        <v>0.99154898495239774</v>
      </c>
      <c r="N12" s="49">
        <f t="shared" si="11"/>
        <v>6.2991306623844971E-3</v>
      </c>
      <c r="O12" s="49">
        <f t="shared" si="12"/>
        <v>7.2498274807483574</v>
      </c>
      <c r="P12" s="55">
        <f t="shared" si="9"/>
        <v>20894.836196409833</v>
      </c>
      <c r="Q12" s="4">
        <f t="shared" si="13"/>
        <v>20894.836196409822</v>
      </c>
      <c r="R12" s="21"/>
      <c r="S12" s="50"/>
    </row>
    <row r="13" spans="1:19" x14ac:dyDescent="0.45">
      <c r="A13">
        <v>10</v>
      </c>
      <c r="B13">
        <v>41</v>
      </c>
      <c r="C13">
        <f>'Q1 Base'!O16</f>
        <v>1.4165E-3</v>
      </c>
      <c r="D13">
        <f t="shared" si="0"/>
        <v>0.99858349999999996</v>
      </c>
      <c r="E13">
        <f t="shared" si="1"/>
        <v>2.462237309122613E-2</v>
      </c>
      <c r="F13">
        <f t="shared" si="2"/>
        <v>10.735063643028894</v>
      </c>
      <c r="G13" s="22">
        <f t="shared" si="3"/>
        <v>53675.318215144471</v>
      </c>
      <c r="H13" s="22">
        <f t="shared" si="4"/>
        <v>10735.063643028894</v>
      </c>
      <c r="I13" s="22">
        <f t="shared" si="5"/>
        <v>1073.5063643028893</v>
      </c>
      <c r="J13" s="22">
        <f t="shared" si="6"/>
        <v>61555.932728065323</v>
      </c>
      <c r="K13" s="22">
        <f t="shared" si="7"/>
        <v>19689.184520252638</v>
      </c>
      <c r="L13" s="4">
        <f t="shared" si="8"/>
        <v>21434.674847088063</v>
      </c>
      <c r="M13" s="49">
        <f t="shared" si="10"/>
        <v>0.9901444558152126</v>
      </c>
      <c r="N13" s="49">
        <f t="shared" si="11"/>
        <v>7.10215182861297E-3</v>
      </c>
      <c r="O13" s="49">
        <f t="shared" si="12"/>
        <v>7.8493296927403167</v>
      </c>
      <c r="P13" s="55">
        <f t="shared" si="9"/>
        <v>22711.460060879635</v>
      </c>
      <c r="Q13" s="4">
        <f t="shared" si="13"/>
        <v>22711.460060879625</v>
      </c>
      <c r="R13" s="21">
        <v>2</v>
      </c>
      <c r="S13" s="50" t="s">
        <v>43</v>
      </c>
    </row>
    <row r="14" spans="1:19" x14ac:dyDescent="0.45">
      <c r="A14">
        <v>11</v>
      </c>
      <c r="B14">
        <v>42</v>
      </c>
      <c r="C14">
        <f>'Q1 Base'!O17</f>
        <v>1.4904E-3</v>
      </c>
      <c r="D14">
        <f t="shared" si="0"/>
        <v>0.9985096</v>
      </c>
      <c r="E14">
        <f t="shared" si="1"/>
        <v>2.4656585597470453E-2</v>
      </c>
      <c r="F14">
        <f t="shared" si="2"/>
        <v>10.30943311450976</v>
      </c>
      <c r="G14" s="22">
        <f t="shared" si="3"/>
        <v>51547.165572548802</v>
      </c>
      <c r="H14" s="22">
        <f t="shared" si="4"/>
        <v>10309.43311450976</v>
      </c>
      <c r="I14" s="22">
        <f t="shared" si="5"/>
        <v>1030.9433114509761</v>
      </c>
      <c r="J14" s="22">
        <f t="shared" si="6"/>
        <v>61641.46399367613</v>
      </c>
      <c r="K14" s="22">
        <f t="shared" si="7"/>
        <v>21434.674847088063</v>
      </c>
      <c r="L14" s="4">
        <f t="shared" si="8"/>
        <v>23099.846662261065</v>
      </c>
      <c r="M14" s="49">
        <f t="shared" si="10"/>
        <v>0.98866874451826559</v>
      </c>
      <c r="N14" s="49">
        <f t="shared" si="11"/>
        <v>7.8999945096305951E-3</v>
      </c>
      <c r="O14" s="49">
        <f t="shared" si="12"/>
        <v>8.4154318365783052</v>
      </c>
      <c r="P14" s="55">
        <f t="shared" si="9"/>
        <v>24452.062368133677</v>
      </c>
      <c r="Q14" s="4">
        <f t="shared" si="13"/>
        <v>24452.062368133673</v>
      </c>
      <c r="R14" s="21">
        <v>2</v>
      </c>
      <c r="S14" s="50" t="s">
        <v>44</v>
      </c>
    </row>
    <row r="15" spans="1:19" x14ac:dyDescent="0.45">
      <c r="A15">
        <v>12</v>
      </c>
      <c r="B15">
        <v>43</v>
      </c>
      <c r="C15">
        <f>'Q1 Base'!O18</f>
        <v>1.6599E-3</v>
      </c>
      <c r="D15">
        <f t="shared" si="0"/>
        <v>0.99834009999999995</v>
      </c>
      <c r="E15">
        <f t="shared" si="1"/>
        <v>2.4620633862032983E-2</v>
      </c>
      <c r="F15">
        <f t="shared" si="2"/>
        <v>9.8594199981593302</v>
      </c>
      <c r="G15" s="22">
        <f t="shared" si="3"/>
        <v>49297.099990796654</v>
      </c>
      <c r="H15" s="22">
        <f t="shared" si="4"/>
        <v>9859.4199981593301</v>
      </c>
      <c r="I15" s="22">
        <f t="shared" si="5"/>
        <v>985.94199981593306</v>
      </c>
      <c r="J15" s="22">
        <f t="shared" si="6"/>
        <v>61551.584655082457</v>
      </c>
      <c r="K15" s="22">
        <f t="shared" si="7"/>
        <v>23099.846662261065</v>
      </c>
      <c r="L15" s="4">
        <f t="shared" si="8"/>
        <v>24443.161048365262</v>
      </c>
      <c r="M15" s="49">
        <f t="shared" si="10"/>
        <v>0.98702765326923969</v>
      </c>
      <c r="N15" s="49">
        <f t="shared" si="11"/>
        <v>8.739006595983638E-3</v>
      </c>
      <c r="O15" s="49">
        <f t="shared" si="12"/>
        <v>8.9499551701034221</v>
      </c>
      <c r="P15" s="55">
        <f t="shared" si="9"/>
        <v>25875.506707885783</v>
      </c>
      <c r="Q15" s="4">
        <f t="shared" si="13"/>
        <v>25875.506707885783</v>
      </c>
      <c r="R15" s="21">
        <v>1</v>
      </c>
      <c r="S15" s="50" t="s">
        <v>45</v>
      </c>
    </row>
    <row r="16" spans="1:19" x14ac:dyDescent="0.45">
      <c r="A16">
        <v>13</v>
      </c>
      <c r="B16">
        <v>44</v>
      </c>
      <c r="C16">
        <f>'Q1 Base'!O19</f>
        <v>1.7665999999999999E-3</v>
      </c>
      <c r="D16">
        <f t="shared" si="0"/>
        <v>0.99823340000000005</v>
      </c>
      <c r="E16">
        <f t="shared" si="1"/>
        <v>2.441695000441221E-2</v>
      </c>
      <c r="F16">
        <f t="shared" si="2"/>
        <v>9.3844138365808352</v>
      </c>
      <c r="G16" s="22">
        <f t="shared" si="3"/>
        <v>46922.069182904175</v>
      </c>
      <c r="H16" s="22">
        <f t="shared" si="4"/>
        <v>9384.4138365808358</v>
      </c>
      <c r="I16" s="22">
        <f t="shared" si="5"/>
        <v>938.44138365808351</v>
      </c>
      <c r="J16" s="22">
        <f t="shared" si="6"/>
        <v>61042.375011030526</v>
      </c>
      <c r="K16" s="22">
        <f t="shared" si="7"/>
        <v>24443.161048365262</v>
      </c>
      <c r="L16" s="4">
        <f t="shared" si="8"/>
        <v>25601.620631654157</v>
      </c>
      <c r="M16" s="49">
        <f t="shared" si="10"/>
        <v>0.98528397021697434</v>
      </c>
      <c r="N16" s="49">
        <f t="shared" si="11"/>
        <v>9.5819970521538473E-3</v>
      </c>
      <c r="O16" s="49">
        <f t="shared" si="12"/>
        <v>9.4545755750620977</v>
      </c>
      <c r="P16" s="55">
        <f t="shared" si="9"/>
        <v>27119.00678096847</v>
      </c>
      <c r="Q16" s="4">
        <f t="shared" si="13"/>
        <v>27119.006780968477</v>
      </c>
      <c r="R16" s="21">
        <v>1</v>
      </c>
      <c r="S16" s="50" t="s">
        <v>46</v>
      </c>
    </row>
    <row r="17" spans="1:19" x14ac:dyDescent="0.45">
      <c r="A17">
        <v>14</v>
      </c>
      <c r="B17">
        <v>45</v>
      </c>
      <c r="C17">
        <f>'Q1 Base'!O20</f>
        <v>1.8494E-3</v>
      </c>
      <c r="D17">
        <f t="shared" si="0"/>
        <v>0.9981506</v>
      </c>
      <c r="E17">
        <f t="shared" si="1"/>
        <v>2.4096894202964871E-2</v>
      </c>
      <c r="F17">
        <f t="shared" si="2"/>
        <v>8.8822089425020572</v>
      </c>
      <c r="G17" s="22">
        <f t="shared" si="3"/>
        <v>44411.044712510287</v>
      </c>
      <c r="H17" s="22">
        <f t="shared" si="4"/>
        <v>8882.2089425020567</v>
      </c>
      <c r="I17" s="22">
        <f t="shared" si="5"/>
        <v>888.22089425020567</v>
      </c>
      <c r="J17" s="22">
        <f t="shared" si="6"/>
        <v>60242.235507412181</v>
      </c>
      <c r="K17" s="22">
        <f t="shared" si="7"/>
        <v>25601.620631654157</v>
      </c>
      <c r="L17" s="4">
        <f t="shared" si="8"/>
        <v>26623.701691883223</v>
      </c>
      <c r="M17" s="49">
        <f t="shared" si="10"/>
        <v>0.98346178604245504</v>
      </c>
      <c r="N17" s="49">
        <f t="shared" si="11"/>
        <v>1.0415039258932472E-2</v>
      </c>
      <c r="O17" s="49">
        <f t="shared" si="12"/>
        <v>9.9309150006425</v>
      </c>
      <c r="P17" s="55">
        <f t="shared" si="9"/>
        <v>28231.310656802852</v>
      </c>
      <c r="Q17" s="4">
        <f t="shared" si="13"/>
        <v>28231.310656802856</v>
      </c>
      <c r="R17" s="21">
        <v>1</v>
      </c>
      <c r="S17" s="50" t="s">
        <v>47</v>
      </c>
    </row>
    <row r="18" spans="1:19" x14ac:dyDescent="0.45">
      <c r="A18">
        <v>15</v>
      </c>
      <c r="B18">
        <v>46</v>
      </c>
      <c r="C18">
        <f>'Q1 Base'!O21</f>
        <v>1.9819999999999998E-3</v>
      </c>
      <c r="D18">
        <f t="shared" si="0"/>
        <v>0.99801799999999996</v>
      </c>
      <c r="E18">
        <f t="shared" si="1"/>
        <v>2.3676853592669633E-2</v>
      </c>
      <c r="F18">
        <f t="shared" si="2"/>
        <v>8.350880074305346</v>
      </c>
      <c r="G18" s="22">
        <f t="shared" si="3"/>
        <v>41754.400371526732</v>
      </c>
      <c r="H18" s="22">
        <f t="shared" si="4"/>
        <v>8350.8800743053453</v>
      </c>
      <c r="I18" s="22">
        <f t="shared" si="5"/>
        <v>835.08800743053462</v>
      </c>
      <c r="J18" s="22">
        <f t="shared" si="6"/>
        <v>59192.13398167408</v>
      </c>
      <c r="K18" s="22">
        <f t="shared" si="7"/>
        <v>26623.701691883223</v>
      </c>
      <c r="L18" s="4">
        <f t="shared" si="8"/>
        <v>27378.077889543594</v>
      </c>
      <c r="M18" s="49">
        <f t="shared" si="10"/>
        <v>0.98151256478251891</v>
      </c>
      <c r="N18" s="49">
        <f t="shared" si="11"/>
        <v>1.1257705312342641E-2</v>
      </c>
      <c r="O18" s="49">
        <f t="shared" si="12"/>
        <v>10.380521131561398</v>
      </c>
      <c r="P18" s="55">
        <f t="shared" si="9"/>
        <v>29081.50055366641</v>
      </c>
      <c r="Q18" s="4">
        <f t="shared" si="13"/>
        <v>29081.500553666396</v>
      </c>
      <c r="R18" s="21"/>
      <c r="S18" s="50"/>
    </row>
    <row r="19" spans="1:19" x14ac:dyDescent="0.45">
      <c r="A19">
        <v>16</v>
      </c>
      <c r="B19">
        <v>47</v>
      </c>
      <c r="C19">
        <f>'Q1 Base'!O22</f>
        <v>2.3176E-3</v>
      </c>
      <c r="D19">
        <f t="shared" si="0"/>
        <v>0.99768239999999997</v>
      </c>
      <c r="E19">
        <f t="shared" si="1"/>
        <v>2.3102060959069016E-2</v>
      </c>
      <c r="F19">
        <f t="shared" si="2"/>
        <v>7.7889934636228046</v>
      </c>
      <c r="G19" s="22">
        <f t="shared" si="3"/>
        <v>38944.967318114024</v>
      </c>
      <c r="H19" s="22">
        <f t="shared" si="4"/>
        <v>7788.9934636228045</v>
      </c>
      <c r="I19" s="22">
        <f t="shared" si="5"/>
        <v>778.89934636228043</v>
      </c>
      <c r="J19" s="22">
        <f t="shared" si="6"/>
        <v>57755.152397672537</v>
      </c>
      <c r="K19" s="22">
        <f t="shared" si="7"/>
        <v>27378.077889543594</v>
      </c>
      <c r="L19" s="4">
        <f t="shared" si="8"/>
        <v>27345.944328768717</v>
      </c>
      <c r="M19" s="49">
        <f t="shared" si="10"/>
        <v>0.97923781126237897</v>
      </c>
      <c r="N19" s="49">
        <f t="shared" si="11"/>
        <v>1.2187631180868051E-2</v>
      </c>
      <c r="O19" s="49">
        <f t="shared" si="12"/>
        <v>10.80483792736983</v>
      </c>
      <c r="P19" s="55">
        <f t="shared" si="9"/>
        <v>29151.498348073743</v>
      </c>
      <c r="Q19" s="4">
        <f t="shared" si="13"/>
        <v>29151.498348073714</v>
      </c>
      <c r="R19" s="21">
        <v>1</v>
      </c>
      <c r="S19" s="50" t="s">
        <v>48</v>
      </c>
    </row>
    <row r="20" spans="1:19" x14ac:dyDescent="0.45">
      <c r="A20">
        <v>17</v>
      </c>
      <c r="B20">
        <v>48</v>
      </c>
      <c r="C20">
        <f>'Q1 Base'!O23</f>
        <v>2.3668000000000001E-3</v>
      </c>
      <c r="D20">
        <f t="shared" si="0"/>
        <v>0.9976332</v>
      </c>
      <c r="E20">
        <f t="shared" si="1"/>
        <v>2.2164197207663969E-2</v>
      </c>
      <c r="F20">
        <f t="shared" si="2"/>
        <v>7.1960381257413344</v>
      </c>
      <c r="G20" s="22">
        <f t="shared" si="3"/>
        <v>35980.190628706674</v>
      </c>
      <c r="H20" s="22">
        <f t="shared" si="4"/>
        <v>7196.0381257413346</v>
      </c>
      <c r="I20" s="22">
        <f t="shared" si="5"/>
        <v>719.60381257413349</v>
      </c>
      <c r="J20" s="22">
        <f t="shared" si="6"/>
        <v>55410.493019159927</v>
      </c>
      <c r="K20" s="22">
        <f t="shared" si="7"/>
        <v>27345.944328768717</v>
      </c>
      <c r="L20" s="4">
        <f t="shared" si="8"/>
        <v>27189.939275951256</v>
      </c>
      <c r="M20" s="49">
        <f t="shared" si="10"/>
        <v>0.97692015121068321</v>
      </c>
      <c r="N20" s="49">
        <f t="shared" si="11"/>
        <v>1.3083580290722704E-2</v>
      </c>
      <c r="O20" s="49">
        <f t="shared" si="12"/>
        <v>11.205153198483272</v>
      </c>
      <c r="P20" s="55">
        <f t="shared" si="9"/>
        <v>29103.842477463626</v>
      </c>
      <c r="Q20" s="4">
        <f t="shared" si="13"/>
        <v>29103.842477463619</v>
      </c>
      <c r="R20" s="21">
        <v>1</v>
      </c>
      <c r="S20" s="50" t="s">
        <v>49</v>
      </c>
    </row>
    <row r="21" spans="1:19" x14ac:dyDescent="0.45">
      <c r="A21">
        <v>18</v>
      </c>
      <c r="B21">
        <v>49</v>
      </c>
      <c r="C21">
        <f>'Q1 Base'!O24</f>
        <v>2.6407000000000002E-3</v>
      </c>
      <c r="D21">
        <f t="shared" si="0"/>
        <v>0.99735929999999995</v>
      </c>
      <c r="E21">
        <f t="shared" si="1"/>
        <v>2.1121829693623521E-2</v>
      </c>
      <c r="F21">
        <f t="shared" si="2"/>
        <v>6.5678551174634743</v>
      </c>
      <c r="G21" s="22">
        <f t="shared" si="3"/>
        <v>32839.275587317374</v>
      </c>
      <c r="H21" s="22">
        <f t="shared" si="4"/>
        <v>6567.855117463474</v>
      </c>
      <c r="I21" s="22">
        <f t="shared" si="5"/>
        <v>656.78551174634742</v>
      </c>
      <c r="J21" s="22">
        <f t="shared" si="6"/>
        <v>52804.574234058804</v>
      </c>
      <c r="K21" s="22">
        <f t="shared" si="7"/>
        <v>27189.939275951256</v>
      </c>
      <c r="L21" s="4">
        <f t="shared" si="8"/>
        <v>26345.431164394267</v>
      </c>
      <c r="M21" s="49">
        <f t="shared" si="10"/>
        <v>0.97434039816738116</v>
      </c>
      <c r="N21" s="49">
        <f t="shared" si="11"/>
        <v>1.4026623005970023E-2</v>
      </c>
      <c r="O21" s="49">
        <f t="shared" si="12"/>
        <v>11.582805969102441</v>
      </c>
      <c r="P21" s="55">
        <f t="shared" si="9"/>
        <v>28374.742602708771</v>
      </c>
      <c r="Q21" s="4">
        <f t="shared" si="13"/>
        <v>28374.74260270876</v>
      </c>
      <c r="R21" s="21">
        <v>1</v>
      </c>
      <c r="S21" s="50" t="s">
        <v>50</v>
      </c>
    </row>
    <row r="22" spans="1:19" x14ac:dyDescent="0.45">
      <c r="A22">
        <v>19</v>
      </c>
      <c r="B22">
        <v>50</v>
      </c>
      <c r="C22">
        <f>'Q1 Base'!O25</f>
        <v>2.9207E-3</v>
      </c>
      <c r="D22">
        <f t="shared" si="0"/>
        <v>0.9970793</v>
      </c>
      <c r="E22">
        <f t="shared" si="1"/>
        <v>1.9747782871234947E-2</v>
      </c>
      <c r="F22">
        <f t="shared" si="2"/>
        <v>5.9035964137674606</v>
      </c>
      <c r="G22" s="22">
        <f t="shared" si="3"/>
        <v>29517.982068837304</v>
      </c>
      <c r="H22" s="22">
        <f t="shared" si="4"/>
        <v>5903.5964137674609</v>
      </c>
      <c r="I22" s="22">
        <f t="shared" si="5"/>
        <v>590.35964137674603</v>
      </c>
      <c r="J22" s="22">
        <f t="shared" si="6"/>
        <v>49369.457178087367</v>
      </c>
      <c r="K22" s="22">
        <f t="shared" si="7"/>
        <v>26345.431164394267</v>
      </c>
      <c r="L22" s="4">
        <f t="shared" si="8"/>
        <v>24755.095664253524</v>
      </c>
      <c r="M22" s="49">
        <f t="shared" si="10"/>
        <v>0.97149464216645365</v>
      </c>
      <c r="N22" s="49">
        <f t="shared" si="11"/>
        <v>1.5010340773316512E-2</v>
      </c>
      <c r="O22" s="49">
        <f t="shared" si="12"/>
        <v>11.938981385601538</v>
      </c>
      <c r="P22" s="55">
        <f t="shared" si="9"/>
        <v>26907.378683284798</v>
      </c>
      <c r="Q22" s="4">
        <f t="shared" si="13"/>
        <v>26907.378683284791</v>
      </c>
      <c r="R22" s="21">
        <v>2</v>
      </c>
      <c r="S22" s="50" t="s">
        <v>51</v>
      </c>
    </row>
    <row r="23" spans="1:19" x14ac:dyDescent="0.45">
      <c r="A23">
        <v>20</v>
      </c>
      <c r="B23">
        <v>51</v>
      </c>
      <c r="C23">
        <f>'Q1 Base'!O26</f>
        <v>2.9822E-3</v>
      </c>
      <c r="D23">
        <f t="shared" si="0"/>
        <v>0.99701779999999995</v>
      </c>
      <c r="E23">
        <f t="shared" si="1"/>
        <v>1.8015197373299152E-2</v>
      </c>
      <c r="F23">
        <f t="shared" si="2"/>
        <v>5.2007430176908604</v>
      </c>
      <c r="G23" s="22">
        <f t="shared" si="3"/>
        <v>26003.715088454301</v>
      </c>
      <c r="H23" s="22">
        <f t="shared" si="4"/>
        <v>5200.7430176908601</v>
      </c>
      <c r="I23" s="22">
        <f t="shared" si="5"/>
        <v>520.07430176908599</v>
      </c>
      <c r="J23" s="22">
        <f t="shared" si="6"/>
        <v>45037.993433247881</v>
      </c>
      <c r="K23" s="22">
        <f t="shared" si="7"/>
        <v>24755.095664253524</v>
      </c>
      <c r="L23" s="4">
        <f t="shared" si="8"/>
        <v>22915.602574947105</v>
      </c>
      <c r="M23" s="49">
        <f t="shared" si="10"/>
        <v>0.96859745084458482</v>
      </c>
      <c r="N23" s="49">
        <f t="shared" si="11"/>
        <v>1.5957383678136271E-2</v>
      </c>
      <c r="O23" s="49">
        <f t="shared" si="12"/>
        <v>12.274806572325064</v>
      </c>
      <c r="P23" s="55">
        <f t="shared" si="9"/>
        <v>25198.449774491168</v>
      </c>
      <c r="Q23" s="4">
        <f t="shared" si="13"/>
        <v>25198.449774491157</v>
      </c>
      <c r="R23" s="21">
        <v>1</v>
      </c>
      <c r="S23" s="50" t="s">
        <v>52</v>
      </c>
    </row>
    <row r="24" spans="1:19" x14ac:dyDescent="0.45">
      <c r="A24">
        <v>21</v>
      </c>
      <c r="B24">
        <v>52</v>
      </c>
      <c r="C24">
        <f>'Q1 Base'!O27</f>
        <v>3.2391999999999998E-3</v>
      </c>
      <c r="D24">
        <f t="shared" si="0"/>
        <v>0.9967608</v>
      </c>
      <c r="E24">
        <f t="shared" si="1"/>
        <v>1.6116935146257023E-2</v>
      </c>
      <c r="F24">
        <f t="shared" si="2"/>
        <v>4.4555731514603707</v>
      </c>
      <c r="G24" s="22">
        <f t="shared" si="3"/>
        <v>22277.865757301854</v>
      </c>
      <c r="H24" s="22">
        <f t="shared" si="4"/>
        <v>4455.5731514603704</v>
      </c>
      <c r="I24" s="22">
        <f t="shared" si="5"/>
        <v>445.55731514603707</v>
      </c>
      <c r="J24" s="22">
        <f t="shared" si="6"/>
        <v>40292.337865642556</v>
      </c>
      <c r="K24" s="22">
        <f t="shared" si="7"/>
        <v>22915.602574947105</v>
      </c>
      <c r="L24" s="4">
        <f t="shared" si="8"/>
        <v>20325.337556419316</v>
      </c>
      <c r="M24" s="49">
        <f t="shared" si="10"/>
        <v>0.96545996998180905</v>
      </c>
      <c r="N24" s="49">
        <f t="shared" si="11"/>
        <v>1.6927208261454441E-2</v>
      </c>
      <c r="O24" s="49">
        <f t="shared" si="12"/>
        <v>12.591424717811284</v>
      </c>
      <c r="P24" s="55">
        <f t="shared" si="9"/>
        <v>22747.293670180898</v>
      </c>
      <c r="Q24" s="4">
        <f t="shared" si="13"/>
        <v>22747.29367018085</v>
      </c>
      <c r="R24" s="21">
        <v>1</v>
      </c>
      <c r="S24" s="50" t="s">
        <v>53</v>
      </c>
    </row>
    <row r="25" spans="1:19" x14ac:dyDescent="0.45">
      <c r="A25">
        <v>22</v>
      </c>
      <c r="B25">
        <v>53</v>
      </c>
      <c r="C25">
        <f>'Q1 Base'!O28</f>
        <v>3.4328000000000002E-3</v>
      </c>
      <c r="D25">
        <f t="shared" si="0"/>
        <v>0.99656719999999999</v>
      </c>
      <c r="E25">
        <f t="shared" si="1"/>
        <v>1.3849319633323063E-2</v>
      </c>
      <c r="F25">
        <f t="shared" si="2"/>
        <v>3.6661439812534189</v>
      </c>
      <c r="G25" s="22">
        <f t="shared" si="3"/>
        <v>18330.719906267095</v>
      </c>
      <c r="H25" s="22">
        <f t="shared" si="4"/>
        <v>3666.143981253419</v>
      </c>
      <c r="I25" s="22">
        <f t="shared" si="5"/>
        <v>366.61439812534189</v>
      </c>
      <c r="J25" s="22">
        <f t="shared" si="6"/>
        <v>34623.299083307655</v>
      </c>
      <c r="K25" s="22">
        <f t="shared" si="7"/>
        <v>20325.337556419316</v>
      </c>
      <c r="L25" s="4">
        <f t="shared" si="8"/>
        <v>17094.978106758317</v>
      </c>
      <c r="M25" s="49">
        <f t="shared" si="10"/>
        <v>0.96214573899685552</v>
      </c>
      <c r="N25" s="49">
        <f t="shared" si="11"/>
        <v>1.7895964473091708E-2</v>
      </c>
      <c r="O25" s="49">
        <f t="shared" si="12"/>
        <v>12.889857394869782</v>
      </c>
      <c r="P25" s="55">
        <f t="shared" si="9"/>
        <v>19665.019133899135</v>
      </c>
      <c r="Q25" s="4">
        <f t="shared" si="13"/>
        <v>19665.019133899103</v>
      </c>
      <c r="S25" s="50"/>
    </row>
    <row r="26" spans="1:19" x14ac:dyDescent="0.45">
      <c r="A26">
        <v>23</v>
      </c>
      <c r="B26">
        <v>54</v>
      </c>
      <c r="C26">
        <f>'Q1 Base'!O29</f>
        <v>3.7502E-3</v>
      </c>
      <c r="D26">
        <f t="shared" si="0"/>
        <v>0.99624979999999996</v>
      </c>
      <c r="E26">
        <f t="shared" si="1"/>
        <v>1.1251479591380432E-2</v>
      </c>
      <c r="F26">
        <f t="shared" si="2"/>
        <v>2.8291591978699389</v>
      </c>
      <c r="G26" s="22">
        <f t="shared" si="3"/>
        <v>14145.795989349694</v>
      </c>
      <c r="H26" s="22">
        <f t="shared" si="4"/>
        <v>2829.1591978699389</v>
      </c>
      <c r="I26" s="22">
        <f t="shared" si="5"/>
        <v>282.91591978699387</v>
      </c>
      <c r="J26" s="22">
        <f t="shared" si="6"/>
        <v>28128.698978451081</v>
      </c>
      <c r="K26" s="22">
        <f t="shared" si="7"/>
        <v>17094.978106758317</v>
      </c>
      <c r="L26" s="4">
        <f t="shared" si="8"/>
        <v>12874.973071911205</v>
      </c>
      <c r="M26" s="49">
        <f t="shared" si="10"/>
        <v>0.95853750004646943</v>
      </c>
      <c r="N26" s="49">
        <f t="shared" si="11"/>
        <v>1.8893312289721603E-2</v>
      </c>
      <c r="O26" s="49">
        <f t="shared" si="12"/>
        <v>13.171094479848215</v>
      </c>
      <c r="P26" s="55">
        <f t="shared" si="9"/>
        <v>15603.022187907467</v>
      </c>
      <c r="Q26" s="4">
        <f t="shared" si="13"/>
        <v>15603.022187907396</v>
      </c>
      <c r="R26" s="21">
        <f>SUM(R6:R24)</f>
        <v>23</v>
      </c>
    </row>
    <row r="27" spans="1:19" x14ac:dyDescent="0.45">
      <c r="A27">
        <v>24</v>
      </c>
      <c r="B27">
        <v>55</v>
      </c>
      <c r="C27">
        <f>'Q1 Base'!O30</f>
        <v>4.2396999999999999E-3</v>
      </c>
      <c r="D27">
        <f t="shared" si="0"/>
        <v>0.99576030000000004</v>
      </c>
      <c r="E27">
        <f t="shared" si="1"/>
        <v>8.178912224509163E-3</v>
      </c>
      <c r="F27">
        <f t="shared" si="2"/>
        <v>1.9416173049645389</v>
      </c>
      <c r="G27" s="22">
        <f t="shared" si="3"/>
        <v>9708.0865248226946</v>
      </c>
      <c r="H27" s="22">
        <f t="shared" si="4"/>
        <v>1941.6173049645388</v>
      </c>
      <c r="I27" s="22">
        <f t="shared" si="5"/>
        <v>194.16173049645388</v>
      </c>
      <c r="J27" s="22">
        <f t="shared" si="6"/>
        <v>20447.280561272906</v>
      </c>
      <c r="K27" s="22">
        <f t="shared" si="7"/>
        <v>12874.973071911205</v>
      </c>
      <c r="L27" s="4">
        <f t="shared" si="8"/>
        <v>7170.6855791962171</v>
      </c>
      <c r="M27" s="49">
        <f t="shared" si="10"/>
        <v>0.95447358860752241</v>
      </c>
      <c r="N27" s="49">
        <f t="shared" si="11"/>
        <v>1.995553408938645E-2</v>
      </c>
      <c r="O27" s="49">
        <f t="shared" si="12"/>
        <v>13.436042366053742</v>
      </c>
      <c r="P27" s="55">
        <f t="shared" si="9"/>
        <v>10067.880757760799</v>
      </c>
      <c r="Q27" s="4">
        <f t="shared" si="13"/>
        <v>10067.880757760749</v>
      </c>
    </row>
    <row r="28" spans="1:19" x14ac:dyDescent="0.45">
      <c r="A28">
        <v>25</v>
      </c>
      <c r="B28">
        <v>56</v>
      </c>
      <c r="C28">
        <f>'Q1 Base'!O31</f>
        <v>4.6829000000000003E-3</v>
      </c>
      <c r="D28">
        <f t="shared" si="0"/>
        <v>0.99531709999999995</v>
      </c>
      <c r="E28">
        <f t="shared" si="1"/>
        <v>4.4282742316784866E-3</v>
      </c>
      <c r="F28">
        <f>1</f>
        <v>1</v>
      </c>
      <c r="G28" s="22">
        <f t="shared" si="3"/>
        <v>5000</v>
      </c>
      <c r="H28" s="22">
        <f t="shared" si="4"/>
        <v>1000</v>
      </c>
      <c r="I28" s="22">
        <f t="shared" si="5"/>
        <v>100</v>
      </c>
      <c r="J28" s="22">
        <f t="shared" si="6"/>
        <v>11070.685579196217</v>
      </c>
      <c r="K28" s="22">
        <f t="shared" si="7"/>
        <v>7170.6855791962171</v>
      </c>
      <c r="L28" s="4">
        <f t="shared" si="8"/>
        <v>0</v>
      </c>
      <c r="M28" s="49">
        <f t="shared" si="10"/>
        <v>0.95000388423943216</v>
      </c>
      <c r="N28" s="49">
        <f t="shared" si="11"/>
        <v>2.1060297795065856E-2</v>
      </c>
      <c r="O28" s="49">
        <f t="shared" si="12"/>
        <v>13.685521880618642</v>
      </c>
      <c r="P28" s="55">
        <f t="shared" si="9"/>
        <v>3078.1987984854954</v>
      </c>
      <c r="Q28" s="4">
        <f t="shared" si="13"/>
        <v>3078.1987984854209</v>
      </c>
    </row>
    <row r="29" spans="1:19" x14ac:dyDescent="0.45">
      <c r="L29" s="12" t="s">
        <v>20</v>
      </c>
      <c r="Q29" s="12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2D3C-4175-4551-84DB-5421ACE2FC4D}">
  <dimension ref="A1:G31"/>
  <sheetViews>
    <sheetView workbookViewId="0"/>
  </sheetViews>
  <sheetFormatPr defaultRowHeight="14.25" x14ac:dyDescent="0.45"/>
  <cols>
    <col min="2" max="2" width="11.86328125" customWidth="1"/>
    <col min="3" max="3" width="13" customWidth="1"/>
  </cols>
  <sheetData>
    <row r="1" spans="1:7" x14ac:dyDescent="0.45">
      <c r="A1" t="s">
        <v>54</v>
      </c>
      <c r="F1" t="s">
        <v>55</v>
      </c>
    </row>
    <row r="2" spans="1:7" ht="42.75" x14ac:dyDescent="0.45">
      <c r="A2" s="18" t="s">
        <v>23</v>
      </c>
      <c r="B2" s="18" t="s">
        <v>34</v>
      </c>
      <c r="C2" s="18" t="s">
        <v>56</v>
      </c>
      <c r="G2" t="s">
        <v>57</v>
      </c>
    </row>
    <row r="3" spans="1:7" x14ac:dyDescent="0.45">
      <c r="A3">
        <v>1</v>
      </c>
      <c r="B3" s="4">
        <f>'Q1'!L4</f>
        <v>1495.2645955315966</v>
      </c>
      <c r="C3" s="4">
        <f>'Q1'!P4</f>
        <v>2260.186777391968</v>
      </c>
    </row>
    <row r="4" spans="1:7" x14ac:dyDescent="0.45">
      <c r="A4">
        <v>2</v>
      </c>
      <c r="B4" s="4">
        <f>'Q1'!L5</f>
        <v>3872.3361534457363</v>
      </c>
      <c r="C4" s="4">
        <f>'Q1'!P5</f>
        <v>4681.8358573456408</v>
      </c>
    </row>
    <row r="5" spans="1:7" x14ac:dyDescent="0.45">
      <c r="A5">
        <v>3</v>
      </c>
      <c r="B5" s="4">
        <f>'Q1'!L6</f>
        <v>6236.2045120968978</v>
      </c>
      <c r="C5" s="4">
        <f>'Q1'!P6</f>
        <v>7092.9317184455258</v>
      </c>
    </row>
    <row r="6" spans="1:7" x14ac:dyDescent="0.45">
      <c r="A6">
        <v>4</v>
      </c>
      <c r="B6" s="4">
        <f>'Q1'!L7</f>
        <v>8608.5785984732356</v>
      </c>
      <c r="C6" s="4">
        <f>'Q1'!P7</f>
        <v>9515.3357331557017</v>
      </c>
    </row>
    <row r="7" spans="1:7" x14ac:dyDescent="0.45">
      <c r="A7">
        <v>5</v>
      </c>
      <c r="B7" s="4">
        <f>'Q1'!L8</f>
        <v>10801.849350262222</v>
      </c>
      <c r="C7" s="4">
        <f>'Q1'!P8</f>
        <v>11761.680471599779</v>
      </c>
    </row>
    <row r="8" spans="1:7" x14ac:dyDescent="0.45">
      <c r="A8">
        <v>6</v>
      </c>
      <c r="B8" s="4">
        <f>'Q1'!L9</f>
        <v>13134.199801970142</v>
      </c>
      <c r="C8" s="4">
        <f>'Q1'!P9</f>
        <v>14150.207044612154</v>
      </c>
    </row>
    <row r="9" spans="1:7" x14ac:dyDescent="0.45">
      <c r="A9">
        <v>7</v>
      </c>
      <c r="B9" s="4">
        <f>'Q1'!L10</f>
        <v>15459.310007201828</v>
      </c>
      <c r="C9" s="4">
        <f>'Q1'!P10</f>
        <v>16534.843422199716</v>
      </c>
    </row>
    <row r="10" spans="1:7" x14ac:dyDescent="0.45">
      <c r="A10">
        <v>8</v>
      </c>
      <c r="B10" s="4">
        <f>'Q1'!L11</f>
        <v>17648.547320047219</v>
      </c>
      <c r="C10" s="4">
        <f>'Q1'!P11</f>
        <v>18787.219259605932</v>
      </c>
    </row>
    <row r="11" spans="1:7" x14ac:dyDescent="0.45">
      <c r="A11">
        <v>9</v>
      </c>
      <c r="B11" s="4">
        <f>'Q1'!L12</f>
        <v>19689.184520252638</v>
      </c>
      <c r="C11" s="4">
        <f>'Q1'!P12</f>
        <v>20894.836196409833</v>
      </c>
    </row>
    <row r="12" spans="1:7" x14ac:dyDescent="0.45">
      <c r="A12">
        <v>10</v>
      </c>
      <c r="B12" s="4">
        <f>'Q1'!L13</f>
        <v>21434.674847088063</v>
      </c>
      <c r="C12" s="4">
        <f>'Q1'!P13</f>
        <v>22711.460060879635</v>
      </c>
    </row>
    <row r="13" spans="1:7" x14ac:dyDescent="0.45">
      <c r="A13">
        <v>11</v>
      </c>
      <c r="B13" s="4">
        <f>'Q1'!L14</f>
        <v>23099.846662261065</v>
      </c>
      <c r="C13" s="4">
        <f>'Q1'!P14</f>
        <v>24452.062368133677</v>
      </c>
    </row>
    <row r="14" spans="1:7" x14ac:dyDescent="0.45">
      <c r="A14">
        <v>12</v>
      </c>
      <c r="B14" s="4">
        <f>'Q1'!L15</f>
        <v>24443.161048365262</v>
      </c>
      <c r="C14" s="4">
        <f>'Q1'!P15</f>
        <v>25875.506707885783</v>
      </c>
    </row>
    <row r="15" spans="1:7" x14ac:dyDescent="0.45">
      <c r="A15">
        <v>13</v>
      </c>
      <c r="B15" s="4">
        <f>'Q1'!L16</f>
        <v>25601.620631654157</v>
      </c>
      <c r="C15" s="4">
        <f>'Q1'!P16</f>
        <v>27119.00678096847</v>
      </c>
    </row>
    <row r="16" spans="1:7" x14ac:dyDescent="0.45">
      <c r="A16">
        <v>14</v>
      </c>
      <c r="B16" s="4">
        <f>'Q1'!L17</f>
        <v>26623.701691883223</v>
      </c>
      <c r="C16" s="4">
        <f>'Q1'!P17</f>
        <v>28231.310656802852</v>
      </c>
    </row>
    <row r="17" spans="1:3" x14ac:dyDescent="0.45">
      <c r="A17">
        <v>15</v>
      </c>
      <c r="B17" s="4">
        <f>'Q1'!L18</f>
        <v>27378.077889543594</v>
      </c>
      <c r="C17" s="4">
        <f>'Q1'!P18</f>
        <v>29081.50055366641</v>
      </c>
    </row>
    <row r="18" spans="1:3" x14ac:dyDescent="0.45">
      <c r="A18">
        <v>16</v>
      </c>
      <c r="B18" s="4">
        <f>'Q1'!L19</f>
        <v>27345.944328768717</v>
      </c>
      <c r="C18" s="4">
        <f>'Q1'!P19</f>
        <v>29151.498348073743</v>
      </c>
    </row>
    <row r="19" spans="1:3" x14ac:dyDescent="0.45">
      <c r="A19">
        <v>17</v>
      </c>
      <c r="B19" s="4">
        <f>'Q1'!L20</f>
        <v>27189.939275951256</v>
      </c>
      <c r="C19" s="4">
        <f>'Q1'!P20</f>
        <v>29103.842477463626</v>
      </c>
    </row>
    <row r="20" spans="1:3" x14ac:dyDescent="0.45">
      <c r="A20">
        <v>18</v>
      </c>
      <c r="B20" s="4">
        <f>'Q1'!L21</f>
        <v>26345.431164394267</v>
      </c>
      <c r="C20" s="4">
        <f>'Q1'!P21</f>
        <v>28374.742602708771</v>
      </c>
    </row>
    <row r="21" spans="1:3" x14ac:dyDescent="0.45">
      <c r="A21">
        <v>19</v>
      </c>
      <c r="B21" s="4">
        <f>'Q1'!L22</f>
        <v>24755.095664253524</v>
      </c>
      <c r="C21" s="4">
        <f>'Q1'!P22</f>
        <v>26907.378683284798</v>
      </c>
    </row>
    <row r="22" spans="1:3" x14ac:dyDescent="0.45">
      <c r="A22">
        <v>20</v>
      </c>
      <c r="B22" s="4">
        <f>'Q1'!L23</f>
        <v>22915.602574947105</v>
      </c>
      <c r="C22" s="4">
        <f>'Q1'!P23</f>
        <v>25198.449774491168</v>
      </c>
    </row>
    <row r="23" spans="1:3" x14ac:dyDescent="0.45">
      <c r="A23">
        <v>21</v>
      </c>
      <c r="B23" s="4">
        <f>'Q1'!L24</f>
        <v>20325.337556419316</v>
      </c>
      <c r="C23" s="4">
        <f>'Q1'!P24</f>
        <v>22747.293670180898</v>
      </c>
    </row>
    <row r="24" spans="1:3" x14ac:dyDescent="0.45">
      <c r="A24">
        <v>22</v>
      </c>
      <c r="B24" s="4">
        <f>'Q1'!L25</f>
        <v>17094.978106758317</v>
      </c>
      <c r="C24" s="4">
        <f>'Q1'!P25</f>
        <v>19665.019133899135</v>
      </c>
    </row>
    <row r="25" spans="1:3" x14ac:dyDescent="0.45">
      <c r="A25">
        <v>23</v>
      </c>
      <c r="B25" s="4">
        <f>'Q1'!L26</f>
        <v>12874.973071911205</v>
      </c>
      <c r="C25" s="4">
        <f>'Q1'!P26</f>
        <v>15603.022187907467</v>
      </c>
    </row>
    <row r="26" spans="1:3" x14ac:dyDescent="0.45">
      <c r="A26">
        <v>24</v>
      </c>
      <c r="B26" s="4">
        <f>'Q1'!L27</f>
        <v>7170.6855791962171</v>
      </c>
      <c r="C26" s="4">
        <f>'Q1'!P27</f>
        <v>10067.880757760799</v>
      </c>
    </row>
    <row r="27" spans="1:3" x14ac:dyDescent="0.45">
      <c r="A27">
        <v>25</v>
      </c>
      <c r="B27" s="4">
        <f>'Q1'!L28</f>
        <v>0</v>
      </c>
      <c r="C27" s="4">
        <f>'Q1'!P28</f>
        <v>3078.1987984854954</v>
      </c>
    </row>
    <row r="28" spans="1:3" x14ac:dyDescent="0.45">
      <c r="B28" s="4"/>
      <c r="C28" s="4"/>
    </row>
    <row r="29" spans="1:3" x14ac:dyDescent="0.45">
      <c r="B29" s="4"/>
      <c r="C29" s="4"/>
    </row>
    <row r="30" spans="1:3" x14ac:dyDescent="0.45">
      <c r="B30" s="4"/>
      <c r="C30" s="4"/>
    </row>
    <row r="31" spans="1:3" x14ac:dyDescent="0.45">
      <c r="B31" s="4"/>
      <c r="C3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0605-BDEE-4D1E-A107-CAF2A7A46EC8}">
  <dimension ref="B1:I27"/>
  <sheetViews>
    <sheetView workbookViewId="0">
      <selection activeCell="N22" sqref="N22"/>
    </sheetView>
  </sheetViews>
  <sheetFormatPr defaultRowHeight="14.25" x14ac:dyDescent="0.45"/>
  <cols>
    <col min="3" max="6" width="13.73046875" customWidth="1"/>
    <col min="7" max="7" width="33.3984375" bestFit="1" customWidth="1"/>
    <col min="16" max="16" width="13.265625" customWidth="1"/>
    <col min="17" max="17" width="14.3984375" customWidth="1"/>
    <col min="18" max="18" width="17.3984375" customWidth="1"/>
    <col min="19" max="19" width="16.1328125" customWidth="1"/>
  </cols>
  <sheetData>
    <row r="1" spans="2:9" ht="14.65" thickBot="1" x14ac:dyDescent="0.5"/>
    <row r="2" spans="2:9" ht="14.65" thickBot="1" x14ac:dyDescent="0.5">
      <c r="B2" s="59" t="s">
        <v>23</v>
      </c>
      <c r="C2" s="60"/>
      <c r="G2" s="11" t="s">
        <v>58</v>
      </c>
    </row>
    <row r="3" spans="2:9" ht="47.25" customHeight="1" thickBot="1" x14ac:dyDescent="0.5">
      <c r="B3" s="36" t="s">
        <v>59</v>
      </c>
      <c r="C3" s="37" t="s">
        <v>60</v>
      </c>
      <c r="D3" s="41" t="s">
        <v>61</v>
      </c>
      <c r="E3" s="41" t="s">
        <v>62</v>
      </c>
      <c r="F3" s="15"/>
    </row>
    <row r="4" spans="2:9" x14ac:dyDescent="0.45">
      <c r="B4" s="29">
        <v>0</v>
      </c>
      <c r="C4" s="30">
        <v>1</v>
      </c>
      <c r="D4" s="42">
        <v>4.0008002133969133E-4</v>
      </c>
      <c r="E4" s="42">
        <v>5.0412705069077443E-4</v>
      </c>
      <c r="F4" s="33"/>
      <c r="G4" t="s">
        <v>63</v>
      </c>
      <c r="H4">
        <v>30</v>
      </c>
      <c r="I4" t="s">
        <v>64</v>
      </c>
    </row>
    <row r="5" spans="2:9" ht="14.25" customHeight="1" x14ac:dyDescent="0.45">
      <c r="B5" s="29">
        <v>1</v>
      </c>
      <c r="C5" s="30">
        <v>2</v>
      </c>
      <c r="D5" s="42">
        <v>4.0008002133969133E-4</v>
      </c>
      <c r="E5" s="42">
        <v>5.4114639330157886E-4</v>
      </c>
      <c r="F5" s="33"/>
      <c r="G5" t="s">
        <v>65</v>
      </c>
      <c r="H5">
        <v>20</v>
      </c>
      <c r="I5" t="s">
        <v>66</v>
      </c>
    </row>
    <row r="6" spans="2:9" x14ac:dyDescent="0.45">
      <c r="B6" s="29">
        <v>2</v>
      </c>
      <c r="C6" s="30">
        <v>3</v>
      </c>
      <c r="D6" s="42">
        <v>4.5010128038520567E-4</v>
      </c>
      <c r="E6" s="42">
        <v>5.7516537589712461E-4</v>
      </c>
      <c r="F6" s="33"/>
      <c r="G6" t="s">
        <v>67</v>
      </c>
      <c r="H6" s="7">
        <v>15000</v>
      </c>
    </row>
    <row r="7" spans="2:9" x14ac:dyDescent="0.45">
      <c r="B7" s="29">
        <v>3</v>
      </c>
      <c r="C7" s="30">
        <v>4</v>
      </c>
      <c r="D7" s="42">
        <v>4.5010128038520567E-4</v>
      </c>
      <c r="E7" s="42">
        <v>6.1218734844200988E-4</v>
      </c>
      <c r="F7" s="33"/>
      <c r="G7" t="s">
        <v>68</v>
      </c>
      <c r="H7" s="7">
        <v>2000</v>
      </c>
      <c r="I7" t="s">
        <v>69</v>
      </c>
    </row>
    <row r="8" spans="2:9" x14ac:dyDescent="0.45">
      <c r="B8" s="29">
        <v>4</v>
      </c>
      <c r="C8" s="30">
        <v>5</v>
      </c>
      <c r="D8" s="42">
        <v>5.0012504168224286E-4</v>
      </c>
      <c r="E8" s="42">
        <v>6.5321329736052025E-4</v>
      </c>
      <c r="F8" s="33"/>
      <c r="G8" t="s">
        <v>70</v>
      </c>
      <c r="H8" s="1">
        <v>0.95</v>
      </c>
    </row>
    <row r="9" spans="2:9" x14ac:dyDescent="0.45">
      <c r="B9" s="29">
        <v>5</v>
      </c>
      <c r="C9" s="30">
        <v>6</v>
      </c>
      <c r="D9" s="42">
        <v>5.501513054812704E-4</v>
      </c>
      <c r="E9" s="42">
        <v>6.9624232044323935E-4</v>
      </c>
      <c r="F9" s="33"/>
      <c r="G9" t="s">
        <v>71</v>
      </c>
      <c r="H9" s="1">
        <v>0.01</v>
      </c>
    </row>
    <row r="10" spans="2:9" x14ac:dyDescent="0.45">
      <c r="B10" s="29">
        <v>6</v>
      </c>
      <c r="C10" s="30">
        <v>7</v>
      </c>
      <c r="D10" s="42">
        <v>6.0018007203246058E-4</v>
      </c>
      <c r="E10" s="42">
        <v>7.4727914352218426E-4</v>
      </c>
      <c r="F10" s="33"/>
      <c r="G10" t="s">
        <v>72</v>
      </c>
      <c r="H10" s="6">
        <v>5.0000000000000001E-3</v>
      </c>
      <c r="I10" t="s">
        <v>73</v>
      </c>
    </row>
    <row r="11" spans="2:9" x14ac:dyDescent="0.45">
      <c r="B11" s="29">
        <v>7</v>
      </c>
      <c r="C11" s="30">
        <v>8</v>
      </c>
      <c r="D11" s="42">
        <v>7.0024511439342589E-4</v>
      </c>
      <c r="E11" s="42">
        <v>8.0232177405333298E-4</v>
      </c>
      <c r="F11" s="33"/>
    </row>
    <row r="12" spans="2:9" x14ac:dyDescent="0.45">
      <c r="B12" s="29">
        <v>8</v>
      </c>
      <c r="C12" s="30">
        <v>9</v>
      </c>
      <c r="D12" s="42">
        <v>9.0040524316415511E-4</v>
      </c>
      <c r="E12" s="42">
        <v>8.5436486574504242E-4</v>
      </c>
      <c r="F12" s="33"/>
    </row>
    <row r="13" spans="2:9" x14ac:dyDescent="0.45">
      <c r="B13" s="29">
        <v>9</v>
      </c>
      <c r="C13" s="30">
        <v>10</v>
      </c>
      <c r="D13" s="42">
        <v>1.0005003335835344E-3</v>
      </c>
      <c r="E13" s="42">
        <v>9.014061444758151E-4</v>
      </c>
      <c r="F13" s="33"/>
    </row>
    <row r="14" spans="2:9" x14ac:dyDescent="0.45">
      <c r="B14" s="29">
        <v>10</v>
      </c>
      <c r="C14" s="30">
        <v>11</v>
      </c>
      <c r="D14" s="42">
        <v>1.0005003335835344E-3</v>
      </c>
      <c r="E14" s="42">
        <v>9.4945058559301853E-4</v>
      </c>
      <c r="F14" s="33"/>
    </row>
    <row r="15" spans="2:9" x14ac:dyDescent="0.45">
      <c r="B15" s="29">
        <v>11</v>
      </c>
      <c r="C15" s="30">
        <v>12</v>
      </c>
      <c r="D15" s="42">
        <v>1.1006054440330039E-3</v>
      </c>
      <c r="E15" s="42">
        <v>1.007507365139709E-3</v>
      </c>
      <c r="F15" s="33"/>
      <c r="G15" s="11" t="s">
        <v>74</v>
      </c>
    </row>
    <row r="16" spans="2:9" x14ac:dyDescent="0.45">
      <c r="B16" s="29">
        <v>12</v>
      </c>
      <c r="C16" s="30">
        <v>13</v>
      </c>
      <c r="D16" s="42">
        <v>1.2007205765188771E-3</v>
      </c>
      <c r="E16" s="42">
        <v>1.0835868682570894E-3</v>
      </c>
      <c r="F16" s="33"/>
    </row>
    <row r="17" spans="2:9" x14ac:dyDescent="0.45">
      <c r="B17" s="29">
        <v>13</v>
      </c>
      <c r="C17" s="30">
        <v>14</v>
      </c>
      <c r="D17" s="42">
        <v>1.2007205765188771E-3</v>
      </c>
      <c r="E17" s="42">
        <v>1.1796955672696637E-3</v>
      </c>
      <c r="F17" s="33"/>
      <c r="G17" t="s">
        <v>75</v>
      </c>
      <c r="H17" s="1">
        <v>0.04</v>
      </c>
      <c r="I17" t="s">
        <v>76</v>
      </c>
    </row>
    <row r="18" spans="2:9" x14ac:dyDescent="0.45">
      <c r="B18" s="29">
        <v>14</v>
      </c>
      <c r="C18" s="30">
        <v>15</v>
      </c>
      <c r="D18" s="42">
        <v>1.3008457330480696E-3</v>
      </c>
      <c r="E18" s="42">
        <v>1.3008457330480696E-3</v>
      </c>
      <c r="F18" s="33"/>
      <c r="G18" t="s">
        <v>77</v>
      </c>
      <c r="H18" s="1">
        <v>0.01</v>
      </c>
      <c r="I18" t="s">
        <v>76</v>
      </c>
    </row>
    <row r="19" spans="2:9" x14ac:dyDescent="0.45">
      <c r="B19" s="29">
        <v>15</v>
      </c>
      <c r="C19" s="30">
        <v>16</v>
      </c>
      <c r="D19" s="42">
        <v>1.4009809156281003E-3</v>
      </c>
      <c r="E19" s="42">
        <v>1.4480479155111296E-3</v>
      </c>
      <c r="F19" s="33"/>
      <c r="G19" t="s">
        <v>78</v>
      </c>
      <c r="H19" s="1">
        <v>7.0000000000000007E-2</v>
      </c>
      <c r="I19" t="s">
        <v>76</v>
      </c>
    </row>
    <row r="20" spans="2:9" x14ac:dyDescent="0.45">
      <c r="B20" s="29">
        <v>16</v>
      </c>
      <c r="C20" s="30">
        <v>17</v>
      </c>
      <c r="D20" s="42">
        <v>1.5011261262670914E-3</v>
      </c>
      <c r="E20" s="42">
        <v>1.6153039011865468E-3</v>
      </c>
      <c r="F20" s="33"/>
    </row>
    <row r="21" spans="2:9" x14ac:dyDescent="0.45">
      <c r="B21" s="29">
        <v>17</v>
      </c>
      <c r="C21" s="30">
        <v>18</v>
      </c>
      <c r="D21" s="42">
        <v>1.6012813669738792E-3</v>
      </c>
      <c r="E21" s="42">
        <v>1.8066309754025064E-3</v>
      </c>
      <c r="F21" s="33"/>
      <c r="G21" t="s">
        <v>79</v>
      </c>
    </row>
    <row r="22" spans="2:9" x14ac:dyDescent="0.45">
      <c r="B22" s="29">
        <v>18</v>
      </c>
      <c r="C22" s="30">
        <v>19</v>
      </c>
      <c r="D22" s="42">
        <v>1.8016219466282088E-3</v>
      </c>
      <c r="E22" s="42">
        <v>2.0310612091007279E-3</v>
      </c>
      <c r="F22" s="33"/>
      <c r="G22" t="s">
        <v>80</v>
      </c>
    </row>
    <row r="23" spans="2:9" x14ac:dyDescent="0.45">
      <c r="B23" s="29">
        <v>19</v>
      </c>
      <c r="C23" s="30">
        <v>20</v>
      </c>
      <c r="D23" s="42">
        <v>2.0020026706730793E-3</v>
      </c>
      <c r="E23" s="42">
        <v>2.2916237651302452E-3</v>
      </c>
      <c r="F23" s="33"/>
    </row>
    <row r="24" spans="2:9" ht="14.65" thickBot="1" x14ac:dyDescent="0.5">
      <c r="B24" s="31">
        <v>20</v>
      </c>
      <c r="C24" s="32"/>
      <c r="D24" s="43"/>
      <c r="E24" s="43"/>
      <c r="G24" t="s">
        <v>81</v>
      </c>
      <c r="H24" s="7">
        <v>75</v>
      </c>
      <c r="I24" t="s">
        <v>82</v>
      </c>
    </row>
    <row r="25" spans="2:9" x14ac:dyDescent="0.45">
      <c r="G25" t="s">
        <v>83</v>
      </c>
      <c r="H25" s="7">
        <v>25</v>
      </c>
      <c r="I25" t="s">
        <v>84</v>
      </c>
    </row>
    <row r="26" spans="2:9" x14ac:dyDescent="0.45">
      <c r="G26" t="s">
        <v>85</v>
      </c>
      <c r="H26" s="1">
        <v>0.5</v>
      </c>
      <c r="I26" t="s">
        <v>86</v>
      </c>
    </row>
    <row r="27" spans="2:9" x14ac:dyDescent="0.45">
      <c r="G27" t="s">
        <v>87</v>
      </c>
      <c r="H27" s="1">
        <v>0.01</v>
      </c>
      <c r="I27" t="s">
        <v>88</v>
      </c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C1385-B543-431A-AE13-82000207CC70}">
  <dimension ref="B1:I23"/>
  <sheetViews>
    <sheetView workbookViewId="0"/>
  </sheetViews>
  <sheetFormatPr defaultRowHeight="14.25" x14ac:dyDescent="0.45"/>
  <cols>
    <col min="3" max="3" width="10.59765625" bestFit="1" customWidth="1"/>
    <col min="4" max="5" width="9.59765625" bestFit="1" customWidth="1"/>
    <col min="6" max="6" width="9.265625" bestFit="1" customWidth="1"/>
    <col min="7" max="7" width="16.73046875" customWidth="1"/>
    <col min="8" max="8" width="9.59765625" bestFit="1" customWidth="1"/>
    <col min="9" max="9" width="10.59765625" bestFit="1" customWidth="1"/>
  </cols>
  <sheetData>
    <row r="1" spans="2:9" s="12" customFormat="1" x14ac:dyDescent="0.45">
      <c r="D1" s="12" t="s">
        <v>20</v>
      </c>
      <c r="E1" s="12" t="s">
        <v>20</v>
      </c>
      <c r="F1" s="12" t="s">
        <v>20</v>
      </c>
      <c r="G1" s="12" t="s">
        <v>21</v>
      </c>
      <c r="H1" s="12" t="s">
        <v>20</v>
      </c>
      <c r="I1" s="12" t="s">
        <v>20</v>
      </c>
    </row>
    <row r="2" spans="2:9" x14ac:dyDescent="0.45">
      <c r="B2" s="11" t="s">
        <v>89</v>
      </c>
      <c r="D2" s="8">
        <v>2000</v>
      </c>
      <c r="E2" s="3">
        <v>0.95</v>
      </c>
      <c r="F2" s="3">
        <v>0.01</v>
      </c>
      <c r="G2" s="3">
        <v>0.04</v>
      </c>
      <c r="H2" s="14">
        <v>5.0000000000000001E-3</v>
      </c>
    </row>
    <row r="3" spans="2:9" s="15" customFormat="1" ht="42.75" x14ac:dyDescent="0.45">
      <c r="B3" s="15" t="s">
        <v>23</v>
      </c>
      <c r="C3" s="15" t="s">
        <v>90</v>
      </c>
      <c r="D3" s="15" t="s">
        <v>91</v>
      </c>
      <c r="E3" s="15" t="s">
        <v>92</v>
      </c>
      <c r="F3" s="15" t="s">
        <v>71</v>
      </c>
      <c r="G3" s="15" t="s">
        <v>93</v>
      </c>
      <c r="H3" s="15" t="s">
        <v>94</v>
      </c>
      <c r="I3" s="15" t="s">
        <v>95</v>
      </c>
    </row>
    <row r="4" spans="2:9" x14ac:dyDescent="0.45">
      <c r="B4">
        <v>1</v>
      </c>
      <c r="C4" s="10">
        <v>0</v>
      </c>
      <c r="D4" s="10">
        <f>$D$2</f>
        <v>2000</v>
      </c>
      <c r="E4" s="10">
        <f>D4*$E$2</f>
        <v>1900</v>
      </c>
      <c r="F4" s="10">
        <f>-$F$2*E4</f>
        <v>-19</v>
      </c>
      <c r="G4" s="10">
        <f t="shared" ref="G4:G23" si="0">SUM(C4,E4:F4)*(1+$G$2)</f>
        <v>1956.24</v>
      </c>
      <c r="H4" s="10">
        <f t="shared" ref="H4:H23" si="1">-G4*$H$2</f>
        <v>-9.7812000000000001</v>
      </c>
      <c r="I4" s="10">
        <f t="shared" ref="I4:I23" si="2">SUM(G4:H4)</f>
        <v>1946.4588000000001</v>
      </c>
    </row>
    <row r="5" spans="2:9" x14ac:dyDescent="0.45">
      <c r="B5">
        <v>2</v>
      </c>
      <c r="C5" s="10">
        <f>I4</f>
        <v>1946.4588000000001</v>
      </c>
      <c r="D5" s="10">
        <f t="shared" ref="D5:D23" si="3">$D$2</f>
        <v>2000</v>
      </c>
      <c r="E5" s="10">
        <f t="shared" ref="E5:E23" si="4">D5*$E$2</f>
        <v>1900</v>
      </c>
      <c r="F5" s="10">
        <f t="shared" ref="F5:F23" si="5">-$F$2*E5</f>
        <v>-19</v>
      </c>
      <c r="G5" s="10">
        <f t="shared" si="0"/>
        <v>3980.5571520000003</v>
      </c>
      <c r="H5" s="10">
        <f t="shared" si="1"/>
        <v>-19.90278576</v>
      </c>
      <c r="I5" s="10">
        <f t="shared" si="2"/>
        <v>3960.6543662400004</v>
      </c>
    </row>
    <row r="6" spans="2:9" x14ac:dyDescent="0.45">
      <c r="B6">
        <v>3</v>
      </c>
      <c r="C6" s="10">
        <f t="shared" ref="C6:C23" si="6">I5</f>
        <v>3960.6543662400004</v>
      </c>
      <c r="D6" s="10">
        <f t="shared" si="3"/>
        <v>2000</v>
      </c>
      <c r="E6" s="10">
        <f t="shared" si="4"/>
        <v>1900</v>
      </c>
      <c r="F6" s="10">
        <f t="shared" si="5"/>
        <v>-19</v>
      </c>
      <c r="G6" s="10">
        <f t="shared" si="0"/>
        <v>6075.3205408896001</v>
      </c>
      <c r="H6" s="10">
        <f t="shared" si="1"/>
        <v>-30.376602704448</v>
      </c>
      <c r="I6" s="10">
        <f t="shared" si="2"/>
        <v>6044.9439381851525</v>
      </c>
    </row>
    <row r="7" spans="2:9" x14ac:dyDescent="0.45">
      <c r="B7">
        <v>4</v>
      </c>
      <c r="C7" s="10">
        <f t="shared" si="6"/>
        <v>6044.9439381851525</v>
      </c>
      <c r="D7" s="10">
        <f t="shared" si="3"/>
        <v>2000</v>
      </c>
      <c r="E7" s="10">
        <f t="shared" si="4"/>
        <v>1900</v>
      </c>
      <c r="F7" s="10">
        <f t="shared" si="5"/>
        <v>-19</v>
      </c>
      <c r="G7" s="10">
        <f t="shared" si="0"/>
        <v>8242.9816957125586</v>
      </c>
      <c r="H7" s="10">
        <f t="shared" si="1"/>
        <v>-41.214908478562791</v>
      </c>
      <c r="I7" s="10">
        <f t="shared" si="2"/>
        <v>8201.7667872339953</v>
      </c>
    </row>
    <row r="8" spans="2:9" x14ac:dyDescent="0.45">
      <c r="B8">
        <v>5</v>
      </c>
      <c r="C8" s="10">
        <f t="shared" si="6"/>
        <v>8201.7667872339953</v>
      </c>
      <c r="D8" s="10">
        <f t="shared" si="3"/>
        <v>2000</v>
      </c>
      <c r="E8" s="10">
        <f t="shared" si="4"/>
        <v>1900</v>
      </c>
      <c r="F8" s="10">
        <f t="shared" si="5"/>
        <v>-19</v>
      </c>
      <c r="G8" s="10">
        <f t="shared" si="0"/>
        <v>10486.077458723355</v>
      </c>
      <c r="H8" s="10">
        <f t="shared" si="1"/>
        <v>-52.430387293616775</v>
      </c>
      <c r="I8" s="10">
        <f t="shared" si="2"/>
        <v>10433.647071429739</v>
      </c>
    </row>
    <row r="9" spans="2:9" x14ac:dyDescent="0.45">
      <c r="B9">
        <v>6</v>
      </c>
      <c r="C9" s="10">
        <f t="shared" si="6"/>
        <v>10433.647071429739</v>
      </c>
      <c r="D9" s="10">
        <f t="shared" si="3"/>
        <v>2000</v>
      </c>
      <c r="E9" s="10">
        <f t="shared" si="4"/>
        <v>1900</v>
      </c>
      <c r="F9" s="10">
        <f t="shared" si="5"/>
        <v>-19</v>
      </c>
      <c r="G9" s="10">
        <f t="shared" si="0"/>
        <v>12807.23295428693</v>
      </c>
      <c r="H9" s="10">
        <f t="shared" si="1"/>
        <v>-64.036164771434656</v>
      </c>
      <c r="I9" s="10">
        <f t="shared" si="2"/>
        <v>12743.196789515496</v>
      </c>
    </row>
    <row r="10" spans="2:9" x14ac:dyDescent="0.45">
      <c r="B10">
        <v>7</v>
      </c>
      <c r="C10" s="10">
        <f t="shared" si="6"/>
        <v>12743.196789515496</v>
      </c>
      <c r="D10" s="10">
        <f t="shared" si="3"/>
        <v>2000</v>
      </c>
      <c r="E10" s="10">
        <f t="shared" si="4"/>
        <v>1900</v>
      </c>
      <c r="F10" s="10">
        <f t="shared" si="5"/>
        <v>-19</v>
      </c>
      <c r="G10" s="10">
        <f t="shared" si="0"/>
        <v>15209.164661096116</v>
      </c>
      <c r="H10" s="10">
        <f t="shared" si="1"/>
        <v>-76.045823305480582</v>
      </c>
      <c r="I10" s="10">
        <f t="shared" si="2"/>
        <v>15133.118837790635</v>
      </c>
    </row>
    <row r="11" spans="2:9" x14ac:dyDescent="0.45">
      <c r="B11">
        <v>8</v>
      </c>
      <c r="C11" s="10">
        <f t="shared" si="6"/>
        <v>15133.118837790635</v>
      </c>
      <c r="D11" s="10">
        <f t="shared" si="3"/>
        <v>2000</v>
      </c>
      <c r="E11" s="10">
        <f t="shared" si="4"/>
        <v>1900</v>
      </c>
      <c r="F11" s="10">
        <f t="shared" si="5"/>
        <v>-19</v>
      </c>
      <c r="G11" s="10">
        <f t="shared" si="0"/>
        <v>17694.683591302262</v>
      </c>
      <c r="H11" s="10">
        <f t="shared" si="1"/>
        <v>-88.473417956511312</v>
      </c>
      <c r="I11" s="10">
        <f t="shared" si="2"/>
        <v>17606.210173345749</v>
      </c>
    </row>
    <row r="12" spans="2:9" x14ac:dyDescent="0.45">
      <c r="B12">
        <v>9</v>
      </c>
      <c r="C12" s="10">
        <f t="shared" si="6"/>
        <v>17606.210173345749</v>
      </c>
      <c r="D12" s="10">
        <f t="shared" si="3"/>
        <v>2000</v>
      </c>
      <c r="E12" s="10">
        <f t="shared" si="4"/>
        <v>1900</v>
      </c>
      <c r="F12" s="10">
        <f t="shared" si="5"/>
        <v>-19</v>
      </c>
      <c r="G12" s="10">
        <f t="shared" si="0"/>
        <v>20266.698580279579</v>
      </c>
      <c r="H12" s="10">
        <f t="shared" si="1"/>
        <v>-101.3334929013979</v>
      </c>
      <c r="I12" s="10">
        <f t="shared" si="2"/>
        <v>20165.365087378181</v>
      </c>
    </row>
    <row r="13" spans="2:9" x14ac:dyDescent="0.45">
      <c r="B13">
        <v>10</v>
      </c>
      <c r="C13" s="10">
        <f t="shared" si="6"/>
        <v>20165.365087378181</v>
      </c>
      <c r="D13" s="10">
        <f t="shared" si="3"/>
        <v>2000</v>
      </c>
      <c r="E13" s="10">
        <f t="shared" si="4"/>
        <v>1900</v>
      </c>
      <c r="F13" s="10">
        <f t="shared" si="5"/>
        <v>-19</v>
      </c>
      <c r="G13" s="10">
        <f t="shared" si="0"/>
        <v>22928.219690873309</v>
      </c>
      <c r="H13" s="10">
        <f t="shared" si="1"/>
        <v>-114.64109845436656</v>
      </c>
      <c r="I13" s="10">
        <f t="shared" si="2"/>
        <v>22813.578592418944</v>
      </c>
    </row>
    <row r="14" spans="2:9" x14ac:dyDescent="0.45">
      <c r="B14">
        <v>11</v>
      </c>
      <c r="C14" s="10">
        <f t="shared" si="6"/>
        <v>22813.578592418944</v>
      </c>
      <c r="D14" s="10">
        <f t="shared" si="3"/>
        <v>2000</v>
      </c>
      <c r="E14" s="10">
        <f t="shared" si="4"/>
        <v>1900</v>
      </c>
      <c r="F14" s="10">
        <f t="shared" si="5"/>
        <v>-19</v>
      </c>
      <c r="G14" s="10">
        <f t="shared" si="0"/>
        <v>25682.361736115701</v>
      </c>
      <c r="H14" s="10">
        <f t="shared" si="1"/>
        <v>-128.4118086805785</v>
      </c>
      <c r="I14" s="10">
        <f t="shared" si="2"/>
        <v>25553.949927435122</v>
      </c>
    </row>
    <row r="15" spans="2:9" x14ac:dyDescent="0.45">
      <c r="B15">
        <v>12</v>
      </c>
      <c r="C15" s="10">
        <f t="shared" si="6"/>
        <v>25553.949927435122</v>
      </c>
      <c r="D15" s="10">
        <f t="shared" si="3"/>
        <v>2000</v>
      </c>
      <c r="E15" s="10">
        <f t="shared" si="4"/>
        <v>1900</v>
      </c>
      <c r="F15" s="10">
        <f t="shared" si="5"/>
        <v>-19</v>
      </c>
      <c r="G15" s="10">
        <f t="shared" si="0"/>
        <v>28532.347924532529</v>
      </c>
      <c r="H15" s="10">
        <f t="shared" si="1"/>
        <v>-142.66173962266265</v>
      </c>
      <c r="I15" s="10">
        <f t="shared" si="2"/>
        <v>28389.686184909868</v>
      </c>
    </row>
    <row r="16" spans="2:9" x14ac:dyDescent="0.45">
      <c r="B16">
        <v>13</v>
      </c>
      <c r="C16" s="10">
        <f t="shared" si="6"/>
        <v>28389.686184909868</v>
      </c>
      <c r="D16" s="10">
        <f t="shared" si="3"/>
        <v>2000</v>
      </c>
      <c r="E16" s="10">
        <f t="shared" si="4"/>
        <v>1900</v>
      </c>
      <c r="F16" s="10">
        <f t="shared" si="5"/>
        <v>-19</v>
      </c>
      <c r="G16" s="10">
        <f t="shared" si="0"/>
        <v>31481.513632306265</v>
      </c>
      <c r="H16" s="10">
        <f t="shared" si="1"/>
        <v>-157.40756816153132</v>
      </c>
      <c r="I16" s="10">
        <f t="shared" si="2"/>
        <v>31324.106064144733</v>
      </c>
    </row>
    <row r="17" spans="2:9" x14ac:dyDescent="0.45">
      <c r="B17">
        <v>14</v>
      </c>
      <c r="C17" s="10">
        <f t="shared" si="6"/>
        <v>31324.106064144733</v>
      </c>
      <c r="D17" s="10">
        <f t="shared" si="3"/>
        <v>2000</v>
      </c>
      <c r="E17" s="10">
        <f t="shared" si="4"/>
        <v>1900</v>
      </c>
      <c r="F17" s="10">
        <f t="shared" si="5"/>
        <v>-19</v>
      </c>
      <c r="G17" s="10">
        <f t="shared" si="0"/>
        <v>34533.310306710526</v>
      </c>
      <c r="H17" s="10">
        <f t="shared" si="1"/>
        <v>-172.66655153355262</v>
      </c>
      <c r="I17" s="10">
        <f t="shared" si="2"/>
        <v>34360.64375517697</v>
      </c>
    </row>
    <row r="18" spans="2:9" x14ac:dyDescent="0.45">
      <c r="B18">
        <v>15</v>
      </c>
      <c r="C18" s="10">
        <f t="shared" si="6"/>
        <v>34360.64375517697</v>
      </c>
      <c r="D18" s="10">
        <f t="shared" si="3"/>
        <v>2000</v>
      </c>
      <c r="E18" s="10">
        <f t="shared" si="4"/>
        <v>1900</v>
      </c>
      <c r="F18" s="10">
        <f t="shared" si="5"/>
        <v>-19</v>
      </c>
      <c r="G18" s="10">
        <f t="shared" si="0"/>
        <v>37691.309505384052</v>
      </c>
      <c r="H18" s="10">
        <f t="shared" si="1"/>
        <v>-188.45654752692028</v>
      </c>
      <c r="I18" s="10">
        <f t="shared" si="2"/>
        <v>37502.852957857132</v>
      </c>
    </row>
    <row r="19" spans="2:9" x14ac:dyDescent="0.45">
      <c r="B19">
        <v>16</v>
      </c>
      <c r="C19" s="10">
        <f t="shared" si="6"/>
        <v>37502.852957857132</v>
      </c>
      <c r="D19" s="10">
        <f t="shared" si="3"/>
        <v>2000</v>
      </c>
      <c r="E19" s="10">
        <f t="shared" si="4"/>
        <v>1900</v>
      </c>
      <c r="F19" s="10">
        <f t="shared" si="5"/>
        <v>-19</v>
      </c>
      <c r="G19" s="10">
        <f t="shared" si="0"/>
        <v>40959.20707617142</v>
      </c>
      <c r="H19" s="10">
        <f t="shared" si="1"/>
        <v>-204.79603538085712</v>
      </c>
      <c r="I19" s="10">
        <f t="shared" si="2"/>
        <v>40754.411040790561</v>
      </c>
    </row>
    <row r="20" spans="2:9" x14ac:dyDescent="0.45">
      <c r="B20">
        <v>17</v>
      </c>
      <c r="C20" s="10">
        <f t="shared" si="6"/>
        <v>40754.411040790561</v>
      </c>
      <c r="D20" s="10">
        <f t="shared" si="3"/>
        <v>2000</v>
      </c>
      <c r="E20" s="10">
        <f t="shared" si="4"/>
        <v>1900</v>
      </c>
      <c r="F20" s="10">
        <f t="shared" si="5"/>
        <v>-19</v>
      </c>
      <c r="G20" s="10">
        <f t="shared" si="0"/>
        <v>44340.827482422188</v>
      </c>
      <c r="H20" s="10">
        <f t="shared" si="1"/>
        <v>-221.70413741211095</v>
      </c>
      <c r="I20" s="10">
        <f t="shared" si="2"/>
        <v>44119.123345010077</v>
      </c>
    </row>
    <row r="21" spans="2:9" x14ac:dyDescent="0.45">
      <c r="B21">
        <v>18</v>
      </c>
      <c r="C21" s="10">
        <f t="shared" si="6"/>
        <v>44119.123345010077</v>
      </c>
      <c r="D21" s="10">
        <f t="shared" si="3"/>
        <v>2000</v>
      </c>
      <c r="E21" s="10">
        <f t="shared" si="4"/>
        <v>1900</v>
      </c>
      <c r="F21" s="10">
        <f t="shared" si="5"/>
        <v>-19</v>
      </c>
      <c r="G21" s="10">
        <f t="shared" si="0"/>
        <v>47840.12827881048</v>
      </c>
      <c r="H21" s="10">
        <f t="shared" si="1"/>
        <v>-239.20064139405241</v>
      </c>
      <c r="I21" s="10">
        <f t="shared" si="2"/>
        <v>47600.927637416426</v>
      </c>
    </row>
    <row r="22" spans="2:9" x14ac:dyDescent="0.45">
      <c r="B22">
        <v>19</v>
      </c>
      <c r="C22" s="10">
        <f t="shared" si="6"/>
        <v>47600.927637416426</v>
      </c>
      <c r="D22" s="10">
        <f t="shared" si="3"/>
        <v>2000</v>
      </c>
      <c r="E22" s="10">
        <f t="shared" si="4"/>
        <v>1900</v>
      </c>
      <c r="F22" s="10">
        <f t="shared" si="5"/>
        <v>-19</v>
      </c>
      <c r="G22" s="10">
        <f t="shared" si="0"/>
        <v>51461.204742913083</v>
      </c>
      <c r="H22" s="10">
        <f t="shared" si="1"/>
        <v>-257.30602371456541</v>
      </c>
      <c r="I22" s="10">
        <f t="shared" si="2"/>
        <v>51203.898719198522</v>
      </c>
    </row>
    <row r="23" spans="2:9" x14ac:dyDescent="0.45">
      <c r="B23">
        <v>20</v>
      </c>
      <c r="C23" s="10">
        <f t="shared" si="6"/>
        <v>51203.898719198522</v>
      </c>
      <c r="D23" s="10">
        <f t="shared" si="3"/>
        <v>2000</v>
      </c>
      <c r="E23" s="10">
        <f t="shared" si="4"/>
        <v>1900</v>
      </c>
      <c r="F23" s="10">
        <f t="shared" si="5"/>
        <v>-19</v>
      </c>
      <c r="G23" s="10">
        <f t="shared" si="0"/>
        <v>55208.294667966467</v>
      </c>
      <c r="H23" s="10">
        <f t="shared" si="1"/>
        <v>-276.04147333983235</v>
      </c>
      <c r="I23" s="10">
        <f t="shared" si="2"/>
        <v>54932.253194626632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8435-6140-484C-A38F-60842352D2E5}">
  <dimension ref="A1:X27"/>
  <sheetViews>
    <sheetView workbookViewId="0">
      <selection activeCell="K11" sqref="K11"/>
    </sheetView>
  </sheetViews>
  <sheetFormatPr defaultRowHeight="14.25" x14ac:dyDescent="0.45"/>
  <cols>
    <col min="3" max="4" width="10.59765625" customWidth="1"/>
    <col min="5" max="5" width="13.265625" customWidth="1"/>
    <col min="6" max="6" width="14.86328125" customWidth="1"/>
    <col min="7" max="7" width="15.265625" customWidth="1"/>
    <col min="8" max="8" width="15.86328125" customWidth="1"/>
    <col min="9" max="9" width="20.86328125" customWidth="1"/>
    <col min="10" max="10" width="16.59765625" customWidth="1"/>
    <col min="11" max="11" width="17.86328125" customWidth="1"/>
    <col min="13" max="13" width="12.1328125" bestFit="1" customWidth="1"/>
    <col min="14" max="14" width="9.59765625" bestFit="1" customWidth="1"/>
  </cols>
  <sheetData>
    <row r="1" spans="1:24" s="12" customFormat="1" ht="14.65" thickBot="1" x14ac:dyDescent="0.5">
      <c r="E1" s="12" t="s">
        <v>21</v>
      </c>
      <c r="F1" s="12" t="s">
        <v>21</v>
      </c>
      <c r="G1" s="12" t="s">
        <v>20</v>
      </c>
      <c r="H1" s="12" t="s">
        <v>21</v>
      </c>
      <c r="I1" s="12" t="s">
        <v>20</v>
      </c>
      <c r="J1" s="12" t="s">
        <v>21</v>
      </c>
      <c r="K1" s="12" t="s">
        <v>20</v>
      </c>
    </row>
    <row r="2" spans="1:24" ht="28.5" customHeight="1" thickBot="1" x14ac:dyDescent="0.5">
      <c r="A2" s="59" t="s">
        <v>23</v>
      </c>
      <c r="B2" s="60"/>
      <c r="R2" s="12" t="s">
        <v>20</v>
      </c>
      <c r="S2" s="21" t="s">
        <v>96</v>
      </c>
    </row>
    <row r="3" spans="1:24" s="15" customFormat="1" ht="43.15" thickBot="1" x14ac:dyDescent="0.5">
      <c r="A3" s="36" t="s">
        <v>97</v>
      </c>
      <c r="B3" s="37" t="s">
        <v>98</v>
      </c>
      <c r="C3" s="38" t="s">
        <v>99</v>
      </c>
      <c r="D3" s="38" t="s">
        <v>100</v>
      </c>
      <c r="E3" s="38" t="s">
        <v>101</v>
      </c>
      <c r="F3" s="38" t="s">
        <v>102</v>
      </c>
      <c r="G3" s="38" t="s">
        <v>103</v>
      </c>
      <c r="H3" s="38" t="s">
        <v>104</v>
      </c>
      <c r="I3" s="38" t="s">
        <v>105</v>
      </c>
      <c r="J3" s="39" t="s">
        <v>106</v>
      </c>
      <c r="K3" s="40" t="s">
        <v>107</v>
      </c>
      <c r="R3"/>
      <c r="S3"/>
      <c r="T3"/>
      <c r="U3" s="12" t="s">
        <v>20</v>
      </c>
      <c r="V3" s="12" t="s">
        <v>21</v>
      </c>
      <c r="W3" s="12" t="s">
        <v>20</v>
      </c>
      <c r="X3" s="12" t="s">
        <v>20</v>
      </c>
    </row>
    <row r="4" spans="1:24" x14ac:dyDescent="0.45">
      <c r="A4" s="29">
        <v>0</v>
      </c>
      <c r="B4" s="30">
        <f>A4+1</f>
        <v>1</v>
      </c>
      <c r="C4" s="33">
        <f>'Q2 Base'!D4</f>
        <v>4.0008002133969133E-4</v>
      </c>
      <c r="D4" s="33">
        <f>'Q2 Base'!E4</f>
        <v>5.0412705069077443E-4</v>
      </c>
      <c r="E4">
        <v>1</v>
      </c>
      <c r="F4">
        <v>0</v>
      </c>
      <c r="G4">
        <v>0</v>
      </c>
      <c r="H4">
        <f t="shared" ref="H4:H23" si="0">E4*C4</f>
        <v>4.0008002133969133E-4</v>
      </c>
      <c r="I4">
        <f t="shared" ref="I4:I23" si="1">E4*D4</f>
        <v>5.0412705069077443E-4</v>
      </c>
      <c r="J4">
        <f>(F5-F4)/E4</f>
        <v>4.0008002133969133E-4</v>
      </c>
      <c r="K4" s="30">
        <f>(G5-G4)/E4</f>
        <v>5.0412705069077443E-4</v>
      </c>
      <c r="L4" s="4"/>
      <c r="M4" s="28"/>
      <c r="N4" s="28"/>
      <c r="O4" s="1"/>
      <c r="P4" s="1"/>
    </row>
    <row r="5" spans="1:24" x14ac:dyDescent="0.45">
      <c r="A5" s="29">
        <f>A4+1</f>
        <v>1</v>
      </c>
      <c r="B5" s="30">
        <f t="shared" ref="B5:B23" si="2">A5+1</f>
        <v>2</v>
      </c>
      <c r="C5" s="33">
        <f>'Q2 Base'!D5</f>
        <v>4.0008002133969133E-4</v>
      </c>
      <c r="D5" s="33">
        <f>'Q2 Base'!E5</f>
        <v>5.4114639330157886E-4</v>
      </c>
      <c r="E5" s="28">
        <f t="shared" ref="E5:E24" si="3">E4*EXP(-D4-C4)</f>
        <v>0.99909620160000012</v>
      </c>
      <c r="F5">
        <f>F4+1*H4</f>
        <v>4.0008002133969133E-4</v>
      </c>
      <c r="G5">
        <f>G4+1*I4</f>
        <v>5.0412705069077443E-4</v>
      </c>
      <c r="H5">
        <f t="shared" si="0"/>
        <v>3.997184296565326E-4</v>
      </c>
      <c r="I5">
        <f t="shared" si="1"/>
        <v>5.4065730605714723E-4</v>
      </c>
      <c r="J5">
        <f t="shared" ref="J5:J23" si="4">(F6-F5)/E5</f>
        <v>4.0008002133969128E-4</v>
      </c>
      <c r="K5" s="30">
        <f t="shared" ref="K5:K23" si="5">(G6-G5)/E5</f>
        <v>5.4114639330157875E-4</v>
      </c>
      <c r="L5" s="4"/>
      <c r="M5" s="28"/>
      <c r="N5" s="28"/>
      <c r="O5" s="1"/>
      <c r="P5" s="1"/>
    </row>
    <row r="6" spans="1:24" x14ac:dyDescent="0.45">
      <c r="A6" s="29">
        <f t="shared" ref="A6:A24" si="6">A5+1</f>
        <v>2</v>
      </c>
      <c r="B6" s="30">
        <f t="shared" si="2"/>
        <v>3</v>
      </c>
      <c r="C6" s="33">
        <f>'Q2 Base'!D6</f>
        <v>4.5010128038520567E-4</v>
      </c>
      <c r="D6" s="33">
        <f>'Q2 Base'!E6</f>
        <v>5.7516537589712461E-4</v>
      </c>
      <c r="E6" s="28">
        <f t="shared" si="3"/>
        <v>0.99815626827871262</v>
      </c>
      <c r="F6">
        <f t="shared" ref="F6:F23" si="7">F5+1*H5</f>
        <v>7.9979845099622388E-4</v>
      </c>
      <c r="G6">
        <f t="shared" ref="G6:G23" si="8">G5+1*I5</f>
        <v>1.0447843567479216E-3</v>
      </c>
      <c r="H6">
        <f t="shared" si="0"/>
        <v>4.4927141437676738E-4</v>
      </c>
      <c r="I6">
        <f t="shared" si="1"/>
        <v>5.741049252485969E-4</v>
      </c>
      <c r="J6">
        <f t="shared" si="4"/>
        <v>4.5010128038520578E-4</v>
      </c>
      <c r="K6" s="30">
        <f t="shared" si="5"/>
        <v>5.7516537589712461E-4</v>
      </c>
      <c r="L6" s="4"/>
      <c r="M6" s="28"/>
      <c r="N6" s="28"/>
      <c r="O6" s="1"/>
      <c r="P6" s="1"/>
    </row>
    <row r="7" spans="1:24" x14ac:dyDescent="0.45">
      <c r="A7" s="29">
        <f t="shared" si="6"/>
        <v>3</v>
      </c>
      <c r="B7" s="30">
        <f t="shared" si="2"/>
        <v>4</v>
      </c>
      <c r="C7" s="33">
        <f>'Q2 Base'!D7</f>
        <v>4.5010128038520567E-4</v>
      </c>
      <c r="D7" s="33">
        <f>'Q2 Base'!E7</f>
        <v>6.1218734844200988E-4</v>
      </c>
      <c r="E7" s="28">
        <f t="shared" si="3"/>
        <v>0.99713341637666142</v>
      </c>
      <c r="F7">
        <f t="shared" si="7"/>
        <v>1.2490698653729914E-3</v>
      </c>
      <c r="G7">
        <f t="shared" si="8"/>
        <v>1.6188892819965185E-3</v>
      </c>
      <c r="H7">
        <f t="shared" si="0"/>
        <v>4.4881102742600973E-4</v>
      </c>
      <c r="I7">
        <f t="shared" si="1"/>
        <v>6.1043246221455098E-4</v>
      </c>
      <c r="J7">
        <f t="shared" si="4"/>
        <v>4.5010128038520567E-4</v>
      </c>
      <c r="K7" s="30">
        <f t="shared" si="5"/>
        <v>6.1218734844200977E-4</v>
      </c>
      <c r="L7" s="4"/>
      <c r="M7" s="28"/>
      <c r="N7" s="28"/>
      <c r="O7" s="1"/>
      <c r="P7" s="1"/>
    </row>
    <row r="8" spans="1:24" x14ac:dyDescent="0.45">
      <c r="A8" s="29">
        <f t="shared" si="6"/>
        <v>4</v>
      </c>
      <c r="B8" s="30">
        <f t="shared" si="2"/>
        <v>5</v>
      </c>
      <c r="C8" s="33">
        <f>'Q2 Base'!D8</f>
        <v>5.0012504168224286E-4</v>
      </c>
      <c r="D8" s="33">
        <f>'Q2 Base'!E8</f>
        <v>6.5321329736052025E-4</v>
      </c>
      <c r="E8" s="28">
        <f t="shared" si="3"/>
        <v>0.99607473529901236</v>
      </c>
      <c r="F8">
        <f t="shared" si="7"/>
        <v>1.6978808927990011E-3</v>
      </c>
      <c r="G8">
        <f t="shared" si="8"/>
        <v>2.2293217442110693E-3</v>
      </c>
      <c r="H8">
        <f t="shared" si="0"/>
        <v>4.9816191851004754E-4</v>
      </c>
      <c r="I8">
        <f t="shared" si="1"/>
        <v>6.506492622621753E-4</v>
      </c>
      <c r="J8">
        <f t="shared" si="4"/>
        <v>5.0012504168224286E-4</v>
      </c>
      <c r="K8" s="30">
        <f t="shared" si="5"/>
        <v>6.5321329736052014E-4</v>
      </c>
      <c r="L8" s="4"/>
      <c r="M8" s="28"/>
      <c r="N8" s="28"/>
      <c r="O8" s="1"/>
      <c r="P8" s="1"/>
    </row>
    <row r="9" spans="1:24" x14ac:dyDescent="0.45">
      <c r="A9" s="29">
        <f t="shared" si="6"/>
        <v>5</v>
      </c>
      <c r="B9" s="30">
        <f t="shared" si="2"/>
        <v>6</v>
      </c>
      <c r="C9" s="33">
        <f>'Q2 Base'!D9</f>
        <v>5.501513054812704E-4</v>
      </c>
      <c r="D9" s="33">
        <f>'Q2 Base'!E9</f>
        <v>6.9624232044323935E-4</v>
      </c>
      <c r="E9" s="28">
        <f t="shared" si="3"/>
        <v>0.99492658634761377</v>
      </c>
      <c r="F9">
        <f t="shared" si="7"/>
        <v>2.1960428113090486E-3</v>
      </c>
      <c r="G9">
        <f t="shared" si="8"/>
        <v>2.8799710064732445E-3</v>
      </c>
      <c r="H9">
        <f t="shared" si="0"/>
        <v>5.4736016033716368E-4</v>
      </c>
      <c r="I9">
        <f t="shared" si="1"/>
        <v>6.927099951493335E-4</v>
      </c>
      <c r="J9">
        <f t="shared" si="4"/>
        <v>5.5015130548127019E-4</v>
      </c>
      <c r="K9" s="30">
        <f t="shared" si="5"/>
        <v>6.9624232044323956E-4</v>
      </c>
      <c r="L9" s="4"/>
      <c r="M9" s="28"/>
      <c r="N9" s="28"/>
      <c r="O9" s="1"/>
      <c r="P9" s="1"/>
    </row>
    <row r="10" spans="1:24" x14ac:dyDescent="0.45">
      <c r="A10" s="29">
        <f t="shared" si="6"/>
        <v>6</v>
      </c>
      <c r="B10" s="30">
        <f t="shared" si="2"/>
        <v>7</v>
      </c>
      <c r="C10" s="33">
        <f>'Q2 Base'!D10</f>
        <v>6.0018007203246058E-4</v>
      </c>
      <c r="D10" s="33">
        <f>'Q2 Base'!E10</f>
        <v>7.4727914352218426E-4</v>
      </c>
      <c r="E10" s="28">
        <f t="shared" si="3"/>
        <v>0.99368728867892187</v>
      </c>
      <c r="F10">
        <f t="shared" si="7"/>
        <v>2.7434029716462121E-3</v>
      </c>
      <c r="G10">
        <f t="shared" si="8"/>
        <v>3.5726810016225782E-3</v>
      </c>
      <c r="H10">
        <f t="shared" si="0"/>
        <v>5.9639130849705574E-4</v>
      </c>
      <c r="I10">
        <f>E10*D10</f>
        <v>7.4256178601286621E-4</v>
      </c>
      <c r="J10">
        <f t="shared" si="4"/>
        <v>6.001800720324608E-4</v>
      </c>
      <c r="K10" s="30">
        <f t="shared" si="5"/>
        <v>7.4727914352218404E-4</v>
      </c>
      <c r="L10" s="4"/>
      <c r="M10" s="28"/>
      <c r="N10" s="28"/>
      <c r="O10" s="1"/>
      <c r="P10" s="1"/>
    </row>
    <row r="11" spans="1:24" x14ac:dyDescent="0.45">
      <c r="A11" s="29">
        <f t="shared" si="6"/>
        <v>7</v>
      </c>
      <c r="B11" s="30">
        <f t="shared" si="2"/>
        <v>8</v>
      </c>
      <c r="C11" s="33">
        <f>'Q2 Base'!D11</f>
        <v>7.0024511439342589E-4</v>
      </c>
      <c r="D11" s="33">
        <f>'Q2 Base'!E11</f>
        <v>8.0232177405333298E-4</v>
      </c>
      <c r="E11" s="28">
        <f t="shared" si="3"/>
        <v>0.99234923727171409</v>
      </c>
      <c r="F11">
        <f t="shared" si="7"/>
        <v>3.3397942801432681E-3</v>
      </c>
      <c r="G11">
        <f t="shared" si="8"/>
        <v>4.3152427876354442E-3</v>
      </c>
      <c r="H11">
        <f t="shared" si="0"/>
        <v>6.948877051715604E-4</v>
      </c>
      <c r="I11">
        <f t="shared" si="1"/>
        <v>7.9618340052831354E-4</v>
      </c>
      <c r="J11">
        <f t="shared" si="4"/>
        <v>7.0024511439342545E-4</v>
      </c>
      <c r="K11" s="30">
        <f t="shared" si="5"/>
        <v>8.0232177405333287E-4</v>
      </c>
      <c r="L11" s="4"/>
      <c r="M11" s="28"/>
      <c r="N11" s="28"/>
      <c r="O11" s="1"/>
      <c r="P11" s="1"/>
    </row>
    <row r="12" spans="1:24" x14ac:dyDescent="0.45">
      <c r="A12" s="29">
        <f t="shared" si="6"/>
        <v>8</v>
      </c>
      <c r="B12" s="30">
        <f t="shared" si="2"/>
        <v>9</v>
      </c>
      <c r="C12" s="33">
        <f>'Q2 Base'!D12</f>
        <v>9.0040524316415511E-4</v>
      </c>
      <c r="D12" s="33">
        <f>'Q2 Base'!E12</f>
        <v>8.5436486574504242E-4</v>
      </c>
      <c r="E12" s="28">
        <f t="shared" si="3"/>
        <v>0.99085928582219385</v>
      </c>
      <c r="F12">
        <f t="shared" si="7"/>
        <v>4.034681985314828E-3</v>
      </c>
      <c r="G12">
        <f t="shared" si="8"/>
        <v>5.1114261881637577E-3</v>
      </c>
      <c r="H12">
        <f t="shared" si="0"/>
        <v>8.9217489619219351E-4</v>
      </c>
      <c r="I12">
        <f t="shared" si="1"/>
        <v>8.4655536070370727E-4</v>
      </c>
      <c r="J12">
        <f t="shared" si="4"/>
        <v>9.0040524316415489E-4</v>
      </c>
      <c r="K12" s="30">
        <f t="shared" si="5"/>
        <v>8.5436486574504221E-4</v>
      </c>
      <c r="L12" s="4"/>
      <c r="M12" s="28"/>
      <c r="N12" s="28"/>
      <c r="O12" s="1"/>
      <c r="P12" s="1"/>
    </row>
    <row r="13" spans="1:24" x14ac:dyDescent="0.45">
      <c r="A13" s="29">
        <f t="shared" si="6"/>
        <v>9</v>
      </c>
      <c r="B13" s="30">
        <f t="shared" si="2"/>
        <v>10</v>
      </c>
      <c r="C13" s="33">
        <f>'Q2 Base'!D13</f>
        <v>1.0005003335835344E-3</v>
      </c>
      <c r="D13" s="33">
        <f>'Q2 Base'!E13</f>
        <v>9.014061444758151E-4</v>
      </c>
      <c r="E13" s="28">
        <f t="shared" si="3"/>
        <v>0.9891220802093087</v>
      </c>
      <c r="F13">
        <f t="shared" si="7"/>
        <v>4.9268568815070213E-3</v>
      </c>
      <c r="G13">
        <f t="shared" si="8"/>
        <v>5.9579815488674647E-3</v>
      </c>
      <c r="H13">
        <f t="shared" si="0"/>
        <v>9.8961697120425289E-4</v>
      </c>
      <c r="I13">
        <f t="shared" si="1"/>
        <v>8.9160072073737092E-4</v>
      </c>
      <c r="J13">
        <f t="shared" si="4"/>
        <v>1.0005003335835344E-3</v>
      </c>
      <c r="K13" s="30">
        <f t="shared" si="5"/>
        <v>9.014061444758152E-4</v>
      </c>
      <c r="L13" s="4"/>
      <c r="M13" s="28"/>
      <c r="N13" s="28"/>
      <c r="O13" s="1"/>
      <c r="P13" s="1"/>
    </row>
    <row r="14" spans="1:24" x14ac:dyDescent="0.45">
      <c r="A14" s="29">
        <f t="shared" si="6"/>
        <v>10</v>
      </c>
      <c r="B14" s="30">
        <f t="shared" si="2"/>
        <v>11</v>
      </c>
      <c r="C14" s="33">
        <f>'Q2 Base'!D14</f>
        <v>1.0005003335835344E-3</v>
      </c>
      <c r="D14" s="33">
        <f>'Q2 Base'!E14</f>
        <v>9.4945058559301853E-4</v>
      </c>
      <c r="E14" s="28">
        <f t="shared" si="3"/>
        <v>0.98724265033382508</v>
      </c>
      <c r="F14">
        <f t="shared" si="7"/>
        <v>5.9164738527112742E-3</v>
      </c>
      <c r="G14">
        <f t="shared" si="8"/>
        <v>6.8495822696048357E-3</v>
      </c>
      <c r="H14">
        <f t="shared" si="0"/>
        <v>9.8773660098688452E-4</v>
      </c>
      <c r="I14">
        <f t="shared" si="1"/>
        <v>9.3733811248185382E-4</v>
      </c>
      <c r="J14">
        <f t="shared" si="4"/>
        <v>1.0005003335835346E-3</v>
      </c>
      <c r="K14" s="30">
        <f t="shared" si="5"/>
        <v>9.4945058559301864E-4</v>
      </c>
      <c r="L14" s="4"/>
      <c r="M14" s="28"/>
      <c r="N14" s="28"/>
      <c r="O14" s="1"/>
      <c r="P14" s="1"/>
    </row>
    <row r="15" spans="1:24" x14ac:dyDescent="0.45">
      <c r="A15" s="29">
        <f t="shared" si="6"/>
        <v>11</v>
      </c>
      <c r="B15" s="30">
        <f t="shared" si="2"/>
        <v>12</v>
      </c>
      <c r="C15" s="33">
        <f>'Q2 Base'!D15</f>
        <v>1.1006054440330039E-3</v>
      </c>
      <c r="D15" s="33">
        <f>'Q2 Base'!E15</f>
        <v>1.007507365139709E-3</v>
      </c>
      <c r="E15" s="28">
        <f t="shared" si="3"/>
        <v>0.9853194513015997</v>
      </c>
      <c r="F15">
        <f t="shared" si="7"/>
        <v>6.9042104536981589E-3</v>
      </c>
      <c r="G15">
        <f t="shared" si="8"/>
        <v>7.7869203820866897E-3</v>
      </c>
      <c r="H15">
        <f t="shared" si="0"/>
        <v>1.0844479522141529E-3</v>
      </c>
      <c r="I15">
        <f t="shared" si="1"/>
        <v>9.9271660420177849E-4</v>
      </c>
      <c r="J15">
        <f t="shared" si="4"/>
        <v>1.1006054440330037E-3</v>
      </c>
      <c r="K15" s="30">
        <f t="shared" si="5"/>
        <v>1.0075073651397088E-3</v>
      </c>
      <c r="L15" s="4"/>
      <c r="M15" s="28"/>
      <c r="N15" s="28"/>
      <c r="O15" s="1"/>
      <c r="P15" s="1"/>
    </row>
    <row r="16" spans="1:24" x14ac:dyDescent="0.45">
      <c r="A16" s="29">
        <f t="shared" si="6"/>
        <v>12</v>
      </c>
      <c r="B16" s="30">
        <f t="shared" si="2"/>
        <v>13</v>
      </c>
      <c r="C16" s="33">
        <f>'Q2 Base'!D16</f>
        <v>1.2007205765188771E-3</v>
      </c>
      <c r="D16" s="33">
        <f>'Q2 Base'!E16</f>
        <v>1.0835868682570894E-3</v>
      </c>
      <c r="E16" s="28">
        <f t="shared" si="3"/>
        <v>0.98324447465606346</v>
      </c>
      <c r="F16">
        <f t="shared" si="7"/>
        <v>7.9886584059123116E-3</v>
      </c>
      <c r="G16">
        <f t="shared" si="8"/>
        <v>8.7796369862884679E-3</v>
      </c>
      <c r="H16">
        <f t="shared" si="0"/>
        <v>1.1806018724680289E-3</v>
      </c>
      <c r="I16">
        <f t="shared" si="1"/>
        <v>1.0654308010236509E-3</v>
      </c>
      <c r="J16">
        <f t="shared" si="4"/>
        <v>1.2007205765188764E-3</v>
      </c>
      <c r="K16" s="30">
        <f t="shared" si="5"/>
        <v>1.0835868682570896E-3</v>
      </c>
      <c r="L16" s="4"/>
      <c r="M16" s="28"/>
      <c r="N16" s="28"/>
      <c r="O16" s="1"/>
      <c r="P16" s="1"/>
    </row>
    <row r="17" spans="1:16" x14ac:dyDescent="0.45">
      <c r="A17" s="29">
        <f t="shared" si="6"/>
        <v>13</v>
      </c>
      <c r="B17" s="30">
        <f t="shared" si="2"/>
        <v>14</v>
      </c>
      <c r="C17" s="33">
        <f>'Q2 Base'!D17</f>
        <v>1.2007205765188771E-3</v>
      </c>
      <c r="D17" s="33">
        <f>'Q2 Base'!E17</f>
        <v>1.1796955672696637E-3</v>
      </c>
      <c r="E17" s="28">
        <f t="shared" si="3"/>
        <v>0.98100100534494294</v>
      </c>
      <c r="F17">
        <f t="shared" si="7"/>
        <v>9.1692602783803399E-3</v>
      </c>
      <c r="G17">
        <f t="shared" si="8"/>
        <v>9.845067787312119E-3</v>
      </c>
      <c r="H17">
        <f t="shared" si="0"/>
        <v>1.1779080927033778E-3</v>
      </c>
      <c r="I17">
        <f t="shared" si="1"/>
        <v>1.1572825374925129E-3</v>
      </c>
      <c r="J17">
        <f t="shared" si="4"/>
        <v>1.2007205765188773E-3</v>
      </c>
      <c r="K17" s="30">
        <f t="shared" si="5"/>
        <v>1.1796955672696639E-3</v>
      </c>
      <c r="L17" s="4"/>
      <c r="M17" s="28"/>
      <c r="N17" s="28"/>
      <c r="O17" s="1"/>
      <c r="P17" s="1"/>
    </row>
    <row r="18" spans="1:16" x14ac:dyDescent="0.45">
      <c r="A18" s="29">
        <f t="shared" si="6"/>
        <v>14</v>
      </c>
      <c r="B18" s="30">
        <f t="shared" si="2"/>
        <v>15</v>
      </c>
      <c r="C18" s="33">
        <f>'Q2 Base'!D18</f>
        <v>1.3008457330480696E-3</v>
      </c>
      <c r="D18" s="33">
        <f>'Q2 Base'!E18</f>
        <v>1.3008457330480696E-3</v>
      </c>
      <c r="E18" s="28">
        <f t="shared" si="3"/>
        <v>0.97866859187344968</v>
      </c>
      <c r="F18">
        <f t="shared" si="7"/>
        <v>1.0347168371083718E-2</v>
      </c>
      <c r="G18">
        <f t="shared" si="8"/>
        <v>1.1002350324804632E-2</v>
      </c>
      <c r="H18">
        <f t="shared" si="0"/>
        <v>1.2730968618067397E-3</v>
      </c>
      <c r="I18">
        <f t="shared" si="1"/>
        <v>1.2730968618067397E-3</v>
      </c>
      <c r="J18">
        <f t="shared" si="4"/>
        <v>1.3008457330480701E-3</v>
      </c>
      <c r="K18" s="30">
        <f t="shared" si="5"/>
        <v>1.3008457330480701E-3</v>
      </c>
      <c r="L18" s="4"/>
      <c r="M18" s="28"/>
      <c r="N18" s="28"/>
      <c r="O18" s="1"/>
      <c r="P18" s="1"/>
    </row>
    <row r="19" spans="1:16" x14ac:dyDescent="0.45">
      <c r="A19" s="29">
        <f t="shared" si="6"/>
        <v>15</v>
      </c>
      <c r="B19" s="30">
        <f t="shared" si="2"/>
        <v>16</v>
      </c>
      <c r="C19" s="33">
        <f>'Q2 Base'!D19</f>
        <v>1.4009809156281003E-3</v>
      </c>
      <c r="D19" s="33">
        <f>'Q2 Base'!E19</f>
        <v>1.4480479155111296E-3</v>
      </c>
      <c r="E19" s="28">
        <f t="shared" si="3"/>
        <v>0.97612570748449912</v>
      </c>
      <c r="F19">
        <f t="shared" si="7"/>
        <v>1.1620265232890458E-2</v>
      </c>
      <c r="G19">
        <f t="shared" si="8"/>
        <v>1.2275447186611372E-2</v>
      </c>
      <c r="H19">
        <f t="shared" si="0"/>
        <v>1.3675334874397606E-3</v>
      </c>
      <c r="I19">
        <f t="shared" si="1"/>
        <v>1.4134767959997556E-3</v>
      </c>
      <c r="J19">
        <f t="shared" si="4"/>
        <v>1.4009809156281007E-3</v>
      </c>
      <c r="K19" s="30">
        <f t="shared" si="5"/>
        <v>1.4480479155111301E-3</v>
      </c>
      <c r="L19" s="4"/>
      <c r="M19" s="28"/>
      <c r="N19" s="28"/>
      <c r="O19" s="1"/>
      <c r="P19" s="1"/>
    </row>
    <row r="20" spans="1:16" x14ac:dyDescent="0.45">
      <c r="A20" s="29">
        <f t="shared" si="6"/>
        <v>16</v>
      </c>
      <c r="B20" s="30">
        <f t="shared" si="2"/>
        <v>17</v>
      </c>
      <c r="C20" s="33">
        <f>'Q2 Base'!D20</f>
        <v>1.5011261262670914E-3</v>
      </c>
      <c r="D20" s="33">
        <f>'Q2 Base'!E20</f>
        <v>1.6153039011865468E-3</v>
      </c>
      <c r="E20" s="28">
        <f t="shared" si="3"/>
        <v>0.97334865503074897</v>
      </c>
      <c r="F20">
        <f t="shared" si="7"/>
        <v>1.2987798720330219E-2</v>
      </c>
      <c r="G20">
        <f t="shared" si="8"/>
        <v>1.3688923982611128E-2</v>
      </c>
      <c r="H20">
        <f t="shared" si="0"/>
        <v>1.4611190960335915E-3</v>
      </c>
      <c r="I20">
        <f t="shared" si="1"/>
        <v>1.5722538796858472E-3</v>
      </c>
      <c r="J20">
        <f t="shared" si="4"/>
        <v>1.5011261262670907E-3</v>
      </c>
      <c r="K20" s="30">
        <f t="shared" si="5"/>
        <v>1.6153039011865473E-3</v>
      </c>
      <c r="L20" s="4"/>
      <c r="M20" s="28"/>
      <c r="N20" s="28"/>
      <c r="O20" s="1"/>
      <c r="P20" s="1"/>
    </row>
    <row r="21" spans="1:16" x14ac:dyDescent="0.45">
      <c r="A21" s="29">
        <f t="shared" si="6"/>
        <v>17</v>
      </c>
      <c r="B21" s="30">
        <f t="shared" si="2"/>
        <v>18</v>
      </c>
      <c r="C21" s="33">
        <f>'Q2 Base'!D21</f>
        <v>1.6012813669738792E-3</v>
      </c>
      <c r="D21" s="33">
        <f>'Q2 Base'!E21</f>
        <v>1.8066309754025064E-3</v>
      </c>
      <c r="E21" s="28">
        <f t="shared" si="3"/>
        <v>0.97032000379607708</v>
      </c>
      <c r="F21">
        <f t="shared" si="7"/>
        <v>1.444891781636381E-2</v>
      </c>
      <c r="G21">
        <f t="shared" si="8"/>
        <v>1.5261177862296976E-2</v>
      </c>
      <c r="H21">
        <f t="shared" si="0"/>
        <v>1.5537553420806819E-3</v>
      </c>
      <c r="I21">
        <f t="shared" si="1"/>
        <v>1.7530101749106705E-3</v>
      </c>
      <c r="J21">
        <f t="shared" si="4"/>
        <v>1.6012813669738792E-3</v>
      </c>
      <c r="K21" s="30">
        <f t="shared" si="5"/>
        <v>1.8066309754025062E-3</v>
      </c>
      <c r="L21" s="4"/>
      <c r="M21" s="28"/>
      <c r="N21" s="28"/>
      <c r="O21" s="1"/>
      <c r="P21" s="1"/>
    </row>
    <row r="22" spans="1:16" x14ac:dyDescent="0.45">
      <c r="A22" s="29">
        <f t="shared" si="6"/>
        <v>18</v>
      </c>
      <c r="B22" s="30">
        <f t="shared" si="2"/>
        <v>19</v>
      </c>
      <c r="C22" s="33">
        <f>'Q2 Base'!D22</f>
        <v>1.8016219466282088E-3</v>
      </c>
      <c r="D22" s="33">
        <f>'Q2 Base'!E22</f>
        <v>2.0310612091007279E-3</v>
      </c>
      <c r="E22" s="28">
        <f t="shared" si="3"/>
        <v>0.96701886646732249</v>
      </c>
      <c r="F22">
        <f t="shared" si="7"/>
        <v>1.6002673158444492E-2</v>
      </c>
      <c r="G22">
        <f t="shared" si="8"/>
        <v>1.7014188037207646E-2</v>
      </c>
      <c r="H22">
        <f t="shared" si="0"/>
        <v>1.7422024126310615E-3</v>
      </c>
      <c r="I22">
        <f t="shared" si="1"/>
        <v>1.9640745081503353E-3</v>
      </c>
      <c r="J22">
        <f t="shared" si="4"/>
        <v>1.8016219466282105E-3</v>
      </c>
      <c r="K22" s="30">
        <f t="shared" si="5"/>
        <v>2.0310612091007266E-3</v>
      </c>
      <c r="L22" s="4"/>
      <c r="M22" s="28"/>
      <c r="N22" s="28"/>
      <c r="O22" s="1"/>
      <c r="P22" s="1"/>
    </row>
    <row r="23" spans="1:16" x14ac:dyDescent="0.45">
      <c r="A23" s="29">
        <f t="shared" si="6"/>
        <v>19</v>
      </c>
      <c r="B23" s="30">
        <f t="shared" si="2"/>
        <v>20</v>
      </c>
      <c r="C23" s="33">
        <f>'Q2 Base'!D23</f>
        <v>2.0020026706730793E-3</v>
      </c>
      <c r="D23" s="33">
        <f>'Q2 Base'!E23</f>
        <v>2.2916237651302452E-3</v>
      </c>
      <c r="E23" s="28">
        <f t="shared" si="3"/>
        <v>0.96331968297392323</v>
      </c>
      <c r="F23">
        <f t="shared" si="7"/>
        <v>1.7744875571075555E-2</v>
      </c>
      <c r="G23">
        <f t="shared" si="8"/>
        <v>1.897826254535798E-2</v>
      </c>
      <c r="H23">
        <f t="shared" si="0"/>
        <v>1.9285685780257382E-3</v>
      </c>
      <c r="I23">
        <f t="shared" si="1"/>
        <v>2.207566278920776E-3</v>
      </c>
      <c r="J23">
        <f t="shared" si="4"/>
        <v>2.002002670673078E-3</v>
      </c>
      <c r="K23" s="30">
        <f t="shared" si="5"/>
        <v>2.2916237651302456E-3</v>
      </c>
      <c r="L23" s="4"/>
      <c r="M23" s="28"/>
      <c r="N23" s="28"/>
      <c r="O23" s="1"/>
      <c r="P23" s="1"/>
    </row>
    <row r="24" spans="1:16" ht="14.65" thickBot="1" x14ac:dyDescent="0.5">
      <c r="A24" s="31">
        <f t="shared" si="6"/>
        <v>20</v>
      </c>
      <c r="B24" s="32"/>
      <c r="C24" s="34"/>
      <c r="D24" s="34"/>
      <c r="E24" s="35">
        <f t="shared" si="3"/>
        <v>0.9591924149311567</v>
      </c>
      <c r="F24" s="34">
        <f t="shared" ref="F24" si="9">F23+1*H23</f>
        <v>1.9673444149101292E-2</v>
      </c>
      <c r="G24" s="34">
        <f t="shared" ref="G24" si="10">G23+1*I23</f>
        <v>2.1185828824278757E-2</v>
      </c>
      <c r="H24" s="34"/>
      <c r="I24" s="34"/>
      <c r="J24" s="34"/>
      <c r="K24" s="32"/>
      <c r="L24" s="4"/>
      <c r="M24" s="27"/>
      <c r="N24" s="27"/>
      <c r="O24" s="1"/>
      <c r="P24" s="1"/>
    </row>
    <row r="27" spans="1:16" x14ac:dyDescent="0.45">
      <c r="E27" s="12"/>
    </row>
  </sheetData>
  <mergeCells count="1"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246E-7A7F-4A8A-9E8D-CA43CF55E25E}">
  <dimension ref="B1:AB28"/>
  <sheetViews>
    <sheetView tabSelected="1" topLeftCell="J1" workbookViewId="0">
      <selection activeCell="AB3" sqref="AB3"/>
    </sheetView>
  </sheetViews>
  <sheetFormatPr defaultRowHeight="14.25" x14ac:dyDescent="0.45"/>
  <cols>
    <col min="3" max="3" width="10.59765625" bestFit="1" customWidth="1"/>
    <col min="4" max="5" width="9.59765625" bestFit="1" customWidth="1"/>
    <col min="6" max="6" width="9.265625" bestFit="1" customWidth="1"/>
    <col min="7" max="7" width="16.73046875" customWidth="1"/>
    <col min="8" max="8" width="9.59765625" bestFit="1" customWidth="1"/>
    <col min="9" max="9" width="10.59765625" bestFit="1" customWidth="1"/>
    <col min="11" max="14" width="9.265625" bestFit="1" customWidth="1"/>
    <col min="15" max="15" width="11.86328125" customWidth="1"/>
    <col min="17" max="17" width="10.59765625" bestFit="1" customWidth="1"/>
    <col min="20" max="20" width="11" bestFit="1" customWidth="1"/>
    <col min="22" max="22" width="10.73046875" customWidth="1"/>
    <col min="23" max="23" width="11.86328125" customWidth="1"/>
    <col min="24" max="24" width="15.3984375" customWidth="1"/>
    <col min="26" max="26" width="10.73046875" customWidth="1"/>
  </cols>
  <sheetData>
    <row r="1" spans="2:27" s="12" customFormat="1" x14ac:dyDescent="0.45">
      <c r="D1" s="61" t="s">
        <v>21</v>
      </c>
      <c r="E1" s="61"/>
      <c r="F1" s="61"/>
      <c r="G1" s="61"/>
      <c r="H1" s="61"/>
      <c r="I1" s="61"/>
      <c r="L1" s="12" t="s">
        <v>20</v>
      </c>
      <c r="M1" s="12" t="s">
        <v>20</v>
      </c>
      <c r="N1" s="12" t="s">
        <v>20</v>
      </c>
      <c r="O1" s="12" t="s">
        <v>20</v>
      </c>
      <c r="P1" s="12" t="s">
        <v>21</v>
      </c>
      <c r="Q1" s="12" t="s">
        <v>21</v>
      </c>
      <c r="S1" s="12" t="s">
        <v>20</v>
      </c>
      <c r="U1" s="12" t="s">
        <v>20</v>
      </c>
      <c r="V1" s="12" t="s">
        <v>20</v>
      </c>
      <c r="W1" s="12" t="s">
        <v>21</v>
      </c>
      <c r="X1" s="12" t="s">
        <v>21</v>
      </c>
      <c r="Y1" s="12" t="s">
        <v>20</v>
      </c>
      <c r="Z1" s="12" t="s">
        <v>20</v>
      </c>
      <c r="AA1" s="12" t="s">
        <v>20</v>
      </c>
    </row>
    <row r="2" spans="2:27" x14ac:dyDescent="0.45">
      <c r="B2" s="11" t="s">
        <v>89</v>
      </c>
      <c r="D2" s="8">
        <v>2000</v>
      </c>
      <c r="E2" s="3">
        <v>0.981355654078643</v>
      </c>
      <c r="F2" s="3">
        <v>0.01</v>
      </c>
      <c r="G2" s="3">
        <v>0.04</v>
      </c>
      <c r="H2" s="14">
        <v>5.0000000000000001E-3</v>
      </c>
      <c r="K2" s="11" t="s">
        <v>108</v>
      </c>
      <c r="P2" s="3">
        <v>0.01</v>
      </c>
      <c r="Q2" s="8">
        <v>15000</v>
      </c>
      <c r="Y2" s="3">
        <v>7.0000000000000007E-2</v>
      </c>
    </row>
    <row r="3" spans="2:27" s="15" customFormat="1" ht="57" x14ac:dyDescent="0.45">
      <c r="B3" s="15" t="s">
        <v>23</v>
      </c>
      <c r="C3" s="15" t="s">
        <v>90</v>
      </c>
      <c r="D3" s="15" t="s">
        <v>91</v>
      </c>
      <c r="E3" s="15" t="s">
        <v>92</v>
      </c>
      <c r="F3" s="15" t="s">
        <v>71</v>
      </c>
      <c r="G3" s="15" t="s">
        <v>93</v>
      </c>
      <c r="H3" s="15" t="s">
        <v>94</v>
      </c>
      <c r="I3" s="15" t="s">
        <v>95</v>
      </c>
      <c r="K3" s="15" t="s">
        <v>23</v>
      </c>
      <c r="L3" s="15" t="s">
        <v>109</v>
      </c>
      <c r="M3" s="15" t="s">
        <v>110</v>
      </c>
      <c r="N3" s="15" t="s">
        <v>15</v>
      </c>
      <c r="O3" s="15" t="s">
        <v>13</v>
      </c>
      <c r="P3" s="15" t="s">
        <v>111</v>
      </c>
      <c r="Q3" s="15" t="s">
        <v>112</v>
      </c>
      <c r="R3" s="15" t="s">
        <v>113</v>
      </c>
      <c r="S3" s="15" t="s">
        <v>114</v>
      </c>
      <c r="T3" s="15" t="s">
        <v>115</v>
      </c>
      <c r="U3" s="15" t="s">
        <v>116</v>
      </c>
      <c r="V3" s="15" t="s">
        <v>94</v>
      </c>
      <c r="W3" s="15" t="s">
        <v>117</v>
      </c>
      <c r="X3" s="15" t="s">
        <v>118</v>
      </c>
      <c r="Y3" s="15" t="s">
        <v>119</v>
      </c>
      <c r="Z3" s="15" t="s">
        <v>120</v>
      </c>
      <c r="AA3" s="15" t="s">
        <v>121</v>
      </c>
    </row>
    <row r="4" spans="2:27" x14ac:dyDescent="0.45">
      <c r="B4">
        <v>1</v>
      </c>
      <c r="C4" s="22">
        <v>0</v>
      </c>
      <c r="D4" s="23">
        <f>$D$2</f>
        <v>2000</v>
      </c>
      <c r="E4" s="22">
        <f>D4*$E$2</f>
        <v>1962.7113081572861</v>
      </c>
      <c r="F4" s="22">
        <f>-$F$2*E4</f>
        <v>-19.627113081572862</v>
      </c>
      <c r="G4" s="22">
        <f>SUM(C4,E4:F4)*(1+$G$2)</f>
        <v>2020.8075628787419</v>
      </c>
      <c r="H4" s="22">
        <f>-G4*$H$2</f>
        <v>-10.10403781439371</v>
      </c>
      <c r="I4" s="22">
        <f t="shared" ref="I4:I23" si="0">SUM(G4:H4)</f>
        <v>2010.7035250643482</v>
      </c>
      <c r="K4" s="19">
        <v>1</v>
      </c>
      <c r="L4" s="22">
        <f>D4-E4</f>
        <v>37.288691842713888</v>
      </c>
      <c r="M4" s="22">
        <f>-F4</f>
        <v>19.627113081572862</v>
      </c>
      <c r="N4" s="23">
        <f>-'Q2 Base'!H24</f>
        <v>-75</v>
      </c>
      <c r="O4" s="22">
        <f>-D4*'Q2 Base'!H26</f>
        <v>-1000</v>
      </c>
      <c r="P4" s="4">
        <f>SUM(L4:O4)*$P$2</f>
        <v>-10.180841950757133</v>
      </c>
      <c r="Q4" s="23">
        <f t="shared" ref="Q4:Q23" si="1">MAX($Q$2-I4,0)</f>
        <v>12989.296474935652</v>
      </c>
      <c r="R4">
        <f>'Q2 (ii)'!K4</f>
        <v>5.0412705069077443E-4</v>
      </c>
      <c r="S4" s="4">
        <f>-Q4*R4</f>
        <v>-6.548255722457383</v>
      </c>
      <c r="T4" s="24">
        <f>'Q2 (ii)'!J4</f>
        <v>4.0008002133969133E-4</v>
      </c>
      <c r="U4" s="4">
        <f>H4*T4</f>
        <v>-4.0424236643996836E-3</v>
      </c>
      <c r="V4" s="4">
        <f t="shared" ref="V4:V23" si="2">-H4</f>
        <v>10.10403781439371</v>
      </c>
      <c r="W4" s="4">
        <f t="shared" ref="W4:W23" si="3">SUM(L4:P4,S4,U4:V4)</f>
        <v>-1024.7132973581986</v>
      </c>
      <c r="X4" s="24">
        <f>'Q2 (ii)'!E4</f>
        <v>1</v>
      </c>
      <c r="Y4" s="25">
        <f t="shared" ref="Y4:Y23" si="4">(1+$Y$2)^-K4</f>
        <v>0.93457943925233644</v>
      </c>
      <c r="Z4" s="4">
        <f>W4*X4</f>
        <v>-1024.7132973581986</v>
      </c>
      <c r="AA4">
        <f>Y4*Z4</f>
        <v>-957.6759788394379</v>
      </c>
    </row>
    <row r="5" spans="2:27" x14ac:dyDescent="0.45">
      <c r="B5">
        <v>2</v>
      </c>
      <c r="C5" s="22">
        <f>I4</f>
        <v>2010.7035250643482</v>
      </c>
      <c r="D5" s="23">
        <f t="shared" ref="D5:D23" si="5">$D$2</f>
        <v>2000</v>
      </c>
      <c r="E5" s="22">
        <f t="shared" ref="E5:E23" si="6">D5*$E$2</f>
        <v>1962.7113081572861</v>
      </c>
      <c r="F5" s="22">
        <f t="shared" ref="F5:F23" si="7">-$F$2*E5</f>
        <v>-19.627113081572862</v>
      </c>
      <c r="G5" s="22">
        <f t="shared" ref="G5:G23" si="8">SUM(C5,E5:F5)*(1+$G$2)</f>
        <v>4111.9392289456646</v>
      </c>
      <c r="H5" s="22">
        <f t="shared" ref="H5:H23" si="9">-G5*$H$2</f>
        <v>-20.559696144728324</v>
      </c>
      <c r="I5" s="22">
        <f t="shared" si="0"/>
        <v>4091.3795328009364</v>
      </c>
      <c r="K5" s="19">
        <v>2</v>
      </c>
      <c r="L5" s="22">
        <f t="shared" ref="L5:L23" si="10">D5-E5</f>
        <v>37.288691842713888</v>
      </c>
      <c r="M5" s="22">
        <f t="shared" ref="M5:M23" si="11">-F5</f>
        <v>19.627113081572862</v>
      </c>
      <c r="N5" s="23">
        <f>-'Q2 Base'!$H$25</f>
        <v>-25</v>
      </c>
      <c r="O5" s="22">
        <f>-D5*'Q2 Base'!$H$27</f>
        <v>-20</v>
      </c>
      <c r="P5" s="4">
        <f t="shared" ref="P5:P23" si="12">SUM(L5:O5)*$P$2</f>
        <v>0.11915804924286746</v>
      </c>
      <c r="Q5" s="23">
        <f t="shared" si="1"/>
        <v>10908.620467199064</v>
      </c>
      <c r="R5">
        <f>'Q2 (ii)'!K5</f>
        <v>5.4114639330157875E-4</v>
      </c>
      <c r="S5" s="4">
        <f t="shared" ref="S5:S23" si="13">-Q5*R5</f>
        <v>-5.9031606217205566</v>
      </c>
      <c r="T5" s="24">
        <f>'Q2 (ii)'!J5</f>
        <v>4.0008002133969128E-4</v>
      </c>
      <c r="U5" s="4">
        <f t="shared" ref="U5:U23" si="14">H5*T5</f>
        <v>-8.2255236723204755E-3</v>
      </c>
      <c r="V5" s="4">
        <f t="shared" si="2"/>
        <v>20.559696144728324</v>
      </c>
      <c r="W5" s="4">
        <f t="shared" si="3"/>
        <v>26.683272972865062</v>
      </c>
      <c r="X5" s="24">
        <f>'Q2 (ii)'!E5</f>
        <v>0.99909620160000012</v>
      </c>
      <c r="Y5" s="25">
        <f t="shared" si="4"/>
        <v>0.87343872827321156</v>
      </c>
      <c r="Z5" s="4">
        <f t="shared" ref="Z5:Z23" si="15">W5*X5</f>
        <v>26.659156673445427</v>
      </c>
      <c r="AA5">
        <f t="shared" ref="AA5:AA23" si="16">Y5*Z5</f>
        <v>23.285139901690474</v>
      </c>
    </row>
    <row r="6" spans="2:27" x14ac:dyDescent="0.45">
      <c r="B6">
        <v>3</v>
      </c>
      <c r="C6" s="22">
        <f t="shared" ref="C6:C23" si="17">I5</f>
        <v>4091.3795328009364</v>
      </c>
      <c r="D6" s="23">
        <f t="shared" si="5"/>
        <v>2000</v>
      </c>
      <c r="E6" s="22">
        <f t="shared" si="6"/>
        <v>1962.7113081572861</v>
      </c>
      <c r="F6" s="22">
        <f t="shared" si="7"/>
        <v>-19.627113081572862</v>
      </c>
      <c r="G6" s="22">
        <f t="shared" si="8"/>
        <v>6275.8422769917161</v>
      </c>
      <c r="H6" s="22">
        <f t="shared" si="9"/>
        <v>-31.37921138495858</v>
      </c>
      <c r="I6" s="22">
        <f t="shared" si="0"/>
        <v>6244.4630656067575</v>
      </c>
      <c r="K6" s="19">
        <v>3</v>
      </c>
      <c r="L6" s="22">
        <f t="shared" si="10"/>
        <v>37.288691842713888</v>
      </c>
      <c r="M6" s="22">
        <f t="shared" si="11"/>
        <v>19.627113081572862</v>
      </c>
      <c r="N6" s="23">
        <f>-'Q2 Base'!$H$25</f>
        <v>-25</v>
      </c>
      <c r="O6" s="22">
        <f>-D6*'Q2 Base'!$H$27</f>
        <v>-20</v>
      </c>
      <c r="P6" s="4">
        <f t="shared" si="12"/>
        <v>0.11915804924286746</v>
      </c>
      <c r="Q6" s="23">
        <f t="shared" si="1"/>
        <v>8755.5369343932434</v>
      </c>
      <c r="R6">
        <f>'Q2 (ii)'!K6</f>
        <v>5.7516537589712461E-4</v>
      </c>
      <c r="S6" s="4">
        <f t="shared" si="13"/>
        <v>-5.035881692051448</v>
      </c>
      <c r="T6" s="24">
        <f>'Q2 (ii)'!J6</f>
        <v>4.5010128038520578E-4</v>
      </c>
      <c r="U6" s="4">
        <f t="shared" si="14"/>
        <v>-1.4123823221847883E-2</v>
      </c>
      <c r="V6" s="4">
        <f t="shared" si="2"/>
        <v>31.37921138495858</v>
      </c>
      <c r="W6" s="4">
        <f t="shared" si="3"/>
        <v>38.364168843214898</v>
      </c>
      <c r="X6" s="24">
        <f>'Q2 (ii)'!E6</f>
        <v>0.99815626827871262</v>
      </c>
      <c r="Y6" s="25">
        <f t="shared" si="4"/>
        <v>0.81629787689085187</v>
      </c>
      <c r="Z6" s="4">
        <f t="shared" si="15"/>
        <v>38.293435608157836</v>
      </c>
      <c r="AA6">
        <f t="shared" si="16"/>
        <v>31.258850185795787</v>
      </c>
    </row>
    <row r="7" spans="2:27" x14ac:dyDescent="0.45">
      <c r="B7">
        <v>4</v>
      </c>
      <c r="C7" s="22">
        <f t="shared" si="17"/>
        <v>6244.4630656067575</v>
      </c>
      <c r="D7" s="23">
        <f t="shared" si="5"/>
        <v>2000</v>
      </c>
      <c r="E7" s="22">
        <f t="shared" si="6"/>
        <v>1962.7113081572861</v>
      </c>
      <c r="F7" s="22">
        <f t="shared" si="7"/>
        <v>-19.627113081572862</v>
      </c>
      <c r="G7" s="22">
        <f t="shared" si="8"/>
        <v>8515.049151109768</v>
      </c>
      <c r="H7" s="22">
        <f t="shared" si="9"/>
        <v>-42.575245755548842</v>
      </c>
      <c r="I7" s="22">
        <f t="shared" si="0"/>
        <v>8472.4739053542198</v>
      </c>
      <c r="K7" s="19">
        <v>4</v>
      </c>
      <c r="L7" s="22">
        <f t="shared" si="10"/>
        <v>37.288691842713888</v>
      </c>
      <c r="M7" s="22">
        <f t="shared" si="11"/>
        <v>19.627113081572862</v>
      </c>
      <c r="N7" s="23">
        <f>-'Q2 Base'!$H$25</f>
        <v>-25</v>
      </c>
      <c r="O7" s="22">
        <f>-D7*'Q2 Base'!$H$27</f>
        <v>-20</v>
      </c>
      <c r="P7" s="4">
        <f t="shared" si="12"/>
        <v>0.11915804924286746</v>
      </c>
      <c r="Q7" s="23">
        <f t="shared" si="1"/>
        <v>6527.5260946457802</v>
      </c>
      <c r="R7">
        <f>'Q2 (ii)'!K7</f>
        <v>6.1218734844200977E-4</v>
      </c>
      <c r="S7" s="4">
        <f t="shared" si="13"/>
        <v>-3.9960688917672273</v>
      </c>
      <c r="T7" s="24">
        <f>'Q2 (ii)'!J7</f>
        <v>4.5010128038520567E-4</v>
      </c>
      <c r="U7" s="4">
        <f t="shared" si="14"/>
        <v>-1.9163172627287325E-2</v>
      </c>
      <c r="V7" s="4">
        <f t="shared" si="2"/>
        <v>42.575245755548842</v>
      </c>
      <c r="W7" s="4">
        <f t="shared" si="3"/>
        <v>50.594976664683941</v>
      </c>
      <c r="X7" s="24">
        <f>'Q2 (ii)'!E7</f>
        <v>0.99713341637666142</v>
      </c>
      <c r="Y7" s="25">
        <f t="shared" si="4"/>
        <v>0.7628952120475252</v>
      </c>
      <c r="Z7" s="4">
        <f t="shared" si="15"/>
        <v>50.44994193315376</v>
      </c>
      <c r="AA7">
        <f t="shared" si="16"/>
        <v>38.488019148878671</v>
      </c>
    </row>
    <row r="8" spans="2:27" x14ac:dyDescent="0.45">
      <c r="B8">
        <v>5</v>
      </c>
      <c r="C8" s="22">
        <f t="shared" si="17"/>
        <v>8472.4739053542198</v>
      </c>
      <c r="D8" s="23">
        <f t="shared" si="5"/>
        <v>2000</v>
      </c>
      <c r="E8" s="22">
        <f t="shared" si="6"/>
        <v>1962.7113081572861</v>
      </c>
      <c r="F8" s="22">
        <f t="shared" si="7"/>
        <v>-19.627113081572862</v>
      </c>
      <c r="G8" s="22">
        <f t="shared" si="8"/>
        <v>10832.180424447131</v>
      </c>
      <c r="H8" s="22">
        <f t="shared" si="9"/>
        <v>-54.160902122235655</v>
      </c>
      <c r="I8" s="22">
        <f t="shared" si="0"/>
        <v>10778.019522324896</v>
      </c>
      <c r="K8" s="19">
        <v>5</v>
      </c>
      <c r="L8" s="22">
        <f t="shared" si="10"/>
        <v>37.288691842713888</v>
      </c>
      <c r="M8" s="22">
        <f t="shared" si="11"/>
        <v>19.627113081572862</v>
      </c>
      <c r="N8" s="23">
        <f>-'Q2 Base'!$H$25</f>
        <v>-25</v>
      </c>
      <c r="O8" s="22">
        <f>-D8*'Q2 Base'!$H$27</f>
        <v>-20</v>
      </c>
      <c r="P8" s="4">
        <f t="shared" si="12"/>
        <v>0.11915804924286746</v>
      </c>
      <c r="Q8" s="23">
        <f t="shared" si="1"/>
        <v>4221.9804776751043</v>
      </c>
      <c r="R8">
        <f>'Q2 (ii)'!K8</f>
        <v>6.5321329736052014E-4</v>
      </c>
      <c r="S8" s="4">
        <f t="shared" si="13"/>
        <v>-2.757853789213899</v>
      </c>
      <c r="T8" s="24">
        <f>'Q2 (ii)'!J8</f>
        <v>5.0012504168224286E-4</v>
      </c>
      <c r="U8" s="4">
        <f t="shared" si="14"/>
        <v>-2.7087223431430982E-2</v>
      </c>
      <c r="V8" s="4">
        <f t="shared" si="2"/>
        <v>54.160902122235655</v>
      </c>
      <c r="W8" s="4">
        <f t="shared" si="3"/>
        <v>63.410924083119937</v>
      </c>
      <c r="X8" s="24">
        <f>'Q2 (ii)'!E8</f>
        <v>0.99607473529901236</v>
      </c>
      <c r="Y8" s="25">
        <f t="shared" si="4"/>
        <v>0.71298617948366838</v>
      </c>
      <c r="Z8" s="4">
        <f t="shared" si="15"/>
        <v>63.162019421159457</v>
      </c>
      <c r="AA8">
        <f t="shared" si="16"/>
        <v>45.033646915565747</v>
      </c>
    </row>
    <row r="9" spans="2:27" x14ac:dyDescent="0.45">
      <c r="B9">
        <v>6</v>
      </c>
      <c r="C9" s="22">
        <f t="shared" si="17"/>
        <v>10778.019522324896</v>
      </c>
      <c r="D9" s="23">
        <f t="shared" si="5"/>
        <v>2000</v>
      </c>
      <c r="E9" s="22">
        <f t="shared" si="6"/>
        <v>1962.7113081572861</v>
      </c>
      <c r="F9" s="22">
        <f t="shared" si="7"/>
        <v>-19.627113081572862</v>
      </c>
      <c r="G9" s="22">
        <f t="shared" si="8"/>
        <v>13229.947866096634</v>
      </c>
      <c r="H9" s="22">
        <f t="shared" si="9"/>
        <v>-66.149739330483172</v>
      </c>
      <c r="I9" s="22">
        <f t="shared" si="0"/>
        <v>13163.798126766151</v>
      </c>
      <c r="K9" s="19">
        <v>6</v>
      </c>
      <c r="L9" s="22">
        <f t="shared" si="10"/>
        <v>37.288691842713888</v>
      </c>
      <c r="M9" s="22">
        <f t="shared" si="11"/>
        <v>19.627113081572862</v>
      </c>
      <c r="N9" s="23">
        <f>-'Q2 Base'!$H$25</f>
        <v>-25</v>
      </c>
      <c r="O9" s="22">
        <f>-D9*'Q2 Base'!$H$27</f>
        <v>-20</v>
      </c>
      <c r="P9" s="4">
        <f t="shared" si="12"/>
        <v>0.11915804924286746</v>
      </c>
      <c r="Q9" s="23">
        <f t="shared" si="1"/>
        <v>1836.2018732338493</v>
      </c>
      <c r="R9">
        <f>'Q2 (ii)'!K9</f>
        <v>6.9624232044323956E-4</v>
      </c>
      <c r="S9" s="4">
        <f t="shared" si="13"/>
        <v>-1.2784414530225585</v>
      </c>
      <c r="T9" s="24">
        <f>'Q2 (ii)'!J9</f>
        <v>5.5015130548127019E-4</v>
      </c>
      <c r="U9" s="4">
        <f t="shared" si="14"/>
        <v>-3.6392365449911042E-2</v>
      </c>
      <c r="V9" s="4">
        <f t="shared" si="2"/>
        <v>66.149739330483172</v>
      </c>
      <c r="W9" s="4">
        <f t="shared" si="3"/>
        <v>76.869868485540309</v>
      </c>
      <c r="X9" s="24">
        <f>'Q2 (ii)'!E9</f>
        <v>0.99492658634761377</v>
      </c>
      <c r="Y9" s="25">
        <f t="shared" si="4"/>
        <v>0.66634222381651254</v>
      </c>
      <c r="Z9" s="4">
        <f t="shared" si="15"/>
        <v>76.479875845308641</v>
      </c>
      <c r="AA9">
        <f t="shared" si="16"/>
        <v>50.961770547973742</v>
      </c>
    </row>
    <row r="10" spans="2:27" x14ac:dyDescent="0.45">
      <c r="B10">
        <v>7</v>
      </c>
      <c r="C10" s="22">
        <f t="shared" si="17"/>
        <v>13163.798126766151</v>
      </c>
      <c r="D10" s="23">
        <f t="shared" si="5"/>
        <v>2000</v>
      </c>
      <c r="E10" s="22">
        <f t="shared" si="6"/>
        <v>1962.7113081572861</v>
      </c>
      <c r="F10" s="22">
        <f t="shared" si="7"/>
        <v>-19.627113081572862</v>
      </c>
      <c r="G10" s="22">
        <f t="shared" si="8"/>
        <v>15711.157614715539</v>
      </c>
      <c r="H10" s="22">
        <f t="shared" si="9"/>
        <v>-78.555788073577702</v>
      </c>
      <c r="I10" s="22">
        <f t="shared" si="0"/>
        <v>15632.601826641961</v>
      </c>
      <c r="K10" s="19">
        <v>7</v>
      </c>
      <c r="L10" s="22">
        <f t="shared" si="10"/>
        <v>37.288691842713888</v>
      </c>
      <c r="M10" s="22">
        <f t="shared" si="11"/>
        <v>19.627113081572862</v>
      </c>
      <c r="N10" s="23">
        <f>-'Q2 Base'!$H$25</f>
        <v>-25</v>
      </c>
      <c r="O10" s="22">
        <f>-D10*'Q2 Base'!$H$27</f>
        <v>-20</v>
      </c>
      <c r="P10" s="4">
        <f t="shared" si="12"/>
        <v>0.11915804924286746</v>
      </c>
      <c r="Q10" s="23">
        <f t="shared" si="1"/>
        <v>0</v>
      </c>
      <c r="R10">
        <f>'Q2 (ii)'!K10</f>
        <v>7.4727914352218404E-4</v>
      </c>
      <c r="S10" s="4">
        <f t="shared" si="13"/>
        <v>0</v>
      </c>
      <c r="T10" s="24">
        <f>'Q2 (ii)'!J10</f>
        <v>6.001800720324608E-4</v>
      </c>
      <c r="U10" s="4">
        <f t="shared" si="14"/>
        <v>-4.7147618544566589E-2</v>
      </c>
      <c r="V10" s="4">
        <f t="shared" si="2"/>
        <v>78.555788073577702</v>
      </c>
      <c r="W10" s="4">
        <f t="shared" si="3"/>
        <v>90.543603428562747</v>
      </c>
      <c r="X10" s="24">
        <f>'Q2 (ii)'!E10</f>
        <v>0.99368728867892187</v>
      </c>
      <c r="Y10" s="25">
        <f t="shared" si="4"/>
        <v>0.62274974188459109</v>
      </c>
      <c r="Z10" s="4">
        <f t="shared" si="15"/>
        <v>89.972027798148048</v>
      </c>
      <c r="AA10">
        <f t="shared" si="16"/>
        <v>56.030057088129951</v>
      </c>
    </row>
    <row r="11" spans="2:27" x14ac:dyDescent="0.45">
      <c r="B11">
        <v>8</v>
      </c>
      <c r="C11" s="22">
        <f t="shared" si="17"/>
        <v>15632.601826641961</v>
      </c>
      <c r="D11" s="23">
        <f t="shared" si="5"/>
        <v>2000</v>
      </c>
      <c r="E11" s="22">
        <f t="shared" si="6"/>
        <v>1962.7113081572861</v>
      </c>
      <c r="F11" s="22">
        <f t="shared" si="7"/>
        <v>-19.627113081572862</v>
      </c>
      <c r="G11" s="22">
        <f t="shared" si="8"/>
        <v>18278.71346258638</v>
      </c>
      <c r="H11" s="22">
        <f t="shared" si="9"/>
        <v>-91.393567312931907</v>
      </c>
      <c r="I11" s="22">
        <f t="shared" si="0"/>
        <v>18187.319895273449</v>
      </c>
      <c r="K11" s="19">
        <v>8</v>
      </c>
      <c r="L11" s="22">
        <f t="shared" si="10"/>
        <v>37.288691842713888</v>
      </c>
      <c r="M11" s="22">
        <f t="shared" si="11"/>
        <v>19.627113081572862</v>
      </c>
      <c r="N11" s="23">
        <f>-'Q2 Base'!$H$25</f>
        <v>-25</v>
      </c>
      <c r="O11" s="22">
        <f>-D11*'Q2 Base'!$H$27</f>
        <v>-20</v>
      </c>
      <c r="P11" s="4">
        <f t="shared" si="12"/>
        <v>0.11915804924286746</v>
      </c>
      <c r="Q11" s="23">
        <f t="shared" si="1"/>
        <v>0</v>
      </c>
      <c r="R11">
        <f>'Q2 (ii)'!K11</f>
        <v>8.0232177405333287E-4</v>
      </c>
      <c r="S11" s="4">
        <f t="shared" si="13"/>
        <v>0</v>
      </c>
      <c r="T11" s="24">
        <f>'Q2 (ii)'!J11</f>
        <v>7.0024511439342545E-4</v>
      </c>
      <c r="U11" s="4">
        <f t="shared" si="14"/>
        <v>-6.3997898997867231E-2</v>
      </c>
      <c r="V11" s="4">
        <f t="shared" si="2"/>
        <v>91.393567312931907</v>
      </c>
      <c r="W11" s="4">
        <f t="shared" si="3"/>
        <v>103.36453238746365</v>
      </c>
      <c r="X11" s="24">
        <f>'Q2 (ii)'!E11</f>
        <v>0.99234923727171409</v>
      </c>
      <c r="Y11" s="25">
        <f t="shared" si="4"/>
        <v>0.5820091045650384</v>
      </c>
      <c r="Z11" s="4">
        <f t="shared" si="15"/>
        <v>102.57371487564694</v>
      </c>
      <c r="AA11">
        <f t="shared" si="16"/>
        <v>59.698835946684838</v>
      </c>
    </row>
    <row r="12" spans="2:27" x14ac:dyDescent="0.45">
      <c r="B12">
        <v>9</v>
      </c>
      <c r="C12" s="22">
        <f t="shared" si="17"/>
        <v>18187.319895273449</v>
      </c>
      <c r="D12" s="23">
        <f t="shared" si="5"/>
        <v>2000</v>
      </c>
      <c r="E12" s="22">
        <f t="shared" si="6"/>
        <v>1962.7113081572861</v>
      </c>
      <c r="F12" s="22">
        <f t="shared" si="7"/>
        <v>-19.627113081572862</v>
      </c>
      <c r="G12" s="22">
        <f t="shared" si="8"/>
        <v>20935.62025396313</v>
      </c>
      <c r="H12" s="22">
        <f t="shared" si="9"/>
        <v>-104.67810126981566</v>
      </c>
      <c r="I12" s="22">
        <f t="shared" si="0"/>
        <v>20830.942152693315</v>
      </c>
      <c r="K12" s="19">
        <v>9</v>
      </c>
      <c r="L12" s="22">
        <f t="shared" si="10"/>
        <v>37.288691842713888</v>
      </c>
      <c r="M12" s="22">
        <f t="shared" si="11"/>
        <v>19.627113081572862</v>
      </c>
      <c r="N12" s="23">
        <f>-'Q2 Base'!$H$25</f>
        <v>-25</v>
      </c>
      <c r="O12" s="22">
        <f>-D12*'Q2 Base'!$H$27</f>
        <v>-20</v>
      </c>
      <c r="P12" s="4">
        <f t="shared" si="12"/>
        <v>0.11915804924286746</v>
      </c>
      <c r="Q12" s="23">
        <f t="shared" si="1"/>
        <v>0</v>
      </c>
      <c r="R12">
        <f>'Q2 (ii)'!K12</f>
        <v>8.5436486574504221E-4</v>
      </c>
      <c r="S12" s="4">
        <f t="shared" si="13"/>
        <v>0</v>
      </c>
      <c r="T12" s="24">
        <f>'Q2 (ii)'!J12</f>
        <v>9.0040524316415489E-4</v>
      </c>
      <c r="U12" s="4">
        <f t="shared" si="14"/>
        <v>-9.4252711227810398E-2</v>
      </c>
      <c r="V12" s="4">
        <f t="shared" si="2"/>
        <v>104.67810126981566</v>
      </c>
      <c r="W12" s="4">
        <f t="shared" si="3"/>
        <v>116.61881153211746</v>
      </c>
      <c r="X12" s="24">
        <f>'Q2 (ii)'!E12</f>
        <v>0.99085928582219385</v>
      </c>
      <c r="Y12" s="25">
        <f t="shared" si="4"/>
        <v>0.54393374258414806</v>
      </c>
      <c r="Z12" s="4">
        <f t="shared" si="15"/>
        <v>115.55283230814693</v>
      </c>
      <c r="AA12">
        <f t="shared" si="16"/>
        <v>62.853084543568819</v>
      </c>
    </row>
    <row r="13" spans="2:27" x14ac:dyDescent="0.45">
      <c r="B13">
        <v>10</v>
      </c>
      <c r="C13" s="22">
        <f t="shared" si="17"/>
        <v>20830.942152693315</v>
      </c>
      <c r="D13" s="23">
        <f t="shared" si="5"/>
        <v>2000</v>
      </c>
      <c r="E13" s="22">
        <f t="shared" si="6"/>
        <v>1962.7113081572861</v>
      </c>
      <c r="F13" s="22">
        <f t="shared" si="7"/>
        <v>-19.627113081572862</v>
      </c>
      <c r="G13" s="22">
        <f t="shared" si="8"/>
        <v>23684.987401679791</v>
      </c>
      <c r="H13" s="22">
        <f t="shared" si="9"/>
        <v>-118.42493700839896</v>
      </c>
      <c r="I13" s="22">
        <f t="shared" si="0"/>
        <v>23566.562464671391</v>
      </c>
      <c r="K13" s="19">
        <v>10</v>
      </c>
      <c r="L13" s="22">
        <f t="shared" si="10"/>
        <v>37.288691842713888</v>
      </c>
      <c r="M13" s="22">
        <f t="shared" si="11"/>
        <v>19.627113081572862</v>
      </c>
      <c r="N13" s="23">
        <f>-'Q2 Base'!$H$25</f>
        <v>-25</v>
      </c>
      <c r="O13" s="22">
        <f>-D13*'Q2 Base'!$H$27</f>
        <v>-20</v>
      </c>
      <c r="P13" s="4">
        <f t="shared" si="12"/>
        <v>0.11915804924286746</v>
      </c>
      <c r="Q13" s="23">
        <f t="shared" si="1"/>
        <v>0</v>
      </c>
      <c r="R13">
        <f>'Q2 (ii)'!K13</f>
        <v>9.014061444758152E-4</v>
      </c>
      <c r="S13" s="4">
        <f t="shared" si="13"/>
        <v>0</v>
      </c>
      <c r="T13" s="24">
        <f>'Q2 (ii)'!J13</f>
        <v>1.0005003335835344E-3</v>
      </c>
      <c r="U13" s="4">
        <f t="shared" si="14"/>
        <v>-0.1184841889815122</v>
      </c>
      <c r="V13" s="4">
        <f t="shared" si="2"/>
        <v>118.42493700839896</v>
      </c>
      <c r="W13" s="4">
        <f t="shared" si="3"/>
        <v>130.34141579294706</v>
      </c>
      <c r="X13" s="24">
        <f>'Q2 (ii)'!E13</f>
        <v>0.9891220802093087</v>
      </c>
      <c r="Y13" s="25">
        <f t="shared" si="4"/>
        <v>0.5083492921347178</v>
      </c>
      <c r="Z13" s="4">
        <f t="shared" si="15"/>
        <v>128.92357232654624</v>
      </c>
      <c r="AA13">
        <f t="shared" si="16"/>
        <v>65.538206731678869</v>
      </c>
    </row>
    <row r="14" spans="2:27" x14ac:dyDescent="0.45">
      <c r="B14">
        <v>11</v>
      </c>
      <c r="C14" s="22">
        <f t="shared" si="17"/>
        <v>23566.562464671391</v>
      </c>
      <c r="D14" s="23">
        <f t="shared" si="5"/>
        <v>2000</v>
      </c>
      <c r="E14" s="22">
        <f t="shared" si="6"/>
        <v>1962.7113081572861</v>
      </c>
      <c r="F14" s="22">
        <f t="shared" si="7"/>
        <v>-19.627113081572862</v>
      </c>
      <c r="G14" s="22">
        <f t="shared" si="8"/>
        <v>26530.032526136991</v>
      </c>
      <c r="H14" s="22">
        <f t="shared" si="9"/>
        <v>-132.65016263068495</v>
      </c>
      <c r="I14" s="22">
        <f t="shared" si="0"/>
        <v>26397.382363506305</v>
      </c>
      <c r="K14" s="19">
        <v>11</v>
      </c>
      <c r="L14" s="22">
        <f t="shared" si="10"/>
        <v>37.288691842713888</v>
      </c>
      <c r="M14" s="22">
        <f t="shared" si="11"/>
        <v>19.627113081572862</v>
      </c>
      <c r="N14" s="23">
        <f>-'Q2 Base'!$H$25</f>
        <v>-25</v>
      </c>
      <c r="O14" s="22">
        <f>-D14*'Q2 Base'!$H$27</f>
        <v>-20</v>
      </c>
      <c r="P14" s="4">
        <f t="shared" si="12"/>
        <v>0.11915804924286746</v>
      </c>
      <c r="Q14" s="23">
        <f t="shared" si="1"/>
        <v>0</v>
      </c>
      <c r="R14">
        <f>'Q2 (ii)'!K14</f>
        <v>9.4945058559301864E-4</v>
      </c>
      <c r="S14" s="4">
        <f t="shared" si="13"/>
        <v>0</v>
      </c>
      <c r="T14" s="24">
        <f>'Q2 (ii)'!J14</f>
        <v>1.0005003335835346E-3</v>
      </c>
      <c r="U14" s="4">
        <f t="shared" si="14"/>
        <v>-0.13271653196191041</v>
      </c>
      <c r="V14" s="4">
        <f t="shared" si="2"/>
        <v>132.65016263068495</v>
      </c>
      <c r="W14" s="4">
        <f t="shared" si="3"/>
        <v>144.55240907225266</v>
      </c>
      <c r="X14" s="24">
        <f>'Q2 (ii)'!E14</f>
        <v>0.98724265033382508</v>
      </c>
      <c r="Y14" s="25">
        <f t="shared" si="4"/>
        <v>0.47509279638758667</v>
      </c>
      <c r="Z14" s="4">
        <f t="shared" si="15"/>
        <v>142.70830344462996</v>
      </c>
      <c r="AA14">
        <f t="shared" si="16"/>
        <v>67.799686951237518</v>
      </c>
    </row>
    <row r="15" spans="2:27" x14ac:dyDescent="0.45">
      <c r="B15">
        <v>12</v>
      </c>
      <c r="C15" s="22">
        <f t="shared" si="17"/>
        <v>26397.382363506305</v>
      </c>
      <c r="D15" s="23">
        <f t="shared" si="5"/>
        <v>2000</v>
      </c>
      <c r="E15" s="22">
        <f t="shared" si="6"/>
        <v>1962.7113081572861</v>
      </c>
      <c r="F15" s="22">
        <f t="shared" si="7"/>
        <v>-19.627113081572862</v>
      </c>
      <c r="G15" s="22">
        <f t="shared" si="8"/>
        <v>29474.085220925299</v>
      </c>
      <c r="H15" s="22">
        <f t="shared" si="9"/>
        <v>-147.37042610462649</v>
      </c>
      <c r="I15" s="22">
        <f t="shared" si="0"/>
        <v>29326.714794820673</v>
      </c>
      <c r="K15" s="19">
        <v>12</v>
      </c>
      <c r="L15" s="22">
        <f t="shared" si="10"/>
        <v>37.288691842713888</v>
      </c>
      <c r="M15" s="22">
        <f t="shared" si="11"/>
        <v>19.627113081572862</v>
      </c>
      <c r="N15" s="23">
        <f>-'Q2 Base'!$H$25</f>
        <v>-25</v>
      </c>
      <c r="O15" s="22">
        <f>-D15*'Q2 Base'!$H$27</f>
        <v>-20</v>
      </c>
      <c r="P15" s="4">
        <f t="shared" si="12"/>
        <v>0.11915804924286746</v>
      </c>
      <c r="Q15" s="23">
        <f t="shared" si="1"/>
        <v>0</v>
      </c>
      <c r="R15">
        <f>'Q2 (ii)'!K15</f>
        <v>1.0075073651397088E-3</v>
      </c>
      <c r="S15" s="4">
        <f t="shared" si="13"/>
        <v>0</v>
      </c>
      <c r="T15" s="24">
        <f>'Q2 (ii)'!J15</f>
        <v>1.1006054440330037E-3</v>
      </c>
      <c r="U15" s="4">
        <f t="shared" si="14"/>
        <v>-0.16219669326021538</v>
      </c>
      <c r="V15" s="4">
        <f t="shared" si="2"/>
        <v>147.37042610462649</v>
      </c>
      <c r="W15" s="4">
        <f t="shared" si="3"/>
        <v>159.24319238489588</v>
      </c>
      <c r="X15" s="24">
        <f>'Q2 (ii)'!E15</f>
        <v>0.9853194513015997</v>
      </c>
      <c r="Y15" s="25">
        <f t="shared" si="4"/>
        <v>0.44401195924073528</v>
      </c>
      <c r="Z15" s="4">
        <f t="shared" si="15"/>
        <v>156.90541494420069</v>
      </c>
      <c r="AA15">
        <f t="shared" si="16"/>
        <v>69.667880704855094</v>
      </c>
    </row>
    <row r="16" spans="2:27" x14ac:dyDescent="0.45">
      <c r="B16">
        <v>13</v>
      </c>
      <c r="C16" s="22">
        <f t="shared" si="17"/>
        <v>29326.714794820673</v>
      </c>
      <c r="D16" s="23">
        <f t="shared" si="5"/>
        <v>2000</v>
      </c>
      <c r="E16" s="22">
        <f t="shared" si="6"/>
        <v>1962.7113081572861</v>
      </c>
      <c r="F16" s="22">
        <f t="shared" si="7"/>
        <v>-19.627113081572862</v>
      </c>
      <c r="G16" s="22">
        <f t="shared" si="8"/>
        <v>32520.590949492242</v>
      </c>
      <c r="H16" s="22">
        <f t="shared" si="9"/>
        <v>-162.60295474746121</v>
      </c>
      <c r="I16" s="22">
        <f t="shared" si="0"/>
        <v>32357.987994744781</v>
      </c>
      <c r="K16" s="19">
        <v>13</v>
      </c>
      <c r="L16" s="22">
        <f t="shared" si="10"/>
        <v>37.288691842713888</v>
      </c>
      <c r="M16" s="22">
        <f t="shared" si="11"/>
        <v>19.627113081572862</v>
      </c>
      <c r="N16" s="23">
        <f>-'Q2 Base'!$H$25</f>
        <v>-25</v>
      </c>
      <c r="O16" s="22">
        <f>-D16*'Q2 Base'!$H$27</f>
        <v>-20</v>
      </c>
      <c r="P16" s="4">
        <f t="shared" si="12"/>
        <v>0.11915804924286746</v>
      </c>
      <c r="Q16" s="23">
        <f t="shared" si="1"/>
        <v>0</v>
      </c>
      <c r="R16">
        <f>'Q2 (ii)'!K16</f>
        <v>1.0835868682570896E-3</v>
      </c>
      <c r="S16" s="4">
        <f t="shared" si="13"/>
        <v>0</v>
      </c>
      <c r="T16" s="24">
        <f>'Q2 (ii)'!J16</f>
        <v>1.2007205765188764E-3</v>
      </c>
      <c r="U16" s="4">
        <f t="shared" si="14"/>
        <v>-0.1952407135680444</v>
      </c>
      <c r="V16" s="4">
        <f t="shared" si="2"/>
        <v>162.60295474746121</v>
      </c>
      <c r="W16" s="4">
        <f t="shared" si="3"/>
        <v>174.44267700742279</v>
      </c>
      <c r="X16" s="24">
        <f>'Q2 (ii)'!E16</f>
        <v>0.98324447465606346</v>
      </c>
      <c r="Y16" s="25">
        <f t="shared" si="4"/>
        <v>0.41496444788853759</v>
      </c>
      <c r="Z16" s="4">
        <f t="shared" si="15"/>
        <v>171.51979831176078</v>
      </c>
      <c r="AA16">
        <f t="shared" si="16"/>
        <v>71.17461840839313</v>
      </c>
    </row>
    <row r="17" spans="2:28" x14ac:dyDescent="0.45">
      <c r="B17">
        <v>14</v>
      </c>
      <c r="C17" s="22">
        <f t="shared" si="17"/>
        <v>32357.987994744781</v>
      </c>
      <c r="D17" s="23">
        <f t="shared" si="5"/>
        <v>2000</v>
      </c>
      <c r="E17" s="22">
        <f t="shared" si="6"/>
        <v>1962.7113081572861</v>
      </c>
      <c r="F17" s="22">
        <f t="shared" si="7"/>
        <v>-19.627113081572862</v>
      </c>
      <c r="G17" s="22">
        <f t="shared" si="8"/>
        <v>35673.115077413313</v>
      </c>
      <c r="H17" s="22">
        <f t="shared" si="9"/>
        <v>-178.36557538706657</v>
      </c>
      <c r="I17" s="22">
        <f t="shared" si="0"/>
        <v>35494.749502026243</v>
      </c>
      <c r="K17" s="19">
        <v>14</v>
      </c>
      <c r="L17" s="22">
        <f t="shared" si="10"/>
        <v>37.288691842713888</v>
      </c>
      <c r="M17" s="22">
        <f t="shared" si="11"/>
        <v>19.627113081572862</v>
      </c>
      <c r="N17" s="23">
        <f>-'Q2 Base'!$H$25</f>
        <v>-25</v>
      </c>
      <c r="O17" s="22">
        <f>-D17*'Q2 Base'!$H$27</f>
        <v>-20</v>
      </c>
      <c r="P17" s="4">
        <f t="shared" si="12"/>
        <v>0.11915804924286746</v>
      </c>
      <c r="Q17" s="23">
        <f t="shared" si="1"/>
        <v>0</v>
      </c>
      <c r="R17">
        <f>'Q2 (ii)'!K17</f>
        <v>1.1796955672696639E-3</v>
      </c>
      <c r="S17" s="4">
        <f t="shared" si="13"/>
        <v>0</v>
      </c>
      <c r="T17" s="24">
        <f>'Q2 (ii)'!J17</f>
        <v>1.2007205765188773E-3</v>
      </c>
      <c r="U17" s="4">
        <f t="shared" si="14"/>
        <v>-0.21416721650987985</v>
      </c>
      <c r="V17" s="4">
        <f t="shared" si="2"/>
        <v>178.36557538706657</v>
      </c>
      <c r="W17" s="4">
        <f t="shared" si="3"/>
        <v>190.18637114408631</v>
      </c>
      <c r="X17" s="24">
        <f>'Q2 (ii)'!E17</f>
        <v>0.98100100534494294</v>
      </c>
      <c r="Y17" s="25">
        <f t="shared" si="4"/>
        <v>0.3878172410173249</v>
      </c>
      <c r="Z17" s="4">
        <f t="shared" si="15"/>
        <v>186.5730212952551</v>
      </c>
      <c r="AA17">
        <f t="shared" si="16"/>
        <v>72.356234366992439</v>
      </c>
    </row>
    <row r="18" spans="2:28" x14ac:dyDescent="0.45">
      <c r="B18">
        <v>15</v>
      </c>
      <c r="C18" s="22">
        <f t="shared" si="17"/>
        <v>35494.749502026243</v>
      </c>
      <c r="D18" s="23">
        <f t="shared" si="5"/>
        <v>2000</v>
      </c>
      <c r="E18" s="22">
        <f t="shared" si="6"/>
        <v>1962.7113081572861</v>
      </c>
      <c r="F18" s="22">
        <f t="shared" si="7"/>
        <v>-19.627113081572862</v>
      </c>
      <c r="G18" s="22">
        <f t="shared" si="8"/>
        <v>38935.34704498604</v>
      </c>
      <c r="H18" s="22">
        <f t="shared" si="9"/>
        <v>-194.67673522493021</v>
      </c>
      <c r="I18" s="22">
        <f t="shared" si="0"/>
        <v>38740.67030976111</v>
      </c>
      <c r="K18" s="19">
        <v>15</v>
      </c>
      <c r="L18" s="22">
        <f t="shared" si="10"/>
        <v>37.288691842713888</v>
      </c>
      <c r="M18" s="22">
        <f t="shared" si="11"/>
        <v>19.627113081572862</v>
      </c>
      <c r="N18" s="23">
        <f>-'Q2 Base'!$H$25</f>
        <v>-25</v>
      </c>
      <c r="O18" s="22">
        <f>-D18*'Q2 Base'!$H$27</f>
        <v>-20</v>
      </c>
      <c r="P18" s="4">
        <f t="shared" si="12"/>
        <v>0.11915804924286746</v>
      </c>
      <c r="Q18" s="23">
        <f t="shared" si="1"/>
        <v>0</v>
      </c>
      <c r="R18">
        <f>'Q2 (ii)'!K18</f>
        <v>1.3008457330480701E-3</v>
      </c>
      <c r="S18" s="4">
        <f t="shared" si="13"/>
        <v>0</v>
      </c>
      <c r="T18" s="24">
        <f>'Q2 (ii)'!J18</f>
        <v>1.3008457330480701E-3</v>
      </c>
      <c r="U18" s="4">
        <f t="shared" si="14"/>
        <v>-0.25324440034107937</v>
      </c>
      <c r="V18" s="4">
        <f t="shared" si="2"/>
        <v>194.67673522493021</v>
      </c>
      <c r="W18" s="4">
        <f t="shared" si="3"/>
        <v>206.45845379811874</v>
      </c>
      <c r="X18" s="24">
        <f>'Q2 (ii)'!E18</f>
        <v>0.97866859187344968</v>
      </c>
      <c r="Y18" s="25">
        <f t="shared" si="4"/>
        <v>0.36244601964235967</v>
      </c>
      <c r="Z18" s="4">
        <f t="shared" si="15"/>
        <v>202.05440425897453</v>
      </c>
      <c r="AA18">
        <f t="shared" si="16"/>
        <v>73.233814574873563</v>
      </c>
    </row>
    <row r="19" spans="2:28" x14ac:dyDescent="0.45">
      <c r="B19">
        <v>16</v>
      </c>
      <c r="C19" s="22">
        <f t="shared" si="17"/>
        <v>38740.67030976111</v>
      </c>
      <c r="D19" s="23">
        <f t="shared" si="5"/>
        <v>2000</v>
      </c>
      <c r="E19" s="22">
        <f t="shared" si="6"/>
        <v>1962.7113081572861</v>
      </c>
      <c r="F19" s="22">
        <f t="shared" si="7"/>
        <v>-19.627113081572862</v>
      </c>
      <c r="G19" s="22">
        <f t="shared" si="8"/>
        <v>42311.104685030296</v>
      </c>
      <c r="H19" s="22">
        <f t="shared" si="9"/>
        <v>-211.55552342515148</v>
      </c>
      <c r="I19" s="22">
        <f t="shared" si="0"/>
        <v>42099.549161605144</v>
      </c>
      <c r="K19" s="19">
        <v>16</v>
      </c>
      <c r="L19" s="22">
        <f t="shared" si="10"/>
        <v>37.288691842713888</v>
      </c>
      <c r="M19" s="22">
        <f t="shared" si="11"/>
        <v>19.627113081572862</v>
      </c>
      <c r="N19" s="23">
        <f>-'Q2 Base'!$H$25</f>
        <v>-25</v>
      </c>
      <c r="O19" s="22">
        <f>-D19*'Q2 Base'!$H$27</f>
        <v>-20</v>
      </c>
      <c r="P19" s="4">
        <f t="shared" si="12"/>
        <v>0.11915804924286746</v>
      </c>
      <c r="Q19" s="23">
        <f t="shared" si="1"/>
        <v>0</v>
      </c>
      <c r="R19">
        <f>'Q2 (ii)'!K19</f>
        <v>1.4480479155111301E-3</v>
      </c>
      <c r="S19" s="4">
        <f t="shared" si="13"/>
        <v>0</v>
      </c>
      <c r="T19" s="24">
        <f>'Q2 (ii)'!J19</f>
        <v>1.4009809156281007E-3</v>
      </c>
      <c r="U19" s="4">
        <f t="shared" si="14"/>
        <v>-0.29638525091435081</v>
      </c>
      <c r="V19" s="4">
        <f t="shared" si="2"/>
        <v>211.55552342515148</v>
      </c>
      <c r="W19" s="4">
        <f t="shared" si="3"/>
        <v>223.29410114776675</v>
      </c>
      <c r="X19" s="24">
        <f>'Q2 (ii)'!E19</f>
        <v>0.97612570748449912</v>
      </c>
      <c r="Y19" s="25">
        <f t="shared" si="4"/>
        <v>0.33873459779659787</v>
      </c>
      <c r="Z19" s="4">
        <f t="shared" si="15"/>
        <v>217.96311245997913</v>
      </c>
      <c r="AA19">
        <f t="shared" si="16"/>
        <v>73.83164723362566</v>
      </c>
    </row>
    <row r="20" spans="2:28" x14ac:dyDescent="0.45">
      <c r="B20">
        <v>17</v>
      </c>
      <c r="C20" s="22">
        <f t="shared" si="17"/>
        <v>42099.549161605144</v>
      </c>
      <c r="D20" s="23">
        <f t="shared" si="5"/>
        <v>2000</v>
      </c>
      <c r="E20" s="22">
        <f t="shared" si="6"/>
        <v>1962.7113081572861</v>
      </c>
      <c r="F20" s="22">
        <f t="shared" si="7"/>
        <v>-19.627113081572862</v>
      </c>
      <c r="G20" s="22">
        <f t="shared" si="8"/>
        <v>45804.338690948098</v>
      </c>
      <c r="H20" s="22">
        <f t="shared" si="9"/>
        <v>-229.0216934547405</v>
      </c>
      <c r="I20" s="22">
        <f t="shared" si="0"/>
        <v>45575.316997493355</v>
      </c>
      <c r="K20" s="19">
        <v>17</v>
      </c>
      <c r="L20" s="22">
        <f t="shared" si="10"/>
        <v>37.288691842713888</v>
      </c>
      <c r="M20" s="22">
        <f t="shared" si="11"/>
        <v>19.627113081572862</v>
      </c>
      <c r="N20" s="23">
        <f>-'Q2 Base'!$H$25</f>
        <v>-25</v>
      </c>
      <c r="O20" s="22">
        <f>-D20*'Q2 Base'!$H$27</f>
        <v>-20</v>
      </c>
      <c r="P20" s="4">
        <f t="shared" si="12"/>
        <v>0.11915804924286746</v>
      </c>
      <c r="Q20" s="23">
        <f t="shared" si="1"/>
        <v>0</v>
      </c>
      <c r="R20">
        <f>'Q2 (ii)'!K20</f>
        <v>1.6153039011865473E-3</v>
      </c>
      <c r="S20" s="4">
        <f t="shared" si="13"/>
        <v>0</v>
      </c>
      <c r="T20" s="24">
        <f>'Q2 (ii)'!J20</f>
        <v>1.5011261262670907E-3</v>
      </c>
      <c r="U20" s="4">
        <f t="shared" si="14"/>
        <v>-0.34379044752684373</v>
      </c>
      <c r="V20" s="4">
        <f t="shared" si="2"/>
        <v>229.0216934547405</v>
      </c>
      <c r="W20" s="4">
        <f t="shared" si="3"/>
        <v>240.71286598074326</v>
      </c>
      <c r="X20" s="24">
        <f>'Q2 (ii)'!E20</f>
        <v>0.97334865503074897</v>
      </c>
      <c r="Y20" s="25">
        <f t="shared" si="4"/>
        <v>0.31657439046411018</v>
      </c>
      <c r="Z20" s="4">
        <f t="shared" si="15"/>
        <v>234.29754435095339</v>
      </c>
      <c r="AA20">
        <f t="shared" si="16"/>
        <v>74.172602290140887</v>
      </c>
    </row>
    <row r="21" spans="2:28" x14ac:dyDescent="0.45">
      <c r="B21">
        <v>18</v>
      </c>
      <c r="C21" s="22">
        <f t="shared" si="17"/>
        <v>45575.316997493355</v>
      </c>
      <c r="D21" s="23">
        <f t="shared" si="5"/>
        <v>2000</v>
      </c>
      <c r="E21" s="22">
        <f t="shared" si="6"/>
        <v>1962.7113081572861</v>
      </c>
      <c r="F21" s="22">
        <f t="shared" si="7"/>
        <v>-19.627113081572862</v>
      </c>
      <c r="G21" s="22">
        <f t="shared" si="8"/>
        <v>49419.137240271833</v>
      </c>
      <c r="H21" s="22">
        <f t="shared" si="9"/>
        <v>-247.09568620135917</v>
      </c>
      <c r="I21" s="22">
        <f t="shared" si="0"/>
        <v>49172.041554070471</v>
      </c>
      <c r="K21" s="19">
        <v>18</v>
      </c>
      <c r="L21" s="22">
        <f t="shared" si="10"/>
        <v>37.288691842713888</v>
      </c>
      <c r="M21" s="22">
        <f t="shared" si="11"/>
        <v>19.627113081572862</v>
      </c>
      <c r="N21" s="23">
        <f>-'Q2 Base'!$H$25</f>
        <v>-25</v>
      </c>
      <c r="O21" s="22">
        <f>-D21*'Q2 Base'!$H$27</f>
        <v>-20</v>
      </c>
      <c r="P21" s="4">
        <f t="shared" si="12"/>
        <v>0.11915804924286746</v>
      </c>
      <c r="Q21" s="23">
        <f t="shared" si="1"/>
        <v>0</v>
      </c>
      <c r="R21">
        <f>'Q2 (ii)'!K21</f>
        <v>1.8066309754025062E-3</v>
      </c>
      <c r="S21" s="4">
        <f t="shared" si="13"/>
        <v>0</v>
      </c>
      <c r="T21" s="24">
        <f>'Q2 (ii)'!J21</f>
        <v>1.6012813669738792E-3</v>
      </c>
      <c r="U21" s="4">
        <f t="shared" si="14"/>
        <v>-0.3956697181738611</v>
      </c>
      <c r="V21" s="4">
        <f t="shared" si="2"/>
        <v>247.09568620135917</v>
      </c>
      <c r="W21" s="4">
        <f t="shared" si="3"/>
        <v>258.73497945671494</v>
      </c>
      <c r="X21" s="24">
        <f>'Q2 (ii)'!E21</f>
        <v>0.97032000379607708</v>
      </c>
      <c r="Y21" s="25">
        <f t="shared" si="4"/>
        <v>0.29586391632159825</v>
      </c>
      <c r="Z21" s="4">
        <f t="shared" si="15"/>
        <v>251.05572624861756</v>
      </c>
      <c r="AA21">
        <f t="shared" si="16"/>
        <v>74.278330382879062</v>
      </c>
    </row>
    <row r="22" spans="2:28" x14ac:dyDescent="0.45">
      <c r="B22">
        <v>19</v>
      </c>
      <c r="C22" s="22">
        <f t="shared" si="17"/>
        <v>49172.041554070471</v>
      </c>
      <c r="D22" s="23">
        <f t="shared" si="5"/>
        <v>2000</v>
      </c>
      <c r="E22" s="22">
        <f t="shared" si="6"/>
        <v>1962.7113081572861</v>
      </c>
      <c r="F22" s="22">
        <f t="shared" si="7"/>
        <v>-19.627113081572862</v>
      </c>
      <c r="G22" s="22">
        <f t="shared" si="8"/>
        <v>53159.73077911204</v>
      </c>
      <c r="H22" s="22">
        <f t="shared" si="9"/>
        <v>-265.79865389556022</v>
      </c>
      <c r="I22" s="22">
        <f t="shared" si="0"/>
        <v>52893.932125216481</v>
      </c>
      <c r="K22" s="19">
        <v>19</v>
      </c>
      <c r="L22" s="22">
        <f t="shared" si="10"/>
        <v>37.288691842713888</v>
      </c>
      <c r="M22" s="22">
        <f t="shared" si="11"/>
        <v>19.627113081572862</v>
      </c>
      <c r="N22" s="23">
        <f>-'Q2 Base'!$H$25</f>
        <v>-25</v>
      </c>
      <c r="O22" s="22">
        <f>-D22*'Q2 Base'!$H$27</f>
        <v>-20</v>
      </c>
      <c r="P22" s="4">
        <f t="shared" si="12"/>
        <v>0.11915804924286746</v>
      </c>
      <c r="Q22" s="23">
        <f t="shared" si="1"/>
        <v>0</v>
      </c>
      <c r="R22">
        <f>'Q2 (ii)'!K22</f>
        <v>2.0310612091007266E-3</v>
      </c>
      <c r="S22" s="4">
        <f t="shared" si="13"/>
        <v>0</v>
      </c>
      <c r="T22" s="24">
        <f>'Q2 (ii)'!J22</f>
        <v>1.8016219466282105E-3</v>
      </c>
      <c r="U22" s="4">
        <f t="shared" si="14"/>
        <v>-0.47886868824247719</v>
      </c>
      <c r="V22" s="4">
        <f t="shared" si="2"/>
        <v>265.79865389556022</v>
      </c>
      <c r="W22" s="4">
        <f t="shared" si="3"/>
        <v>277.35474818084737</v>
      </c>
      <c r="X22" s="24">
        <f>'Q2 (ii)'!E22</f>
        <v>0.96701886646732249</v>
      </c>
      <c r="Y22" s="25">
        <f t="shared" si="4"/>
        <v>0.27650833301083949</v>
      </c>
      <c r="Z22" s="4">
        <f t="shared" si="15"/>
        <v>268.20727419517272</v>
      </c>
      <c r="AA22">
        <f t="shared" si="16"/>
        <v>74.161546289088349</v>
      </c>
    </row>
    <row r="23" spans="2:28" x14ac:dyDescent="0.45">
      <c r="B23">
        <v>20</v>
      </c>
      <c r="C23" s="22">
        <f t="shared" si="17"/>
        <v>52893.932125216481</v>
      </c>
      <c r="D23" s="23">
        <f t="shared" si="5"/>
        <v>2000</v>
      </c>
      <c r="E23" s="22">
        <f t="shared" si="6"/>
        <v>1962.7113081572861</v>
      </c>
      <c r="F23" s="22">
        <f t="shared" si="7"/>
        <v>-19.627113081572862</v>
      </c>
      <c r="G23" s="22">
        <f t="shared" si="8"/>
        <v>57030.496973103887</v>
      </c>
      <c r="H23" s="22">
        <f t="shared" si="9"/>
        <v>-285.15248486551945</v>
      </c>
      <c r="I23" s="22">
        <f t="shared" si="0"/>
        <v>56745.34448823837</v>
      </c>
      <c r="K23" s="19">
        <v>20</v>
      </c>
      <c r="L23" s="22">
        <f t="shared" si="10"/>
        <v>37.288691842713888</v>
      </c>
      <c r="M23" s="22">
        <f t="shared" si="11"/>
        <v>19.627113081572862</v>
      </c>
      <c r="N23" s="23">
        <f>-'Q2 Base'!$H$25</f>
        <v>-25</v>
      </c>
      <c r="O23" s="22">
        <f>-D23*'Q2 Base'!$H$27</f>
        <v>-20</v>
      </c>
      <c r="P23" s="4">
        <f t="shared" si="12"/>
        <v>0.11915804924286746</v>
      </c>
      <c r="Q23" s="23">
        <f t="shared" si="1"/>
        <v>0</v>
      </c>
      <c r="R23">
        <f>'Q2 (ii)'!K23</f>
        <v>2.2916237651302456E-3</v>
      </c>
      <c r="S23" s="4">
        <f t="shared" si="13"/>
        <v>0</v>
      </c>
      <c r="T23" s="24">
        <f>'Q2 (ii)'!J23</f>
        <v>2.002002670673078E-3</v>
      </c>
      <c r="U23" s="4">
        <f t="shared" si="14"/>
        <v>-0.57087603624983441</v>
      </c>
      <c r="V23" s="4">
        <f t="shared" si="2"/>
        <v>285.15248486551945</v>
      </c>
      <c r="W23" s="4">
        <f t="shared" si="3"/>
        <v>296.61657180279923</v>
      </c>
      <c r="X23" s="24">
        <f>'Q2 (ii)'!E23</f>
        <v>0.96331968297392323</v>
      </c>
      <c r="Y23" s="25">
        <f t="shared" si="4"/>
        <v>0.2584190028138687</v>
      </c>
      <c r="Z23" s="4">
        <f t="shared" si="15"/>
        <v>285.73658191388449</v>
      </c>
      <c r="AA23">
        <f t="shared" si="16"/>
        <v>73.839762565629343</v>
      </c>
    </row>
    <row r="25" spans="2:28" x14ac:dyDescent="0.45">
      <c r="Y25" t="s">
        <v>122</v>
      </c>
      <c r="AA25" s="44">
        <f>SUM(AA4:AA23)</f>
        <v>199.98775593824428</v>
      </c>
    </row>
    <row r="27" spans="2:28" x14ac:dyDescent="0.45">
      <c r="Y27" t="s">
        <v>123</v>
      </c>
      <c r="AA27" s="26">
        <f>AA25/D2</f>
        <v>9.9993877969122139E-2</v>
      </c>
      <c r="AB27" s="12" t="s">
        <v>21</v>
      </c>
    </row>
    <row r="28" spans="2:28" x14ac:dyDescent="0.45">
      <c r="Y28" t="s">
        <v>124</v>
      </c>
      <c r="AB28" s="12" t="s">
        <v>21</v>
      </c>
    </row>
  </sheetData>
  <mergeCells count="1">
    <mergeCell ref="D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F10A-7393-4348-8713-01359B921359}">
  <dimension ref="A1:K23"/>
  <sheetViews>
    <sheetView workbookViewId="0">
      <selection activeCell="J24" sqref="J24"/>
    </sheetView>
  </sheetViews>
  <sheetFormatPr defaultRowHeight="14.25" x14ac:dyDescent="0.45"/>
  <cols>
    <col min="1" max="1" width="9.1328125" style="13"/>
    <col min="2" max="2" width="10.59765625" bestFit="1" customWidth="1"/>
    <col min="7" max="7" width="9.73046875" customWidth="1"/>
    <col min="11" max="11" width="9.59765625" bestFit="1" customWidth="1"/>
  </cols>
  <sheetData>
    <row r="1" spans="1:11" x14ac:dyDescent="0.45">
      <c r="B1" s="13" t="s">
        <v>54</v>
      </c>
      <c r="D1" s="62" t="s">
        <v>125</v>
      </c>
      <c r="E1" s="62"/>
      <c r="G1" s="13" t="s">
        <v>126</v>
      </c>
    </row>
    <row r="2" spans="1:11" ht="32.25" customHeight="1" x14ac:dyDescent="0.45">
      <c r="A2" s="16" t="s">
        <v>23</v>
      </c>
      <c r="B2" s="16" t="s">
        <v>127</v>
      </c>
      <c r="D2" s="9" t="s">
        <v>106</v>
      </c>
      <c r="E2" s="9" t="s">
        <v>107</v>
      </c>
      <c r="G2" s="16" t="s">
        <v>128</v>
      </c>
      <c r="I2" s="13"/>
      <c r="J2" s="9"/>
      <c r="K2" s="9"/>
    </row>
    <row r="3" spans="1:11" x14ac:dyDescent="0.45">
      <c r="A3" s="13">
        <v>1</v>
      </c>
      <c r="B3" s="4">
        <f>'Q2 (i)'!I4</f>
        <v>1946.4588000000001</v>
      </c>
      <c r="D3">
        <f>'Q2 (ii)'!J4</f>
        <v>4.0008002133969133E-4</v>
      </c>
      <c r="E3">
        <f>'Q2 (ii)'!K4</f>
        <v>5.0412705069077443E-4</v>
      </c>
      <c r="G3" s="6">
        <f>'Q2 (iii)'!E2</f>
        <v>0.981355654078643</v>
      </c>
      <c r="J3" s="5"/>
      <c r="K3" s="4"/>
    </row>
    <row r="4" spans="1:11" x14ac:dyDescent="0.45">
      <c r="A4" s="13">
        <v>2</v>
      </c>
      <c r="B4" s="4">
        <f>'Q2 (i)'!I5</f>
        <v>3960.6543662400004</v>
      </c>
      <c r="D4">
        <f>'Q2 (ii)'!J5</f>
        <v>4.0008002133969128E-4</v>
      </c>
      <c r="E4">
        <f>'Q2 (ii)'!K5</f>
        <v>5.4114639330157875E-4</v>
      </c>
      <c r="J4" s="5"/>
      <c r="K4" s="4"/>
    </row>
    <row r="5" spans="1:11" x14ac:dyDescent="0.45">
      <c r="A5" s="13">
        <v>3</v>
      </c>
      <c r="B5" s="4">
        <f>'Q2 (i)'!I6</f>
        <v>6044.9439381851525</v>
      </c>
      <c r="D5">
        <f>'Q2 (ii)'!J6</f>
        <v>4.5010128038520578E-4</v>
      </c>
      <c r="E5">
        <f>'Q2 (ii)'!K6</f>
        <v>5.7516537589712461E-4</v>
      </c>
      <c r="J5" s="5"/>
      <c r="K5" s="4"/>
    </row>
    <row r="6" spans="1:11" x14ac:dyDescent="0.45">
      <c r="A6" s="13">
        <v>4</v>
      </c>
      <c r="B6" s="4">
        <f>'Q2 (i)'!I7</f>
        <v>8201.7667872339953</v>
      </c>
      <c r="D6">
        <f>'Q2 (ii)'!J7</f>
        <v>4.5010128038520567E-4</v>
      </c>
      <c r="E6">
        <f>'Q2 (ii)'!K7</f>
        <v>6.1218734844200977E-4</v>
      </c>
      <c r="J6" s="5"/>
      <c r="K6" s="4"/>
    </row>
    <row r="7" spans="1:11" x14ac:dyDescent="0.45">
      <c r="A7" s="13">
        <v>5</v>
      </c>
      <c r="B7" s="4">
        <f>'Q2 (i)'!I8</f>
        <v>10433.647071429739</v>
      </c>
      <c r="D7">
        <f>'Q2 (ii)'!J8</f>
        <v>5.0012504168224286E-4</v>
      </c>
      <c r="E7">
        <f>'Q2 (ii)'!K8</f>
        <v>6.5321329736052014E-4</v>
      </c>
      <c r="J7" s="5"/>
      <c r="K7" s="4"/>
    </row>
    <row r="8" spans="1:11" x14ac:dyDescent="0.45">
      <c r="A8" s="13">
        <v>6</v>
      </c>
      <c r="B8" s="4">
        <f>'Q2 (i)'!I9</f>
        <v>12743.196789515496</v>
      </c>
      <c r="D8">
        <f>'Q2 (ii)'!J9</f>
        <v>5.5015130548127019E-4</v>
      </c>
      <c r="E8">
        <f>'Q2 (ii)'!K9</f>
        <v>6.9624232044323956E-4</v>
      </c>
      <c r="I8" s="13"/>
      <c r="J8" s="5"/>
      <c r="K8" s="4"/>
    </row>
    <row r="9" spans="1:11" x14ac:dyDescent="0.45">
      <c r="A9" s="13">
        <v>7</v>
      </c>
      <c r="B9" s="4">
        <f>'Q2 (i)'!I10</f>
        <v>15133.118837790635</v>
      </c>
      <c r="D9">
        <f>'Q2 (ii)'!J10</f>
        <v>6.001800720324608E-4</v>
      </c>
      <c r="E9">
        <f>'Q2 (ii)'!K10</f>
        <v>7.4727914352218404E-4</v>
      </c>
      <c r="J9" s="5"/>
      <c r="K9" s="4"/>
    </row>
    <row r="10" spans="1:11" x14ac:dyDescent="0.45">
      <c r="A10" s="13">
        <v>8</v>
      </c>
      <c r="B10" s="4">
        <f>'Q2 (i)'!I11</f>
        <v>17606.210173345749</v>
      </c>
      <c r="D10">
        <f>'Q2 (ii)'!J11</f>
        <v>7.0024511439342545E-4</v>
      </c>
      <c r="E10">
        <f>'Q2 (ii)'!K11</f>
        <v>8.0232177405333287E-4</v>
      </c>
      <c r="J10" s="5"/>
      <c r="K10" s="4"/>
    </row>
    <row r="11" spans="1:11" x14ac:dyDescent="0.45">
      <c r="A11" s="13">
        <v>9</v>
      </c>
      <c r="B11" s="4">
        <f>'Q2 (i)'!I12</f>
        <v>20165.365087378181</v>
      </c>
      <c r="D11">
        <f>'Q2 (ii)'!J12</f>
        <v>9.0040524316415489E-4</v>
      </c>
      <c r="E11">
        <f>'Q2 (ii)'!K12</f>
        <v>8.5436486574504221E-4</v>
      </c>
      <c r="J11" s="5"/>
      <c r="K11" s="4"/>
    </row>
    <row r="12" spans="1:11" x14ac:dyDescent="0.45">
      <c r="A12" s="13">
        <v>10</v>
      </c>
      <c r="B12" s="4">
        <f>'Q2 (i)'!I13</f>
        <v>22813.578592418944</v>
      </c>
      <c r="D12">
        <f>'Q2 (ii)'!J13</f>
        <v>1.0005003335835344E-3</v>
      </c>
      <c r="E12">
        <f>'Q2 (ii)'!K13</f>
        <v>9.014061444758152E-4</v>
      </c>
      <c r="J12" s="5"/>
      <c r="K12" s="4"/>
    </row>
    <row r="13" spans="1:11" x14ac:dyDescent="0.45">
      <c r="A13" s="13">
        <v>11</v>
      </c>
      <c r="B13" s="4">
        <f>'Q2 (i)'!I14</f>
        <v>25553.949927435122</v>
      </c>
      <c r="D13">
        <f>'Q2 (ii)'!J14</f>
        <v>1.0005003335835346E-3</v>
      </c>
      <c r="E13">
        <f>'Q2 (ii)'!K14</f>
        <v>9.4945058559301864E-4</v>
      </c>
      <c r="J13" s="5"/>
      <c r="K13" s="4"/>
    </row>
    <row r="14" spans="1:11" x14ac:dyDescent="0.45">
      <c r="A14" s="13">
        <v>12</v>
      </c>
      <c r="B14" s="4">
        <f>'Q2 (i)'!I15</f>
        <v>28389.686184909868</v>
      </c>
      <c r="D14">
        <f>'Q2 (ii)'!J15</f>
        <v>1.1006054440330037E-3</v>
      </c>
      <c r="E14">
        <f>'Q2 (ii)'!K15</f>
        <v>1.0075073651397088E-3</v>
      </c>
      <c r="J14" s="5"/>
      <c r="K14" s="4"/>
    </row>
    <row r="15" spans="1:11" x14ac:dyDescent="0.45">
      <c r="A15" s="13">
        <v>13</v>
      </c>
      <c r="B15" s="4">
        <f>'Q2 (i)'!I16</f>
        <v>31324.106064144733</v>
      </c>
      <c r="D15">
        <f>'Q2 (ii)'!J16</f>
        <v>1.2007205765188764E-3</v>
      </c>
      <c r="E15">
        <f>'Q2 (ii)'!K16</f>
        <v>1.0835868682570896E-3</v>
      </c>
      <c r="J15" s="5"/>
      <c r="K15" s="4"/>
    </row>
    <row r="16" spans="1:11" x14ac:dyDescent="0.45">
      <c r="A16" s="13">
        <v>14</v>
      </c>
      <c r="B16" s="4">
        <f>'Q2 (i)'!I17</f>
        <v>34360.64375517697</v>
      </c>
      <c r="D16">
        <f>'Q2 (ii)'!J17</f>
        <v>1.2007205765188773E-3</v>
      </c>
      <c r="E16">
        <f>'Q2 (ii)'!K17</f>
        <v>1.1796955672696639E-3</v>
      </c>
      <c r="J16" s="5"/>
      <c r="K16" s="4"/>
    </row>
    <row r="17" spans="1:11" x14ac:dyDescent="0.45">
      <c r="A17" s="13">
        <v>15</v>
      </c>
      <c r="B17" s="4">
        <f>'Q2 (i)'!I18</f>
        <v>37502.852957857132</v>
      </c>
      <c r="D17">
        <f>'Q2 (ii)'!J18</f>
        <v>1.3008457330480701E-3</v>
      </c>
      <c r="E17">
        <f>'Q2 (ii)'!K18</f>
        <v>1.3008457330480701E-3</v>
      </c>
      <c r="J17" s="5"/>
      <c r="K17" s="4"/>
    </row>
    <row r="18" spans="1:11" x14ac:dyDescent="0.45">
      <c r="A18" s="13">
        <v>16</v>
      </c>
      <c r="B18" s="4">
        <f>'Q2 (i)'!I19</f>
        <v>40754.411040790561</v>
      </c>
      <c r="D18">
        <f>'Q2 (ii)'!J19</f>
        <v>1.4009809156281007E-3</v>
      </c>
      <c r="E18">
        <f>'Q2 (ii)'!K19</f>
        <v>1.4480479155111301E-3</v>
      </c>
      <c r="J18" s="5"/>
      <c r="K18" s="4"/>
    </row>
    <row r="19" spans="1:11" x14ac:dyDescent="0.45">
      <c r="A19" s="13">
        <v>17</v>
      </c>
      <c r="B19" s="4">
        <f>'Q2 (i)'!I20</f>
        <v>44119.123345010077</v>
      </c>
      <c r="D19">
        <f>'Q2 (ii)'!J20</f>
        <v>1.5011261262670907E-3</v>
      </c>
      <c r="E19">
        <f>'Q2 (ii)'!K20</f>
        <v>1.6153039011865473E-3</v>
      </c>
      <c r="J19" s="5"/>
      <c r="K19" s="4"/>
    </row>
    <row r="20" spans="1:11" x14ac:dyDescent="0.45">
      <c r="A20" s="13">
        <v>18</v>
      </c>
      <c r="B20" s="4">
        <f>'Q2 (i)'!I21</f>
        <v>47600.927637416426</v>
      </c>
      <c r="D20">
        <f>'Q2 (ii)'!J21</f>
        <v>1.6012813669738792E-3</v>
      </c>
      <c r="E20">
        <f>'Q2 (ii)'!K21</f>
        <v>1.8066309754025062E-3</v>
      </c>
      <c r="J20" s="5"/>
      <c r="K20" s="4"/>
    </row>
    <row r="21" spans="1:11" x14ac:dyDescent="0.45">
      <c r="A21" s="13">
        <v>19</v>
      </c>
      <c r="B21" s="4">
        <f>'Q2 (i)'!I22</f>
        <v>51203.898719198522</v>
      </c>
      <c r="D21">
        <f>'Q2 (ii)'!J22</f>
        <v>1.8016219466282105E-3</v>
      </c>
      <c r="E21">
        <f>'Q2 (ii)'!K22</f>
        <v>2.0310612091007266E-3</v>
      </c>
      <c r="J21" s="5"/>
      <c r="K21" s="4"/>
    </row>
    <row r="22" spans="1:11" x14ac:dyDescent="0.45">
      <c r="A22" s="13">
        <v>20</v>
      </c>
      <c r="B22" s="4">
        <f>'Q2 (i)'!I23</f>
        <v>54932.253194626632</v>
      </c>
      <c r="D22">
        <f>'Q2 (ii)'!J23</f>
        <v>2.002002670673078E-3</v>
      </c>
      <c r="E22">
        <f>'Q2 (ii)'!K23</f>
        <v>2.2916237651302456E-3</v>
      </c>
      <c r="J22" s="5"/>
      <c r="K22" s="4"/>
    </row>
    <row r="23" spans="1:11" x14ac:dyDescent="0.45">
      <c r="D23">
        <f>'Q2 (ii)'!J24</f>
        <v>0</v>
      </c>
      <c r="E23">
        <f>'Q2 (ii)'!K24</f>
        <v>0</v>
      </c>
    </row>
  </sheetData>
  <mergeCells count="1">
    <mergeCell ref="D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B096F5CF448841AE72BA02EB7D85E8" ma:contentTypeVersion="19" ma:contentTypeDescription="Create a new document." ma:contentTypeScope="" ma:versionID="e82e7f5e3b0bb8e72bf313293077abf7">
  <xsd:schema xmlns:xsd="http://www.w3.org/2001/XMLSchema" xmlns:xs="http://www.w3.org/2001/XMLSchema" xmlns:p="http://schemas.microsoft.com/office/2006/metadata/properties" xmlns:ns2="e094b6f7-70e4-4439-8c94-44b3d4882fb7" xmlns:ns3="7831c684-3554-4bbf-bebd-6b1cd33301bf" targetNamespace="http://schemas.microsoft.com/office/2006/metadata/properties" ma:root="true" ma:fieldsID="7b901172775bbeb2abea215875838cd2" ns2:_="" ns3:_="">
    <xsd:import namespace="e094b6f7-70e4-4439-8c94-44b3d4882fb7"/>
    <xsd:import namespace="7831c684-3554-4bbf-bebd-6b1cd33301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DocType" minOccurs="0"/>
                <xsd:element ref="ns3:Status" minOccurs="0"/>
                <xsd:element ref="ns3:Note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94b6f7-70e4-4439-8c94-44b3d4882fb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2ad3440-77f3-4c46-a75a-2a198f27e4b2}" ma:internalName="TaxCatchAll" ma:showField="CatchAllData" ma:web="e094b6f7-70e4-4439-8c94-44b3d4882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1c684-3554-4bbf-bebd-6b1cd33301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DocType" ma:index="12" nillable="true" ma:displayName="Doc Type" ma:format="Dropdown" ma:internalName="DocType">
      <xsd:simpleType>
        <xsd:restriction base="dms:Choice">
          <xsd:enumeration value="Exam paper"/>
          <xsd:enumeration value="Solutions"/>
          <xsd:enumeration value="SRF"/>
          <xsd:enumeration value="TOC"/>
          <xsd:enumeration value="EE review"/>
          <xsd:enumeration value="IM review"/>
        </xsd:restriction>
      </xsd:simpleType>
    </xsd:element>
    <xsd:element name="Status" ma:index="13" nillable="true" ma:displayName="Status" ma:default="New" ma:format="Dropdown" ma:internalName="Status">
      <xsd:simpleType>
        <xsd:restriction base="dms:Choice">
          <xsd:enumeration value="New"/>
          <xsd:enumeration value="Checked in"/>
          <xsd:enumeration value="Formatted"/>
          <xsd:enumeration value="Complete"/>
        </xsd:restriction>
      </xsd:simpleType>
    </xsd:element>
    <xsd:element name="Note" ma:index="14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8fe375-cbb6-4b35-9ea2-3916cf22ce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831c684-3554-4bbf-bebd-6b1cd33301bf">New</Status>
    <lcf76f155ced4ddcb4097134ff3c332f xmlns="7831c684-3554-4bbf-bebd-6b1cd33301bf">
      <Terms xmlns="http://schemas.microsoft.com/office/infopath/2007/PartnerControls"/>
    </lcf76f155ced4ddcb4097134ff3c332f>
    <Note xmlns="7831c684-3554-4bbf-bebd-6b1cd33301bf" xsi:nil="true"/>
    <DocType xmlns="7831c684-3554-4bbf-bebd-6b1cd33301bf" xsi:nil="true"/>
    <TaxCatchAll xmlns="e094b6f7-70e4-4439-8c94-44b3d4882fb7" xsi:nil="true"/>
  </documentManagement>
</p:properties>
</file>

<file path=customXml/itemProps1.xml><?xml version="1.0" encoding="utf-8"?>
<ds:datastoreItem xmlns:ds="http://schemas.openxmlformats.org/officeDocument/2006/customXml" ds:itemID="{D2715F68-8786-4613-9A5D-5DECFA0B4E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94b6f7-70e4-4439-8c94-44b3d4882fb7"/>
    <ds:schemaRef ds:uri="7831c684-3554-4bbf-bebd-6b1cd33301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834229-7527-4539-97AC-2C8D7A5C5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258F24-5952-4FF3-ADE9-628D831A2841}">
  <ds:schemaRefs>
    <ds:schemaRef ds:uri="http://schemas.microsoft.com/office/2006/metadata/properties"/>
    <ds:schemaRef ds:uri="http://schemas.microsoft.com/office/infopath/2007/PartnerControls"/>
    <ds:schemaRef ds:uri="7831c684-3554-4bbf-bebd-6b1cd33301bf"/>
    <ds:schemaRef ds:uri="e094b6f7-70e4-4439-8c94-44b3d4882f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 Base</vt:lpstr>
      <vt:lpstr>Q1</vt:lpstr>
      <vt:lpstr>Q1 Answers</vt:lpstr>
      <vt:lpstr>Q2 Base</vt:lpstr>
      <vt:lpstr>Q2 (i)</vt:lpstr>
      <vt:lpstr>Q2 (ii)</vt:lpstr>
      <vt:lpstr>Q2 (iii)</vt:lpstr>
      <vt:lpstr>Q2 Answers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Utente</dc:creator>
  <cp:keywords/>
  <dc:description/>
  <cp:lastModifiedBy>Sharpe, Ian</cp:lastModifiedBy>
  <cp:revision/>
  <dcterms:created xsi:type="dcterms:W3CDTF">2022-09-08T14:06:02Z</dcterms:created>
  <dcterms:modified xsi:type="dcterms:W3CDTF">2025-02-26T09:28:29Z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0x010100FFB096F5CF448841AE72BA02EB7D85E8</vt:lpwstr>
  </property>
  <property fmtid="{D5CDD505-2E9C-101B-9397-08002B2CF9AE}" pid="3" name="MediaServiceImageTags">
    <vt:lpwstr/>
  </property>
</Properties>
</file>