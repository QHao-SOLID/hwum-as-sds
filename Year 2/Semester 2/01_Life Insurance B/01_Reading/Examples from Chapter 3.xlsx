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mi\OneDrive\Documents\Heriot-Watt\F70LB\2026 rewrites\Week 1. Lab and tutorial and notes\"/>
    </mc:Choice>
  </mc:AlternateContent>
  <xr:revisionPtr revIDLastSave="0" documentId="13_ncr:1_{5E7E99DB-4DF6-4463-B2FC-866F5D8C1956}" xr6:coauthVersionLast="47" xr6:coauthVersionMax="47" xr10:uidLastSave="{00000000-0000-0000-0000-000000000000}"/>
  <bookViews>
    <workbookView xWindow="23985" yWindow="-16320" windowWidth="29040" windowHeight="15720" activeTab="2" xr2:uid="{D891B263-24BA-429B-BB68-28AA5919DAAA}"/>
  </bookViews>
  <sheets>
    <sheet name="colour key" sheetId="3" r:id="rId1"/>
    <sheet name="Example 1" sheetId="1" r:id="rId2"/>
    <sheet name="Example 2" sheetId="2" r:id="rId3"/>
  </sheets>
  <externalReferences>
    <externalReference r:id="rId4"/>
  </externalReferences>
  <definedNames>
    <definedName name="Expenses">'[1]Q1 Working'!$E$9</definedName>
    <definedName name="FinalDecSA">'[1]Q1 Working'!$E$12</definedName>
    <definedName name="intRate">'Example 2'!$B$5</definedName>
    <definedName name="PremiumTA">'[1]Q1 Working'!$E$6</definedName>
    <definedName name="StartDecSA">'[1]Q1 Working'!$E$11</definedName>
    <definedName name="StepSize">'Example 1'!$C$10</definedName>
    <definedName name="StepSizeQ1">'Example 1'!$C$10</definedName>
    <definedName name="StepSizeQ1Copy">'[1]Q1 Working - COPY'!$B$9</definedName>
    <definedName name="SumAssdTA">'[1]Q1 Working'!$E$7</definedName>
    <definedName name="TermOfDecSA">'[1]Q1 Working'!$E$10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A14" i="2"/>
  <c r="B14" i="2" s="1"/>
  <c r="D13" i="2"/>
  <c r="B13" i="2"/>
  <c r="B15" i="1"/>
  <c r="F15" i="1" s="1"/>
  <c r="F14" i="1"/>
  <c r="C14" i="1"/>
  <c r="D14" i="2" l="1"/>
  <c r="A15" i="2"/>
  <c r="B16" i="1"/>
  <c r="G14" i="1"/>
  <c r="C15" i="1"/>
  <c r="D15" i="2" l="1"/>
  <c r="B15" i="2"/>
  <c r="A16" i="2"/>
  <c r="F16" i="1"/>
  <c r="B17" i="1"/>
  <c r="C16" i="1"/>
  <c r="A17" i="2" l="1"/>
  <c r="D16" i="2"/>
  <c r="B16" i="2"/>
  <c r="F17" i="1"/>
  <c r="C17" i="1"/>
  <c r="B18" i="1"/>
  <c r="A18" i="2" l="1"/>
  <c r="D17" i="2"/>
  <c r="B17" i="2"/>
  <c r="F18" i="1"/>
  <c r="C18" i="1"/>
  <c r="B19" i="1"/>
  <c r="B18" i="2" l="1"/>
  <c r="A19" i="2"/>
  <c r="D18" i="2"/>
  <c r="F19" i="1"/>
  <c r="B20" i="1"/>
  <c r="C19" i="1"/>
  <c r="D19" i="2" l="1"/>
  <c r="B19" i="2"/>
  <c r="A20" i="2"/>
  <c r="F20" i="1"/>
  <c r="C20" i="1"/>
  <c r="B21" i="1"/>
  <c r="A21" i="2" l="1"/>
  <c r="D20" i="2"/>
  <c r="B20" i="2"/>
  <c r="F21" i="1"/>
  <c r="C21" i="1"/>
  <c r="B22" i="1"/>
  <c r="A22" i="2" l="1"/>
  <c r="D21" i="2"/>
  <c r="B21" i="2"/>
  <c r="F22" i="1"/>
  <c r="B23" i="1"/>
  <c r="C22" i="1"/>
  <c r="B22" i="2" l="1"/>
  <c r="A23" i="2"/>
  <c r="D22" i="2"/>
  <c r="F23" i="1"/>
  <c r="C23" i="1"/>
  <c r="B24" i="1"/>
  <c r="D23" i="2" l="1"/>
  <c r="B23" i="2"/>
  <c r="F24" i="1"/>
  <c r="C24" i="1"/>
  <c r="F14" i="2" l="1"/>
  <c r="E14" i="2"/>
  <c r="G15" i="1"/>
  <c r="G16" i="1" l="1"/>
  <c r="G17" i="1" l="1"/>
  <c r="G18" i="1" l="1"/>
  <c r="G19" i="1" l="1"/>
  <c r="G20" i="1" l="1"/>
  <c r="G21" i="1" l="1"/>
  <c r="G22" i="1" l="1"/>
  <c r="G23" i="1" l="1"/>
  <c r="G24" i="1" l="1"/>
  <c r="F7" i="1" s="1"/>
  <c r="E18" i="2" l="1"/>
  <c r="E20" i="2"/>
  <c r="E23" i="2"/>
  <c r="E16" i="2"/>
  <c r="E21" i="2"/>
  <c r="E17" i="2"/>
  <c r="E22" i="2"/>
  <c r="E19" i="2"/>
  <c r="E15" i="2" l="1"/>
  <c r="D5" i="2" s="1"/>
  <c r="F15" i="2"/>
  <c r="F17" i="2" l="1"/>
  <c r="F18" i="2" s="1"/>
  <c r="F19" i="2" s="1"/>
  <c r="F20" i="2" s="1"/>
  <c r="F21" i="2" s="1"/>
  <c r="F22" i="2" s="1"/>
  <c r="F23" i="2" s="1"/>
  <c r="D7" i="2" s="1"/>
  <c r="D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B0C01DFD-8AE2-4299-A5DC-A88A07EE45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3" authorId="0" shapeId="0" xr:uid="{FB5145A6-DAD9-4A25-A181-18B0684C51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  <comment ref="F13" authorId="0" shapeId="0" xr:uid="{307ABD84-4970-4312-87C0-2FEF0CE357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sharedStrings.xml><?xml version="1.0" encoding="utf-8"?>
<sst xmlns="http://schemas.openxmlformats.org/spreadsheetml/2006/main" count="38" uniqueCount="30">
  <si>
    <t>EPV annuity at time zero</t>
  </si>
  <si>
    <t>time</t>
  </si>
  <si>
    <t>age</t>
  </si>
  <si>
    <t>(t)p(x)</t>
  </si>
  <si>
    <t>Weight</t>
  </si>
  <si>
    <t>v^t</t>
  </si>
  <si>
    <t>Weighted integrand annuity</t>
  </si>
  <si>
    <t>Results</t>
  </si>
  <si>
    <t>stepsize h</t>
  </si>
  <si>
    <t>x</t>
  </si>
  <si>
    <t>delta</t>
  </si>
  <si>
    <t>Parameters</t>
  </si>
  <si>
    <t xml:space="preserve">Formula for EPV annuity is </t>
  </si>
  <si>
    <t>Calculation of EPV of a continuous annuity using Trapezium Rule</t>
  </si>
  <si>
    <t>=SUM(G14:G24)*StepSize</t>
  </si>
  <si>
    <t>interest rate</t>
  </si>
  <si>
    <t>Discontinuous formulas</t>
  </si>
  <si>
    <t>(t-1)p(x) * v^(t-1)</t>
  </si>
  <si>
    <t>Not required</t>
  </si>
  <si>
    <t>EPV of adue(x:t)</t>
  </si>
  <si>
    <t>EPV adue(40:10) calculated as a sum</t>
  </si>
  <si>
    <t>EPV adue(40:10) calculated recursively</t>
  </si>
  <si>
    <t>Check A-B=0 (ie, same answer)</t>
  </si>
  <si>
    <t>Calculation of the EPV of a 10-year annuity paid in advance to a life aged 40</t>
  </si>
  <si>
    <t>Colour key</t>
  </si>
  <si>
    <t>Data/values</t>
  </si>
  <si>
    <t>Calculations</t>
  </si>
  <si>
    <t>Value looked up from data</t>
  </si>
  <si>
    <t>=F23</t>
  </si>
  <si>
    <t>=SUM(E13:E23)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</si>
</sst>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00FF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33CC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49998474074526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1" fillId="0" borderId="0" xfId="0" applyFont="1"/>
    <xf numFmtId="0" fontId="0" fillId="0" borderId="6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4" fillId="0" borderId="4" xfId="0" applyFont="1" applyBorder="1"/>
    <xf numFmtId="0" fontId="0" fillId="0" borderId="8" xfId="0" applyBorder="1"/>
    <xf numFmtId="0" fontId="0" fillId="0" borderId="7" xfId="0" applyBorder="1"/>
    <xf numFmtId="4" fontId="0" fillId="0" borderId="7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0" fontId="2" fillId="0" borderId="4" xfId="0" applyFont="1" applyBorder="1"/>
    <xf numFmtId="0" fontId="2" fillId="0" borderId="1" xfId="0" applyFont="1" applyBorder="1"/>
    <xf numFmtId="0" fontId="5" fillId="3" borderId="5" xfId="0" applyFont="1" applyFill="1" applyBorder="1"/>
    <xf numFmtId="0" fontId="5" fillId="3" borderId="8" xfId="0" applyFont="1" applyFill="1" applyBorder="1"/>
    <xf numFmtId="164" fontId="0" fillId="2" borderId="6" xfId="0" applyNumberFormat="1" applyFill="1" applyBorder="1"/>
    <xf numFmtId="4" fontId="0" fillId="0" borderId="0" xfId="0" applyNumberFormat="1"/>
    <xf numFmtId="0" fontId="6" fillId="0" borderId="0" xfId="0" quotePrefix="1" applyFont="1"/>
    <xf numFmtId="0" fontId="7" fillId="3" borderId="4" xfId="0" applyFont="1" applyFill="1" applyBorder="1"/>
    <xf numFmtId="0" fontId="7" fillId="3" borderId="6" xfId="0" applyFont="1" applyFill="1" applyBorder="1"/>
    <xf numFmtId="0" fontId="3" fillId="0" borderId="0" xfId="0" applyFont="1"/>
    <xf numFmtId="0" fontId="0" fillId="0" borderId="1" xfId="0" applyBorder="1"/>
    <xf numFmtId="0" fontId="8" fillId="4" borderId="4" xfId="0" applyFont="1" applyFill="1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4" fontId="0" fillId="0" borderId="2" xfId="0" applyNumberFormat="1" applyBorder="1"/>
    <xf numFmtId="0" fontId="8" fillId="4" borderId="3" xfId="0" applyFont="1" applyFill="1" applyBorder="1"/>
    <xf numFmtId="0" fontId="8" fillId="4" borderId="2" xfId="0" applyFont="1" applyFill="1" applyBorder="1"/>
    <xf numFmtId="164" fontId="0" fillId="0" borderId="0" xfId="0" applyNumberFormat="1"/>
    <xf numFmtId="164" fontId="0" fillId="0" borderId="7" xfId="0" applyNumberFormat="1" applyBorder="1"/>
    <xf numFmtId="0" fontId="11" fillId="0" borderId="0" xfId="0" applyFont="1"/>
    <xf numFmtId="164" fontId="11" fillId="0" borderId="0" xfId="0" applyNumberFormat="1" applyFont="1"/>
    <xf numFmtId="164" fontId="0" fillId="2" borderId="4" xfId="0" applyNumberFormat="1" applyFill="1" applyBorder="1"/>
    <xf numFmtId="0" fontId="11" fillId="0" borderId="4" xfId="0" applyFont="1" applyBorder="1"/>
    <xf numFmtId="164" fontId="11" fillId="0" borderId="6" xfId="0" applyNumberFormat="1" applyFont="1" applyBorder="1"/>
    <xf numFmtId="0" fontId="11" fillId="0" borderId="7" xfId="0" applyFont="1" applyBorder="1"/>
    <xf numFmtId="0" fontId="5" fillId="3" borderId="4" xfId="0" applyFont="1" applyFill="1" applyBorder="1"/>
    <xf numFmtId="0" fontId="12" fillId="0" borderId="4" xfId="0" applyFont="1" applyBorder="1" applyProtection="1">
      <protection locked="0"/>
    </xf>
    <xf numFmtId="0" fontId="8" fillId="0" borderId="4" xfId="0" applyFont="1" applyBorder="1"/>
    <xf numFmtId="165" fontId="13" fillId="0" borderId="0" xfId="0" applyNumberFormat="1" applyFont="1"/>
    <xf numFmtId="165" fontId="13" fillId="0" borderId="7" xfId="0" applyNumberFormat="1" applyFont="1" applyBorder="1"/>
    <xf numFmtId="165" fontId="13" fillId="0" borderId="1" xfId="0" applyNumberFormat="1" applyFont="1" applyBorder="1"/>
    <xf numFmtId="165" fontId="13" fillId="0" borderId="4" xfId="0" applyNumberFormat="1" applyFont="1" applyBorder="1"/>
    <xf numFmtId="165" fontId="13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anmi\OneDrive\Documents\Heriot-Watt\F70LB\coursework%20grading\0.%20F70LB%20Part%20A%20Solutions.xlsx" TargetMode="External"/><Relationship Id="rId1" Type="http://schemas.openxmlformats.org/officeDocument/2006/relationships/externalLinkPath" Target="/Users/ianmi/OneDrive/Documents/Heriot-Watt/F70LB/coursework%20grading/0.%20F70LB%20Part%20A%20Solu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1 Base"/>
      <sheetName val="Q1 Working"/>
      <sheetName val="Q1 Answers"/>
      <sheetName val="Q2 Base"/>
      <sheetName val="Q2 Working"/>
      <sheetName val="Q2 Working 2(IRR)"/>
      <sheetName val="Q2 Answers"/>
      <sheetName val="Part B mark scheme"/>
      <sheetName val="colour key"/>
      <sheetName val="Q1 Working - COPY"/>
      <sheetName val="Q1 Answer - COPY"/>
    </sheetNames>
    <sheetDataSet>
      <sheetData sheetId="0"/>
      <sheetData sheetId="1">
        <row r="6">
          <cell r="E6">
            <v>180</v>
          </cell>
        </row>
        <row r="7">
          <cell r="E7">
            <v>100000</v>
          </cell>
        </row>
        <row r="9">
          <cell r="E9">
            <v>0</v>
          </cell>
        </row>
        <row r="10">
          <cell r="E10">
            <v>1</v>
          </cell>
        </row>
        <row r="11">
          <cell r="E11">
            <v>200000</v>
          </cell>
        </row>
        <row r="12">
          <cell r="E1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0.1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E6E7-2A1D-4DD2-BFF0-CB3AA6A007A9}">
  <dimension ref="A1:C9"/>
  <sheetViews>
    <sheetView workbookViewId="0">
      <selection activeCell="D5" sqref="D5"/>
    </sheetView>
  </sheetViews>
  <sheetFormatPr defaultRowHeight="14.25" x14ac:dyDescent="0.45"/>
  <cols>
    <col min="1" max="1" width="23.1328125" bestFit="1" customWidth="1"/>
  </cols>
  <sheetData>
    <row r="1" spans="1:3" x14ac:dyDescent="0.45">
      <c r="A1" s="21" t="s">
        <v>24</v>
      </c>
      <c r="B1" s="2"/>
      <c r="C1" s="3"/>
    </row>
    <row r="2" spans="1:3" x14ac:dyDescent="0.45">
      <c r="A2" s="4"/>
      <c r="C2" s="5"/>
    </row>
    <row r="3" spans="1:3" x14ac:dyDescent="0.45">
      <c r="A3" s="46" t="s">
        <v>11</v>
      </c>
      <c r="C3" s="5"/>
    </row>
    <row r="4" spans="1:3" x14ac:dyDescent="0.45">
      <c r="A4" s="47" t="s">
        <v>25</v>
      </c>
      <c r="C4" s="5"/>
    </row>
    <row r="5" spans="1:3" x14ac:dyDescent="0.45">
      <c r="A5" s="48" t="s">
        <v>26</v>
      </c>
      <c r="C5" s="5"/>
    </row>
    <row r="6" spans="1:3" x14ac:dyDescent="0.45">
      <c r="A6" s="31" t="s">
        <v>16</v>
      </c>
      <c r="C6" s="5"/>
    </row>
    <row r="7" spans="1:3" x14ac:dyDescent="0.45">
      <c r="A7" s="12" t="s">
        <v>27</v>
      </c>
      <c r="C7" s="5"/>
    </row>
    <row r="8" spans="1:3" x14ac:dyDescent="0.45">
      <c r="A8" s="6" t="s">
        <v>7</v>
      </c>
      <c r="C8" s="5"/>
    </row>
    <row r="9" spans="1:3" ht="14.65" thickBot="1" x14ac:dyDescent="0.5">
      <c r="A9" s="8"/>
      <c r="B9" s="14"/>
      <c r="C9" s="13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A407-2C3F-45C9-8600-F1F7B087C936}">
  <dimension ref="B3:G24"/>
  <sheetViews>
    <sheetView workbookViewId="0">
      <selection activeCell="I12" sqref="I12"/>
    </sheetView>
  </sheetViews>
  <sheetFormatPr defaultRowHeight="14.25" x14ac:dyDescent="0.45"/>
  <cols>
    <col min="5" max="5" width="8.46484375" customWidth="1"/>
    <col min="6" max="6" width="7.3984375" customWidth="1"/>
    <col min="7" max="7" width="17.265625" customWidth="1"/>
    <col min="9" max="9" width="11.6640625" customWidth="1"/>
    <col min="11" max="11" width="9.86328125" bestFit="1" customWidth="1"/>
    <col min="12" max="12" width="7.3984375" customWidth="1"/>
    <col min="13" max="13" width="14.73046875" bestFit="1" customWidth="1"/>
    <col min="14" max="14" width="16.73046875" customWidth="1"/>
    <col min="17" max="17" width="8.46484375" customWidth="1"/>
    <col min="18" max="18" width="7.3984375" customWidth="1"/>
    <col min="19" max="19" width="17.265625" customWidth="1"/>
    <col min="23" max="23" width="8.46484375" customWidth="1"/>
    <col min="24" max="24" width="7.3984375" customWidth="1"/>
    <col min="25" max="25" width="17.265625" customWidth="1"/>
    <col min="29" max="29" width="8.46484375" customWidth="1"/>
  </cols>
  <sheetData>
    <row r="3" spans="2:7" x14ac:dyDescent="0.45">
      <c r="B3" s="29" t="s">
        <v>13</v>
      </c>
    </row>
    <row r="4" spans="2:7" ht="14.65" thickBot="1" x14ac:dyDescent="0.5"/>
    <row r="5" spans="2:7" x14ac:dyDescent="0.45">
      <c r="B5" s="21" t="s">
        <v>11</v>
      </c>
      <c r="C5" s="3"/>
      <c r="F5" s="1" t="s">
        <v>7</v>
      </c>
      <c r="G5" s="3"/>
    </row>
    <row r="6" spans="2:7" x14ac:dyDescent="0.45">
      <c r="B6" s="20"/>
      <c r="C6" s="5"/>
      <c r="F6" s="4" t="s">
        <v>0</v>
      </c>
      <c r="G6" s="5"/>
    </row>
    <row r="7" spans="2:7" ht="14.65" thickBot="1" x14ac:dyDescent="0.5">
      <c r="B7" s="4"/>
      <c r="C7" s="5"/>
      <c r="F7" s="24">
        <f>SUM(G14:G24)*StepSize</f>
        <v>0.96543887353322289</v>
      </c>
      <c r="G7" s="13"/>
    </row>
    <row r="8" spans="2:7" x14ac:dyDescent="0.45">
      <c r="B8" s="4" t="s">
        <v>10</v>
      </c>
      <c r="C8" s="22">
        <v>7.0000000000000007E-2</v>
      </c>
      <c r="F8" s="26" t="s">
        <v>12</v>
      </c>
    </row>
    <row r="9" spans="2:7" x14ac:dyDescent="0.45">
      <c r="B9" s="4" t="s">
        <v>9</v>
      </c>
      <c r="C9" s="22">
        <v>40</v>
      </c>
      <c r="F9" s="26" t="s">
        <v>14</v>
      </c>
    </row>
    <row r="10" spans="2:7" ht="14.65" thickBot="1" x14ac:dyDescent="0.5">
      <c r="B10" s="8" t="s">
        <v>8</v>
      </c>
      <c r="C10" s="23">
        <v>0.1</v>
      </c>
    </row>
    <row r="12" spans="2:7" ht="14.65" thickBot="1" x14ac:dyDescent="0.5">
      <c r="E12" s="7"/>
      <c r="F12" s="7"/>
      <c r="G12" s="26"/>
    </row>
    <row r="13" spans="2:7" ht="28.9" thickBot="1" x14ac:dyDescent="0.5">
      <c r="B13" s="9" t="s">
        <v>1</v>
      </c>
      <c r="C13" s="10" t="s">
        <v>2</v>
      </c>
      <c r="D13" s="11" t="s">
        <v>3</v>
      </c>
      <c r="E13" s="9" t="s">
        <v>4</v>
      </c>
      <c r="F13" s="11" t="s">
        <v>5</v>
      </c>
      <c r="G13" s="10" t="s">
        <v>6</v>
      </c>
    </row>
    <row r="14" spans="2:7" x14ac:dyDescent="0.45">
      <c r="B14" s="4">
        <v>0</v>
      </c>
      <c r="C14" s="5">
        <f>'Example 1'!$C$9+B14</f>
        <v>40</v>
      </c>
      <c r="D14" s="49">
        <v>1</v>
      </c>
      <c r="E14" s="27">
        <v>0.5</v>
      </c>
      <c r="F14" s="25">
        <f>EXP(-B14*'Example 1'!$C$8)</f>
        <v>1</v>
      </c>
      <c r="G14" s="18">
        <f t="shared" ref="G14:G24" si="0">D14*E14*F14</f>
        <v>0.5</v>
      </c>
    </row>
    <row r="15" spans="2:7" x14ac:dyDescent="0.45">
      <c r="B15" s="4">
        <f t="shared" ref="B15:B24" si="1">ROUND(B14+StepSizeQ1,2)</f>
        <v>0.1</v>
      </c>
      <c r="C15" s="5">
        <f>'Example 1'!$C$9+B15</f>
        <v>40.1</v>
      </c>
      <c r="D15" s="49">
        <v>0.99992485106426632</v>
      </c>
      <c r="E15" s="27">
        <v>1</v>
      </c>
      <c r="F15" s="25">
        <f>EXP(-B15*'Example 1'!$C$8)</f>
        <v>0.99302444293323511</v>
      </c>
      <c r="G15" s="18">
        <f t="shared" si="0"/>
        <v>0.99294981820319117</v>
      </c>
    </row>
    <row r="16" spans="2:7" x14ac:dyDescent="0.45">
      <c r="B16" s="4">
        <f t="shared" si="1"/>
        <v>0.2</v>
      </c>
      <c r="C16" s="5">
        <f>'Example 1'!$C$9+B16</f>
        <v>40.200000000000003</v>
      </c>
      <c r="D16" s="49">
        <v>0.99984903064277764</v>
      </c>
      <c r="E16" s="27">
        <v>1</v>
      </c>
      <c r="F16" s="25">
        <f>EXP(-B16*'Example 1'!$C$8)</f>
        <v>0.98609754426286189</v>
      </c>
      <c r="G16" s="18">
        <f t="shared" si="0"/>
        <v>0.98594867375044593</v>
      </c>
    </row>
    <row r="17" spans="2:7" x14ac:dyDescent="0.45">
      <c r="B17" s="4">
        <f t="shared" si="1"/>
        <v>0.3</v>
      </c>
      <c r="C17" s="5">
        <f>'Example 1'!$C$9+B17</f>
        <v>40.299999999999997</v>
      </c>
      <c r="D17" s="49">
        <v>0.99977253888868423</v>
      </c>
      <c r="E17" s="27">
        <v>1</v>
      </c>
      <c r="F17" s="25">
        <f>EXP(-B17*'Example 1'!$C$8)</f>
        <v>0.97921896456945956</v>
      </c>
      <c r="G17" s="18">
        <f t="shared" si="0"/>
        <v>0.97899623033555716</v>
      </c>
    </row>
    <row r="18" spans="2:7" x14ac:dyDescent="0.45">
      <c r="B18" s="4">
        <f t="shared" si="1"/>
        <v>0.4</v>
      </c>
      <c r="C18" s="5">
        <f>'Example 1'!$C$9+B18</f>
        <v>40.4</v>
      </c>
      <c r="D18" s="49">
        <v>0.9996953759564885</v>
      </c>
      <c r="E18" s="27">
        <v>1</v>
      </c>
      <c r="F18" s="25">
        <f>EXP(-B18*'Example 1'!$C$8)</f>
        <v>0.97238836680124685</v>
      </c>
      <c r="G18" s="18">
        <f t="shared" si="0"/>
        <v>0.9720921539250883</v>
      </c>
    </row>
    <row r="19" spans="2:7" x14ac:dyDescent="0.45">
      <c r="B19" s="4">
        <f t="shared" si="1"/>
        <v>0.5</v>
      </c>
      <c r="C19" s="5">
        <f>'Example 1'!$C$9+B19</f>
        <v>40.5</v>
      </c>
      <c r="D19" s="49">
        <v>0.99961754200204489</v>
      </c>
      <c r="E19" s="27">
        <v>1</v>
      </c>
      <c r="F19" s="25">
        <f>EXP(-B19*'Example 1'!$C$8)</f>
        <v>0.96560541625756646</v>
      </c>
      <c r="G19" s="18">
        <f t="shared" si="0"/>
        <v>0.96523611274324994</v>
      </c>
    </row>
    <row r="20" spans="2:7" x14ac:dyDescent="0.45">
      <c r="B20" s="4">
        <f t="shared" si="1"/>
        <v>0.6</v>
      </c>
      <c r="C20" s="5">
        <f>'Example 1'!$C$9+B20</f>
        <v>40.6</v>
      </c>
      <c r="D20" s="49">
        <v>0.9995390371825591</v>
      </c>
      <c r="E20" s="27">
        <v>1</v>
      </c>
      <c r="F20" s="25">
        <f>EXP(-B20*'Example 1'!$C$8)</f>
        <v>0.95886978057248451</v>
      </c>
      <c r="G20" s="18">
        <f t="shared" si="0"/>
        <v>0.95842777725687289</v>
      </c>
    </row>
    <row r="21" spans="2:7" x14ac:dyDescent="0.45">
      <c r="B21" s="4">
        <f t="shared" si="1"/>
        <v>0.7</v>
      </c>
      <c r="C21" s="5">
        <f>'Example 1'!$C$9+B21</f>
        <v>40.700000000000003</v>
      </c>
      <c r="D21" s="49">
        <v>0.9994598616565874</v>
      </c>
      <c r="E21" s="27">
        <v>1</v>
      </c>
      <c r="F21" s="25">
        <f>EXP(-B21*'Example 1'!$C$8)</f>
        <v>0.95218112969850488</v>
      </c>
      <c r="G21" s="18">
        <f t="shared" si="0"/>
        <v>0.95166682016048076</v>
      </c>
    </row>
    <row r="22" spans="2:7" x14ac:dyDescent="0.45">
      <c r="B22" s="4">
        <f t="shared" si="1"/>
        <v>0.8</v>
      </c>
      <c r="C22" s="5">
        <f>'Example 1'!$C$9+B22</f>
        <v>40.799999999999997</v>
      </c>
      <c r="D22" s="49">
        <v>0.99938001558403655</v>
      </c>
      <c r="E22" s="27">
        <v>1</v>
      </c>
      <c r="F22" s="25">
        <f>EXP(-B22*'Example 1'!$C$8)</f>
        <v>0.94553913589039629</v>
      </c>
      <c r="G22" s="18">
        <f t="shared" si="0"/>
        <v>0.94495291636146073</v>
      </c>
    </row>
    <row r="23" spans="2:7" x14ac:dyDescent="0.45">
      <c r="B23" s="4">
        <f t="shared" si="1"/>
        <v>0.9</v>
      </c>
      <c r="C23" s="5">
        <f>'Example 1'!$C$9+B23</f>
        <v>40.9</v>
      </c>
      <c r="D23" s="49">
        <v>0.99929949912616278</v>
      </c>
      <c r="E23" s="27">
        <v>1</v>
      </c>
      <c r="F23" s="25">
        <f>EXP(-B23*'Example 1'!$C$8)</f>
        <v>0.93894347368913322</v>
      </c>
      <c r="G23" s="18">
        <f t="shared" si="0"/>
        <v>0.93828574296533018</v>
      </c>
    </row>
    <row r="24" spans="2:7" ht="14.65" thickBot="1" x14ac:dyDescent="0.5">
      <c r="B24" s="8">
        <f t="shared" si="1"/>
        <v>1</v>
      </c>
      <c r="C24" s="13">
        <f>'Example 1'!$C$9+B24</f>
        <v>41</v>
      </c>
      <c r="D24" s="50">
        <v>0.99921831244557169</v>
      </c>
      <c r="E24" s="28">
        <v>0.5</v>
      </c>
      <c r="F24" s="15">
        <f>EXP(-B24*'Example 1'!$C$8)</f>
        <v>0.93239381990594827</v>
      </c>
      <c r="G24" s="19">
        <f t="shared" si="0"/>
        <v>0.46583248963055096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59E8-D23C-41D4-BD90-20BB4A388D29}">
  <dimension ref="A1:F23"/>
  <sheetViews>
    <sheetView tabSelected="1" workbookViewId="0">
      <selection activeCell="F16" sqref="F16"/>
    </sheetView>
  </sheetViews>
  <sheetFormatPr defaultRowHeight="14.25" x14ac:dyDescent="0.45"/>
  <cols>
    <col min="1" max="1" width="11.53125" customWidth="1"/>
    <col min="2" max="2" width="6.86328125" customWidth="1"/>
    <col min="5" max="5" width="16.3984375" customWidth="1"/>
    <col min="6" max="6" width="13.73046875" customWidth="1"/>
  </cols>
  <sheetData>
    <row r="1" spans="1:6" x14ac:dyDescent="0.45">
      <c r="A1" s="29" t="s">
        <v>23</v>
      </c>
    </row>
    <row r="2" spans="1:6" ht="14.65" thickBot="1" x14ac:dyDescent="0.5"/>
    <row r="3" spans="1:6" x14ac:dyDescent="0.45">
      <c r="A3" s="21" t="s">
        <v>11</v>
      </c>
      <c r="B3" s="3"/>
      <c r="D3" s="1" t="s">
        <v>7</v>
      </c>
      <c r="E3" s="2"/>
      <c r="F3" s="3"/>
    </row>
    <row r="4" spans="1:6" x14ac:dyDescent="0.45">
      <c r="A4" s="4"/>
      <c r="B4" s="5"/>
      <c r="D4" s="4" t="s">
        <v>20</v>
      </c>
      <c r="F4" s="5"/>
    </row>
    <row r="5" spans="1:6" ht="14.65" thickBot="1" x14ac:dyDescent="0.5">
      <c r="A5" s="8" t="s">
        <v>15</v>
      </c>
      <c r="B5" s="23">
        <v>0.05</v>
      </c>
      <c r="D5" s="42">
        <f>SUM(E14:E23)</f>
        <v>8.0748639020609492</v>
      </c>
      <c r="E5" s="26" t="s">
        <v>29</v>
      </c>
      <c r="F5" s="5"/>
    </row>
    <row r="6" spans="1:6" x14ac:dyDescent="0.45">
      <c r="D6" s="4" t="s">
        <v>21</v>
      </c>
      <c r="F6" s="5"/>
    </row>
    <row r="7" spans="1:6" x14ac:dyDescent="0.45">
      <c r="D7" s="42">
        <f>F23</f>
        <v>8.0748639020609492</v>
      </c>
      <c r="E7" s="26" t="s">
        <v>28</v>
      </c>
      <c r="F7" s="5"/>
    </row>
    <row r="8" spans="1:6" x14ac:dyDescent="0.45">
      <c r="D8" s="43" t="s">
        <v>22</v>
      </c>
      <c r="E8" s="40"/>
      <c r="F8" s="5"/>
    </row>
    <row r="9" spans="1:6" ht="14.65" thickBot="1" x14ac:dyDescent="0.5">
      <c r="D9" s="44">
        <f>D5-D7</f>
        <v>0</v>
      </c>
      <c r="E9" s="45"/>
      <c r="F9" s="13"/>
    </row>
    <row r="10" spans="1:6" x14ac:dyDescent="0.45">
      <c r="D10" s="41"/>
      <c r="E10" s="40"/>
    </row>
    <row r="11" spans="1:6" ht="14.65" thickBot="1" x14ac:dyDescent="0.5">
      <c r="D11" s="7"/>
      <c r="E11" s="26"/>
    </row>
    <row r="12" spans="1:6" ht="28.9" thickBot="1" x14ac:dyDescent="0.5">
      <c r="A12" s="9" t="s">
        <v>1</v>
      </c>
      <c r="B12" s="10" t="s">
        <v>2</v>
      </c>
      <c r="C12" s="33" t="s">
        <v>3</v>
      </c>
      <c r="D12" s="32" t="s">
        <v>5</v>
      </c>
      <c r="E12" s="32" t="s">
        <v>17</v>
      </c>
      <c r="F12" s="34" t="s">
        <v>19</v>
      </c>
    </row>
    <row r="13" spans="1:6" x14ac:dyDescent="0.45">
      <c r="A13" s="30">
        <v>0</v>
      </c>
      <c r="B13" s="2">
        <f>'Example 1'!$C$9+A13</f>
        <v>40</v>
      </c>
      <c r="C13" s="51">
        <v>1</v>
      </c>
      <c r="D13" s="35">
        <f t="shared" ref="D13:D23" si="0">(1+intRate)^-A13</f>
        <v>1</v>
      </c>
      <c r="E13" s="37" t="s">
        <v>18</v>
      </c>
      <c r="F13" s="36">
        <v>0</v>
      </c>
    </row>
    <row r="14" spans="1:6" x14ac:dyDescent="0.45">
      <c r="A14" s="4">
        <f t="shared" ref="A14:A23" si="1">A13+1</f>
        <v>1</v>
      </c>
      <c r="B14">
        <f>'Example 1'!$C$9+A14</f>
        <v>41</v>
      </c>
      <c r="C14" s="52">
        <v>0.99921831244557169</v>
      </c>
      <c r="D14" s="25">
        <f t="shared" si="0"/>
        <v>0.95238095238095233</v>
      </c>
      <c r="E14" s="38">
        <f t="shared" ref="E14:E23" si="2">C13*D13</f>
        <v>1</v>
      </c>
      <c r="F14" s="16">
        <f t="shared" ref="F14:F23" si="3">F13+C13*D13</f>
        <v>1</v>
      </c>
    </row>
    <row r="15" spans="1:6" x14ac:dyDescent="0.45">
      <c r="A15" s="4">
        <f t="shared" si="1"/>
        <v>2</v>
      </c>
      <c r="B15">
        <f>'Example 1'!$C$9+A15</f>
        <v>42</v>
      </c>
      <c r="C15" s="52">
        <v>0.99836613540226293</v>
      </c>
      <c r="D15" s="25">
        <f t="shared" si="0"/>
        <v>0.90702947845804982</v>
      </c>
      <c r="E15" s="38">
        <f t="shared" si="2"/>
        <v>0.95163648804340151</v>
      </c>
      <c r="F15" s="16">
        <f t="shared" si="3"/>
        <v>1.9516364880434014</v>
      </c>
    </row>
    <row r="16" spans="1:6" x14ac:dyDescent="0.45">
      <c r="A16" s="4">
        <f t="shared" si="1"/>
        <v>3</v>
      </c>
      <c r="B16">
        <f>'Example 1'!$C$9+A16</f>
        <v>43</v>
      </c>
      <c r="C16" s="52">
        <v>0.99743600080842143</v>
      </c>
      <c r="D16" s="25">
        <f t="shared" si="0"/>
        <v>0.86383759853147601</v>
      </c>
      <c r="E16" s="38">
        <f t="shared" si="2"/>
        <v>0.90554751510409326</v>
      </c>
      <c r="F16" s="16">
        <f>F15+C15*D15</f>
        <v>2.8571840031474949</v>
      </c>
    </row>
    <row r="17" spans="1:6" x14ac:dyDescent="0.45">
      <c r="A17" s="4">
        <f t="shared" si="1"/>
        <v>4</v>
      </c>
      <c r="B17">
        <f>'Example 1'!$C$9+A17</f>
        <v>44</v>
      </c>
      <c r="C17" s="52">
        <v>0.99642122584649817</v>
      </c>
      <c r="D17" s="25">
        <f t="shared" si="0"/>
        <v>0.82270247479188197</v>
      </c>
      <c r="E17" s="38">
        <f t="shared" si="2"/>
        <v>0.86162271962718617</v>
      </c>
      <c r="F17" s="16">
        <f t="shared" si="3"/>
        <v>3.7188067227746808</v>
      </c>
    </row>
    <row r="18" spans="1:6" x14ac:dyDescent="0.45">
      <c r="A18" s="4">
        <f t="shared" si="1"/>
        <v>5</v>
      </c>
      <c r="B18">
        <f>'Example 1'!$C$9+A18</f>
        <v>45</v>
      </c>
      <c r="C18" s="52">
        <v>0.99531470877018047</v>
      </c>
      <c r="D18" s="25">
        <f t="shared" si="0"/>
        <v>0.78352616646845896</v>
      </c>
      <c r="E18" s="38">
        <f t="shared" si="2"/>
        <v>0.81975820843907476</v>
      </c>
      <c r="F18" s="16">
        <f t="shared" si="3"/>
        <v>4.5385649312137559</v>
      </c>
    </row>
    <row r="19" spans="1:6" x14ac:dyDescent="0.45">
      <c r="A19" s="4">
        <f t="shared" si="1"/>
        <v>6</v>
      </c>
      <c r="B19">
        <f>'Example 1'!$C$9+A19</f>
        <v>46</v>
      </c>
      <c r="C19" s="52">
        <v>0.99410912578873012</v>
      </c>
      <c r="D19" s="25">
        <f t="shared" si="0"/>
        <v>0.74621539663662761</v>
      </c>
      <c r="E19" s="38">
        <f t="shared" si="2"/>
        <v>0.77985511819237019</v>
      </c>
      <c r="F19" s="16">
        <f t="shared" si="3"/>
        <v>5.318420049406126</v>
      </c>
    </row>
    <row r="20" spans="1:6" x14ac:dyDescent="0.45">
      <c r="A20" s="4">
        <f t="shared" si="1"/>
        <v>7</v>
      </c>
      <c r="B20">
        <f>'Example 1'!$C$9+A20</f>
        <v>47</v>
      </c>
      <c r="C20" s="52">
        <v>0.99279855904059755</v>
      </c>
      <c r="D20" s="25">
        <f t="shared" si="0"/>
        <v>0.71068133013012147</v>
      </c>
      <c r="E20" s="38">
        <f t="shared" si="2"/>
        <v>0.74181953560052838</v>
      </c>
      <c r="F20" s="16">
        <f t="shared" si="3"/>
        <v>6.0602395850066539</v>
      </c>
    </row>
    <row r="21" spans="1:6" x14ac:dyDescent="0.45">
      <c r="A21" s="4">
        <f t="shared" si="1"/>
        <v>8</v>
      </c>
      <c r="B21">
        <f>'Example 1'!$C$9+A21</f>
        <v>48</v>
      </c>
      <c r="C21" s="52">
        <v>0.99137681350404405</v>
      </c>
      <c r="D21" s="25">
        <f t="shared" si="0"/>
        <v>0.67683936202868722</v>
      </c>
      <c r="E21" s="38">
        <f t="shared" si="2"/>
        <v>0.7055634004902398</v>
      </c>
      <c r="F21" s="16">
        <f t="shared" si="3"/>
        <v>6.7658029854968937</v>
      </c>
    </row>
    <row r="22" spans="1:6" x14ac:dyDescent="0.45">
      <c r="A22" s="4">
        <f t="shared" si="1"/>
        <v>9</v>
      </c>
      <c r="B22">
        <f>'Example 1'!$C$9+A22</f>
        <v>49</v>
      </c>
      <c r="C22" s="52">
        <v>0.98983748212126954</v>
      </c>
      <c r="D22" s="25">
        <f t="shared" si="0"/>
        <v>0.64460891621779726</v>
      </c>
      <c r="E22" s="38">
        <f t="shared" si="2"/>
        <v>0.67100284998211002</v>
      </c>
      <c r="F22" s="16">
        <f t="shared" si="3"/>
        <v>7.4368058354790039</v>
      </c>
    </row>
    <row r="23" spans="1:6" ht="14.65" thickBot="1" x14ac:dyDescent="0.5">
      <c r="A23" s="8">
        <f t="shared" si="1"/>
        <v>10</v>
      </c>
      <c r="B23" s="14">
        <f>'Example 1'!$C$9+A23</f>
        <v>50</v>
      </c>
      <c r="C23" s="53">
        <v>0.98817545406497476</v>
      </c>
      <c r="D23" s="15">
        <f t="shared" si="0"/>
        <v>0.61391325354075932</v>
      </c>
      <c r="E23" s="39">
        <f t="shared" si="2"/>
        <v>0.63805806658194486</v>
      </c>
      <c r="F23" s="17">
        <f t="shared" si="3"/>
        <v>8.0748639020609492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colour key</vt:lpstr>
      <vt:lpstr>Example 1</vt:lpstr>
      <vt:lpstr>Example 2</vt:lpstr>
      <vt:lpstr>intRate</vt:lpstr>
      <vt:lpstr>StepSize</vt:lpstr>
      <vt:lpstr>StepSizeQ1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Sharpe, Ian</dc:creator>
  <cp:lastModifiedBy>Sharpe, Ian</cp:lastModifiedBy>
  <dcterms:created xsi:type="dcterms:W3CDTF">2025-07-04T08:48:20Z</dcterms:created>
  <dcterms:modified xsi:type="dcterms:W3CDTF">2025-07-04T14:53:41Z</dcterms:modified>
</cp:coreProperties>
</file>