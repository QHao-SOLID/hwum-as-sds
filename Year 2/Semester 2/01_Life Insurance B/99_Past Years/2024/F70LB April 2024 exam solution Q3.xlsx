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otwatt-my.sharepoint.com/personal/pr100_hw_ac_uk/Documents/Desktop/F70LB and F71BF/Exams/April 2024/"/>
    </mc:Choice>
  </mc:AlternateContent>
  <xr:revisionPtr revIDLastSave="0" documentId="8_{343A6097-E4A3-4CC9-8E3B-35C40EF97391}" xr6:coauthVersionLast="47" xr6:coauthVersionMax="47" xr10:uidLastSave="{00000000-0000-0000-0000-000000000000}"/>
  <bookViews>
    <workbookView xWindow="28680" yWindow="-120" windowWidth="29040" windowHeight="15720" xr2:uid="{2B927005-7A9E-4D99-AC95-DD26BC7FEB7E}"/>
  </bookViews>
  <sheets>
    <sheet name="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E29" i="1"/>
  <c r="D29" i="1"/>
  <c r="D28" i="1"/>
  <c r="M18" i="1"/>
  <c r="L18" i="1"/>
  <c r="L17" i="1"/>
  <c r="M17" i="1"/>
  <c r="J18" i="1"/>
  <c r="J17" i="1"/>
  <c r="I18" i="1"/>
  <c r="I17" i="1"/>
  <c r="H18" i="1"/>
  <c r="H17" i="1"/>
  <c r="G18" i="1"/>
  <c r="G17" i="1"/>
  <c r="F18" i="1"/>
  <c r="F17" i="1"/>
  <c r="D18" i="1"/>
  <c r="D17" i="1"/>
  <c r="Q8" i="1"/>
  <c r="P8" i="1"/>
  <c r="P7" i="1"/>
  <c r="Q7" i="1"/>
  <c r="O7" i="1"/>
  <c r="J8" i="1"/>
  <c r="J7" i="1"/>
  <c r="G8" i="1"/>
  <c r="G7" i="1"/>
  <c r="K7" i="1" s="1"/>
  <c r="K8" i="1" l="1"/>
  <c r="M8" i="1" s="1"/>
  <c r="M7" i="1"/>
  <c r="N7" i="1" s="1"/>
  <c r="N8" i="1" l="1"/>
  <c r="O8" i="1" s="1"/>
</calcChain>
</file>

<file path=xl/sharedStrings.xml><?xml version="1.0" encoding="utf-8"?>
<sst xmlns="http://schemas.openxmlformats.org/spreadsheetml/2006/main" count="34" uniqueCount="28">
  <si>
    <t>Year</t>
  </si>
  <si>
    <t>Premium</t>
  </si>
  <si>
    <t>Allocation factor</t>
  </si>
  <si>
    <t>Bid/offer spread</t>
  </si>
  <si>
    <t>Premium allocated</t>
  </si>
  <si>
    <t>Policy fee</t>
  </si>
  <si>
    <t>Fund return</t>
  </si>
  <si>
    <t>Year-end fund (1)</t>
  </si>
  <si>
    <t>FMC rate</t>
  </si>
  <si>
    <t>FMC</t>
  </si>
  <si>
    <t>Fund after FMC</t>
  </si>
  <si>
    <t>Mortality charge</t>
  </si>
  <si>
    <t>Year-end fund (2)</t>
  </si>
  <si>
    <t>1. Unit fund</t>
  </si>
  <si>
    <t>Purple numbers are taken from the question.</t>
  </si>
  <si>
    <t>Fund return multiplier</t>
  </si>
  <si>
    <t>Sum at risk</t>
  </si>
  <si>
    <t>2. Sterling fund</t>
  </si>
  <si>
    <t>Unallocated premium</t>
  </si>
  <si>
    <t>Expense</t>
  </si>
  <si>
    <t>Interest</t>
  </si>
  <si>
    <t>Fund management cost</t>
  </si>
  <si>
    <t>q</t>
  </si>
  <si>
    <t>Death cost</t>
  </si>
  <si>
    <t>SFC</t>
  </si>
  <si>
    <t>3. Profit test</t>
  </si>
  <si>
    <r>
      <rPr>
        <vertAlign val="subscript"/>
        <sz val="11"/>
        <color theme="1"/>
        <rFont val="Aptos Narrow"/>
        <family val="2"/>
        <scheme val="minor"/>
      </rPr>
      <t>t-1</t>
    </r>
    <r>
      <rPr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</si>
  <si>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σ</t>
    </r>
    <r>
      <rPr>
        <vertAlign val="subscript"/>
        <sz val="11"/>
        <color theme="1"/>
        <rFont val="Aptos Narrow"/>
        <family val="2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</si>
</sst>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166" formatCode="&quot;£&quot;#,##0.00"/>
    <numFmt numFmtId="167" formatCode="0.0%"/>
    <numFmt numFmtId="170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2" fontId="3" fillId="0" borderId="0" xfId="0" applyNumberFormat="1" applyFont="1"/>
    <xf numFmtId="167" fontId="2" fillId="0" borderId="0" xfId="0" applyNumberFormat="1" applyFont="1"/>
    <xf numFmtId="6" fontId="2" fillId="0" borderId="0" xfId="0" applyNumberFormat="1" applyFont="1"/>
    <xf numFmtId="166" fontId="1" fillId="2" borderId="0" xfId="0" applyNumberFormat="1" applyFont="1" applyFill="1"/>
    <xf numFmtId="0" fontId="0" fillId="0" borderId="0" xfId="0" applyAlignment="1">
      <alignment wrapText="1"/>
    </xf>
    <xf numFmtId="170" fontId="0" fillId="0" borderId="0" xfId="0" applyNumberForma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7E05-08C2-4BE3-9872-685F5BBDA5A1}">
  <dimension ref="C3:T29"/>
  <sheetViews>
    <sheetView tabSelected="1" workbookViewId="0">
      <selection activeCell="E33" sqref="E33"/>
    </sheetView>
  </sheetViews>
  <sheetFormatPr defaultRowHeight="14.5" x14ac:dyDescent="0.35"/>
  <cols>
    <col min="4" max="4" width="12.08984375" customWidth="1"/>
    <col min="5" max="5" width="11.1796875" customWidth="1"/>
    <col min="7" max="7" width="8.90625" bestFit="1" customWidth="1"/>
    <col min="9" max="9" width="13.26953125" customWidth="1"/>
    <col min="10" max="10" width="11.81640625" customWidth="1"/>
    <col min="11" max="11" width="8.90625" bestFit="1" customWidth="1"/>
    <col min="14" max="14" width="8.90625" bestFit="1" customWidth="1"/>
    <col min="15" max="15" width="8.90625" customWidth="1"/>
    <col min="17" max="17" width="8.90625" bestFit="1" customWidth="1"/>
  </cols>
  <sheetData>
    <row r="3" spans="3:20" x14ac:dyDescent="0.35">
      <c r="C3" s="3" t="s">
        <v>13</v>
      </c>
      <c r="O3" s="10">
        <v>3000</v>
      </c>
      <c r="P3" s="5">
        <v>0.01</v>
      </c>
    </row>
    <row r="5" spans="3:20" s="2" customFormat="1" ht="29" x14ac:dyDescent="0.3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15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16</v>
      </c>
      <c r="P5" s="2" t="s">
        <v>11</v>
      </c>
      <c r="Q5" s="2" t="s">
        <v>12</v>
      </c>
    </row>
    <row r="6" spans="3:20" x14ac:dyDescent="0.35">
      <c r="C6">
        <v>0</v>
      </c>
      <c r="Q6">
        <v>0</v>
      </c>
      <c r="T6" s="4" t="s">
        <v>14</v>
      </c>
    </row>
    <row r="7" spans="3:20" x14ac:dyDescent="0.35">
      <c r="C7">
        <v>1</v>
      </c>
      <c r="D7" s="6">
        <v>2000</v>
      </c>
      <c r="E7" s="4">
        <v>0.97</v>
      </c>
      <c r="F7" s="5">
        <v>0.04</v>
      </c>
      <c r="G7" s="7">
        <f>D7*E7*(1-F7)</f>
        <v>1862.3999999999999</v>
      </c>
      <c r="H7" s="6">
        <v>-25</v>
      </c>
      <c r="I7" s="5">
        <v>0.01</v>
      </c>
      <c r="J7" s="8">
        <f>1+I7</f>
        <v>1.01</v>
      </c>
      <c r="K7" s="7">
        <f>(Q6+G7+H7)*J7</f>
        <v>1855.7739999999999</v>
      </c>
      <c r="L7" s="9">
        <v>1.4999999999999999E-2</v>
      </c>
      <c r="M7" s="7">
        <f>-K7*L7</f>
        <v>-27.836609999999997</v>
      </c>
      <c r="N7" s="7">
        <f>K7+M7</f>
        <v>1827.9373899999998</v>
      </c>
      <c r="O7" s="7">
        <f>MAX(0, O$3-N7)</f>
        <v>1172.0626100000002</v>
      </c>
      <c r="P7" s="7">
        <f>-P$3*O7</f>
        <v>-11.720626100000002</v>
      </c>
      <c r="Q7" s="7">
        <f>N7+P7</f>
        <v>1816.2167638999999</v>
      </c>
    </row>
    <row r="8" spans="3:20" x14ac:dyDescent="0.35">
      <c r="C8">
        <v>2</v>
      </c>
      <c r="D8" s="6">
        <v>2000</v>
      </c>
      <c r="E8" s="4">
        <v>1.02</v>
      </c>
      <c r="F8" s="5">
        <v>0.04</v>
      </c>
      <c r="G8" s="7">
        <f>D8*E8*(1-F8)</f>
        <v>1958.3999999999999</v>
      </c>
      <c r="H8" s="6">
        <v>-25</v>
      </c>
      <c r="I8" s="5">
        <v>-0.03</v>
      </c>
      <c r="J8" s="8">
        <f>1+I8</f>
        <v>0.97</v>
      </c>
      <c r="K8" s="7">
        <f>(Q7+G8+H8)*J8</f>
        <v>3637.1282609829996</v>
      </c>
      <c r="L8" s="9">
        <v>1.4999999999999999E-2</v>
      </c>
      <c r="M8" s="7">
        <f>-K8*L8</f>
        <v>-54.556923914744992</v>
      </c>
      <c r="N8" s="7">
        <f>K8+M8</f>
        <v>3582.5713370682547</v>
      </c>
      <c r="O8" s="7">
        <f>MAX(0, O$3-N8)</f>
        <v>0</v>
      </c>
      <c r="P8" s="7">
        <f>-P$3*O8</f>
        <v>0</v>
      </c>
      <c r="Q8" s="11">
        <f>N8+P8</f>
        <v>3582.5713370682547</v>
      </c>
    </row>
    <row r="13" spans="3:20" x14ac:dyDescent="0.35">
      <c r="C13" s="3" t="s">
        <v>17</v>
      </c>
    </row>
    <row r="14" spans="3:20" x14ac:dyDescent="0.35">
      <c r="G14" s="5">
        <v>0.01</v>
      </c>
      <c r="I14" s="9">
        <v>5.0000000000000001E-3</v>
      </c>
    </row>
    <row r="15" spans="3:20" s="1" customFormat="1" ht="43.5" x14ac:dyDescent="0.35">
      <c r="C15" s="2" t="s">
        <v>0</v>
      </c>
      <c r="D15" s="2" t="s">
        <v>18</v>
      </c>
      <c r="E15" s="1" t="s">
        <v>19</v>
      </c>
      <c r="F15" s="2" t="s">
        <v>5</v>
      </c>
      <c r="G15" s="1" t="s">
        <v>20</v>
      </c>
      <c r="H15" s="2" t="s">
        <v>9</v>
      </c>
      <c r="I15" s="2" t="s">
        <v>21</v>
      </c>
      <c r="J15" s="2" t="s">
        <v>11</v>
      </c>
      <c r="K15" s="1" t="s">
        <v>22</v>
      </c>
      <c r="L15" s="2" t="s">
        <v>23</v>
      </c>
      <c r="M15" s="1" t="s">
        <v>24</v>
      </c>
    </row>
    <row r="16" spans="3:20" x14ac:dyDescent="0.35">
      <c r="C16">
        <v>0</v>
      </c>
      <c r="I16" s="12"/>
    </row>
    <row r="17" spans="3:13" x14ac:dyDescent="0.35">
      <c r="C17">
        <v>1</v>
      </c>
      <c r="D17" s="7">
        <f>D7-G7</f>
        <v>137.60000000000014</v>
      </c>
      <c r="E17" s="6">
        <v>-250</v>
      </c>
      <c r="F17" s="6">
        <f>-H7</f>
        <v>25</v>
      </c>
      <c r="G17" s="7">
        <f>G$14*SUM(D17:F17)</f>
        <v>-0.87399999999999867</v>
      </c>
      <c r="H17" s="7">
        <f>-M7</f>
        <v>27.836609999999997</v>
      </c>
      <c r="I17" s="7">
        <f>-I$14*Q7</f>
        <v>-9.0810838194999999</v>
      </c>
      <c r="J17" s="7">
        <f>-P7</f>
        <v>11.720626100000002</v>
      </c>
      <c r="K17" s="4">
        <v>2E-3</v>
      </c>
      <c r="L17" s="7">
        <f>-K17*O7</f>
        <v>-2.3441252200000005</v>
      </c>
      <c r="M17" s="7">
        <f>SUM(D17:J17)+L17</f>
        <v>-60.141972939499858</v>
      </c>
    </row>
    <row r="18" spans="3:13" x14ac:dyDescent="0.35">
      <c r="C18">
        <v>2</v>
      </c>
      <c r="D18" s="7">
        <f>D8-G8</f>
        <v>41.600000000000136</v>
      </c>
      <c r="E18" s="6">
        <v>-20</v>
      </c>
      <c r="F18" s="6">
        <f>-H8</f>
        <v>25</v>
      </c>
      <c r="G18" s="7">
        <f>G$14*SUM(D18:F18)</f>
        <v>0.46600000000000136</v>
      </c>
      <c r="H18" s="7">
        <f>-M8</f>
        <v>54.556923914744992</v>
      </c>
      <c r="I18" s="7">
        <f>-I$14*Q8</f>
        <v>-17.912856685341275</v>
      </c>
      <c r="J18" s="7">
        <f>-P8</f>
        <v>0</v>
      </c>
      <c r="K18" s="4">
        <v>3.0000000000000001E-3</v>
      </c>
      <c r="L18" s="7">
        <f>-K18*O8</f>
        <v>0</v>
      </c>
      <c r="M18" s="7">
        <f>SUM(D18:J18)+L18</f>
        <v>83.710067229403847</v>
      </c>
    </row>
    <row r="23" spans="3:13" x14ac:dyDescent="0.35">
      <c r="C23" s="3" t="s">
        <v>25</v>
      </c>
    </row>
    <row r="26" spans="3:13" s="1" customFormat="1" ht="16.5" x14ac:dyDescent="0.45">
      <c r="C26" s="2" t="s">
        <v>0</v>
      </c>
      <c r="D26" s="1" t="s">
        <v>24</v>
      </c>
      <c r="E26" s="1" t="s">
        <v>26</v>
      </c>
      <c r="F26" s="14" t="s">
        <v>27</v>
      </c>
    </row>
    <row r="27" spans="3:13" x14ac:dyDescent="0.35">
      <c r="C27">
        <v>0</v>
      </c>
    </row>
    <row r="28" spans="3:13" x14ac:dyDescent="0.35">
      <c r="C28">
        <v>1</v>
      </c>
      <c r="D28" s="7">
        <f>M17</f>
        <v>-60.141972939499858</v>
      </c>
      <c r="E28" s="13">
        <v>1</v>
      </c>
      <c r="F28" s="7">
        <f>D28*E28</f>
        <v>-60.141972939499858</v>
      </c>
    </row>
    <row r="29" spans="3:13" x14ac:dyDescent="0.35">
      <c r="C29">
        <v>2</v>
      </c>
      <c r="D29" s="7">
        <f>M18</f>
        <v>83.710067229403847</v>
      </c>
      <c r="E29" s="13">
        <f>E28*(1-K17)</f>
        <v>0.998</v>
      </c>
      <c r="F29" s="7">
        <f>D29*E29</f>
        <v>83.542647094945039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Ridges, Peter</dc:creator>
  <cp:lastModifiedBy>Ridges, Peter</cp:lastModifiedBy>
  <dcterms:created xsi:type="dcterms:W3CDTF">2025-04-02T09:15:39Z</dcterms:created>
  <dcterms:modified xsi:type="dcterms:W3CDTF">2025-04-02T09:51:15Z</dcterms:modified>
</cp:coreProperties>
</file>