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:\.windows_settings\Desktop\F70LB and F71BF\Exams\April 2023\"/>
    </mc:Choice>
  </mc:AlternateContent>
  <xr:revisionPtr revIDLastSave="0" documentId="13_ncr:1_{7DDFEC03-E7A5-4DE8-B29B-0D945107AAE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Q1" sheetId="2" r:id="rId1"/>
    <sheet name="Q2" sheetId="3" r:id="rId2"/>
    <sheet name="Q3" sheetId="4" r:id="rId3"/>
    <sheet name="Q4" sheetId="5" r:id="rId4"/>
    <sheet name="Q7" sheetId="6" r:id="rId5"/>
    <sheet name="Q8" sheetId="1" r:id="rId6"/>
  </sheets>
  <definedNames>
    <definedName name="i">'Q8'!$T$7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I25" i="2"/>
  <c r="E15" i="2"/>
  <c r="E14" i="2"/>
  <c r="I10" i="2"/>
  <c r="E3" i="6"/>
  <c r="E5" i="6" s="1"/>
  <c r="H5" i="6" s="1"/>
  <c r="I5" i="6" l="1"/>
  <c r="J5" i="6" s="1"/>
  <c r="K5" i="6"/>
  <c r="L5" i="6" s="1"/>
  <c r="M5" i="6" s="1"/>
  <c r="J7" i="5"/>
  <c r="J8" i="5"/>
  <c r="J9" i="5"/>
  <c r="J6" i="5"/>
  <c r="I7" i="5"/>
  <c r="K7" i="5" s="1"/>
  <c r="I8" i="5"/>
  <c r="K8" i="5" s="1"/>
  <c r="I9" i="5"/>
  <c r="K9" i="5" s="1"/>
  <c r="I6" i="5"/>
  <c r="K6" i="5" s="1"/>
  <c r="H10" i="5"/>
  <c r="G10" i="5"/>
  <c r="F10" i="5"/>
  <c r="E10" i="5"/>
  <c r="F13" i="5" l="1"/>
  <c r="H13" i="5"/>
  <c r="K10" i="5"/>
  <c r="K13" i="5" s="1"/>
  <c r="D21" i="4"/>
  <c r="I11" i="4"/>
  <c r="I10" i="4"/>
  <c r="I14" i="4" s="1"/>
  <c r="I16" i="4" s="1"/>
  <c r="E7" i="4"/>
  <c r="D7" i="3"/>
  <c r="D5" i="3"/>
  <c r="D4" i="3"/>
  <c r="E10" i="3" s="1"/>
  <c r="I24" i="2"/>
  <c r="E29" i="2" s="1"/>
  <c r="I9" i="2"/>
  <c r="E16" i="2" s="1"/>
  <c r="D22" i="2"/>
  <c r="I8" i="2"/>
  <c r="D23" i="2" l="1"/>
  <c r="E31" i="2"/>
  <c r="G31" i="1"/>
  <c r="G26" i="1"/>
  <c r="H26" i="1" s="1"/>
  <c r="F22" i="1"/>
  <c r="G21" i="1"/>
  <c r="G16" i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7" i="1"/>
  <c r="R12" i="1"/>
  <c r="F11" i="1"/>
  <c r="E11" i="1"/>
  <c r="G5" i="1"/>
  <c r="G11" i="1" l="1"/>
  <c r="H5" i="1"/>
  <c r="G22" i="1"/>
  <c r="H21" i="1"/>
  <c r="F27" i="1"/>
  <c r="H31" i="1"/>
  <c r="I26" i="1"/>
  <c r="H27" i="1"/>
  <c r="H32" i="1" s="1"/>
  <c r="G27" i="1"/>
  <c r="G32" i="1" s="1"/>
  <c r="F32" i="1" l="1"/>
  <c r="I21" i="1"/>
  <c r="H22" i="1"/>
  <c r="H11" i="1"/>
  <c r="I5" i="1"/>
  <c r="I31" i="1"/>
  <c r="J31" i="1" s="1"/>
  <c r="J26" i="1"/>
  <c r="I11" i="1" l="1"/>
  <c r="J5" i="1"/>
  <c r="J21" i="1"/>
  <c r="I22" i="1"/>
  <c r="K31" i="1"/>
  <c r="L31" i="1" s="1"/>
  <c r="J27" i="1"/>
  <c r="J32" i="1" s="1"/>
  <c r="K26" i="1"/>
  <c r="K21" i="1" l="1"/>
  <c r="J22" i="1"/>
  <c r="I27" i="1" s="1"/>
  <c r="J11" i="1"/>
  <c r="K5" i="1"/>
  <c r="M31" i="1"/>
  <c r="L26" i="1"/>
  <c r="L5" i="1" l="1"/>
  <c r="K11" i="1"/>
  <c r="I32" i="1"/>
  <c r="L21" i="1"/>
  <c r="K22" i="1"/>
  <c r="N31" i="1"/>
  <c r="O31" i="1" s="1"/>
  <c r="M26" i="1"/>
  <c r="L27" i="1"/>
  <c r="L32" i="1" s="1"/>
  <c r="M21" i="1" l="1"/>
  <c r="L22" i="1"/>
  <c r="M5" i="1"/>
  <c r="L11" i="1"/>
  <c r="P31" i="1"/>
  <c r="M27" i="1"/>
  <c r="M32" i="1" s="1"/>
  <c r="N26" i="1"/>
  <c r="N5" i="1" l="1"/>
  <c r="M11" i="1"/>
  <c r="N21" i="1"/>
  <c r="M22" i="1"/>
  <c r="K27" i="1" s="1"/>
  <c r="Q31" i="1"/>
  <c r="O26" i="1"/>
  <c r="K32" i="1" l="1"/>
  <c r="O21" i="1"/>
  <c r="N22" i="1"/>
  <c r="O5" i="1"/>
  <c r="N11" i="1"/>
  <c r="P26" i="1"/>
  <c r="O27" i="1"/>
  <c r="O32" i="1" s="1"/>
  <c r="P5" i="1" l="1"/>
  <c r="O11" i="1"/>
  <c r="P21" i="1"/>
  <c r="O22" i="1"/>
  <c r="Q26" i="1"/>
  <c r="P27" i="1"/>
  <c r="P32" i="1" s="1"/>
  <c r="Q21" i="1" l="1"/>
  <c r="Q22" i="1" s="1"/>
  <c r="P22" i="1"/>
  <c r="N27" i="1" s="1"/>
  <c r="P11" i="1"/>
  <c r="Q5" i="1"/>
  <c r="Q11" i="1" s="1"/>
  <c r="N32" i="1" l="1"/>
  <c r="R22" i="1"/>
  <c r="Q27" i="1"/>
  <c r="Q32" i="1" l="1"/>
  <c r="R27" i="1"/>
  <c r="R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Ridges Local User</author>
  </authors>
  <commentList>
    <comment ref="D6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Peter Ridges Local User:</t>
        </r>
        <r>
          <rPr>
            <sz val="9"/>
            <color indexed="81"/>
            <rFont val="Tahoma"/>
            <charset val="1"/>
          </rPr>
          <t xml:space="preserve">
Not used.</t>
        </r>
      </text>
    </comment>
  </commentList>
</comments>
</file>

<file path=xl/sharedStrings.xml><?xml version="1.0" encoding="utf-8"?>
<sst xmlns="http://schemas.openxmlformats.org/spreadsheetml/2006/main" count="96" uniqueCount="76">
  <si>
    <t>S</t>
  </si>
  <si>
    <t>P</t>
  </si>
  <si>
    <r>
      <t>q</t>
    </r>
    <r>
      <rPr>
        <vertAlign val="subscript"/>
        <sz val="11"/>
        <color theme="1"/>
        <rFont val="Calibri"/>
        <family val="2"/>
        <scheme val="minor"/>
      </rPr>
      <t>52</t>
    </r>
  </si>
  <si>
    <r>
      <t>p</t>
    </r>
    <r>
      <rPr>
        <vertAlign val="subscript"/>
        <sz val="11"/>
        <color theme="1"/>
        <rFont val="Calibri"/>
        <family val="2"/>
        <scheme val="minor"/>
      </rPr>
      <t>52</t>
    </r>
  </si>
  <si>
    <t>1+i</t>
  </si>
  <si>
    <r>
      <t>(1+i)</t>
    </r>
    <r>
      <rPr>
        <vertAlign val="superscript"/>
        <sz val="11"/>
        <color theme="1"/>
        <rFont val="Calibri"/>
        <family val="2"/>
        <scheme val="minor"/>
      </rPr>
      <t>0.5</t>
    </r>
  </si>
  <si>
    <t>V(52)</t>
  </si>
  <si>
    <t>LHS of equation=</t>
  </si>
  <si>
    <t>(LHS-qS) /p</t>
  </si>
  <si>
    <r>
      <rPr>
        <vertAlign val="sub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52</t>
    </r>
  </si>
  <si>
    <r>
      <rPr>
        <vertAlign val="sub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52</t>
    </r>
  </si>
  <si>
    <t>qS</t>
  </si>
  <si>
    <t>t</t>
  </si>
  <si>
    <t>Movements</t>
  </si>
  <si>
    <r>
      <t>μ</t>
    </r>
    <r>
      <rPr>
        <vertAlign val="subscript"/>
        <sz val="11"/>
        <color theme="1"/>
        <rFont val="Calibri"/>
        <family val="2"/>
        <scheme val="minor"/>
      </rPr>
      <t>01</t>
    </r>
  </si>
  <si>
    <t>healthy</t>
  </si>
  <si>
    <r>
      <t>μ</t>
    </r>
    <r>
      <rPr>
        <vertAlign val="subscript"/>
        <sz val="11"/>
        <color theme="1"/>
        <rFont val="Calibri"/>
        <family val="2"/>
        <scheme val="minor"/>
      </rPr>
      <t>10</t>
    </r>
  </si>
  <si>
    <t>ill</t>
  </si>
  <si>
    <r>
      <t>μ</t>
    </r>
    <r>
      <rPr>
        <vertAlign val="subscript"/>
        <sz val="11"/>
        <color theme="1"/>
        <rFont val="Calibri"/>
        <family val="2"/>
        <scheme val="minor"/>
      </rPr>
      <t>02</t>
    </r>
  </si>
  <si>
    <t>dead</t>
  </si>
  <si>
    <r>
      <t>μ</t>
    </r>
    <r>
      <rPr>
        <vertAlign val="subscript"/>
        <sz val="11"/>
        <color theme="1"/>
        <rFont val="Calibri"/>
        <family val="2"/>
        <scheme val="minor"/>
      </rPr>
      <t>12</t>
    </r>
  </si>
  <si>
    <t>E(ill)</t>
  </si>
  <si>
    <t>(a)</t>
  </si>
  <si>
    <t>(b)</t>
  </si>
  <si>
    <r>
      <t>q</t>
    </r>
    <r>
      <rPr>
        <vertAlign val="subscript"/>
        <sz val="11"/>
        <color theme="1"/>
        <rFont val="Calibri"/>
        <family val="2"/>
        <scheme val="minor"/>
      </rPr>
      <t>60</t>
    </r>
  </si>
  <si>
    <r>
      <t>p</t>
    </r>
    <r>
      <rPr>
        <vertAlign val="subscript"/>
        <sz val="11"/>
        <color theme="1"/>
        <rFont val="Calibri"/>
        <family val="2"/>
        <scheme val="minor"/>
      </rPr>
      <t>60</t>
    </r>
  </si>
  <si>
    <r>
      <t>q</t>
    </r>
    <r>
      <rPr>
        <vertAlign val="subscript"/>
        <sz val="11"/>
        <color theme="1"/>
        <rFont val="Calibri"/>
        <family val="2"/>
        <scheme val="minor"/>
      </rPr>
      <t>58</t>
    </r>
  </si>
  <si>
    <r>
      <t>p</t>
    </r>
    <r>
      <rPr>
        <vertAlign val="subscript"/>
        <sz val="11"/>
        <color theme="1"/>
        <rFont val="Calibri"/>
        <family val="2"/>
        <scheme val="minor"/>
      </rPr>
      <t>58</t>
    </r>
  </si>
  <si>
    <r>
      <t>p</t>
    </r>
    <r>
      <rPr>
        <vertAlign val="subscript"/>
        <sz val="11"/>
        <color theme="1"/>
        <rFont val="Calibri"/>
        <family val="2"/>
        <scheme val="minor"/>
      </rPr>
      <t>60:60:58</t>
    </r>
  </si>
  <si>
    <r>
      <t>q</t>
    </r>
    <r>
      <rPr>
        <vertAlign val="subscript"/>
        <sz val="11"/>
        <color theme="1"/>
        <rFont val="Calibri"/>
        <family val="2"/>
        <scheme val="minor"/>
      </rPr>
      <t>60:58</t>
    </r>
  </si>
  <si>
    <t xml:space="preserve">(c) </t>
  </si>
  <si>
    <t>Age group</t>
  </si>
  <si>
    <t>Town A population</t>
  </si>
  <si>
    <t>Town A deaths</t>
  </si>
  <si>
    <t>Country population</t>
  </si>
  <si>
    <t>Country deaths</t>
  </si>
  <si>
    <r>
      <t>q</t>
    </r>
    <r>
      <rPr>
        <vertAlign val="subscript"/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A</t>
    </r>
  </si>
  <si>
    <r>
      <t>q</t>
    </r>
    <r>
      <rPr>
        <vertAlign val="subscript"/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 xml:space="preserve">Country </t>
    </r>
    <r>
      <rPr>
        <sz val="11"/>
        <color theme="1"/>
        <rFont val="Calibri"/>
        <family val="2"/>
        <scheme val="minor"/>
      </rPr>
      <t>(not used)</t>
    </r>
  </si>
  <si>
    <t>Notional deaths for country</t>
  </si>
  <si>
    <t>0-29</t>
  </si>
  <si>
    <t>30-59</t>
  </si>
  <si>
    <t>60-79</t>
  </si>
  <si>
    <t>80+</t>
  </si>
  <si>
    <t>Total</t>
  </si>
  <si>
    <t>Premium</t>
  </si>
  <si>
    <t>Spread</t>
  </si>
  <si>
    <t>Year</t>
  </si>
  <si>
    <t>Allocation rate</t>
  </si>
  <si>
    <t>Allocated premium</t>
  </si>
  <si>
    <t>Policy fee</t>
  </si>
  <si>
    <t>Growth</t>
  </si>
  <si>
    <t>Year-end fund before charges</t>
  </si>
  <si>
    <t>Fund management charge</t>
  </si>
  <si>
    <t>Fund after FMC</t>
  </si>
  <si>
    <t>Sum at risk</t>
  </si>
  <si>
    <t>Mortality charge</t>
  </si>
  <si>
    <t>Year-end fund after charges</t>
  </si>
  <si>
    <t>…..</t>
  </si>
  <si>
    <t>+2</t>
  </si>
  <si>
    <t>-1</t>
  </si>
  <si>
    <t>+1</t>
  </si>
  <si>
    <t>+3</t>
  </si>
  <si>
    <t>-2</t>
  </si>
  <si>
    <t>+5</t>
  </si>
  <si>
    <t>0</t>
  </si>
  <si>
    <t>-3</t>
  </si>
  <si>
    <t>+7</t>
  </si>
  <si>
    <t>Same but different formatting</t>
  </si>
  <si>
    <t>Remove negatives,</t>
  </si>
  <si>
    <t>assume zero interest.</t>
  </si>
  <si>
    <t>All discounted</t>
  </si>
  <si>
    <t>assume 3% interest.</t>
  </si>
  <si>
    <r>
      <rPr>
        <vertAlign val="subscript"/>
        <sz val="11"/>
        <color theme="1"/>
        <rFont val="Calibri"/>
        <family val="2"/>
        <scheme val="minor"/>
      </rPr>
      <t>0.5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52</t>
    </r>
  </si>
  <si>
    <r>
      <t xml:space="preserve">[V(52) + P] (1+i) + </t>
    </r>
    <r>
      <rPr>
        <vertAlign val="subscript"/>
        <sz val="11"/>
        <color rgb="FF000000"/>
        <rFont val="Arial"/>
        <family val="2"/>
      </rPr>
      <t>0.5</t>
    </r>
    <r>
      <rPr>
        <sz val="11"/>
        <color rgb="FF000000"/>
        <rFont val="Arial"/>
      </rPr>
      <t>p</t>
    </r>
    <r>
      <rPr>
        <vertAlign val="subscript"/>
        <sz val="11"/>
        <color rgb="FF000000"/>
        <rFont val="Arial"/>
        <family val="2"/>
      </rPr>
      <t>52</t>
    </r>
    <r>
      <rPr>
        <sz val="11"/>
        <color rgb="FF000000"/>
        <rFont val="Arial"/>
      </rPr>
      <t xml:space="preserve"> P (1+i)</t>
    </r>
    <r>
      <rPr>
        <vertAlign val="superscript"/>
        <sz val="11"/>
        <color rgb="FF000000"/>
        <rFont val="Arial"/>
      </rPr>
      <t>0.5</t>
    </r>
    <r>
      <rPr>
        <sz val="11"/>
        <color rgb="FF000000"/>
        <rFont val="Arial"/>
      </rPr>
      <t xml:space="preserve"> = qS  + p V(53) </t>
    </r>
  </si>
  <si>
    <r>
      <t>(b) [V(52) + P]   (1+i)</t>
    </r>
    <r>
      <rPr>
        <vertAlign val="super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 xml:space="preserve"> =    </t>
    </r>
    <r>
      <rPr>
        <vertAlign val="sub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 xml:space="preserve">52 </t>
    </r>
    <r>
      <rPr>
        <sz val="11"/>
        <color theme="1"/>
        <rFont val="Calibri"/>
        <family val="2"/>
        <scheme val="minor"/>
      </rPr>
      <t>S v</t>
    </r>
    <r>
      <rPr>
        <vertAlign val="superscript"/>
        <sz val="11"/>
        <color theme="1"/>
        <rFont val="Calibri"/>
        <family val="2"/>
        <scheme val="minor"/>
      </rPr>
      <t>0.8</t>
    </r>
    <r>
      <rPr>
        <sz val="11"/>
        <color theme="1"/>
        <rFont val="Calibri"/>
        <family val="2"/>
        <scheme val="minor"/>
      </rPr>
      <t xml:space="preserve"> + </t>
    </r>
    <r>
      <rPr>
        <vertAlign val="sub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 xml:space="preserve">   V (52.2)</t>
    </r>
  </si>
  <si>
    <r>
      <t>qS v</t>
    </r>
    <r>
      <rPr>
        <vertAlign val="superscript"/>
        <sz val="11"/>
        <color theme="1"/>
        <rFont val="Calibri"/>
        <family val="2"/>
        <scheme val="minor"/>
      </rPr>
      <t>0.8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</si>
</sst>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£&quot;#,##0;[Red]\-&quot;£&quot;#,##0"/>
    <numFmt numFmtId="8" formatCode="&quot;£&quot;#,##0.00;[Red]\-&quot;£&quot;#,##0.00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000000"/>
    <numFmt numFmtId="167" formatCode="0.000000"/>
    <numFmt numFmtId="168" formatCode="0.0000"/>
    <numFmt numFmtId="169" formatCode="0.00000"/>
    <numFmt numFmtId="170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</font>
    <font>
      <vertAlign val="superscript"/>
      <sz val="11"/>
      <color rgb="FF000000"/>
      <name val="Arial"/>
    </font>
    <font>
      <vertAlign val="subscript"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3" fillId="0" borderId="0" xfId="0" applyFont="1"/>
    <xf numFmtId="2" fontId="0" fillId="2" borderId="5" xfId="0" applyNumberFormat="1" applyFill="1" applyBorder="1" applyAlignment="1">
      <alignment horizontal="right"/>
    </xf>
    <xf numFmtId="2" fontId="0" fillId="0" borderId="0" xfId="0" applyNumberFormat="1"/>
    <xf numFmtId="165" fontId="0" fillId="2" borderId="7" xfId="1" applyNumberFormat="1" applyFont="1" applyFill="1" applyBorder="1" applyAlignment="1">
      <alignment horizontal="right"/>
    </xf>
    <xf numFmtId="43" fontId="0" fillId="2" borderId="3" xfId="1" applyFont="1" applyFill="1" applyBorder="1" applyAlignment="1">
      <alignment horizontal="right"/>
    </xf>
    <xf numFmtId="43" fontId="0" fillId="2" borderId="5" xfId="1" applyFont="1" applyFill="1" applyBorder="1" applyAlignment="1">
      <alignment horizontal="right"/>
    </xf>
    <xf numFmtId="43" fontId="0" fillId="0" borderId="0" xfId="1" applyFont="1"/>
    <xf numFmtId="43" fontId="0" fillId="0" borderId="0" xfId="0" applyNumberFormat="1"/>
    <xf numFmtId="0" fontId="0" fillId="0" borderId="8" xfId="0" applyBorder="1"/>
    <xf numFmtId="164" fontId="0" fillId="0" borderId="0" xfId="0" applyNumberFormat="1"/>
    <xf numFmtId="168" fontId="0" fillId="0" borderId="0" xfId="0" applyNumberFormat="1"/>
    <xf numFmtId="0" fontId="0" fillId="0" borderId="9" xfId="0" applyBorder="1"/>
    <xf numFmtId="0" fontId="0" fillId="0" borderId="10" xfId="0" applyBorder="1"/>
    <xf numFmtId="43" fontId="2" fillId="0" borderId="0" xfId="1" applyFont="1"/>
    <xf numFmtId="166" fontId="2" fillId="0" borderId="0" xfId="0" applyNumberFormat="1" applyFont="1"/>
    <xf numFmtId="167" fontId="2" fillId="0" borderId="0" xfId="0" applyNumberFormat="1" applyFont="1"/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1" xfId="0" applyBorder="1" applyAlignment="1">
      <alignment horizontal="right" wrapText="1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wrapText="1"/>
    </xf>
    <xf numFmtId="6" fontId="0" fillId="0" borderId="0" xfId="0" applyNumberFormat="1"/>
    <xf numFmtId="9" fontId="0" fillId="0" borderId="0" xfId="0" applyNumberFormat="1"/>
    <xf numFmtId="10" fontId="0" fillId="0" borderId="0" xfId="0" applyNumberFormat="1"/>
    <xf numFmtId="170" fontId="0" fillId="0" borderId="0" xfId="0" applyNumberFormat="1"/>
    <xf numFmtId="6" fontId="0" fillId="0" borderId="0" xfId="0" applyNumberFormat="1" applyAlignment="1">
      <alignment wrapText="1"/>
    </xf>
    <xf numFmtId="8" fontId="0" fillId="0" borderId="0" xfId="0" applyNumberFormat="1"/>
    <xf numFmtId="0" fontId="11" fillId="0" borderId="0" xfId="0" applyFont="1"/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31"/>
  <sheetViews>
    <sheetView tabSelected="1" topLeftCell="A3" workbookViewId="0">
      <selection activeCell="I31" sqref="I31"/>
    </sheetView>
  </sheetViews>
  <sheetFormatPr defaultRowHeight="15" x14ac:dyDescent="0.25"/>
  <cols>
    <col min="4" max="4" width="12.42578125" customWidth="1"/>
    <col min="5" max="5" width="11.5703125" bestFit="1" customWidth="1"/>
    <col min="9" max="9" width="10.28515625" customWidth="1"/>
    <col min="12" max="12" width="10.28515625" customWidth="1"/>
  </cols>
  <sheetData>
    <row r="5" spans="3:12" ht="15.75" thickBot="1" x14ac:dyDescent="0.3">
      <c r="L5" s="18"/>
    </row>
    <row r="6" spans="3:12" x14ac:dyDescent="0.25">
      <c r="C6" s="12" t="s">
        <v>0</v>
      </c>
      <c r="D6" s="20">
        <v>737000</v>
      </c>
    </row>
    <row r="7" spans="3:12" x14ac:dyDescent="0.25">
      <c r="C7" s="13" t="s">
        <v>1</v>
      </c>
      <c r="D7" s="21">
        <v>10636.52</v>
      </c>
    </row>
    <row r="8" spans="3:12" ht="18" x14ac:dyDescent="0.35">
      <c r="C8" s="13" t="s">
        <v>2</v>
      </c>
      <c r="D8" s="14">
        <v>8.5999999999999993E-2</v>
      </c>
      <c r="H8" t="s">
        <v>3</v>
      </c>
      <c r="I8">
        <f>1-D8</f>
        <v>0.91400000000000003</v>
      </c>
    </row>
    <row r="9" spans="3:12" ht="17.25" x14ac:dyDescent="0.25">
      <c r="C9" s="13" t="s">
        <v>4</v>
      </c>
      <c r="D9" s="17">
        <v>1.07</v>
      </c>
      <c r="H9" t="s">
        <v>5</v>
      </c>
      <c r="I9" s="25">
        <f>SQRT(D9)</f>
        <v>1.03440804327886</v>
      </c>
    </row>
    <row r="10" spans="3:12" ht="18.75" thickBot="1" x14ac:dyDescent="0.4">
      <c r="C10" s="15" t="s">
        <v>6</v>
      </c>
      <c r="D10" s="19">
        <v>345920</v>
      </c>
      <c r="H10" t="s">
        <v>72</v>
      </c>
      <c r="I10" s="46">
        <f>1-D8/2</f>
        <v>0.95699999999999996</v>
      </c>
    </row>
    <row r="12" spans="3:12" ht="18.75" x14ac:dyDescent="0.35">
      <c r="C12" s="45" t="s">
        <v>73</v>
      </c>
    </row>
    <row r="14" spans="3:12" x14ac:dyDescent="0.25">
      <c r="C14" t="s">
        <v>7</v>
      </c>
      <c r="E14" s="22">
        <f>(D10+D7)*D9   +   D7*I9*I10</f>
        <v>392044.87066135515</v>
      </c>
    </row>
    <row r="15" spans="3:12" x14ac:dyDescent="0.25">
      <c r="C15" t="s">
        <v>11</v>
      </c>
      <c r="E15" s="23">
        <f>D8*D6</f>
        <v>63381.999999999993</v>
      </c>
    </row>
    <row r="16" spans="3:12" x14ac:dyDescent="0.25">
      <c r="C16" t="s">
        <v>8</v>
      </c>
      <c r="E16" s="29">
        <f>(E14-E15)/I8</f>
        <v>359587.38584393339</v>
      </c>
    </row>
    <row r="18" spans="2:9" s="24" customFormat="1" x14ac:dyDescent="0.25"/>
    <row r="22" spans="2:9" ht="18" x14ac:dyDescent="0.35">
      <c r="B22">
        <v>0.2</v>
      </c>
      <c r="C22" s="2" t="s">
        <v>9</v>
      </c>
      <c r="D22" s="2">
        <f>B22*D8</f>
        <v>1.72E-2</v>
      </c>
    </row>
    <row r="23" spans="2:9" ht="18" x14ac:dyDescent="0.35">
      <c r="C23" s="2" t="s">
        <v>10</v>
      </c>
      <c r="D23">
        <f>1-D22</f>
        <v>0.98280000000000001</v>
      </c>
    </row>
    <row r="24" spans="2:9" x14ac:dyDescent="0.25">
      <c r="I24" s="26">
        <f>D9^B22</f>
        <v>1.013623697910506</v>
      </c>
    </row>
    <row r="25" spans="2:9" x14ac:dyDescent="0.25">
      <c r="I25" s="26">
        <f>D9/I24</f>
        <v>1.0556185714735249</v>
      </c>
    </row>
    <row r="26" spans="2:9" ht="18.75" x14ac:dyDescent="0.35">
      <c r="B26" t="s">
        <v>74</v>
      </c>
    </row>
    <row r="29" spans="2:9" x14ac:dyDescent="0.25">
      <c r="C29" t="s">
        <v>7</v>
      </c>
      <c r="E29" s="22">
        <f>(D10+D7)*I24</f>
        <v>361414.13831650128</v>
      </c>
    </row>
    <row r="30" spans="2:9" ht="17.25" x14ac:dyDescent="0.25">
      <c r="C30" t="s">
        <v>75</v>
      </c>
      <c r="E30" s="23">
        <f>D22*D6/I25</f>
        <v>12008.504153451157</v>
      </c>
    </row>
    <row r="31" spans="2:9" x14ac:dyDescent="0.25">
      <c r="C31" t="s">
        <v>8</v>
      </c>
      <c r="E31" s="29">
        <f>(E29-E30)/D23</f>
        <v>355520.58828149177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"/>
  <sheetViews>
    <sheetView workbookViewId="0">
      <selection activeCell="J5" sqref="J5"/>
    </sheetView>
  </sheetViews>
  <sheetFormatPr defaultRowHeight="15" x14ac:dyDescent="0.25"/>
  <sheetData>
    <row r="2" spans="2:10" x14ac:dyDescent="0.25">
      <c r="E2" s="27" t="s">
        <v>12</v>
      </c>
      <c r="F2" s="28">
        <v>0.01</v>
      </c>
    </row>
    <row r="3" spans="2:10" x14ac:dyDescent="0.25">
      <c r="D3" t="s">
        <v>13</v>
      </c>
    </row>
    <row r="4" spans="2:10" ht="18" x14ac:dyDescent="0.35">
      <c r="B4" s="3" t="s">
        <v>14</v>
      </c>
      <c r="C4" s="6">
        <v>0.1</v>
      </c>
      <c r="D4">
        <f>J4*C4*$F$2</f>
        <v>1.2130000000000001</v>
      </c>
      <c r="H4" s="6">
        <v>0</v>
      </c>
      <c r="I4" s="6" t="s">
        <v>15</v>
      </c>
      <c r="J4" s="6">
        <v>1213</v>
      </c>
    </row>
    <row r="5" spans="2:10" ht="18" x14ac:dyDescent="0.35">
      <c r="B5" s="3" t="s">
        <v>16</v>
      </c>
      <c r="C5" s="6">
        <v>0.05</v>
      </c>
      <c r="D5">
        <f>J5*C5*F2</f>
        <v>0.154</v>
      </c>
      <c r="H5" s="6">
        <v>1</v>
      </c>
      <c r="I5" s="6" t="s">
        <v>17</v>
      </c>
      <c r="J5" s="6">
        <v>308</v>
      </c>
    </row>
    <row r="6" spans="2:10" ht="18" x14ac:dyDescent="0.35">
      <c r="B6" s="3" t="s">
        <v>18</v>
      </c>
      <c r="C6" s="6">
        <v>0.02</v>
      </c>
      <c r="H6" s="6">
        <v>2</v>
      </c>
      <c r="I6" s="6" t="s">
        <v>19</v>
      </c>
      <c r="J6" s="6">
        <v>100</v>
      </c>
    </row>
    <row r="7" spans="2:10" ht="18" x14ac:dyDescent="0.35">
      <c r="B7" s="3" t="s">
        <v>20</v>
      </c>
      <c r="C7" s="6">
        <v>0.02</v>
      </c>
      <c r="D7">
        <f>J5*C7*$F$2</f>
        <v>6.1600000000000002E-2</v>
      </c>
    </row>
    <row r="10" spans="2:10" x14ac:dyDescent="0.25">
      <c r="B10" s="2"/>
      <c r="D10" t="s">
        <v>21</v>
      </c>
      <c r="E10">
        <f>J5+D4-D5-D7</f>
        <v>308.99740000000003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I21"/>
  <sheetViews>
    <sheetView workbookViewId="0">
      <selection activeCell="N16" sqref="N16"/>
    </sheetView>
  </sheetViews>
  <sheetFormatPr defaultRowHeight="15" x14ac:dyDescent="0.25"/>
  <cols>
    <col min="9" max="9" width="9.5703125" bestFit="1" customWidth="1"/>
  </cols>
  <sheetData>
    <row r="4" spans="3:9" x14ac:dyDescent="0.25">
      <c r="C4" t="s">
        <v>22</v>
      </c>
      <c r="E4" s="16">
        <v>9557.8179</v>
      </c>
    </row>
    <row r="5" spans="3:9" x14ac:dyDescent="0.25">
      <c r="E5" s="16">
        <v>9801.3122999999996</v>
      </c>
    </row>
    <row r="7" spans="3:9" x14ac:dyDescent="0.25">
      <c r="E7">
        <f>E4/E5</f>
        <v>0.97515695933900615</v>
      </c>
    </row>
    <row r="8" spans="3:9" s="24" customFormat="1" x14ac:dyDescent="0.25"/>
    <row r="10" spans="3:9" ht="18" x14ac:dyDescent="0.35">
      <c r="C10" t="s">
        <v>23</v>
      </c>
      <c r="D10" t="s">
        <v>24</v>
      </c>
      <c r="E10">
        <v>8.0219999999999996E-3</v>
      </c>
      <c r="H10" t="s">
        <v>25</v>
      </c>
      <c r="I10">
        <f>1-E10</f>
        <v>0.99197800000000003</v>
      </c>
    </row>
    <row r="11" spans="3:9" ht="18" x14ac:dyDescent="0.35">
      <c r="D11" t="s">
        <v>26</v>
      </c>
      <c r="E11">
        <v>6.352E-3</v>
      </c>
      <c r="H11" t="s">
        <v>27</v>
      </c>
      <c r="I11">
        <f>1-E11</f>
        <v>0.99364799999999998</v>
      </c>
    </row>
    <row r="14" spans="3:9" ht="18" x14ac:dyDescent="0.35">
      <c r="H14" t="s">
        <v>28</v>
      </c>
      <c r="I14">
        <f>I10^2*I11</f>
        <v>0.97776985520502169</v>
      </c>
    </row>
    <row r="16" spans="3:9" ht="18" x14ac:dyDescent="0.35">
      <c r="H16" t="s">
        <v>29</v>
      </c>
      <c r="I16" s="31">
        <f>1-I14</f>
        <v>2.2230144794978313E-2</v>
      </c>
    </row>
    <row r="17" spans="3:9" s="24" customFormat="1" x14ac:dyDescent="0.25"/>
    <row r="19" spans="3:9" x14ac:dyDescent="0.25">
      <c r="I19" s="30"/>
    </row>
    <row r="20" spans="3:9" x14ac:dyDescent="0.25">
      <c r="C20" t="s">
        <v>30</v>
      </c>
      <c r="D20">
        <v>1.2709E-2</v>
      </c>
    </row>
    <row r="21" spans="3:9" x14ac:dyDescent="0.25">
      <c r="D21">
        <f>D20*2</f>
        <v>2.5418E-2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K19"/>
  <sheetViews>
    <sheetView workbookViewId="0">
      <selection activeCell="O19" sqref="O19"/>
    </sheetView>
  </sheetViews>
  <sheetFormatPr defaultRowHeight="15" x14ac:dyDescent="0.25"/>
  <cols>
    <col min="4" max="4" width="10.140625" style="1" customWidth="1"/>
    <col min="5" max="5" width="11.42578125" style="2" customWidth="1"/>
    <col min="6" max="6" width="9.5703125" style="2" bestFit="1" customWidth="1"/>
    <col min="7" max="7" width="16.85546875" style="1" customWidth="1"/>
    <col min="8" max="8" width="12.42578125" customWidth="1"/>
    <col min="11" max="11" width="12.140625" bestFit="1" customWidth="1"/>
  </cols>
  <sheetData>
    <row r="5" spans="4:11" ht="50.25" x14ac:dyDescent="0.35">
      <c r="D5" s="4" t="s">
        <v>31</v>
      </c>
      <c r="E5" s="35" t="s">
        <v>32</v>
      </c>
      <c r="F5" s="35" t="s">
        <v>33</v>
      </c>
      <c r="G5" s="35" t="s">
        <v>34</v>
      </c>
      <c r="H5" s="35" t="s">
        <v>35</v>
      </c>
      <c r="I5" s="32" t="s">
        <v>36</v>
      </c>
      <c r="J5" s="32" t="s">
        <v>37</v>
      </c>
      <c r="K5" s="32" t="s">
        <v>38</v>
      </c>
    </row>
    <row r="6" spans="4:11" x14ac:dyDescent="0.25">
      <c r="D6" s="4" t="s">
        <v>39</v>
      </c>
      <c r="E6" s="36">
        <v>6000</v>
      </c>
      <c r="F6" s="3">
        <v>36</v>
      </c>
      <c r="G6" s="36">
        <v>1000000</v>
      </c>
      <c r="H6" s="37">
        <v>3000</v>
      </c>
      <c r="I6" s="25">
        <f>F6/E6</f>
        <v>6.0000000000000001E-3</v>
      </c>
      <c r="J6" s="25">
        <f>H6/G6</f>
        <v>3.0000000000000001E-3</v>
      </c>
      <c r="K6">
        <f>G6*I6</f>
        <v>6000</v>
      </c>
    </row>
    <row r="7" spans="4:11" x14ac:dyDescent="0.25">
      <c r="D7" s="4" t="s">
        <v>40</v>
      </c>
      <c r="E7" s="36">
        <v>4000</v>
      </c>
      <c r="F7" s="3">
        <v>28</v>
      </c>
      <c r="G7" s="36">
        <v>2000000</v>
      </c>
      <c r="H7" s="37">
        <v>8000</v>
      </c>
      <c r="I7" s="25">
        <f t="shared" ref="I7:I9" si="0">F7/E7</f>
        <v>7.0000000000000001E-3</v>
      </c>
      <c r="J7" s="25">
        <f t="shared" ref="J7:J9" si="1">H7/G7</f>
        <v>4.0000000000000001E-3</v>
      </c>
      <c r="K7">
        <f t="shared" ref="K7:K9" si="2">G7*I7</f>
        <v>14000</v>
      </c>
    </row>
    <row r="8" spans="4:11" x14ac:dyDescent="0.25">
      <c r="D8" s="4" t="s">
        <v>41</v>
      </c>
      <c r="E8" s="36">
        <v>3000</v>
      </c>
      <c r="F8" s="3">
        <v>210</v>
      </c>
      <c r="G8" s="36">
        <v>2000000</v>
      </c>
      <c r="H8" s="37">
        <v>100000</v>
      </c>
      <c r="I8" s="25">
        <f t="shared" si="0"/>
        <v>7.0000000000000007E-2</v>
      </c>
      <c r="J8" s="25">
        <f t="shared" si="1"/>
        <v>0.05</v>
      </c>
      <c r="K8">
        <f t="shared" si="2"/>
        <v>140000</v>
      </c>
    </row>
    <row r="9" spans="4:11" x14ac:dyDescent="0.25">
      <c r="D9" s="4" t="s">
        <v>42</v>
      </c>
      <c r="E9" s="36">
        <v>500</v>
      </c>
      <c r="F9" s="3">
        <v>200</v>
      </c>
      <c r="G9" s="36">
        <v>1000000</v>
      </c>
      <c r="H9" s="37">
        <v>200000</v>
      </c>
      <c r="I9" s="25">
        <f t="shared" si="0"/>
        <v>0.4</v>
      </c>
      <c r="J9" s="25">
        <f t="shared" si="1"/>
        <v>0.2</v>
      </c>
      <c r="K9">
        <f t="shared" si="2"/>
        <v>400000</v>
      </c>
    </row>
    <row r="10" spans="4:11" x14ac:dyDescent="0.25">
      <c r="D10" s="4" t="s">
        <v>43</v>
      </c>
      <c r="E10" s="36">
        <f>SUM(E6:E9)</f>
        <v>13500</v>
      </c>
      <c r="F10" s="36">
        <f>SUM(F6:F9)</f>
        <v>474</v>
      </c>
      <c r="G10" s="36">
        <f>SUM(G6:G9)</f>
        <v>6000000</v>
      </c>
      <c r="H10" s="36">
        <f>SUM(H6:H9)</f>
        <v>311000</v>
      </c>
      <c r="K10" s="33">
        <f>SUM(K6:K9)</f>
        <v>560000</v>
      </c>
    </row>
    <row r="13" spans="4:11" x14ac:dyDescent="0.25">
      <c r="F13" s="34">
        <f>F10/E10</f>
        <v>3.5111111111111114E-2</v>
      </c>
      <c r="H13" s="34">
        <f>H10/G10</f>
        <v>5.1833333333333335E-2</v>
      </c>
      <c r="K13" s="34">
        <f>K10/G10</f>
        <v>9.3333333333333338E-2</v>
      </c>
    </row>
    <row r="19" spans="7:7" x14ac:dyDescent="0.25">
      <c r="G19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8"/>
  <sheetViews>
    <sheetView workbookViewId="0">
      <selection activeCell="E6" sqref="E6"/>
    </sheetView>
  </sheetViews>
  <sheetFormatPr defaultRowHeight="15" x14ac:dyDescent="0.25"/>
  <cols>
    <col min="4" max="4" width="10.85546875" customWidth="1"/>
    <col min="8" max="8" width="14.42578125" customWidth="1"/>
    <col min="9" max="11" width="12.7109375" customWidth="1"/>
    <col min="13" max="13" width="15" customWidth="1"/>
  </cols>
  <sheetData>
    <row r="1" spans="3:13" x14ac:dyDescent="0.25">
      <c r="D1" t="s">
        <v>44</v>
      </c>
      <c r="E1" s="39">
        <v>10000</v>
      </c>
    </row>
    <row r="2" spans="3:13" x14ac:dyDescent="0.25">
      <c r="D2" t="s">
        <v>45</v>
      </c>
      <c r="E2" s="40">
        <v>0.05</v>
      </c>
      <c r="I2" s="41">
        <v>8.0000000000000002E-3</v>
      </c>
      <c r="J2" s="41"/>
      <c r="K2" s="39">
        <v>50000</v>
      </c>
      <c r="L2" s="42">
        <v>6.0000000000000001E-3</v>
      </c>
    </row>
    <row r="3" spans="3:13" x14ac:dyDescent="0.25">
      <c r="E3" s="40">
        <f>100%-E2</f>
        <v>0.95</v>
      </c>
    </row>
    <row r="4" spans="3:13" ht="45" x14ac:dyDescent="0.25">
      <c r="C4" t="s">
        <v>46</v>
      </c>
      <c r="D4" s="38" t="s">
        <v>47</v>
      </c>
      <c r="E4" s="38" t="s">
        <v>48</v>
      </c>
      <c r="F4" s="38" t="s">
        <v>49</v>
      </c>
      <c r="G4" s="38" t="s">
        <v>50</v>
      </c>
      <c r="H4" s="38" t="s">
        <v>51</v>
      </c>
      <c r="I4" s="38" t="s">
        <v>52</v>
      </c>
      <c r="J4" s="38" t="s">
        <v>53</v>
      </c>
      <c r="K4" s="38" t="s">
        <v>54</v>
      </c>
      <c r="L4" s="38" t="s">
        <v>55</v>
      </c>
      <c r="M4" s="38" t="s">
        <v>56</v>
      </c>
    </row>
    <row r="5" spans="3:13" x14ac:dyDescent="0.25">
      <c r="C5">
        <v>1</v>
      </c>
      <c r="D5" s="40">
        <v>0.8</v>
      </c>
      <c r="E5" s="39">
        <f>E1*D5*E3</f>
        <v>7600</v>
      </c>
      <c r="F5" s="39">
        <v>-50</v>
      </c>
      <c r="G5" s="25">
        <v>1.0549999999999999</v>
      </c>
      <c r="H5" s="43">
        <f>G5*SUM(E5:F5)</f>
        <v>7965.2499999999991</v>
      </c>
      <c r="I5" s="44">
        <f>-I2*H5</f>
        <v>-63.721999999999994</v>
      </c>
      <c r="J5" s="44">
        <f>SUM(H5:I5)</f>
        <v>7901.5279999999993</v>
      </c>
      <c r="K5" s="44">
        <f>K2-J5</f>
        <v>42098.472000000002</v>
      </c>
      <c r="L5" s="44">
        <f>-L2*K5</f>
        <v>-252.59083200000001</v>
      </c>
      <c r="M5" s="44">
        <f>J5+L5</f>
        <v>7648.9371679999995</v>
      </c>
    </row>
    <row r="6" spans="3:13" x14ac:dyDescent="0.25">
      <c r="C6">
        <v>2</v>
      </c>
      <c r="D6" s="40">
        <v>1.01</v>
      </c>
    </row>
    <row r="7" spans="3:13" x14ac:dyDescent="0.25">
      <c r="C7">
        <v>3</v>
      </c>
      <c r="E7">
        <v>1.5</v>
      </c>
    </row>
    <row r="8" spans="3:13" x14ac:dyDescent="0.25">
      <c r="C8" s="2" t="s">
        <v>57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T32"/>
  <sheetViews>
    <sheetView topLeftCell="A16" workbookViewId="0">
      <selection activeCell="E35" sqref="E35"/>
    </sheetView>
  </sheetViews>
  <sheetFormatPr defaultRowHeight="15" x14ac:dyDescent="0.25"/>
  <cols>
    <col min="6" max="6" width="5.5703125" bestFit="1" customWidth="1"/>
    <col min="7" max="7" width="6.28515625" bestFit="1" customWidth="1"/>
    <col min="8" max="9" width="5.5703125" bestFit="1" customWidth="1"/>
    <col min="10" max="11" width="6.28515625" bestFit="1" customWidth="1"/>
    <col min="12" max="12" width="5.5703125" bestFit="1" customWidth="1"/>
    <col min="13" max="14" width="6.28515625" bestFit="1" customWidth="1"/>
    <col min="15" max="15" width="5.5703125" bestFit="1" customWidth="1"/>
    <col min="16" max="16" width="6.28515625" bestFit="1" customWidth="1"/>
    <col min="17" max="17" width="5.5703125" bestFit="1" customWidth="1"/>
    <col min="18" max="18" width="6.7109375" customWidth="1"/>
  </cols>
  <sheetData>
    <row r="5" spans="1:20" x14ac:dyDescent="0.25">
      <c r="E5" s="3" t="s">
        <v>46</v>
      </c>
      <c r="F5" s="4">
        <v>1</v>
      </c>
      <c r="G5" s="4">
        <f>F5+1</f>
        <v>2</v>
      </c>
      <c r="H5" s="4">
        <f t="shared" ref="H5:Q5" si="0">G5+1</f>
        <v>3</v>
      </c>
      <c r="I5" s="4">
        <f t="shared" si="0"/>
        <v>4</v>
      </c>
      <c r="J5" s="4">
        <f t="shared" si="0"/>
        <v>5</v>
      </c>
      <c r="K5" s="4">
        <f t="shared" si="0"/>
        <v>6</v>
      </c>
      <c r="L5" s="4">
        <f t="shared" si="0"/>
        <v>7</v>
      </c>
      <c r="M5" s="4">
        <f t="shared" si="0"/>
        <v>8</v>
      </c>
      <c r="N5" s="4">
        <f t="shared" si="0"/>
        <v>9</v>
      </c>
      <c r="O5" s="4">
        <f t="shared" si="0"/>
        <v>10</v>
      </c>
      <c r="P5" s="4">
        <f t="shared" si="0"/>
        <v>11</v>
      </c>
      <c r="Q5" s="4">
        <f t="shared" si="0"/>
        <v>12</v>
      </c>
      <c r="R5" s="4" t="s">
        <v>43</v>
      </c>
    </row>
    <row r="6" spans="1:20" s="1" customFormat="1" x14ac:dyDescent="0.25">
      <c r="E6" s="4"/>
      <c r="F6" s="5" t="s">
        <v>58</v>
      </c>
      <c r="G6" s="5" t="s">
        <v>59</v>
      </c>
      <c r="H6" s="5" t="s">
        <v>60</v>
      </c>
      <c r="I6" s="5" t="s">
        <v>61</v>
      </c>
      <c r="J6" s="5" t="s">
        <v>62</v>
      </c>
      <c r="K6" s="5" t="s">
        <v>60</v>
      </c>
      <c r="L6" s="5" t="s">
        <v>60</v>
      </c>
      <c r="M6" s="5" t="s">
        <v>62</v>
      </c>
      <c r="N6" s="5" t="s">
        <v>63</v>
      </c>
      <c r="O6" s="5" t="s">
        <v>64</v>
      </c>
      <c r="P6" s="5" t="s">
        <v>65</v>
      </c>
      <c r="Q6" s="5" t="s">
        <v>58</v>
      </c>
      <c r="R6" s="5" t="s">
        <v>66</v>
      </c>
    </row>
    <row r="7" spans="1:20" x14ac:dyDescent="0.25">
      <c r="T7">
        <v>1.03</v>
      </c>
    </row>
    <row r="11" spans="1:20" x14ac:dyDescent="0.25">
      <c r="A11" t="s">
        <v>67</v>
      </c>
      <c r="E11" s="6" t="str">
        <f>E5</f>
        <v>Year</v>
      </c>
      <c r="F11" s="6">
        <f t="shared" ref="F11:Q11" si="1">F5</f>
        <v>1</v>
      </c>
      <c r="G11" s="6">
        <f t="shared" si="1"/>
        <v>2</v>
      </c>
      <c r="H11" s="6">
        <f t="shared" si="1"/>
        <v>3</v>
      </c>
      <c r="I11" s="6">
        <f t="shared" si="1"/>
        <v>4</v>
      </c>
      <c r="J11" s="6">
        <f t="shared" si="1"/>
        <v>5</v>
      </c>
      <c r="K11" s="6">
        <f t="shared" si="1"/>
        <v>6</v>
      </c>
      <c r="L11" s="6">
        <f t="shared" si="1"/>
        <v>7</v>
      </c>
      <c r="M11" s="6">
        <f t="shared" si="1"/>
        <v>8</v>
      </c>
      <c r="N11" s="6">
        <f t="shared" si="1"/>
        <v>9</v>
      </c>
      <c r="O11" s="6">
        <f t="shared" si="1"/>
        <v>10</v>
      </c>
      <c r="P11" s="6">
        <f t="shared" si="1"/>
        <v>11</v>
      </c>
      <c r="Q11" s="6">
        <f t="shared" si="1"/>
        <v>12</v>
      </c>
      <c r="R11" s="2" t="s">
        <v>43</v>
      </c>
    </row>
    <row r="12" spans="1:20" x14ac:dyDescent="0.25">
      <c r="E12" s="6"/>
      <c r="F12" s="7">
        <v>2</v>
      </c>
      <c r="G12" s="7">
        <v>-1</v>
      </c>
      <c r="H12" s="7">
        <v>1</v>
      </c>
      <c r="I12" s="7">
        <v>3</v>
      </c>
      <c r="J12" s="7">
        <v>-2</v>
      </c>
      <c r="K12" s="7">
        <v>1</v>
      </c>
      <c r="L12" s="7">
        <v>1</v>
      </c>
      <c r="M12" s="7">
        <v>-2</v>
      </c>
      <c r="N12" s="7">
        <v>5</v>
      </c>
      <c r="O12" s="7">
        <v>0</v>
      </c>
      <c r="P12" s="7">
        <v>-3</v>
      </c>
      <c r="Q12" s="7">
        <v>2</v>
      </c>
      <c r="R12" s="9">
        <f>SUM(F12:Q12)</f>
        <v>7</v>
      </c>
    </row>
    <row r="13" spans="1:20" x14ac:dyDescent="0.25">
      <c r="R13" s="2"/>
    </row>
    <row r="14" spans="1:20" x14ac:dyDescent="0.25">
      <c r="R14" s="2"/>
    </row>
    <row r="15" spans="1:20" x14ac:dyDescent="0.25">
      <c r="R15" s="2"/>
    </row>
    <row r="16" spans="1:20" x14ac:dyDescent="0.25">
      <c r="A16" t="s">
        <v>68</v>
      </c>
      <c r="E16" s="3" t="s">
        <v>46</v>
      </c>
      <c r="F16" s="4">
        <v>1</v>
      </c>
      <c r="G16" s="4">
        <f>F16+1</f>
        <v>2</v>
      </c>
      <c r="H16" s="4">
        <f t="shared" ref="H16:Q16" si="2">G16+1</f>
        <v>3</v>
      </c>
      <c r="I16" s="4">
        <f t="shared" si="2"/>
        <v>4</v>
      </c>
      <c r="J16" s="4">
        <f t="shared" si="2"/>
        <v>5</v>
      </c>
      <c r="K16" s="4">
        <f t="shared" si="2"/>
        <v>6</v>
      </c>
      <c r="L16" s="4">
        <f t="shared" si="2"/>
        <v>7</v>
      </c>
      <c r="M16" s="4">
        <f t="shared" si="2"/>
        <v>8</v>
      </c>
      <c r="N16" s="4">
        <f t="shared" si="2"/>
        <v>9</v>
      </c>
      <c r="O16" s="4">
        <f t="shared" si="2"/>
        <v>10</v>
      </c>
      <c r="P16" s="4">
        <f t="shared" si="2"/>
        <v>11</v>
      </c>
      <c r="Q16" s="4">
        <f t="shared" si="2"/>
        <v>12</v>
      </c>
      <c r="R16" s="2" t="s">
        <v>43</v>
      </c>
    </row>
    <row r="17" spans="1:18" x14ac:dyDescent="0.25">
      <c r="A17" t="s">
        <v>69</v>
      </c>
      <c r="E17" s="6"/>
      <c r="F17" s="8">
        <v>1</v>
      </c>
      <c r="G17" s="8">
        <v>0</v>
      </c>
      <c r="H17" s="8">
        <v>1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2</v>
      </c>
      <c r="O17" s="8">
        <v>0</v>
      </c>
      <c r="P17" s="8">
        <v>0</v>
      </c>
      <c r="Q17" s="8">
        <v>2</v>
      </c>
      <c r="R17" s="9">
        <f>SUM(F17:Q17)</f>
        <v>7</v>
      </c>
    </row>
    <row r="18" spans="1:18" x14ac:dyDescent="0.25">
      <c r="R18" s="2"/>
    </row>
    <row r="19" spans="1:18" x14ac:dyDescent="0.25">
      <c r="R19" s="2"/>
    </row>
    <row r="20" spans="1:18" x14ac:dyDescent="0.25">
      <c r="R20" s="2"/>
    </row>
    <row r="21" spans="1:18" x14ac:dyDescent="0.25">
      <c r="A21" t="s">
        <v>70</v>
      </c>
      <c r="E21" s="3" t="s">
        <v>46</v>
      </c>
      <c r="F21" s="4">
        <v>1</v>
      </c>
      <c r="G21" s="4">
        <f>F21+1</f>
        <v>2</v>
      </c>
      <c r="H21" s="4">
        <f t="shared" ref="H21:Q21" si="3">G21+1</f>
        <v>3</v>
      </c>
      <c r="I21" s="4">
        <f t="shared" si="3"/>
        <v>4</v>
      </c>
      <c r="J21" s="4">
        <f t="shared" si="3"/>
        <v>5</v>
      </c>
      <c r="K21" s="4">
        <f t="shared" si="3"/>
        <v>6</v>
      </c>
      <c r="L21" s="4">
        <f t="shared" si="3"/>
        <v>7</v>
      </c>
      <c r="M21" s="4">
        <f t="shared" si="3"/>
        <v>8</v>
      </c>
      <c r="N21" s="4">
        <f t="shared" si="3"/>
        <v>9</v>
      </c>
      <c r="O21" s="4">
        <f t="shared" si="3"/>
        <v>10</v>
      </c>
      <c r="P21" s="4">
        <f t="shared" si="3"/>
        <v>11</v>
      </c>
      <c r="Q21" s="4">
        <f t="shared" si="3"/>
        <v>12</v>
      </c>
      <c r="R21" s="2" t="s">
        <v>43</v>
      </c>
    </row>
    <row r="22" spans="1:18" x14ac:dyDescent="0.25">
      <c r="E22" s="6"/>
      <c r="F22" s="10">
        <f t="shared" ref="F22:Q22" si="4">F12/i^F21</f>
        <v>1.941747572815534</v>
      </c>
      <c r="G22" s="10">
        <f t="shared" si="4"/>
        <v>-0.94259590913375435</v>
      </c>
      <c r="H22" s="10">
        <f t="shared" si="4"/>
        <v>0.91514165935315961</v>
      </c>
      <c r="I22" s="10">
        <f t="shared" si="4"/>
        <v>2.6654611437470668</v>
      </c>
      <c r="J22" s="10">
        <f t="shared" si="4"/>
        <v>-1.7252175687683282</v>
      </c>
      <c r="K22" s="10">
        <f t="shared" si="4"/>
        <v>0.83748425668365445</v>
      </c>
      <c r="L22" s="10">
        <f t="shared" si="4"/>
        <v>0.81309151134335378</v>
      </c>
      <c r="M22" s="10">
        <f t="shared" si="4"/>
        <v>-1.5788184686278715</v>
      </c>
      <c r="N22" s="10">
        <f t="shared" si="4"/>
        <v>3.8320836617181349</v>
      </c>
      <c r="O22" s="10">
        <f t="shared" si="4"/>
        <v>0</v>
      </c>
      <c r="P22" s="10">
        <f t="shared" si="4"/>
        <v>-2.167263829796287</v>
      </c>
      <c r="Q22" s="10">
        <f t="shared" si="4"/>
        <v>1.4027597603859465</v>
      </c>
      <c r="R22" s="11">
        <f>SUM(F22:Q22)</f>
        <v>5.9938737897206087</v>
      </c>
    </row>
    <row r="26" spans="1:18" x14ac:dyDescent="0.25">
      <c r="A26" t="s">
        <v>68</v>
      </c>
      <c r="E26" s="3" t="s">
        <v>46</v>
      </c>
      <c r="F26" s="4">
        <v>1</v>
      </c>
      <c r="G26" s="4">
        <f>F26+1</f>
        <v>2</v>
      </c>
      <c r="H26" s="4">
        <f t="shared" ref="H26:Q26" si="5">G26+1</f>
        <v>3</v>
      </c>
      <c r="I26" s="4">
        <f t="shared" si="5"/>
        <v>4</v>
      </c>
      <c r="J26" s="4">
        <f t="shared" si="5"/>
        <v>5</v>
      </c>
      <c r="K26" s="4">
        <f t="shared" si="5"/>
        <v>6</v>
      </c>
      <c r="L26" s="4">
        <f t="shared" si="5"/>
        <v>7</v>
      </c>
      <c r="M26" s="4">
        <f t="shared" si="5"/>
        <v>8</v>
      </c>
      <c r="N26" s="4">
        <f t="shared" si="5"/>
        <v>9</v>
      </c>
      <c r="O26" s="4">
        <f t="shared" si="5"/>
        <v>10</v>
      </c>
      <c r="P26" s="4">
        <f t="shared" si="5"/>
        <v>11</v>
      </c>
      <c r="Q26" s="4">
        <f t="shared" si="5"/>
        <v>12</v>
      </c>
      <c r="R26" s="2" t="s">
        <v>43</v>
      </c>
    </row>
    <row r="27" spans="1:18" x14ac:dyDescent="0.25">
      <c r="A27" t="s">
        <v>71</v>
      </c>
      <c r="E27" s="6"/>
      <c r="F27" s="10">
        <f>F22+G22</f>
        <v>0.99915166368177966</v>
      </c>
      <c r="G27" s="10">
        <f>G17/i^G26</f>
        <v>0</v>
      </c>
      <c r="H27" s="10">
        <f>H17/i^H26</f>
        <v>0.91514165935315961</v>
      </c>
      <c r="I27" s="10">
        <f>I22+J22</f>
        <v>0.94024357497873856</v>
      </c>
      <c r="J27" s="10">
        <f>J17/i^J26</f>
        <v>0</v>
      </c>
      <c r="K27" s="10">
        <f>K22+L22+M22</f>
        <v>7.1757299399136665E-2</v>
      </c>
      <c r="L27" s="10">
        <f>L17/i^L26</f>
        <v>0</v>
      </c>
      <c r="M27" s="10">
        <f>M17/i^M26</f>
        <v>0</v>
      </c>
      <c r="N27" s="10">
        <f>N22+P22</f>
        <v>1.6648198319218479</v>
      </c>
      <c r="O27" s="10">
        <f>O17/i^O26</f>
        <v>0</v>
      </c>
      <c r="P27" s="10">
        <f>P17/i^P26</f>
        <v>0</v>
      </c>
      <c r="Q27" s="10">
        <f>Q22</f>
        <v>1.4027597603859465</v>
      </c>
      <c r="R27" s="11">
        <f>SUM(F27:Q27)</f>
        <v>5.9938737897206087</v>
      </c>
    </row>
    <row r="31" spans="1:18" x14ac:dyDescent="0.25">
      <c r="A31" t="s">
        <v>68</v>
      </c>
      <c r="E31" s="3" t="s">
        <v>46</v>
      </c>
      <c r="F31" s="4">
        <v>1</v>
      </c>
      <c r="G31" s="4">
        <f>F31+1</f>
        <v>2</v>
      </c>
      <c r="H31" s="4">
        <f t="shared" ref="H31:Q31" si="6">G31+1</f>
        <v>3</v>
      </c>
      <c r="I31" s="4">
        <f t="shared" si="6"/>
        <v>4</v>
      </c>
      <c r="J31" s="4">
        <f t="shared" si="6"/>
        <v>5</v>
      </c>
      <c r="K31" s="4">
        <f t="shared" si="6"/>
        <v>6</v>
      </c>
      <c r="L31" s="4">
        <f t="shared" si="6"/>
        <v>7</v>
      </c>
      <c r="M31" s="4">
        <f t="shared" si="6"/>
        <v>8</v>
      </c>
      <c r="N31" s="4">
        <f t="shared" si="6"/>
        <v>9</v>
      </c>
      <c r="O31" s="4">
        <f t="shared" si="6"/>
        <v>10</v>
      </c>
      <c r="P31" s="4">
        <f t="shared" si="6"/>
        <v>11</v>
      </c>
      <c r="Q31" s="4">
        <f t="shared" si="6"/>
        <v>12</v>
      </c>
      <c r="R31" s="2" t="s">
        <v>43</v>
      </c>
    </row>
    <row r="32" spans="1:18" x14ac:dyDescent="0.25">
      <c r="A32" t="s">
        <v>71</v>
      </c>
      <c r="E32" s="6"/>
      <c r="F32" s="10">
        <f t="shared" ref="F32:Q32" si="7">F27*i^F26</f>
        <v>1.029126213592233</v>
      </c>
      <c r="G32" s="10">
        <f t="shared" si="7"/>
        <v>0</v>
      </c>
      <c r="H32" s="10">
        <f t="shared" si="7"/>
        <v>1</v>
      </c>
      <c r="I32" s="10">
        <f t="shared" si="7"/>
        <v>1.0582524271844658</v>
      </c>
      <c r="J32" s="10">
        <f t="shared" si="7"/>
        <v>0</v>
      </c>
      <c r="K32" s="10">
        <f t="shared" si="7"/>
        <v>8.5681968140258163E-2</v>
      </c>
      <c r="L32" s="10">
        <f t="shared" si="7"/>
        <v>0</v>
      </c>
      <c r="M32" s="10">
        <f t="shared" si="7"/>
        <v>0</v>
      </c>
      <c r="N32" s="10">
        <f t="shared" si="7"/>
        <v>2.1722122725987369</v>
      </c>
      <c r="O32" s="10">
        <f t="shared" si="7"/>
        <v>0</v>
      </c>
      <c r="P32" s="10">
        <f t="shared" si="7"/>
        <v>0</v>
      </c>
      <c r="Q32" s="10">
        <f t="shared" si="7"/>
        <v>2</v>
      </c>
      <c r="R32" s="11">
        <f>SUM(F32:Q32)</f>
        <v>7.3452728815156938</v>
      </c>
    </row>
  </sheetData>
  <pageMargins left="0.7" right="0.7" top="0.75" bottom="0.75" header="0.3" footer="0.3"/>
  <ignoredErrors>
    <ignoredError sqref="F6:R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EC2A01FA77364D9B19F24A59BA70F0" ma:contentTypeVersion="4" ma:contentTypeDescription="Create a new document." ma:contentTypeScope="" ma:versionID="1422a73b0b0a696e8b66fd66f779713f">
  <xsd:schema xmlns:xsd="http://www.w3.org/2001/XMLSchema" xmlns:xs="http://www.w3.org/2001/XMLSchema" xmlns:p="http://schemas.microsoft.com/office/2006/metadata/properties" xmlns:ns2="8EB04B08-0D28-49DD-A0C1-4D042465AC34" xmlns:ns3="8eb04b08-0d28-49dd-a0c1-4d042465ac34" xmlns:ns4="849817d2-5638-4ad8-99b9-46e1c3643ebd" targetNamespace="http://schemas.microsoft.com/office/2006/metadata/properties" ma:root="true" ma:fieldsID="2dcf9b7dc6a7142934924753ef2c83fe" ns2:_="" ns3:_="" ns4:_="">
    <xsd:import namespace="8EB04B08-0D28-49DD-A0C1-4D042465AC34"/>
    <xsd:import namespace="8eb04b08-0d28-49dd-a0c1-4d042465ac34"/>
    <xsd:import namespace="849817d2-5638-4ad8-99b9-46e1c3643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04B08-0D28-49DD-A0C1-4D042465AC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04b08-0d28-49dd-a0c1-4d042465ac34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817d2-5638-4ad8-99b9-46e1c3643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8D944-CA04-401B-8550-9AE0DA37AC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1F5C8C-154B-4C5D-B172-F5427D662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98B38F-5994-4B9C-A9A8-FC87AB491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04B08-0D28-49DD-A0C1-4D042465AC34"/>
    <ds:schemaRef ds:uri="8eb04b08-0d28-49dd-a0c1-4d042465ac34"/>
    <ds:schemaRef ds:uri="849817d2-5638-4ad8-99b9-46e1c3643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Q1</vt:lpstr>
      <vt:lpstr>Q2</vt:lpstr>
      <vt:lpstr>Q3</vt:lpstr>
      <vt:lpstr>Q4</vt:lpstr>
      <vt:lpstr>Q7</vt:lpstr>
      <vt:lpstr>Q8</vt:lpstr>
      <vt:lpstr>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Ridges Local User</dc:creator>
  <cp:keywords/>
  <dc:description/>
  <cp:lastModifiedBy>Peter John Guy Ridges</cp:lastModifiedBy>
  <cp:revision/>
  <dcterms:created xsi:type="dcterms:W3CDTF">2022-12-31T19:12:12Z</dcterms:created>
  <dcterms:modified xsi:type="dcterms:W3CDTF">2023-05-01T16:11:20Z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0x0101002FEC2A01FA77364D9B19F24A59BA70F0</vt:lpwstr>
  </property>
</Properties>
</file>