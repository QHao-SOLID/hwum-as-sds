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bcf56a11f402f5/Desktop/02_Courses/01_Life Insurance B/02_Lab/"/>
    </mc:Choice>
  </mc:AlternateContent>
  <xr:revisionPtr revIDLastSave="92" documentId="8_{A2E7777B-9ABD-4F43-AA46-C696431D28C7}" xr6:coauthVersionLast="47" xr6:coauthVersionMax="47" xr10:uidLastSave="{4A4412B0-7291-4324-BA98-26F51ECB5254}"/>
  <bookViews>
    <workbookView xWindow="-98" yWindow="-98" windowWidth="21795" windowHeight="12975" xr2:uid="{42B9678E-C4A2-40A0-9BDD-D0FCF7C1041B}"/>
  </bookViews>
  <sheets>
    <sheet name="t4q2" sheetId="1" r:id="rId1"/>
  </sheets>
  <definedNames>
    <definedName name="AnnuityWhileSIck">t4q2!$P$2</definedName>
    <definedName name="Delta">t4q2!$P$6</definedName>
    <definedName name="Deltat">t4q2!$P$6</definedName>
    <definedName name="FinalAgeForPremium">t4q2!$P$5</definedName>
    <definedName name="mu01Parameter_B">t4q2!$L$2</definedName>
    <definedName name="mu01Parameter_c">t4q2!$L$3</definedName>
    <definedName name="mu10Constant">t4q2!$L$4</definedName>
    <definedName name="Premium">t4q2!$P$3</definedName>
    <definedName name="PremiumRevisedForLimitedTerm">t4q2!$P$4</definedName>
    <definedName name="StepSize">t4q2!$L$6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6" i="1" l="1"/>
  <c r="AD25" i="1"/>
  <c r="AE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25" i="1"/>
  <c r="AE26" i="1"/>
  <c r="AC25" i="1"/>
  <c r="Y26" i="1" s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25" i="1"/>
  <c r="S25" i="1" l="1"/>
  <c r="K26" i="1"/>
  <c r="L26" i="1" s="1"/>
  <c r="O26" i="1" s="1"/>
  <c r="W25" i="1"/>
  <c r="V26" i="1"/>
  <c r="W26" i="1" s="1"/>
  <c r="L25" i="1"/>
  <c r="O25" i="1" s="1"/>
  <c r="AB25" i="1" l="1"/>
  <c r="X26" i="1" s="1"/>
  <c r="AE27" i="1" s="1"/>
  <c r="AD27" i="1" s="1"/>
  <c r="Q25" i="1"/>
  <c r="M26" i="1" s="1"/>
  <c r="R25" i="1"/>
  <c r="N26" i="1" s="1"/>
  <c r="V27" i="1"/>
  <c r="V28" i="1" s="1"/>
  <c r="K27" i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Q26" i="1" l="1"/>
  <c r="M27" i="1" s="1"/>
  <c r="R26" i="1"/>
  <c r="N27" i="1" s="1"/>
  <c r="Q27" i="1" s="1"/>
  <c r="M28" i="1" s="1"/>
  <c r="AC26" i="1"/>
  <c r="Y27" i="1" s="1"/>
  <c r="AB26" i="1"/>
  <c r="X27" i="1" s="1"/>
  <c r="W27" i="1"/>
  <c r="V29" i="1"/>
  <c r="W28" i="1"/>
  <c r="L27" i="1"/>
  <c r="O27" i="1" s="1"/>
  <c r="L28" i="1"/>
  <c r="O28" i="1" s="1"/>
  <c r="AE28" i="1" l="1"/>
  <c r="AD28" i="1" s="1"/>
  <c r="R28" i="1"/>
  <c r="N29" i="1" s="1"/>
  <c r="R27" i="1"/>
  <c r="N28" i="1" s="1"/>
  <c r="Q28" i="1" s="1"/>
  <c r="M29" i="1" s="1"/>
  <c r="AB27" i="1"/>
  <c r="X28" i="1" s="1"/>
  <c r="AC27" i="1"/>
  <c r="Y28" i="1" s="1"/>
  <c r="V30" i="1"/>
  <c r="W29" i="1"/>
  <c r="L29" i="1"/>
  <c r="O29" i="1" s="1"/>
  <c r="AB28" i="1" l="1"/>
  <c r="X29" i="1" s="1"/>
  <c r="AE29" i="1"/>
  <c r="AD29" i="1" s="1"/>
  <c r="AC28" i="1"/>
  <c r="Y29" i="1" s="1"/>
  <c r="R29" i="1"/>
  <c r="N30" i="1"/>
  <c r="Q29" i="1"/>
  <c r="M30" i="1" s="1"/>
  <c r="S26" i="1"/>
  <c r="V31" i="1"/>
  <c r="W30" i="1"/>
  <c r="L30" i="1"/>
  <c r="O30" i="1" s="1"/>
  <c r="AC29" i="1" l="1"/>
  <c r="Y30" i="1" s="1"/>
  <c r="AE30" i="1"/>
  <c r="AD30" i="1" s="1"/>
  <c r="R30" i="1"/>
  <c r="N31" i="1" s="1"/>
  <c r="AB29" i="1"/>
  <c r="X30" i="1" s="1"/>
  <c r="Q30" i="1"/>
  <c r="M31" i="1" s="1"/>
  <c r="S27" i="1"/>
  <c r="V32" i="1"/>
  <c r="W31" i="1"/>
  <c r="L31" i="1"/>
  <c r="O31" i="1" s="1"/>
  <c r="AC30" i="1" l="1"/>
  <c r="Y31" i="1" s="1"/>
  <c r="AB30" i="1"/>
  <c r="X31" i="1" s="1"/>
  <c r="AE31" i="1"/>
  <c r="AD31" i="1" s="1"/>
  <c r="Q31" i="1"/>
  <c r="M32" i="1" s="1"/>
  <c r="R31" i="1"/>
  <c r="N32" i="1" s="1"/>
  <c r="V33" i="1"/>
  <c r="W32" i="1"/>
  <c r="L32" i="1"/>
  <c r="O32" i="1" s="1"/>
  <c r="AE32" i="1" l="1"/>
  <c r="AD32" i="1" s="1"/>
  <c r="AB31" i="1"/>
  <c r="X32" i="1" s="1"/>
  <c r="AC31" i="1"/>
  <c r="Y32" i="1" s="1"/>
  <c r="Q32" i="1"/>
  <c r="M33" i="1" s="1"/>
  <c r="R32" i="1"/>
  <c r="N33" i="1" s="1"/>
  <c r="S28" i="1"/>
  <c r="V34" i="1"/>
  <c r="W33" i="1"/>
  <c r="L33" i="1"/>
  <c r="O33" i="1" s="1"/>
  <c r="AE33" i="1" l="1"/>
  <c r="AD33" i="1" s="1"/>
  <c r="AC32" i="1"/>
  <c r="Y33" i="1" s="1"/>
  <c r="AB32" i="1"/>
  <c r="X33" i="1" s="1"/>
  <c r="Q33" i="1"/>
  <c r="M34" i="1" s="1"/>
  <c r="N34" i="1"/>
  <c r="R33" i="1"/>
  <c r="V35" i="1"/>
  <c r="W34" i="1"/>
  <c r="L34" i="1"/>
  <c r="O34" i="1" s="1"/>
  <c r="AE34" i="1" l="1"/>
  <c r="AD34" i="1" s="1"/>
  <c r="AC33" i="1"/>
  <c r="Y34" i="1" s="1"/>
  <c r="AB33" i="1"/>
  <c r="X34" i="1" s="1"/>
  <c r="R34" i="1"/>
  <c r="N35" i="1" s="1"/>
  <c r="M35" i="1"/>
  <c r="Q34" i="1"/>
  <c r="S29" i="1"/>
  <c r="V36" i="1"/>
  <c r="W35" i="1"/>
  <c r="L35" i="1"/>
  <c r="O35" i="1" s="1"/>
  <c r="AE35" i="1" l="1"/>
  <c r="AD35" i="1" s="1"/>
  <c r="AB34" i="1"/>
  <c r="X35" i="1" s="1"/>
  <c r="AC34" i="1"/>
  <c r="Y35" i="1" s="1"/>
  <c r="Q35" i="1"/>
  <c r="M36" i="1"/>
  <c r="R35" i="1"/>
  <c r="N36" i="1" s="1"/>
  <c r="V37" i="1"/>
  <c r="W36" i="1"/>
  <c r="L36" i="1"/>
  <c r="O36" i="1" s="1"/>
  <c r="AC35" i="1" l="1"/>
  <c r="Y36" i="1" s="1"/>
  <c r="AE36" i="1"/>
  <c r="AD36" i="1" s="1"/>
  <c r="AB35" i="1"/>
  <c r="X36" i="1" s="1"/>
  <c r="N37" i="1"/>
  <c r="Q36" i="1"/>
  <c r="M37" i="1" s="1"/>
  <c r="R37" i="1" s="1"/>
  <c r="R36" i="1"/>
  <c r="S30" i="1"/>
  <c r="V38" i="1"/>
  <c r="W37" i="1"/>
  <c r="L37" i="1"/>
  <c r="O37" i="1" s="1"/>
  <c r="AE37" i="1" l="1"/>
  <c r="AD37" i="1" s="1"/>
  <c r="AB36" i="1"/>
  <c r="X37" i="1" s="1"/>
  <c r="AC36" i="1"/>
  <c r="Y37" i="1" s="1"/>
  <c r="N38" i="1"/>
  <c r="Q37" i="1"/>
  <c r="M38" i="1" s="1"/>
  <c r="R38" i="1" s="1"/>
  <c r="V39" i="1"/>
  <c r="W38" i="1"/>
  <c r="L38" i="1"/>
  <c r="O38" i="1" s="1"/>
  <c r="AC37" i="1" l="1"/>
  <c r="Y38" i="1" s="1"/>
  <c r="AE38" i="1"/>
  <c r="AD38" i="1" s="1"/>
  <c r="AB37" i="1"/>
  <c r="X38" i="1" s="1"/>
  <c r="N39" i="1"/>
  <c r="Q38" i="1"/>
  <c r="M39" i="1" s="1"/>
  <c r="R39" i="1" s="1"/>
  <c r="S31" i="1"/>
  <c r="V40" i="1"/>
  <c r="W39" i="1"/>
  <c r="L39" i="1"/>
  <c r="O39" i="1" s="1"/>
  <c r="AC38" i="1" l="1"/>
  <c r="Y39" i="1" s="1"/>
  <c r="AB38" i="1"/>
  <c r="X39" i="1" s="1"/>
  <c r="AE39" i="1"/>
  <c r="AD39" i="1" s="1"/>
  <c r="N40" i="1"/>
  <c r="Q39" i="1"/>
  <c r="M40" i="1" s="1"/>
  <c r="R40" i="1" s="1"/>
  <c r="V41" i="1"/>
  <c r="W40" i="1"/>
  <c r="L40" i="1"/>
  <c r="O40" i="1" s="1"/>
  <c r="AE40" i="1" l="1"/>
  <c r="AD40" i="1" s="1"/>
  <c r="AC39" i="1"/>
  <c r="Y40" i="1" s="1"/>
  <c r="AB39" i="1"/>
  <c r="X40" i="1" s="1"/>
  <c r="N41" i="1"/>
  <c r="Q40" i="1"/>
  <c r="M41" i="1" s="1"/>
  <c r="R41" i="1" s="1"/>
  <c r="S32" i="1"/>
  <c r="V42" i="1"/>
  <c r="W41" i="1"/>
  <c r="L41" i="1"/>
  <c r="O41" i="1" s="1"/>
  <c r="AE41" i="1" l="1"/>
  <c r="AD41" i="1" s="1"/>
  <c r="AB40" i="1"/>
  <c r="X41" i="1" s="1"/>
  <c r="AC40" i="1"/>
  <c r="Y41" i="1" s="1"/>
  <c r="N42" i="1"/>
  <c r="Q41" i="1"/>
  <c r="M42" i="1" s="1"/>
  <c r="V43" i="1"/>
  <c r="W42" i="1"/>
  <c r="L42" i="1"/>
  <c r="O42" i="1" s="1"/>
  <c r="AC41" i="1" l="1"/>
  <c r="Y42" i="1" s="1"/>
  <c r="AE42" i="1"/>
  <c r="AD42" i="1" s="1"/>
  <c r="AB41" i="1"/>
  <c r="X42" i="1" s="1"/>
  <c r="N43" i="1"/>
  <c r="Q42" i="1"/>
  <c r="M43" i="1" s="1"/>
  <c r="R43" i="1" s="1"/>
  <c r="R42" i="1"/>
  <c r="S33" i="1"/>
  <c r="V44" i="1"/>
  <c r="W43" i="1"/>
  <c r="L43" i="1"/>
  <c r="O43" i="1" s="1"/>
  <c r="AC42" i="1" l="1"/>
  <c r="Y43" i="1" s="1"/>
  <c r="AB42" i="1"/>
  <c r="X43" i="1" s="1"/>
  <c r="AE43" i="1"/>
  <c r="AD43" i="1" s="1"/>
  <c r="N44" i="1"/>
  <c r="Q43" i="1"/>
  <c r="M44" i="1" s="1"/>
  <c r="V45" i="1"/>
  <c r="W44" i="1"/>
  <c r="L44" i="1"/>
  <c r="O44" i="1" s="1"/>
  <c r="AE44" i="1" l="1"/>
  <c r="AD44" i="1" s="1"/>
  <c r="AB43" i="1"/>
  <c r="X44" i="1" s="1"/>
  <c r="AC43" i="1"/>
  <c r="Y44" i="1" s="1"/>
  <c r="AC44" i="1" s="1"/>
  <c r="Y45" i="1" s="1"/>
  <c r="N45" i="1"/>
  <c r="Q44" i="1"/>
  <c r="M45" i="1" s="1"/>
  <c r="R45" i="1" s="1"/>
  <c r="R44" i="1"/>
  <c r="S34" i="1"/>
  <c r="V46" i="1"/>
  <c r="W45" i="1"/>
  <c r="L45" i="1"/>
  <c r="O45" i="1" s="1"/>
  <c r="AE45" i="1" l="1"/>
  <c r="AD45" i="1" s="1"/>
  <c r="AB44" i="1"/>
  <c r="X45" i="1" s="1"/>
  <c r="Q45" i="1"/>
  <c r="M46" i="1" s="1"/>
  <c r="N46" i="1"/>
  <c r="V47" i="1"/>
  <c r="W46" i="1"/>
  <c r="L46" i="1"/>
  <c r="O46" i="1" s="1"/>
  <c r="AC45" i="1" l="1"/>
  <c r="Y46" i="1" s="1"/>
  <c r="AE46" i="1"/>
  <c r="AD46" i="1" s="1"/>
  <c r="AB45" i="1"/>
  <c r="X46" i="1" s="1"/>
  <c r="M47" i="1"/>
  <c r="R46" i="1"/>
  <c r="N47" i="1" s="1"/>
  <c r="Q47" i="1" s="1"/>
  <c r="Q46" i="1"/>
  <c r="S35" i="1"/>
  <c r="V48" i="1"/>
  <c r="W47" i="1"/>
  <c r="L47" i="1"/>
  <c r="O47" i="1" s="1"/>
  <c r="AE47" i="1" l="1"/>
  <c r="AD47" i="1" s="1"/>
  <c r="AB46" i="1"/>
  <c r="X47" i="1" s="1"/>
  <c r="AC46" i="1"/>
  <c r="Y47" i="1" s="1"/>
  <c r="M48" i="1"/>
  <c r="R47" i="1"/>
  <c r="N48" i="1" s="1"/>
  <c r="V49" i="1"/>
  <c r="W48" i="1"/>
  <c r="L48" i="1"/>
  <c r="O48" i="1" s="1"/>
  <c r="AE48" i="1" l="1"/>
  <c r="AD48" i="1" s="1"/>
  <c r="AB47" i="1"/>
  <c r="X48" i="1" s="1"/>
  <c r="AC47" i="1"/>
  <c r="Y48" i="1" s="1"/>
  <c r="N49" i="1"/>
  <c r="Q49" i="1" s="1"/>
  <c r="Q48" i="1"/>
  <c r="M49" i="1" s="1"/>
  <c r="R48" i="1"/>
  <c r="S36" i="1"/>
  <c r="V50" i="1"/>
  <c r="W49" i="1"/>
  <c r="L49" i="1"/>
  <c r="O49" i="1" s="1"/>
  <c r="AC48" i="1" l="1"/>
  <c r="Y49" i="1" s="1"/>
  <c r="AE49" i="1"/>
  <c r="AD49" i="1" s="1"/>
  <c r="AB48" i="1"/>
  <c r="X49" i="1" s="1"/>
  <c r="M50" i="1"/>
  <c r="R49" i="1"/>
  <c r="N50" i="1" s="1"/>
  <c r="V51" i="1"/>
  <c r="W50" i="1"/>
  <c r="L50" i="1"/>
  <c r="O50" i="1" s="1"/>
  <c r="AE50" i="1" l="1"/>
  <c r="AD50" i="1" s="1"/>
  <c r="AC49" i="1"/>
  <c r="Y50" i="1" s="1"/>
  <c r="AB49" i="1"/>
  <c r="X50" i="1" s="1"/>
  <c r="R50" i="1"/>
  <c r="N51" i="1" s="1"/>
  <c r="Q50" i="1"/>
  <c r="M51" i="1" s="1"/>
  <c r="S37" i="1"/>
  <c r="V52" i="1"/>
  <c r="W51" i="1"/>
  <c r="L51" i="1"/>
  <c r="O51" i="1" s="1"/>
  <c r="AE51" i="1" l="1"/>
  <c r="AD51" i="1" s="1"/>
  <c r="AB50" i="1"/>
  <c r="X51" i="1" s="1"/>
  <c r="AC50" i="1"/>
  <c r="Y51" i="1" s="1"/>
  <c r="M52" i="1"/>
  <c r="R52" i="1" s="1"/>
  <c r="R51" i="1"/>
  <c r="N52" i="1" s="1"/>
  <c r="Q51" i="1"/>
  <c r="V53" i="1"/>
  <c r="W52" i="1"/>
  <c r="L52" i="1"/>
  <c r="O52" i="1" s="1"/>
  <c r="AC51" i="1" l="1"/>
  <c r="Y52" i="1" s="1"/>
  <c r="AE52" i="1"/>
  <c r="AD52" i="1" s="1"/>
  <c r="AB51" i="1"/>
  <c r="X52" i="1" s="1"/>
  <c r="Q52" i="1"/>
  <c r="M53" i="1" s="1"/>
  <c r="N53" i="1"/>
  <c r="Q53" i="1" s="1"/>
  <c r="S38" i="1"/>
  <c r="V54" i="1"/>
  <c r="W53" i="1"/>
  <c r="L53" i="1"/>
  <c r="O53" i="1" s="1"/>
  <c r="AE53" i="1" l="1"/>
  <c r="AD53" i="1" s="1"/>
  <c r="AB52" i="1"/>
  <c r="X53" i="1" s="1"/>
  <c r="AC52" i="1"/>
  <c r="Y53" i="1" s="1"/>
  <c r="M54" i="1"/>
  <c r="R53" i="1"/>
  <c r="N54" i="1" s="1"/>
  <c r="V55" i="1"/>
  <c r="W54" i="1"/>
  <c r="L54" i="1"/>
  <c r="O54" i="1" s="1"/>
  <c r="AC53" i="1" l="1"/>
  <c r="Y54" i="1" s="1"/>
  <c r="AE54" i="1"/>
  <c r="AD54" i="1" s="1"/>
  <c r="AB53" i="1"/>
  <c r="X54" i="1" s="1"/>
  <c r="N55" i="1"/>
  <c r="Q55" i="1" s="1"/>
  <c r="Q54" i="1"/>
  <c r="M55" i="1" s="1"/>
  <c r="R54" i="1"/>
  <c r="S39" i="1"/>
  <c r="V56" i="1"/>
  <c r="W55" i="1"/>
  <c r="L55" i="1"/>
  <c r="O55" i="1" s="1"/>
  <c r="AE55" i="1" l="1"/>
  <c r="AD55" i="1" s="1"/>
  <c r="AB54" i="1"/>
  <c r="X55" i="1" s="1"/>
  <c r="AC54" i="1"/>
  <c r="Y55" i="1" s="1"/>
  <c r="AC55" i="1" s="1"/>
  <c r="Y56" i="1" s="1"/>
  <c r="M56" i="1"/>
  <c r="R56" i="1" s="1"/>
  <c r="R55" i="1"/>
  <c r="N56" i="1" s="1"/>
  <c r="V57" i="1"/>
  <c r="W56" i="1"/>
  <c r="L56" i="1"/>
  <c r="O56" i="1" s="1"/>
  <c r="AE56" i="1" l="1"/>
  <c r="AD56" i="1" s="1"/>
  <c r="AB55" i="1"/>
  <c r="X56" i="1" s="1"/>
  <c r="AB56" i="1"/>
  <c r="X57" i="1" s="1"/>
  <c r="Q56" i="1"/>
  <c r="M57" i="1" s="1"/>
  <c r="N57" i="1"/>
  <c r="S40" i="1"/>
  <c r="V58" i="1"/>
  <c r="W57" i="1"/>
  <c r="L57" i="1"/>
  <c r="O57" i="1" s="1"/>
  <c r="AE57" i="1" l="1"/>
  <c r="AD57" i="1" s="1"/>
  <c r="AC56" i="1"/>
  <c r="Y57" i="1" s="1"/>
  <c r="AC57" i="1" s="1"/>
  <c r="Y58" i="1" s="1"/>
  <c r="AB57" i="1"/>
  <c r="X58" i="1" s="1"/>
  <c r="AE58" i="1"/>
  <c r="AD58" i="1" s="1"/>
  <c r="Q57" i="1"/>
  <c r="M58" i="1" s="1"/>
  <c r="R57" i="1"/>
  <c r="N58" i="1" s="1"/>
  <c r="V59" i="1"/>
  <c r="W58" i="1"/>
  <c r="L58" i="1"/>
  <c r="O58" i="1" s="1"/>
  <c r="AB58" i="1" l="1"/>
  <c r="X59" i="1" s="1"/>
  <c r="AC58" i="1"/>
  <c r="Y59" i="1" s="1"/>
  <c r="AE59" i="1"/>
  <c r="AD59" i="1" s="1"/>
  <c r="Q58" i="1"/>
  <c r="M59" i="1" s="1"/>
  <c r="R58" i="1"/>
  <c r="N59" i="1" s="1"/>
  <c r="Q59" i="1" s="1"/>
  <c r="S41" i="1"/>
  <c r="V60" i="1"/>
  <c r="W59" i="1"/>
  <c r="L59" i="1"/>
  <c r="O59" i="1" s="1"/>
  <c r="AE60" i="1" l="1"/>
  <c r="AD60" i="1" s="1"/>
  <c r="AC59" i="1"/>
  <c r="Y60" i="1" s="1"/>
  <c r="AB59" i="1"/>
  <c r="X60" i="1" s="1"/>
  <c r="M60" i="1"/>
  <c r="R60" i="1" s="1"/>
  <c r="R59" i="1"/>
  <c r="N60" i="1" s="1"/>
  <c r="V61" i="1"/>
  <c r="W60" i="1"/>
  <c r="L60" i="1"/>
  <c r="O60" i="1" s="1"/>
  <c r="AC60" i="1" l="1"/>
  <c r="Y61" i="1" s="1"/>
  <c r="AB60" i="1"/>
  <c r="X61" i="1" s="1"/>
  <c r="AE61" i="1"/>
  <c r="AD61" i="1" s="1"/>
  <c r="N61" i="1"/>
  <c r="Q60" i="1"/>
  <c r="M61" i="1" s="1"/>
  <c r="S42" i="1"/>
  <c r="V62" i="1"/>
  <c r="W61" i="1"/>
  <c r="L61" i="1"/>
  <c r="O61" i="1" s="1"/>
  <c r="AE62" i="1" l="1"/>
  <c r="AD62" i="1" s="1"/>
  <c r="AB61" i="1"/>
  <c r="X62" i="1" s="1"/>
  <c r="AC61" i="1"/>
  <c r="Y62" i="1" s="1"/>
  <c r="R61" i="1"/>
  <c r="N62" i="1"/>
  <c r="Q61" i="1"/>
  <c r="M62" i="1" s="1"/>
  <c r="V63" i="1"/>
  <c r="W62" i="1"/>
  <c r="L62" i="1"/>
  <c r="O62" i="1" s="1"/>
  <c r="AE63" i="1" l="1"/>
  <c r="AD63" i="1" s="1"/>
  <c r="AC62" i="1"/>
  <c r="Y63" i="1" s="1"/>
  <c r="AB62" i="1"/>
  <c r="X63" i="1" s="1"/>
  <c r="R62" i="1"/>
  <c r="N63" i="1" s="1"/>
  <c r="Q62" i="1"/>
  <c r="M63" i="1" s="1"/>
  <c r="R63" i="1" s="1"/>
  <c r="S43" i="1"/>
  <c r="V64" i="1"/>
  <c r="W63" i="1"/>
  <c r="L63" i="1"/>
  <c r="O63" i="1" s="1"/>
  <c r="AE64" i="1" l="1"/>
  <c r="AD64" i="1" s="1"/>
  <c r="AB63" i="1"/>
  <c r="X64" i="1" s="1"/>
  <c r="AC63" i="1"/>
  <c r="Y64" i="1" s="1"/>
  <c r="AE65" i="1" s="1"/>
  <c r="AD65" i="1" s="1"/>
  <c r="N64" i="1"/>
  <c r="Q63" i="1"/>
  <c r="M64" i="1" s="1"/>
  <c r="V65" i="1"/>
  <c r="W64" i="1"/>
  <c r="L64" i="1"/>
  <c r="O64" i="1" s="1"/>
  <c r="AB64" i="1" l="1"/>
  <c r="X65" i="1" s="1"/>
  <c r="AC64" i="1"/>
  <c r="Y65" i="1" s="1"/>
  <c r="AE66" i="1"/>
  <c r="AD66" i="1" s="1"/>
  <c r="M65" i="1"/>
  <c r="R64" i="1"/>
  <c r="N65" i="1" s="1"/>
  <c r="AC65" i="1"/>
  <c r="Y66" i="1" s="1"/>
  <c r="Q64" i="1"/>
  <c r="S44" i="1"/>
  <c r="V66" i="1"/>
  <c r="W65" i="1"/>
  <c r="L65" i="1"/>
  <c r="O65" i="1" s="1"/>
  <c r="AB65" i="1" s="1"/>
  <c r="X66" i="1" s="1"/>
  <c r="AE67" i="1" l="1"/>
  <c r="AD67" i="1" s="1"/>
  <c r="Q65" i="1"/>
  <c r="M66" i="1" s="1"/>
  <c r="AC66" i="1"/>
  <c r="Y67" i="1" s="1"/>
  <c r="AB66" i="1"/>
  <c r="X67" i="1" s="1"/>
  <c r="R65" i="1"/>
  <c r="N66" i="1" s="1"/>
  <c r="V67" i="1"/>
  <c r="W66" i="1"/>
  <c r="L66" i="1"/>
  <c r="O66" i="1" s="1"/>
  <c r="AE68" i="1" l="1"/>
  <c r="AD68" i="1" s="1"/>
  <c r="AC67" i="1"/>
  <c r="Y68" i="1" s="1"/>
  <c r="N67" i="1"/>
  <c r="Q66" i="1"/>
  <c r="AB67" i="1"/>
  <c r="X68" i="1" s="1"/>
  <c r="R66" i="1"/>
  <c r="M67" i="1"/>
  <c r="S45" i="1"/>
  <c r="V68" i="1"/>
  <c r="W67" i="1"/>
  <c r="L67" i="1"/>
  <c r="O67" i="1" s="1"/>
  <c r="AC68" i="1" l="1"/>
  <c r="Y69" i="1" s="1"/>
  <c r="AE69" i="1"/>
  <c r="AD69" i="1" s="1"/>
  <c r="AB68" i="1"/>
  <c r="X69" i="1" s="1"/>
  <c r="R67" i="1"/>
  <c r="N68" i="1"/>
  <c r="Q67" i="1"/>
  <c r="M68" i="1" s="1"/>
  <c r="V69" i="1"/>
  <c r="W68" i="1"/>
  <c r="L68" i="1"/>
  <c r="O68" i="1" s="1"/>
  <c r="AE70" i="1" l="1"/>
  <c r="AD70" i="1" s="1"/>
  <c r="AB69" i="1"/>
  <c r="X70" i="1" s="1"/>
  <c r="N69" i="1"/>
  <c r="Q68" i="1"/>
  <c r="M69" i="1" s="1"/>
  <c r="AC69" i="1"/>
  <c r="Y70" i="1" s="1"/>
  <c r="R68" i="1"/>
  <c r="S46" i="1"/>
  <c r="V70" i="1"/>
  <c r="W69" i="1"/>
  <c r="L69" i="1"/>
  <c r="O69" i="1" s="1"/>
  <c r="AC70" i="1" l="1"/>
  <c r="Y71" i="1" s="1"/>
  <c r="AE71" i="1"/>
  <c r="AD71" i="1" s="1"/>
  <c r="R69" i="1"/>
  <c r="N70" i="1" s="1"/>
  <c r="AB70" i="1"/>
  <c r="X71" i="1" s="1"/>
  <c r="Q69" i="1"/>
  <c r="M70" i="1" s="1"/>
  <c r="V71" i="1"/>
  <c r="W70" i="1"/>
  <c r="L70" i="1"/>
  <c r="O70" i="1" s="1"/>
  <c r="AC71" i="1" l="1"/>
  <c r="Y72" i="1" s="1"/>
  <c r="AE72" i="1"/>
  <c r="R70" i="1"/>
  <c r="N71" i="1"/>
  <c r="Q70" i="1"/>
  <c r="M71" i="1" s="1"/>
  <c r="S47" i="1"/>
  <c r="V72" i="1"/>
  <c r="W71" i="1"/>
  <c r="L71" i="1"/>
  <c r="O71" i="1" s="1"/>
  <c r="AB71" i="1" s="1"/>
  <c r="X72" i="1" s="1"/>
  <c r="AD72" i="1" l="1"/>
  <c r="AE73" i="1" s="1"/>
  <c r="AD73" i="1" s="1"/>
  <c r="AC72" i="1"/>
  <c r="Y73" i="1" s="1"/>
  <c r="R71" i="1"/>
  <c r="N72" i="1" s="1"/>
  <c r="Q71" i="1"/>
  <c r="M72" i="1" s="1"/>
  <c r="R72" i="1" s="1"/>
  <c r="N73" i="1" s="1"/>
  <c r="V73" i="1"/>
  <c r="W72" i="1"/>
  <c r="L72" i="1"/>
  <c r="O72" i="1" s="1"/>
  <c r="AB72" i="1" s="1"/>
  <c r="X73" i="1" s="1"/>
  <c r="AC73" i="1" l="1"/>
  <c r="Y74" i="1" s="1"/>
  <c r="AE74" i="1"/>
  <c r="AD74" i="1" s="1"/>
  <c r="Q72" i="1"/>
  <c r="M73" i="1" s="1"/>
  <c r="R73" i="1" s="1"/>
  <c r="N74" i="1" s="1"/>
  <c r="AB73" i="1"/>
  <c r="X74" i="1" s="1"/>
  <c r="S48" i="1"/>
  <c r="V74" i="1"/>
  <c r="W73" i="1"/>
  <c r="L73" i="1"/>
  <c r="O73" i="1" s="1"/>
  <c r="AE75" i="1" l="1"/>
  <c r="AD75" i="1" s="1"/>
  <c r="AC74" i="1"/>
  <c r="Y75" i="1" s="1"/>
  <c r="Q73" i="1"/>
  <c r="M74" i="1" s="1"/>
  <c r="R74" i="1" s="1"/>
  <c r="N75" i="1" s="1"/>
  <c r="V75" i="1"/>
  <c r="W74" i="1"/>
  <c r="L74" i="1"/>
  <c r="O74" i="1" s="1"/>
  <c r="AB74" i="1" s="1"/>
  <c r="X75" i="1" s="1"/>
  <c r="AE76" i="1" l="1"/>
  <c r="AD76" i="1" s="1"/>
  <c r="AC75" i="1"/>
  <c r="Y76" i="1" s="1"/>
  <c r="Q74" i="1"/>
  <c r="M75" i="1" s="1"/>
  <c r="S49" i="1"/>
  <c r="V76" i="1"/>
  <c r="W75" i="1"/>
  <c r="L75" i="1"/>
  <c r="O75" i="1" s="1"/>
  <c r="AB75" i="1" s="1"/>
  <c r="X76" i="1" s="1"/>
  <c r="AE77" i="1" l="1"/>
  <c r="AD77" i="1" s="1"/>
  <c r="AB76" i="1"/>
  <c r="X77" i="1" s="1"/>
  <c r="AC76" i="1"/>
  <c r="Y77" i="1" s="1"/>
  <c r="M76" i="1"/>
  <c r="R75" i="1"/>
  <c r="N76" i="1" s="1"/>
  <c r="Q75" i="1"/>
  <c r="V77" i="1"/>
  <c r="W76" i="1"/>
  <c r="L76" i="1"/>
  <c r="O76" i="1" s="1"/>
  <c r="AE78" i="1" l="1"/>
  <c r="AD78" i="1" s="1"/>
  <c r="AC77" i="1"/>
  <c r="Y78" i="1" s="1"/>
  <c r="N77" i="1"/>
  <c r="Q76" i="1"/>
  <c r="M77" i="1"/>
  <c r="R76" i="1"/>
  <c r="S50" i="1"/>
  <c r="V78" i="1"/>
  <c r="W77" i="1"/>
  <c r="L77" i="1"/>
  <c r="O77" i="1" s="1"/>
  <c r="AB77" i="1" s="1"/>
  <c r="X78" i="1" s="1"/>
  <c r="AE79" i="1" l="1"/>
  <c r="AD79" i="1" s="1"/>
  <c r="AC78" i="1"/>
  <c r="Y79" i="1" s="1"/>
  <c r="AB78" i="1"/>
  <c r="X79" i="1" s="1"/>
  <c r="R77" i="1"/>
  <c r="Q77" i="1"/>
  <c r="M78" i="1" s="1"/>
  <c r="N78" i="1"/>
  <c r="V79" i="1"/>
  <c r="W78" i="1"/>
  <c r="L78" i="1"/>
  <c r="O78" i="1" s="1"/>
  <c r="AC79" i="1" l="1"/>
  <c r="Y80" i="1" s="1"/>
  <c r="AE80" i="1"/>
  <c r="R78" i="1"/>
  <c r="N79" i="1" s="1"/>
  <c r="M79" i="1"/>
  <c r="Q78" i="1"/>
  <c r="S51" i="1"/>
  <c r="V80" i="1"/>
  <c r="W79" i="1"/>
  <c r="L79" i="1"/>
  <c r="O79" i="1" s="1"/>
  <c r="AB79" i="1" s="1"/>
  <c r="X80" i="1" s="1"/>
  <c r="AD80" i="1" l="1"/>
  <c r="AE81" i="1" s="1"/>
  <c r="AD81" i="1" s="1"/>
  <c r="Q79" i="1"/>
  <c r="AB80" i="1"/>
  <c r="X81" i="1" s="1"/>
  <c r="AC80" i="1"/>
  <c r="Y81" i="1" s="1"/>
  <c r="AC81" i="1" s="1"/>
  <c r="Y82" i="1" s="1"/>
  <c r="R79" i="1"/>
  <c r="N80" i="1" s="1"/>
  <c r="M80" i="1"/>
  <c r="V81" i="1"/>
  <c r="W80" i="1"/>
  <c r="L80" i="1"/>
  <c r="O80" i="1" s="1"/>
  <c r="AE82" i="1" l="1"/>
  <c r="AD82" i="1" s="1"/>
  <c r="Q80" i="1"/>
  <c r="R80" i="1"/>
  <c r="N81" i="1" s="1"/>
  <c r="M81" i="1"/>
  <c r="S52" i="1"/>
  <c r="V82" i="1"/>
  <c r="W81" i="1"/>
  <c r="L81" i="1"/>
  <c r="O81" i="1" s="1"/>
  <c r="AB81" i="1" s="1"/>
  <c r="X82" i="1" s="1"/>
  <c r="AE83" i="1" l="1"/>
  <c r="AD83" i="1" s="1"/>
  <c r="AC82" i="1"/>
  <c r="Y83" i="1" s="1"/>
  <c r="Q81" i="1"/>
  <c r="M82" i="1" s="1"/>
  <c r="R81" i="1"/>
  <c r="N82" i="1" s="1"/>
  <c r="Q82" i="1" s="1"/>
  <c r="V83" i="1"/>
  <c r="W82" i="1"/>
  <c r="L82" i="1"/>
  <c r="O82" i="1" s="1"/>
  <c r="AB82" i="1" s="1"/>
  <c r="X83" i="1" s="1"/>
  <c r="AE84" i="1" l="1"/>
  <c r="AD84" i="1" s="1"/>
  <c r="AC83" i="1"/>
  <c r="Y84" i="1" s="1"/>
  <c r="R82" i="1"/>
  <c r="N83" i="1" s="1"/>
  <c r="M83" i="1"/>
  <c r="S53" i="1"/>
  <c r="V84" i="1"/>
  <c r="W83" i="1"/>
  <c r="L83" i="1"/>
  <c r="O83" i="1" s="1"/>
  <c r="AB83" i="1" s="1"/>
  <c r="X84" i="1" s="1"/>
  <c r="AE85" i="1" l="1"/>
  <c r="AD85" i="1" s="1"/>
  <c r="AB84" i="1"/>
  <c r="X85" i="1" s="1"/>
  <c r="AC84" i="1"/>
  <c r="Y85" i="1" s="1"/>
  <c r="Q83" i="1"/>
  <c r="M84" i="1" s="1"/>
  <c r="N84" i="1"/>
  <c r="Q84" i="1" s="1"/>
  <c r="R83" i="1"/>
  <c r="V85" i="1"/>
  <c r="W84" i="1"/>
  <c r="L84" i="1"/>
  <c r="O84" i="1" s="1"/>
  <c r="AE86" i="1" l="1"/>
  <c r="AD86" i="1" s="1"/>
  <c r="M85" i="1"/>
  <c r="R84" i="1"/>
  <c r="N85" i="1" s="1"/>
  <c r="Q85" i="1" s="1"/>
  <c r="M86" i="1" s="1"/>
  <c r="AC85" i="1"/>
  <c r="Y86" i="1" s="1"/>
  <c r="S54" i="1"/>
  <c r="V86" i="1"/>
  <c r="W85" i="1"/>
  <c r="L85" i="1"/>
  <c r="O85" i="1" s="1"/>
  <c r="AB85" i="1" s="1"/>
  <c r="X86" i="1" s="1"/>
  <c r="AE87" i="1" l="1"/>
  <c r="AD87" i="1" s="1"/>
  <c r="AC86" i="1"/>
  <c r="Y87" i="1" s="1"/>
  <c r="R86" i="1"/>
  <c r="N87" i="1" s="1"/>
  <c r="R85" i="1"/>
  <c r="N86" i="1" s="1"/>
  <c r="V87" i="1"/>
  <c r="W86" i="1"/>
  <c r="L86" i="1"/>
  <c r="O86" i="1" s="1"/>
  <c r="AB86" i="1" s="1"/>
  <c r="X87" i="1" s="1"/>
  <c r="AE88" i="1" l="1"/>
  <c r="AD88" i="1" s="1"/>
  <c r="AB87" i="1"/>
  <c r="X88" i="1" s="1"/>
  <c r="AC87" i="1"/>
  <c r="Y88" i="1" s="1"/>
  <c r="AC88" i="1" s="1"/>
  <c r="Y89" i="1" s="1"/>
  <c r="N88" i="1"/>
  <c r="Q86" i="1"/>
  <c r="M87" i="1" s="1"/>
  <c r="R87" i="1" s="1"/>
  <c r="S55" i="1"/>
  <c r="V88" i="1"/>
  <c r="W87" i="1"/>
  <c r="L87" i="1"/>
  <c r="O87" i="1" s="1"/>
  <c r="AE89" i="1" l="1"/>
  <c r="AD89" i="1" s="1"/>
  <c r="Q87" i="1"/>
  <c r="M88" i="1" s="1"/>
  <c r="Q88" i="1"/>
  <c r="M89" i="1" s="1"/>
  <c r="V89" i="1"/>
  <c r="W88" i="1"/>
  <c r="L88" i="1"/>
  <c r="O88" i="1" s="1"/>
  <c r="AB88" i="1" s="1"/>
  <c r="X89" i="1" s="1"/>
  <c r="AE90" i="1" l="1"/>
  <c r="AD90" i="1" s="1"/>
  <c r="AC89" i="1"/>
  <c r="Y90" i="1" s="1"/>
  <c r="AB89" i="1"/>
  <c r="X90" i="1" s="1"/>
  <c r="R89" i="1"/>
  <c r="N90" i="1" s="1"/>
  <c r="R88" i="1"/>
  <c r="N89" i="1" s="1"/>
  <c r="S56" i="1"/>
  <c r="V90" i="1"/>
  <c r="W89" i="1"/>
  <c r="L89" i="1"/>
  <c r="O89" i="1" s="1"/>
  <c r="AE91" i="1" l="1"/>
  <c r="AD91" i="1" s="1"/>
  <c r="AC90" i="1"/>
  <c r="Y91" i="1" s="1"/>
  <c r="Q89" i="1"/>
  <c r="M90" i="1" s="1"/>
  <c r="R90" i="1" s="1"/>
  <c r="N91" i="1" s="1"/>
  <c r="V91" i="1"/>
  <c r="W90" i="1"/>
  <c r="L90" i="1"/>
  <c r="O90" i="1" s="1"/>
  <c r="AB90" i="1" s="1"/>
  <c r="X91" i="1" s="1"/>
  <c r="AE92" i="1" l="1"/>
  <c r="AD92" i="1" s="1"/>
  <c r="AB91" i="1"/>
  <c r="X92" i="1" s="1"/>
  <c r="AC91" i="1"/>
  <c r="Y92" i="1" s="1"/>
  <c r="Q90" i="1"/>
  <c r="M91" i="1" s="1"/>
  <c r="S57" i="1"/>
  <c r="V92" i="1"/>
  <c r="W91" i="1"/>
  <c r="L91" i="1"/>
  <c r="O91" i="1" s="1"/>
  <c r="AC92" i="1" l="1"/>
  <c r="Y93" i="1" s="1"/>
  <c r="AE93" i="1"/>
  <c r="AD93" i="1" s="1"/>
  <c r="AB92" i="1"/>
  <c r="X93" i="1" s="1"/>
  <c r="R91" i="1"/>
  <c r="N92" i="1" s="1"/>
  <c r="Q91" i="1"/>
  <c r="M92" i="1" s="1"/>
  <c r="R92" i="1" s="1"/>
  <c r="V93" i="1"/>
  <c r="W92" i="1"/>
  <c r="L92" i="1"/>
  <c r="O92" i="1" s="1"/>
  <c r="AE94" i="1" l="1"/>
  <c r="AD94" i="1" s="1"/>
  <c r="AC93" i="1"/>
  <c r="Y94" i="1" s="1"/>
  <c r="AB93" i="1"/>
  <c r="X94" i="1" s="1"/>
  <c r="N93" i="1"/>
  <c r="Q92" i="1"/>
  <c r="M93" i="1" s="1"/>
  <c r="S58" i="1"/>
  <c r="V94" i="1"/>
  <c r="W93" i="1"/>
  <c r="L93" i="1"/>
  <c r="O93" i="1" s="1"/>
  <c r="AE95" i="1" l="1"/>
  <c r="AD95" i="1" s="1"/>
  <c r="AC94" i="1"/>
  <c r="Y95" i="1" s="1"/>
  <c r="M94" i="1"/>
  <c r="R93" i="1"/>
  <c r="N94" i="1"/>
  <c r="Q93" i="1"/>
  <c r="V95" i="1"/>
  <c r="W94" i="1"/>
  <c r="L94" i="1"/>
  <c r="O94" i="1" s="1"/>
  <c r="AB94" i="1" s="1"/>
  <c r="X95" i="1" s="1"/>
  <c r="AE96" i="1" l="1"/>
  <c r="AD96" i="1" s="1"/>
  <c r="AC95" i="1"/>
  <c r="Y96" i="1" s="1"/>
  <c r="N95" i="1"/>
  <c r="Q94" i="1"/>
  <c r="M95" i="1" s="1"/>
  <c r="R94" i="1"/>
  <c r="S59" i="1"/>
  <c r="V96" i="1"/>
  <c r="W95" i="1"/>
  <c r="L95" i="1"/>
  <c r="O95" i="1" s="1"/>
  <c r="AB95" i="1" s="1"/>
  <c r="X96" i="1" s="1"/>
  <c r="AE97" i="1" l="1"/>
  <c r="AD97" i="1" s="1"/>
  <c r="AC96" i="1"/>
  <c r="Y97" i="1" s="1"/>
  <c r="R95" i="1"/>
  <c r="N96" i="1"/>
  <c r="Q95" i="1"/>
  <c r="M96" i="1" s="1"/>
  <c r="R96" i="1" s="1"/>
  <c r="V97" i="1"/>
  <c r="W96" i="1"/>
  <c r="L96" i="1"/>
  <c r="O96" i="1" s="1"/>
  <c r="AB96" i="1" s="1"/>
  <c r="X97" i="1" s="1"/>
  <c r="AE98" i="1" l="1"/>
  <c r="AD98" i="1" s="1"/>
  <c r="AC97" i="1"/>
  <c r="Y98" i="1" s="1"/>
  <c r="Q96" i="1"/>
  <c r="M97" i="1" s="1"/>
  <c r="N97" i="1"/>
  <c r="S60" i="1"/>
  <c r="V98" i="1"/>
  <c r="W97" i="1"/>
  <c r="L97" i="1"/>
  <c r="O97" i="1" s="1"/>
  <c r="AB97" i="1" s="1"/>
  <c r="X98" i="1" s="1"/>
  <c r="AE99" i="1" l="1"/>
  <c r="AD99" i="1" s="1"/>
  <c r="AC98" i="1"/>
  <c r="Y99" i="1" s="1"/>
  <c r="Q97" i="1"/>
  <c r="M98" i="1" s="1"/>
  <c r="R97" i="1"/>
  <c r="N98" i="1" s="1"/>
  <c r="V99" i="1"/>
  <c r="W98" i="1"/>
  <c r="L98" i="1"/>
  <c r="O98" i="1" s="1"/>
  <c r="AB98" i="1" s="1"/>
  <c r="X99" i="1" s="1"/>
  <c r="AE100" i="1" l="1"/>
  <c r="AD100" i="1" s="1"/>
  <c r="Q98" i="1"/>
  <c r="M99" i="1" s="1"/>
  <c r="AC99" i="1"/>
  <c r="Y100" i="1" s="1"/>
  <c r="R98" i="1"/>
  <c r="N99" i="1" s="1"/>
  <c r="S61" i="1"/>
  <c r="V100" i="1"/>
  <c r="W99" i="1"/>
  <c r="L99" i="1"/>
  <c r="O99" i="1" s="1"/>
  <c r="AB99" i="1" s="1"/>
  <c r="X100" i="1" s="1"/>
  <c r="AE101" i="1" l="1"/>
  <c r="AD101" i="1" s="1"/>
  <c r="N100" i="1"/>
  <c r="Q99" i="1"/>
  <c r="M100" i="1" s="1"/>
  <c r="AC100" i="1"/>
  <c r="Y101" i="1" s="1"/>
  <c r="AB100" i="1"/>
  <c r="X101" i="1" s="1"/>
  <c r="R99" i="1"/>
  <c r="V101" i="1"/>
  <c r="W100" i="1"/>
  <c r="L100" i="1"/>
  <c r="O100" i="1" s="1"/>
  <c r="AE102" i="1" l="1"/>
  <c r="AD102" i="1" s="1"/>
  <c r="AC101" i="1"/>
  <c r="Y102" i="1" s="1"/>
  <c r="R100" i="1"/>
  <c r="Q100" i="1"/>
  <c r="M101" i="1" s="1"/>
  <c r="N101" i="1"/>
  <c r="S62" i="1"/>
  <c r="V102" i="1"/>
  <c r="W101" i="1"/>
  <c r="L101" i="1"/>
  <c r="O101" i="1" s="1"/>
  <c r="AB101" i="1" s="1"/>
  <c r="X102" i="1" s="1"/>
  <c r="AE103" i="1" l="1"/>
  <c r="AD103" i="1" s="1"/>
  <c r="AC102" i="1"/>
  <c r="Y103" i="1" s="1"/>
  <c r="AB102" i="1"/>
  <c r="X103" i="1" s="1"/>
  <c r="N102" i="1"/>
  <c r="Q101" i="1"/>
  <c r="M102" i="1" s="1"/>
  <c r="R102" i="1" s="1"/>
  <c r="R101" i="1"/>
  <c r="V103" i="1"/>
  <c r="W102" i="1"/>
  <c r="L102" i="1"/>
  <c r="O102" i="1" s="1"/>
  <c r="AE104" i="1" l="1"/>
  <c r="AD104" i="1" s="1"/>
  <c r="AC103" i="1"/>
  <c r="Y104" i="1" s="1"/>
  <c r="AB103" i="1"/>
  <c r="X104" i="1" s="1"/>
  <c r="N103" i="1"/>
  <c r="Q102" i="1"/>
  <c r="M103" i="1" s="1"/>
  <c r="S63" i="1"/>
  <c r="V104" i="1"/>
  <c r="W103" i="1"/>
  <c r="L103" i="1"/>
  <c r="O103" i="1" s="1"/>
  <c r="AC104" i="1" l="1"/>
  <c r="Y105" i="1" s="1"/>
  <c r="AE105" i="1"/>
  <c r="AD105" i="1" s="1"/>
  <c r="R103" i="1"/>
  <c r="N104" i="1"/>
  <c r="Q103" i="1"/>
  <c r="M104" i="1" s="1"/>
  <c r="R104" i="1" s="1"/>
  <c r="V105" i="1"/>
  <c r="W104" i="1"/>
  <c r="L104" i="1"/>
  <c r="O104" i="1" s="1"/>
  <c r="AB104" i="1" s="1"/>
  <c r="X105" i="1" s="1"/>
  <c r="AE106" i="1" l="1"/>
  <c r="AD106" i="1" s="1"/>
  <c r="AB105" i="1"/>
  <c r="X106" i="1" s="1"/>
  <c r="AC105" i="1"/>
  <c r="Y106" i="1" s="1"/>
  <c r="AC106" i="1" s="1"/>
  <c r="Y107" i="1" s="1"/>
  <c r="N105" i="1"/>
  <c r="Q104" i="1"/>
  <c r="M105" i="1" s="1"/>
  <c r="R105" i="1" s="1"/>
  <c r="S64" i="1"/>
  <c r="V106" i="1"/>
  <c r="W105" i="1"/>
  <c r="L105" i="1"/>
  <c r="O105" i="1" s="1"/>
  <c r="AE107" i="1" l="1"/>
  <c r="AD107" i="1" s="1"/>
  <c r="N106" i="1"/>
  <c r="Q105" i="1"/>
  <c r="M106" i="1" s="1"/>
  <c r="V107" i="1"/>
  <c r="W106" i="1"/>
  <c r="L106" i="1"/>
  <c r="O106" i="1" s="1"/>
  <c r="AB106" i="1" s="1"/>
  <c r="X107" i="1" s="1"/>
  <c r="AE108" i="1" l="1"/>
  <c r="AD108" i="1" s="1"/>
  <c r="AC107" i="1"/>
  <c r="Y108" i="1" s="1"/>
  <c r="R106" i="1"/>
  <c r="N107" i="1"/>
  <c r="Q106" i="1"/>
  <c r="M107" i="1" s="1"/>
  <c r="S65" i="1"/>
  <c r="V108" i="1"/>
  <c r="W107" i="1"/>
  <c r="L107" i="1"/>
  <c r="O107" i="1" s="1"/>
  <c r="AB107" i="1" s="1"/>
  <c r="X108" i="1" s="1"/>
  <c r="AE109" i="1" l="1"/>
  <c r="AD109" i="1" s="1"/>
  <c r="AB108" i="1"/>
  <c r="X109" i="1" s="1"/>
  <c r="AC108" i="1"/>
  <c r="Y109" i="1" s="1"/>
  <c r="AC109" i="1" s="1"/>
  <c r="Y110" i="1" s="1"/>
  <c r="R107" i="1"/>
  <c r="N108" i="1"/>
  <c r="Q107" i="1"/>
  <c r="M108" i="1" s="1"/>
  <c r="R108" i="1" s="1"/>
  <c r="V109" i="1"/>
  <c r="W108" i="1"/>
  <c r="L108" i="1"/>
  <c r="O108" i="1" s="1"/>
  <c r="AE110" i="1" l="1"/>
  <c r="AD110" i="1" s="1"/>
  <c r="N109" i="1"/>
  <c r="Q108" i="1"/>
  <c r="M109" i="1" s="1"/>
  <c r="R109" i="1" s="1"/>
  <c r="S66" i="1"/>
  <c r="V110" i="1"/>
  <c r="W109" i="1"/>
  <c r="L109" i="1"/>
  <c r="O109" i="1" s="1"/>
  <c r="AB109" i="1" s="1"/>
  <c r="X110" i="1" s="1"/>
  <c r="AE111" i="1" l="1"/>
  <c r="AD111" i="1" s="1"/>
  <c r="AC110" i="1"/>
  <c r="Y111" i="1" s="1"/>
  <c r="AB110" i="1"/>
  <c r="X111" i="1" s="1"/>
  <c r="N110" i="1"/>
  <c r="Q109" i="1"/>
  <c r="M110" i="1" s="1"/>
  <c r="R110" i="1" s="1"/>
  <c r="V111" i="1"/>
  <c r="W110" i="1"/>
  <c r="L110" i="1"/>
  <c r="O110" i="1" s="1"/>
  <c r="AE112" i="1" l="1"/>
  <c r="AD112" i="1" s="1"/>
  <c r="AC111" i="1"/>
  <c r="Y112" i="1" s="1"/>
  <c r="N111" i="1"/>
  <c r="Q110" i="1"/>
  <c r="M111" i="1" s="1"/>
  <c r="R111" i="1" s="1"/>
  <c r="S67" i="1"/>
  <c r="V112" i="1"/>
  <c r="W111" i="1"/>
  <c r="L111" i="1"/>
  <c r="O111" i="1" s="1"/>
  <c r="AB111" i="1" s="1"/>
  <c r="X112" i="1" s="1"/>
  <c r="AE113" i="1" l="1"/>
  <c r="AD113" i="1" s="1"/>
  <c r="AC112" i="1"/>
  <c r="Y113" i="1" s="1"/>
  <c r="AB112" i="1"/>
  <c r="X113" i="1" s="1"/>
  <c r="Q111" i="1"/>
  <c r="M112" i="1" s="1"/>
  <c r="N112" i="1"/>
  <c r="V113" i="1"/>
  <c r="W112" i="1"/>
  <c r="L112" i="1"/>
  <c r="O112" i="1" s="1"/>
  <c r="AE114" i="1" l="1"/>
  <c r="AD114" i="1" s="1"/>
  <c r="R112" i="1"/>
  <c r="N113" i="1" s="1"/>
  <c r="Q112" i="1"/>
  <c r="M113" i="1" s="1"/>
  <c r="AC113" i="1"/>
  <c r="Y114" i="1" s="1"/>
  <c r="S68" i="1"/>
  <c r="V114" i="1"/>
  <c r="W113" i="1"/>
  <c r="L113" i="1"/>
  <c r="O113" i="1" s="1"/>
  <c r="AB113" i="1" s="1"/>
  <c r="X114" i="1" s="1"/>
  <c r="AE115" i="1" l="1"/>
  <c r="AD115" i="1" s="1"/>
  <c r="Q113" i="1"/>
  <c r="M114" i="1" s="1"/>
  <c r="AC114" i="1"/>
  <c r="Y115" i="1" s="1"/>
  <c r="AB114" i="1"/>
  <c r="X115" i="1" s="1"/>
  <c r="R113" i="1"/>
  <c r="N114" i="1" s="1"/>
  <c r="V115" i="1"/>
  <c r="W114" i="1"/>
  <c r="L114" i="1"/>
  <c r="O114" i="1" s="1"/>
  <c r="AE116" i="1" l="1"/>
  <c r="AD116" i="1" s="1"/>
  <c r="Q114" i="1"/>
  <c r="M115" i="1" s="1"/>
  <c r="AC115" i="1"/>
  <c r="Y116" i="1" s="1"/>
  <c r="R114" i="1"/>
  <c r="N115" i="1" s="1"/>
  <c r="S69" i="1"/>
  <c r="V116" i="1"/>
  <c r="W115" i="1"/>
  <c r="L115" i="1"/>
  <c r="O115" i="1" s="1"/>
  <c r="AB115" i="1" s="1"/>
  <c r="X116" i="1" s="1"/>
  <c r="AE117" i="1" l="1"/>
  <c r="AD117" i="1" s="1"/>
  <c r="AC116" i="1"/>
  <c r="Y117" i="1" s="1"/>
  <c r="AB116" i="1"/>
  <c r="X117" i="1" s="1"/>
  <c r="Q115" i="1"/>
  <c r="M116" i="1" s="1"/>
  <c r="R115" i="1"/>
  <c r="N116" i="1" s="1"/>
  <c r="V117" i="1"/>
  <c r="W116" i="1"/>
  <c r="L116" i="1"/>
  <c r="O116" i="1" s="1"/>
  <c r="AE118" i="1" l="1"/>
  <c r="AD118" i="1" s="1"/>
  <c r="Q116" i="1"/>
  <c r="M117" i="1" s="1"/>
  <c r="AC117" i="1"/>
  <c r="Y118" i="1" s="1"/>
  <c r="R116" i="1"/>
  <c r="N117" i="1" s="1"/>
  <c r="S70" i="1"/>
  <c r="V118" i="1"/>
  <c r="W117" i="1"/>
  <c r="L117" i="1"/>
  <c r="O117" i="1" s="1"/>
  <c r="AB117" i="1" s="1"/>
  <c r="X118" i="1" s="1"/>
  <c r="AE119" i="1" l="1"/>
  <c r="AD119" i="1" s="1"/>
  <c r="AC118" i="1"/>
  <c r="Y119" i="1" s="1"/>
  <c r="Q117" i="1"/>
  <c r="M118" i="1" s="1"/>
  <c r="N118" i="1"/>
  <c r="R117" i="1"/>
  <c r="V119" i="1"/>
  <c r="W118" i="1"/>
  <c r="L118" i="1"/>
  <c r="O118" i="1" s="1"/>
  <c r="AB118" i="1" s="1"/>
  <c r="X119" i="1" s="1"/>
  <c r="AE120" i="1" l="1"/>
  <c r="AD120" i="1" s="1"/>
  <c r="AC119" i="1"/>
  <c r="Y120" i="1" s="1"/>
  <c r="Q118" i="1"/>
  <c r="M119" i="1" s="1"/>
  <c r="R118" i="1"/>
  <c r="N119" i="1" s="1"/>
  <c r="S71" i="1"/>
  <c r="V120" i="1"/>
  <c r="W119" i="1"/>
  <c r="L119" i="1"/>
  <c r="O119" i="1" s="1"/>
  <c r="AB119" i="1" s="1"/>
  <c r="X120" i="1" s="1"/>
  <c r="AE121" i="1" l="1"/>
  <c r="AD121" i="1" s="1"/>
  <c r="AC120" i="1"/>
  <c r="Y121" i="1" s="1"/>
  <c r="Q119" i="1"/>
  <c r="M120" i="1" s="1"/>
  <c r="N120" i="1"/>
  <c r="R119" i="1"/>
  <c r="V121" i="1"/>
  <c r="W120" i="1"/>
  <c r="L120" i="1"/>
  <c r="O120" i="1" s="1"/>
  <c r="AB120" i="1" s="1"/>
  <c r="X121" i="1" s="1"/>
  <c r="AE122" i="1" l="1"/>
  <c r="AD122" i="1" s="1"/>
  <c r="AC121" i="1"/>
  <c r="Y122" i="1" s="1"/>
  <c r="Q120" i="1"/>
  <c r="M121" i="1" s="1"/>
  <c r="N121" i="1"/>
  <c r="R120" i="1"/>
  <c r="S72" i="1"/>
  <c r="V122" i="1"/>
  <c r="W121" i="1"/>
  <c r="L121" i="1"/>
  <c r="O121" i="1" s="1"/>
  <c r="AB121" i="1" s="1"/>
  <c r="X122" i="1" s="1"/>
  <c r="AE123" i="1" l="1"/>
  <c r="AD123" i="1" s="1"/>
  <c r="AC122" i="1"/>
  <c r="Y123" i="1" s="1"/>
  <c r="R121" i="1"/>
  <c r="Q121" i="1"/>
  <c r="M122" i="1" s="1"/>
  <c r="N122" i="1"/>
  <c r="V123" i="1"/>
  <c r="W122" i="1"/>
  <c r="L122" i="1"/>
  <c r="O122" i="1" s="1"/>
  <c r="AB122" i="1" s="1"/>
  <c r="X123" i="1" s="1"/>
  <c r="AE124" i="1" l="1"/>
  <c r="AD124" i="1" s="1"/>
  <c r="AE125" i="1"/>
  <c r="AD125" i="1" s="1"/>
  <c r="R122" i="1"/>
  <c r="N123" i="1" s="1"/>
  <c r="AC123" i="1"/>
  <c r="Y124" i="1" s="1"/>
  <c r="Q122" i="1"/>
  <c r="M123" i="1" s="1"/>
  <c r="S73" i="1"/>
  <c r="V124" i="1"/>
  <c r="W123" i="1"/>
  <c r="L123" i="1"/>
  <c r="O123" i="1" s="1"/>
  <c r="AB123" i="1" s="1"/>
  <c r="X124" i="1" s="1"/>
  <c r="AC124" i="1" l="1"/>
  <c r="Y125" i="1" s="1"/>
  <c r="R123" i="1"/>
  <c r="Q123" i="1"/>
  <c r="M124" i="1" s="1"/>
  <c r="R124" i="1" s="1"/>
  <c r="N124" i="1"/>
  <c r="V125" i="1"/>
  <c r="W124" i="1"/>
  <c r="L124" i="1"/>
  <c r="O124" i="1" s="1"/>
  <c r="AB124" i="1" s="1"/>
  <c r="X125" i="1" s="1"/>
  <c r="AE126" i="1" l="1"/>
  <c r="AD126" i="1" s="1"/>
  <c r="AC125" i="1"/>
  <c r="Y126" i="1" s="1"/>
  <c r="N125" i="1"/>
  <c r="Q124" i="1"/>
  <c r="M125" i="1" s="1"/>
  <c r="S74" i="1"/>
  <c r="V126" i="1"/>
  <c r="W125" i="1"/>
  <c r="L125" i="1"/>
  <c r="O125" i="1" s="1"/>
  <c r="AB125" i="1" s="1"/>
  <c r="X126" i="1" s="1"/>
  <c r="AE127" i="1" l="1"/>
  <c r="AD127" i="1" s="1"/>
  <c r="AB126" i="1"/>
  <c r="X127" i="1" s="1"/>
  <c r="AC126" i="1"/>
  <c r="Y127" i="1" s="1"/>
  <c r="R125" i="1"/>
  <c r="Q125" i="1"/>
  <c r="M126" i="1" s="1"/>
  <c r="N126" i="1"/>
  <c r="V127" i="1"/>
  <c r="W126" i="1"/>
  <c r="L126" i="1"/>
  <c r="O126" i="1" s="1"/>
  <c r="AC127" i="1" l="1"/>
  <c r="Y128" i="1" s="1"/>
  <c r="AE128" i="1"/>
  <c r="AD128" i="1" s="1"/>
  <c r="R126" i="1"/>
  <c r="Q126" i="1"/>
  <c r="M127" i="1" s="1"/>
  <c r="N127" i="1"/>
  <c r="AB127" i="1"/>
  <c r="X128" i="1" s="1"/>
  <c r="S75" i="1"/>
  <c r="V128" i="1"/>
  <c r="W127" i="1"/>
  <c r="L127" i="1"/>
  <c r="O127" i="1" s="1"/>
  <c r="AE129" i="1" l="1"/>
  <c r="AD129" i="1" s="1"/>
  <c r="AB128" i="1"/>
  <c r="X129" i="1" s="1"/>
  <c r="M128" i="1"/>
  <c r="R127" i="1"/>
  <c r="N128" i="1" s="1"/>
  <c r="Q127" i="1"/>
  <c r="AC128" i="1"/>
  <c r="Y129" i="1" s="1"/>
  <c r="V129" i="1"/>
  <c r="W128" i="1"/>
  <c r="L128" i="1"/>
  <c r="O128" i="1" s="1"/>
  <c r="AC129" i="1" l="1"/>
  <c r="Y130" i="1" s="1"/>
  <c r="AE130" i="1"/>
  <c r="Q128" i="1"/>
  <c r="M129" i="1"/>
  <c r="R128" i="1"/>
  <c r="N129" i="1" s="1"/>
  <c r="S76" i="1"/>
  <c r="V130" i="1"/>
  <c r="W129" i="1"/>
  <c r="L129" i="1"/>
  <c r="O129" i="1" s="1"/>
  <c r="AB129" i="1" s="1"/>
  <c r="X130" i="1" s="1"/>
  <c r="AD130" i="1" l="1"/>
  <c r="AE131" i="1" s="1"/>
  <c r="AD131" i="1" s="1"/>
  <c r="AC130" i="1"/>
  <c r="Y131" i="1" s="1"/>
  <c r="Q129" i="1"/>
  <c r="M130" i="1" s="1"/>
  <c r="R129" i="1"/>
  <c r="N130" i="1" s="1"/>
  <c r="V131" i="1"/>
  <c r="W130" i="1"/>
  <c r="L130" i="1"/>
  <c r="O130" i="1" s="1"/>
  <c r="AB130" i="1" s="1"/>
  <c r="X131" i="1" s="1"/>
  <c r="AE132" i="1" l="1"/>
  <c r="AD132" i="1" s="1"/>
  <c r="AC131" i="1"/>
  <c r="Y132" i="1" s="1"/>
  <c r="R130" i="1"/>
  <c r="N131" i="1"/>
  <c r="Q130" i="1"/>
  <c r="M131" i="1" s="1"/>
  <c r="AB131" i="1"/>
  <c r="X132" i="1" s="1"/>
  <c r="S77" i="1"/>
  <c r="V132" i="1"/>
  <c r="W131" i="1"/>
  <c r="L131" i="1"/>
  <c r="O131" i="1" s="1"/>
  <c r="AC132" i="1" l="1"/>
  <c r="Y133" i="1" s="1"/>
  <c r="AE133" i="1"/>
  <c r="AD133" i="1" s="1"/>
  <c r="M132" i="1"/>
  <c r="R132" i="1" s="1"/>
  <c r="N133" i="1" s="1"/>
  <c r="R131" i="1"/>
  <c r="AB132" i="1"/>
  <c r="X133" i="1" s="1"/>
  <c r="N132" i="1"/>
  <c r="Q131" i="1"/>
  <c r="V133" i="1"/>
  <c r="W132" i="1"/>
  <c r="L132" i="1"/>
  <c r="O132" i="1" s="1"/>
  <c r="AC133" i="1" l="1"/>
  <c r="Y134" i="1" s="1"/>
  <c r="AE134" i="1"/>
  <c r="AD134" i="1" s="1"/>
  <c r="Q133" i="1"/>
  <c r="Q132" i="1"/>
  <c r="M133" i="1" s="1"/>
  <c r="S78" i="1"/>
  <c r="V134" i="1"/>
  <c r="W133" i="1"/>
  <c r="L133" i="1"/>
  <c r="O133" i="1" s="1"/>
  <c r="AB133" i="1" s="1"/>
  <c r="X134" i="1" s="1"/>
  <c r="AE135" i="1" l="1"/>
  <c r="AD135" i="1" s="1"/>
  <c r="AC134" i="1"/>
  <c r="Y135" i="1" s="1"/>
  <c r="M134" i="1"/>
  <c r="R133" i="1"/>
  <c r="N134" i="1" s="1"/>
  <c r="V135" i="1"/>
  <c r="W134" i="1"/>
  <c r="L134" i="1"/>
  <c r="O134" i="1" s="1"/>
  <c r="AB134" i="1" s="1"/>
  <c r="X135" i="1" s="1"/>
  <c r="AE136" i="1" l="1"/>
  <c r="AD136" i="1" s="1"/>
  <c r="AC135" i="1"/>
  <c r="Y136" i="1" s="1"/>
  <c r="Q134" i="1"/>
  <c r="M135" i="1" s="1"/>
  <c r="R134" i="1"/>
  <c r="N135" i="1" s="1"/>
  <c r="S79" i="1"/>
  <c r="V136" i="1"/>
  <c r="W135" i="1"/>
  <c r="L135" i="1"/>
  <c r="O135" i="1" s="1"/>
  <c r="AB135" i="1" s="1"/>
  <c r="X136" i="1" s="1"/>
  <c r="AE137" i="1" l="1"/>
  <c r="AD137" i="1" s="1"/>
  <c r="Q135" i="1"/>
  <c r="N136" i="1"/>
  <c r="R135" i="1"/>
  <c r="M136" i="1"/>
  <c r="AB136" i="1"/>
  <c r="X137" i="1" s="1"/>
  <c r="AC136" i="1"/>
  <c r="Y137" i="1" s="1"/>
  <c r="V137" i="1"/>
  <c r="W136" i="1"/>
  <c r="L136" i="1"/>
  <c r="O136" i="1" s="1"/>
  <c r="AC137" i="1" l="1"/>
  <c r="Y138" i="1" s="1"/>
  <c r="AE138" i="1"/>
  <c r="AD138" i="1" s="1"/>
  <c r="AB137" i="1"/>
  <c r="X138" i="1" s="1"/>
  <c r="R136" i="1"/>
  <c r="N137" i="1" s="1"/>
  <c r="M137" i="1"/>
  <c r="Q136" i="1"/>
  <c r="S80" i="1"/>
  <c r="V138" i="1"/>
  <c r="W137" i="1"/>
  <c r="L137" i="1"/>
  <c r="O137" i="1" s="1"/>
  <c r="AE139" i="1" l="1"/>
  <c r="AD139" i="1" s="1"/>
  <c r="Q137" i="1"/>
  <c r="AB138" i="1"/>
  <c r="X139" i="1" s="1"/>
  <c r="AC138" i="1"/>
  <c r="Y139" i="1" s="1"/>
  <c r="AC139" i="1" s="1"/>
  <c r="Y140" i="1" s="1"/>
  <c r="M138" i="1"/>
  <c r="R137" i="1"/>
  <c r="N138" i="1" s="1"/>
  <c r="V139" i="1"/>
  <c r="W138" i="1"/>
  <c r="L138" i="1"/>
  <c r="O138" i="1" s="1"/>
  <c r="AE140" i="1" l="1"/>
  <c r="AD140" i="1" s="1"/>
  <c r="Q138" i="1"/>
  <c r="R138" i="1"/>
  <c r="N139" i="1" s="1"/>
  <c r="M139" i="1"/>
  <c r="S81" i="1"/>
  <c r="V140" i="1"/>
  <c r="W139" i="1"/>
  <c r="L139" i="1"/>
  <c r="O139" i="1" s="1"/>
  <c r="AB139" i="1" s="1"/>
  <c r="X140" i="1" s="1"/>
  <c r="AE141" i="1" l="1"/>
  <c r="AD141" i="1" s="1"/>
  <c r="Q139" i="1"/>
  <c r="AB140" i="1"/>
  <c r="X141" i="1" s="1"/>
  <c r="AC140" i="1"/>
  <c r="Y141" i="1" s="1"/>
  <c r="AC141" i="1" s="1"/>
  <c r="Y142" i="1" s="1"/>
  <c r="R139" i="1"/>
  <c r="N140" i="1" s="1"/>
  <c r="M140" i="1"/>
  <c r="V141" i="1"/>
  <c r="W140" i="1"/>
  <c r="L140" i="1"/>
  <c r="O140" i="1" s="1"/>
  <c r="AE142" i="1" l="1"/>
  <c r="AD142" i="1" s="1"/>
  <c r="Q140" i="1"/>
  <c r="AB141" i="1"/>
  <c r="X142" i="1" s="1"/>
  <c r="M141" i="1"/>
  <c r="R140" i="1"/>
  <c r="N141" i="1" s="1"/>
  <c r="S82" i="1"/>
  <c r="V142" i="1"/>
  <c r="W141" i="1"/>
  <c r="L141" i="1"/>
  <c r="O141" i="1" s="1"/>
  <c r="AC142" i="1" l="1"/>
  <c r="Y143" i="1" s="1"/>
  <c r="AE143" i="1"/>
  <c r="AD143" i="1" s="1"/>
  <c r="Q141" i="1"/>
  <c r="M142" i="1"/>
  <c r="R141" i="1"/>
  <c r="N142" i="1" s="1"/>
  <c r="Q142" i="1" s="1"/>
  <c r="M143" i="1" s="1"/>
  <c r="V143" i="1"/>
  <c r="W142" i="1"/>
  <c r="L142" i="1"/>
  <c r="O142" i="1" s="1"/>
  <c r="AB142" i="1" s="1"/>
  <c r="X143" i="1" s="1"/>
  <c r="AE144" i="1" l="1"/>
  <c r="AD144" i="1" s="1"/>
  <c r="AB143" i="1"/>
  <c r="X144" i="1" s="1"/>
  <c r="AC143" i="1"/>
  <c r="Y144" i="1" s="1"/>
  <c r="R142" i="1"/>
  <c r="N143" i="1" s="1"/>
  <c r="S83" i="1"/>
  <c r="V144" i="1"/>
  <c r="W143" i="1"/>
  <c r="L143" i="1"/>
  <c r="O143" i="1" s="1"/>
  <c r="AC144" i="1" l="1"/>
  <c r="Y145" i="1" s="1"/>
  <c r="AE145" i="1"/>
  <c r="AD145" i="1" s="1"/>
  <c r="AB144" i="1"/>
  <c r="X145" i="1" s="1"/>
  <c r="R143" i="1"/>
  <c r="N144" i="1" s="1"/>
  <c r="Q143" i="1"/>
  <c r="M144" i="1" s="1"/>
  <c r="V145" i="1"/>
  <c r="W144" i="1"/>
  <c r="L144" i="1"/>
  <c r="O144" i="1" s="1"/>
  <c r="AE146" i="1" l="1"/>
  <c r="AD146" i="1" s="1"/>
  <c r="Q144" i="1"/>
  <c r="M145" i="1"/>
  <c r="R144" i="1"/>
  <c r="N145" i="1" s="1"/>
  <c r="AC145" i="1"/>
  <c r="Y146" i="1" s="1"/>
  <c r="S84" i="1"/>
  <c r="V146" i="1"/>
  <c r="W145" i="1"/>
  <c r="L145" i="1"/>
  <c r="O145" i="1" s="1"/>
  <c r="AB145" i="1" s="1"/>
  <c r="X146" i="1" s="1"/>
  <c r="AE147" i="1" l="1"/>
  <c r="AD147" i="1" s="1"/>
  <c r="Q145" i="1"/>
  <c r="AB146" i="1"/>
  <c r="X147" i="1" s="1"/>
  <c r="AC146" i="1"/>
  <c r="Y147" i="1" s="1"/>
  <c r="R145" i="1"/>
  <c r="N146" i="1" s="1"/>
  <c r="M146" i="1"/>
  <c r="V147" i="1"/>
  <c r="W146" i="1"/>
  <c r="L146" i="1"/>
  <c r="O146" i="1" s="1"/>
  <c r="AC147" i="1" l="1"/>
  <c r="Y148" i="1" s="1"/>
  <c r="AE148" i="1"/>
  <c r="AD148" i="1" s="1"/>
  <c r="Q146" i="1"/>
  <c r="AB147" i="1"/>
  <c r="X148" i="1" s="1"/>
  <c r="M147" i="1"/>
  <c r="R146" i="1"/>
  <c r="N147" i="1" s="1"/>
  <c r="S85" i="1"/>
  <c r="V148" i="1"/>
  <c r="W147" i="1"/>
  <c r="L147" i="1"/>
  <c r="O147" i="1" s="1"/>
  <c r="AE149" i="1" l="1"/>
  <c r="AD149" i="1" s="1"/>
  <c r="Q147" i="1"/>
  <c r="AB148" i="1"/>
  <c r="X149" i="1" s="1"/>
  <c r="AC148" i="1"/>
  <c r="Y149" i="1" s="1"/>
  <c r="R147" i="1"/>
  <c r="N148" i="1" s="1"/>
  <c r="M148" i="1"/>
  <c r="V149" i="1"/>
  <c r="W148" i="1"/>
  <c r="L148" i="1"/>
  <c r="O148" i="1" s="1"/>
  <c r="AC149" i="1" l="1"/>
  <c r="Y150" i="1" s="1"/>
  <c r="AE150" i="1"/>
  <c r="AD150" i="1" s="1"/>
  <c r="Q148" i="1"/>
  <c r="M149" i="1"/>
  <c r="R148" i="1"/>
  <c r="N149" i="1" s="1"/>
  <c r="AB149" i="1"/>
  <c r="X150" i="1" s="1"/>
  <c r="S86" i="1"/>
  <c r="V150" i="1"/>
  <c r="W149" i="1"/>
  <c r="L149" i="1"/>
  <c r="O149" i="1" s="1"/>
  <c r="AE151" i="1" l="1"/>
  <c r="AD151" i="1" s="1"/>
  <c r="AB150" i="1"/>
  <c r="X151" i="1" s="1"/>
  <c r="Q149" i="1"/>
  <c r="M150" i="1" s="1"/>
  <c r="N150" i="1"/>
  <c r="AC150" i="1"/>
  <c r="Y151" i="1" s="1"/>
  <c r="R149" i="1"/>
  <c r="V151" i="1"/>
  <c r="W150" i="1"/>
  <c r="L150" i="1"/>
  <c r="O150" i="1" s="1"/>
  <c r="AC151" i="1" l="1"/>
  <c r="Y152" i="1" s="1"/>
  <c r="AE152" i="1"/>
  <c r="AD152" i="1" s="1"/>
  <c r="R150" i="1"/>
  <c r="M151" i="1"/>
  <c r="Q150" i="1"/>
  <c r="N151" i="1"/>
  <c r="S87" i="1"/>
  <c r="V152" i="1"/>
  <c r="W151" i="1"/>
  <c r="L151" i="1"/>
  <c r="O151" i="1" s="1"/>
  <c r="AB151" i="1" s="1"/>
  <c r="X152" i="1" s="1"/>
  <c r="AE153" i="1" l="1"/>
  <c r="AD153" i="1" s="1"/>
  <c r="AB152" i="1"/>
  <c r="X153" i="1" s="1"/>
  <c r="AC152" i="1"/>
  <c r="Y153" i="1" s="1"/>
  <c r="Q151" i="1"/>
  <c r="M152" i="1" s="1"/>
  <c r="R152" i="1" s="1"/>
  <c r="N153" i="1" s="1"/>
  <c r="R151" i="1"/>
  <c r="N152" i="1" s="1"/>
  <c r="V153" i="1"/>
  <c r="W152" i="1"/>
  <c r="L152" i="1"/>
  <c r="O152" i="1" s="1"/>
  <c r="AC153" i="1" l="1"/>
  <c r="Y154" i="1" s="1"/>
  <c r="AE154" i="1"/>
  <c r="AD154" i="1" s="1"/>
  <c r="Q152" i="1"/>
  <c r="M153" i="1" s="1"/>
  <c r="S88" i="1"/>
  <c r="V154" i="1"/>
  <c r="W153" i="1"/>
  <c r="L153" i="1"/>
  <c r="O153" i="1" s="1"/>
  <c r="AB153" i="1" s="1"/>
  <c r="X154" i="1" s="1"/>
  <c r="AE155" i="1" l="1"/>
  <c r="AD155" i="1" s="1"/>
  <c r="AC154" i="1"/>
  <c r="Y155" i="1" s="1"/>
  <c r="M154" i="1"/>
  <c r="R153" i="1"/>
  <c r="N154" i="1" s="1"/>
  <c r="Q153" i="1"/>
  <c r="V155" i="1"/>
  <c r="W154" i="1"/>
  <c r="L154" i="1"/>
  <c r="O154" i="1" s="1"/>
  <c r="AB154" i="1" s="1"/>
  <c r="X155" i="1" s="1"/>
  <c r="AE156" i="1" l="1"/>
  <c r="AD156" i="1" s="1"/>
  <c r="AC155" i="1"/>
  <c r="Y156" i="1" s="1"/>
  <c r="AB155" i="1"/>
  <c r="X156" i="1" s="1"/>
  <c r="R154" i="1"/>
  <c r="M155" i="1"/>
  <c r="Q154" i="1"/>
  <c r="N155" i="1"/>
  <c r="S89" i="1"/>
  <c r="V156" i="1"/>
  <c r="W155" i="1"/>
  <c r="L155" i="1"/>
  <c r="O155" i="1" s="1"/>
  <c r="AE157" i="1" l="1"/>
  <c r="AD157" i="1" s="1"/>
  <c r="AC156" i="1"/>
  <c r="Y157" i="1" s="1"/>
  <c r="N156" i="1"/>
  <c r="Q155" i="1"/>
  <c r="M156" i="1" s="1"/>
  <c r="R155" i="1"/>
  <c r="V157" i="1"/>
  <c r="W156" i="1"/>
  <c r="L156" i="1"/>
  <c r="O156" i="1" s="1"/>
  <c r="AB156" i="1" s="1"/>
  <c r="X157" i="1" s="1"/>
  <c r="AE158" i="1" l="1"/>
  <c r="AD158" i="1" s="1"/>
  <c r="R156" i="1"/>
  <c r="AC157" i="1"/>
  <c r="Y158" i="1" s="1"/>
  <c r="N157" i="1"/>
  <c r="Q156" i="1"/>
  <c r="M157" i="1" s="1"/>
  <c r="S90" i="1"/>
  <c r="V158" i="1"/>
  <c r="W157" i="1"/>
  <c r="L157" i="1"/>
  <c r="O157" i="1" s="1"/>
  <c r="AB157" i="1" s="1"/>
  <c r="X158" i="1" s="1"/>
  <c r="AE159" i="1" l="1"/>
  <c r="AD159" i="1" s="1"/>
  <c r="AC158" i="1"/>
  <c r="Y159" i="1" s="1"/>
  <c r="R157" i="1"/>
  <c r="M158" i="1"/>
  <c r="N158" i="1"/>
  <c r="Q158" i="1" s="1"/>
  <c r="M159" i="1" s="1"/>
  <c r="Q157" i="1"/>
  <c r="V159" i="1"/>
  <c r="W158" i="1"/>
  <c r="L158" i="1"/>
  <c r="O158" i="1" s="1"/>
  <c r="AB158" i="1" s="1"/>
  <c r="X159" i="1" s="1"/>
  <c r="AE160" i="1" l="1"/>
  <c r="AD160" i="1" s="1"/>
  <c r="AC159" i="1"/>
  <c r="Y160" i="1" s="1"/>
  <c r="R158" i="1"/>
  <c r="N159" i="1" s="1"/>
  <c r="S91" i="1"/>
  <c r="V160" i="1"/>
  <c r="W159" i="1"/>
  <c r="L159" i="1"/>
  <c r="O159" i="1" s="1"/>
  <c r="AB159" i="1" s="1"/>
  <c r="X160" i="1" s="1"/>
  <c r="AE161" i="1" l="1"/>
  <c r="AD161" i="1" s="1"/>
  <c r="AB160" i="1"/>
  <c r="X161" i="1" s="1"/>
  <c r="AC160" i="1"/>
  <c r="Y161" i="1" s="1"/>
  <c r="R159" i="1"/>
  <c r="N160" i="1"/>
  <c r="Q159" i="1"/>
  <c r="M160" i="1" s="1"/>
  <c r="V161" i="1"/>
  <c r="W160" i="1"/>
  <c r="L160" i="1"/>
  <c r="O160" i="1" s="1"/>
  <c r="AC161" i="1" l="1"/>
  <c r="Y162" i="1" s="1"/>
  <c r="AE162" i="1"/>
  <c r="AD162" i="1" s="1"/>
  <c r="AB161" i="1"/>
  <c r="X162" i="1" s="1"/>
  <c r="R160" i="1"/>
  <c r="N161" i="1" s="1"/>
  <c r="Q160" i="1"/>
  <c r="M161" i="1" s="1"/>
  <c r="S92" i="1"/>
  <c r="V162" i="1"/>
  <c r="W161" i="1"/>
  <c r="L161" i="1"/>
  <c r="O161" i="1" s="1"/>
  <c r="AE163" i="1" l="1"/>
  <c r="AD163" i="1" s="1"/>
  <c r="Q161" i="1"/>
  <c r="M162" i="1" s="1"/>
  <c r="R161" i="1"/>
  <c r="N162" i="1" s="1"/>
  <c r="AC162" i="1"/>
  <c r="Y163" i="1" s="1"/>
  <c r="V163" i="1"/>
  <c r="W162" i="1"/>
  <c r="L162" i="1"/>
  <c r="O162" i="1" s="1"/>
  <c r="AB162" i="1" s="1"/>
  <c r="X163" i="1" s="1"/>
  <c r="AE164" i="1" l="1"/>
  <c r="AD164" i="1" s="1"/>
  <c r="AC163" i="1"/>
  <c r="Y164" i="1" s="1"/>
  <c r="Q162" i="1"/>
  <c r="M163" i="1"/>
  <c r="R162" i="1"/>
  <c r="N163" i="1" s="1"/>
  <c r="S93" i="1"/>
  <c r="V164" i="1"/>
  <c r="W163" i="1"/>
  <c r="L163" i="1"/>
  <c r="O163" i="1" s="1"/>
  <c r="AB163" i="1" s="1"/>
  <c r="X164" i="1" s="1"/>
  <c r="AE165" i="1" l="1"/>
  <c r="AD165" i="1" s="1"/>
  <c r="N164" i="1"/>
  <c r="Q163" i="1"/>
  <c r="AC164" i="1"/>
  <c r="Y165" i="1" s="1"/>
  <c r="M164" i="1"/>
  <c r="R164" i="1" s="1"/>
  <c r="N165" i="1" s="1"/>
  <c r="R163" i="1"/>
  <c r="V165" i="1"/>
  <c r="W164" i="1"/>
  <c r="L164" i="1"/>
  <c r="O164" i="1" s="1"/>
  <c r="AB164" i="1" s="1"/>
  <c r="X165" i="1" s="1"/>
  <c r="AE166" i="1" l="1"/>
  <c r="AD166" i="1" s="1"/>
  <c r="AC165" i="1"/>
  <c r="Y166" i="1" s="1"/>
  <c r="Q164" i="1"/>
  <c r="M165" i="1" s="1"/>
  <c r="Q165" i="1"/>
  <c r="S94" i="1"/>
  <c r="V166" i="1"/>
  <c r="W165" i="1"/>
  <c r="L165" i="1"/>
  <c r="O165" i="1" s="1"/>
  <c r="AB165" i="1" s="1"/>
  <c r="X166" i="1" s="1"/>
  <c r="AE167" i="1" l="1"/>
  <c r="AD167" i="1" s="1"/>
  <c r="AB166" i="1"/>
  <c r="X167" i="1" s="1"/>
  <c r="AC166" i="1"/>
  <c r="Y167" i="1" s="1"/>
  <c r="AC167" i="1" s="1"/>
  <c r="Y168" i="1" s="1"/>
  <c r="R165" i="1"/>
  <c r="N166" i="1" s="1"/>
  <c r="Q166" i="1" s="1"/>
  <c r="M166" i="1"/>
  <c r="V167" i="1"/>
  <c r="W166" i="1"/>
  <c r="L166" i="1"/>
  <c r="O166" i="1" s="1"/>
  <c r="AE168" i="1" l="1"/>
  <c r="AD168" i="1" s="1"/>
  <c r="M167" i="1"/>
  <c r="R166" i="1"/>
  <c r="N167" i="1" s="1"/>
  <c r="Q167" i="1" s="1"/>
  <c r="S95" i="1"/>
  <c r="V168" i="1"/>
  <c r="W167" i="1"/>
  <c r="L167" i="1"/>
  <c r="O167" i="1" s="1"/>
  <c r="AB167" i="1" s="1"/>
  <c r="X168" i="1" s="1"/>
  <c r="AE169" i="1" l="1"/>
  <c r="AD169" i="1" s="1"/>
  <c r="AC168" i="1"/>
  <c r="Y169" i="1" s="1"/>
  <c r="M168" i="1"/>
  <c r="R167" i="1"/>
  <c r="N168" i="1" s="1"/>
  <c r="Q168" i="1" s="1"/>
  <c r="V169" i="1"/>
  <c r="W168" i="1"/>
  <c r="L168" i="1"/>
  <c r="O168" i="1" s="1"/>
  <c r="AB168" i="1" s="1"/>
  <c r="X169" i="1" s="1"/>
  <c r="AE170" i="1" l="1"/>
  <c r="AD170" i="1" s="1"/>
  <c r="AC169" i="1"/>
  <c r="Y170" i="1" s="1"/>
  <c r="AB169" i="1"/>
  <c r="X170" i="1" s="1"/>
  <c r="R168" i="1"/>
  <c r="N169" i="1" s="1"/>
  <c r="Q169" i="1" s="1"/>
  <c r="M169" i="1"/>
  <c r="S96" i="1"/>
  <c r="V170" i="1"/>
  <c r="W169" i="1"/>
  <c r="L169" i="1"/>
  <c r="O169" i="1" s="1"/>
  <c r="AE171" i="1" l="1"/>
  <c r="AD171" i="1" s="1"/>
  <c r="AC170" i="1"/>
  <c r="Y171" i="1" s="1"/>
  <c r="M170" i="1"/>
  <c r="R169" i="1"/>
  <c r="N170" i="1" s="1"/>
  <c r="V171" i="1"/>
  <c r="W170" i="1"/>
  <c r="L170" i="1"/>
  <c r="O170" i="1" s="1"/>
  <c r="AB170" i="1" s="1"/>
  <c r="X171" i="1" s="1"/>
  <c r="AE172" i="1" l="1"/>
  <c r="AD172" i="1" s="1"/>
  <c r="AC171" i="1"/>
  <c r="Y172" i="1" s="1"/>
  <c r="Q170" i="1"/>
  <c r="R170" i="1"/>
  <c r="N171" i="1" s="1"/>
  <c r="M171" i="1"/>
  <c r="S97" i="1"/>
  <c r="V172" i="1"/>
  <c r="W171" i="1"/>
  <c r="L171" i="1"/>
  <c r="O171" i="1" s="1"/>
  <c r="AB171" i="1" s="1"/>
  <c r="X172" i="1" s="1"/>
  <c r="AE173" i="1" l="1"/>
  <c r="AD173" i="1" s="1"/>
  <c r="AB172" i="1"/>
  <c r="X173" i="1" s="1"/>
  <c r="AC172" i="1"/>
  <c r="Y173" i="1" s="1"/>
  <c r="R171" i="1"/>
  <c r="N172" i="1" s="1"/>
  <c r="Q171" i="1"/>
  <c r="M172" i="1" s="1"/>
  <c r="V173" i="1"/>
  <c r="W172" i="1"/>
  <c r="L172" i="1"/>
  <c r="O172" i="1" s="1"/>
  <c r="AC173" i="1" l="1"/>
  <c r="Y174" i="1" s="1"/>
  <c r="AE174" i="1"/>
  <c r="AD174" i="1" s="1"/>
  <c r="M173" i="1"/>
  <c r="R172" i="1"/>
  <c r="N173" i="1" s="1"/>
  <c r="Q173" i="1" s="1"/>
  <c r="AB173" i="1"/>
  <c r="X174" i="1" s="1"/>
  <c r="Q172" i="1"/>
  <c r="S98" i="1"/>
  <c r="V174" i="1"/>
  <c r="W173" i="1"/>
  <c r="L173" i="1"/>
  <c r="O173" i="1" s="1"/>
  <c r="AE175" i="1" l="1"/>
  <c r="AD175" i="1" s="1"/>
  <c r="R173" i="1"/>
  <c r="N174" i="1" s="1"/>
  <c r="M174" i="1"/>
  <c r="AC174" i="1"/>
  <c r="Y175" i="1" s="1"/>
  <c r="V175" i="1"/>
  <c r="W174" i="1"/>
  <c r="L174" i="1"/>
  <c r="O174" i="1" s="1"/>
  <c r="AB174" i="1" s="1"/>
  <c r="X175" i="1" s="1"/>
  <c r="AE176" i="1" l="1"/>
  <c r="AD176" i="1" s="1"/>
  <c r="AC175" i="1"/>
  <c r="Y176" i="1" s="1"/>
  <c r="AB175" i="1"/>
  <c r="X176" i="1" s="1"/>
  <c r="R174" i="1"/>
  <c r="N175" i="1" s="1"/>
  <c r="Q174" i="1"/>
  <c r="M175" i="1" s="1"/>
  <c r="R175" i="1" s="1"/>
  <c r="N176" i="1" s="1"/>
  <c r="S99" i="1"/>
  <c r="V176" i="1"/>
  <c r="W175" i="1"/>
  <c r="L175" i="1"/>
  <c r="O175" i="1" s="1"/>
  <c r="AE177" i="1" l="1"/>
  <c r="AD177" i="1" s="1"/>
  <c r="AC176" i="1"/>
  <c r="Y177" i="1" s="1"/>
  <c r="Q175" i="1"/>
  <c r="M176" i="1" s="1"/>
  <c r="V177" i="1"/>
  <c r="W176" i="1"/>
  <c r="L176" i="1"/>
  <c r="O176" i="1" s="1"/>
  <c r="AB176" i="1" s="1"/>
  <c r="X177" i="1" s="1"/>
  <c r="AE178" i="1" l="1"/>
  <c r="AD178" i="1" s="1"/>
  <c r="AC177" i="1"/>
  <c r="Y178" i="1" s="1"/>
  <c r="R176" i="1"/>
  <c r="N177" i="1" s="1"/>
  <c r="M177" i="1"/>
  <c r="Q176" i="1"/>
  <c r="S100" i="1"/>
  <c r="V178" i="1"/>
  <c r="W177" i="1"/>
  <c r="L177" i="1"/>
  <c r="O177" i="1" s="1"/>
  <c r="AB177" i="1" s="1"/>
  <c r="X178" i="1" s="1"/>
  <c r="AE179" i="1" l="1"/>
  <c r="AD179" i="1" s="1"/>
  <c r="AC178" i="1"/>
  <c r="Y179" i="1" s="1"/>
  <c r="AB178" i="1"/>
  <c r="X179" i="1" s="1"/>
  <c r="R177" i="1"/>
  <c r="N178" i="1" s="1"/>
  <c r="Q177" i="1"/>
  <c r="M178" i="1" s="1"/>
  <c r="R178" i="1" s="1"/>
  <c r="N179" i="1" s="1"/>
  <c r="V179" i="1"/>
  <c r="W178" i="1"/>
  <c r="L178" i="1"/>
  <c r="O178" i="1" s="1"/>
  <c r="AE180" i="1" l="1"/>
  <c r="AD180" i="1" s="1"/>
  <c r="Q178" i="1"/>
  <c r="M179" i="1" s="1"/>
  <c r="R179" i="1" s="1"/>
  <c r="N180" i="1" s="1"/>
  <c r="AC179" i="1"/>
  <c r="Y180" i="1" s="1"/>
  <c r="S101" i="1"/>
  <c r="V180" i="1"/>
  <c r="W179" i="1"/>
  <c r="L179" i="1"/>
  <c r="O179" i="1" s="1"/>
  <c r="AB179" i="1" s="1"/>
  <c r="X180" i="1" s="1"/>
  <c r="AE181" i="1" s="1"/>
  <c r="AD181" i="1" s="1"/>
  <c r="AC180" i="1" l="1"/>
  <c r="Y181" i="1" s="1"/>
  <c r="Q179" i="1"/>
  <c r="M180" i="1" s="1"/>
  <c r="V181" i="1"/>
  <c r="W180" i="1"/>
  <c r="L180" i="1"/>
  <c r="O180" i="1" s="1"/>
  <c r="AB180" i="1" s="1"/>
  <c r="X181" i="1" s="1"/>
  <c r="AE182" i="1" l="1"/>
  <c r="AD182" i="1" s="1"/>
  <c r="AB181" i="1"/>
  <c r="X182" i="1" s="1"/>
  <c r="AC181" i="1"/>
  <c r="Y182" i="1" s="1"/>
  <c r="AC182" i="1" s="1"/>
  <c r="Y183" i="1" s="1"/>
  <c r="R180" i="1"/>
  <c r="N181" i="1" s="1"/>
  <c r="Q180" i="1"/>
  <c r="M181" i="1" s="1"/>
  <c r="S102" i="1"/>
  <c r="V182" i="1"/>
  <c r="W181" i="1"/>
  <c r="L181" i="1"/>
  <c r="O181" i="1" s="1"/>
  <c r="AE183" i="1" l="1"/>
  <c r="AD183" i="1" s="1"/>
  <c r="R181" i="1"/>
  <c r="N182" i="1" s="1"/>
  <c r="Q181" i="1"/>
  <c r="M182" i="1" s="1"/>
  <c r="V183" i="1"/>
  <c r="W182" i="1"/>
  <c r="L182" i="1"/>
  <c r="O182" i="1" s="1"/>
  <c r="AB182" i="1" s="1"/>
  <c r="X183" i="1" s="1"/>
  <c r="AE184" i="1" l="1"/>
  <c r="AD184" i="1" s="1"/>
  <c r="R182" i="1"/>
  <c r="N183" i="1" s="1"/>
  <c r="AC183" i="1"/>
  <c r="Y184" i="1" s="1"/>
  <c r="AB183" i="1"/>
  <c r="X184" i="1" s="1"/>
  <c r="AE185" i="1" s="1"/>
  <c r="AD185" i="1" s="1"/>
  <c r="Q182" i="1"/>
  <c r="M183" i="1" s="1"/>
  <c r="S103" i="1"/>
  <c r="V184" i="1"/>
  <c r="W183" i="1"/>
  <c r="L183" i="1"/>
  <c r="O183" i="1" s="1"/>
  <c r="AC184" i="1" l="1"/>
  <c r="Y185" i="1" s="1"/>
  <c r="R183" i="1"/>
  <c r="N184" i="1" s="1"/>
  <c r="AB184" i="1"/>
  <c r="X185" i="1" s="1"/>
  <c r="Q183" i="1"/>
  <c r="M184" i="1" s="1"/>
  <c r="V185" i="1"/>
  <c r="W184" i="1"/>
  <c r="L184" i="1"/>
  <c r="O184" i="1" s="1"/>
  <c r="AC185" i="1" l="1"/>
  <c r="Y186" i="1" s="1"/>
  <c r="AE186" i="1"/>
  <c r="AD186" i="1" s="1"/>
  <c r="R184" i="1"/>
  <c r="N185" i="1" s="1"/>
  <c r="AB185" i="1"/>
  <c r="X186" i="1" s="1"/>
  <c r="Q184" i="1"/>
  <c r="M185" i="1" s="1"/>
  <c r="S104" i="1"/>
  <c r="V186" i="1"/>
  <c r="W185" i="1"/>
  <c r="L185" i="1"/>
  <c r="O185" i="1" s="1"/>
  <c r="AE187" i="1" l="1"/>
  <c r="AD187" i="1" s="1"/>
  <c r="R185" i="1"/>
  <c r="N186" i="1" s="1"/>
  <c r="AB186" i="1"/>
  <c r="X187" i="1" s="1"/>
  <c r="Q185" i="1"/>
  <c r="M186" i="1" s="1"/>
  <c r="AC186" i="1"/>
  <c r="Y187" i="1" s="1"/>
  <c r="AC187" i="1" s="1"/>
  <c r="Y188" i="1" s="1"/>
  <c r="V187" i="1"/>
  <c r="W186" i="1"/>
  <c r="L186" i="1"/>
  <c r="O186" i="1" s="1"/>
  <c r="AE188" i="1" l="1"/>
  <c r="AD188" i="1" s="1"/>
  <c r="R186" i="1"/>
  <c r="N187" i="1" s="1"/>
  <c r="M187" i="1"/>
  <c r="AB187" i="1"/>
  <c r="X188" i="1" s="1"/>
  <c r="Q186" i="1"/>
  <c r="S105" i="1"/>
  <c r="V188" i="1"/>
  <c r="W187" i="1"/>
  <c r="L187" i="1"/>
  <c r="O187" i="1" s="1"/>
  <c r="AE189" i="1" l="1"/>
  <c r="AD189" i="1" s="1"/>
  <c r="AC188" i="1"/>
  <c r="Y189" i="1" s="1"/>
  <c r="M188" i="1"/>
  <c r="R187" i="1"/>
  <c r="N188" i="1" s="1"/>
  <c r="Q187" i="1"/>
  <c r="V189" i="1"/>
  <c r="W188" i="1"/>
  <c r="L188" i="1"/>
  <c r="O188" i="1" s="1"/>
  <c r="AB188" i="1" s="1"/>
  <c r="X189" i="1" s="1"/>
  <c r="AE190" i="1" l="1"/>
  <c r="AD190" i="1" s="1"/>
  <c r="AC189" i="1"/>
  <c r="Y190" i="1" s="1"/>
  <c r="R188" i="1"/>
  <c r="N189" i="1" s="1"/>
  <c r="Q189" i="1" s="1"/>
  <c r="M190" i="1" s="1"/>
  <c r="Q188" i="1"/>
  <c r="M189" i="1" s="1"/>
  <c r="S106" i="1"/>
  <c r="V190" i="1"/>
  <c r="W189" i="1"/>
  <c r="L189" i="1"/>
  <c r="O189" i="1" s="1"/>
  <c r="AB189" i="1" s="1"/>
  <c r="X190" i="1" s="1"/>
  <c r="AE191" i="1" l="1"/>
  <c r="AD191" i="1" s="1"/>
  <c r="AC190" i="1"/>
  <c r="Y191" i="1" s="1"/>
  <c r="R189" i="1"/>
  <c r="N190" i="1" s="1"/>
  <c r="Q190" i="1" s="1"/>
  <c r="M191" i="1" s="1"/>
  <c r="V191" i="1"/>
  <c r="W190" i="1"/>
  <c r="L190" i="1"/>
  <c r="O190" i="1" s="1"/>
  <c r="AB190" i="1" s="1"/>
  <c r="X191" i="1" s="1"/>
  <c r="AE192" i="1" l="1"/>
  <c r="AD192" i="1" s="1"/>
  <c r="AC191" i="1"/>
  <c r="Y192" i="1" s="1"/>
  <c r="R190" i="1"/>
  <c r="N191" i="1" s="1"/>
  <c r="Q191" i="1" s="1"/>
  <c r="M192" i="1" s="1"/>
  <c r="S107" i="1"/>
  <c r="V192" i="1"/>
  <c r="W191" i="1"/>
  <c r="L191" i="1"/>
  <c r="O191" i="1" s="1"/>
  <c r="AB191" i="1" s="1"/>
  <c r="X192" i="1" s="1"/>
  <c r="AE193" i="1" l="1"/>
  <c r="AD193" i="1" s="1"/>
  <c r="M193" i="1"/>
  <c r="R192" i="1"/>
  <c r="N193" i="1" s="1"/>
  <c r="AC192" i="1"/>
  <c r="Y193" i="1" s="1"/>
  <c r="R191" i="1"/>
  <c r="N192" i="1" s="1"/>
  <c r="Q192" i="1" s="1"/>
  <c r="V193" i="1"/>
  <c r="W192" i="1"/>
  <c r="L192" i="1"/>
  <c r="O192" i="1" s="1"/>
  <c r="AB192" i="1" s="1"/>
  <c r="X193" i="1" s="1"/>
  <c r="AE194" i="1" s="1"/>
  <c r="AD194" i="1" s="1"/>
  <c r="AC193" i="1" l="1"/>
  <c r="Y194" i="1" s="1"/>
  <c r="AB193" i="1"/>
  <c r="X194" i="1" s="1"/>
  <c r="R193" i="1"/>
  <c r="N194" i="1" s="1"/>
  <c r="S108" i="1"/>
  <c r="V194" i="1"/>
  <c r="W193" i="1"/>
  <c r="L193" i="1"/>
  <c r="O193" i="1" s="1"/>
  <c r="AE195" i="1" l="1"/>
  <c r="AD195" i="1" s="1"/>
  <c r="AC194" i="1"/>
  <c r="Y195" i="1" s="1"/>
  <c r="Q194" i="1"/>
  <c r="Q193" i="1"/>
  <c r="M194" i="1" s="1"/>
  <c r="V195" i="1"/>
  <c r="W194" i="1"/>
  <c r="L194" i="1"/>
  <c r="O194" i="1" s="1"/>
  <c r="AB194" i="1" s="1"/>
  <c r="X195" i="1" s="1"/>
  <c r="AE196" i="1" l="1"/>
  <c r="AD196" i="1" s="1"/>
  <c r="AB195" i="1"/>
  <c r="X196" i="1" s="1"/>
  <c r="AC195" i="1"/>
  <c r="Y196" i="1" s="1"/>
  <c r="R194" i="1"/>
  <c r="N195" i="1" s="1"/>
  <c r="Q195" i="1" s="1"/>
  <c r="M195" i="1"/>
  <c r="S109" i="1"/>
  <c r="V196" i="1"/>
  <c r="W195" i="1"/>
  <c r="L195" i="1"/>
  <c r="O195" i="1" s="1"/>
  <c r="AC196" i="1" l="1"/>
  <c r="Y197" i="1" s="1"/>
  <c r="AE197" i="1"/>
  <c r="AD197" i="1" s="1"/>
  <c r="M196" i="1"/>
  <c r="R195" i="1"/>
  <c r="N196" i="1" s="1"/>
  <c r="Q196" i="1" s="1"/>
  <c r="V197" i="1"/>
  <c r="W196" i="1"/>
  <c r="L196" i="1"/>
  <c r="O196" i="1" s="1"/>
  <c r="AB196" i="1" s="1"/>
  <c r="X197" i="1" s="1"/>
  <c r="AE198" i="1" l="1"/>
  <c r="AD198" i="1" s="1"/>
  <c r="AC197" i="1"/>
  <c r="Y198" i="1" s="1"/>
  <c r="AB197" i="1"/>
  <c r="X198" i="1" s="1"/>
  <c r="M197" i="1"/>
  <c r="R196" i="1"/>
  <c r="N197" i="1" s="1"/>
  <c r="S110" i="1"/>
  <c r="V198" i="1"/>
  <c r="W197" i="1"/>
  <c r="L197" i="1"/>
  <c r="O197" i="1" s="1"/>
  <c r="AE199" i="1" l="1"/>
  <c r="AD199" i="1" s="1"/>
  <c r="AC198" i="1"/>
  <c r="Y199" i="1" s="1"/>
  <c r="M198" i="1"/>
  <c r="R197" i="1"/>
  <c r="N198" i="1" s="1"/>
  <c r="Q198" i="1" s="1"/>
  <c r="Q197" i="1"/>
  <c r="V199" i="1"/>
  <c r="W198" i="1"/>
  <c r="L198" i="1"/>
  <c r="O198" i="1" s="1"/>
  <c r="AB198" i="1" s="1"/>
  <c r="X199" i="1" s="1"/>
  <c r="AE200" i="1" l="1"/>
  <c r="AD200" i="1" s="1"/>
  <c r="AC199" i="1"/>
  <c r="Y200" i="1" s="1"/>
  <c r="M199" i="1"/>
  <c r="R199" i="1" s="1"/>
  <c r="N200" i="1" s="1"/>
  <c r="R198" i="1"/>
  <c r="N199" i="1" s="1"/>
  <c r="Q199" i="1" s="1"/>
  <c r="M200" i="1" s="1"/>
  <c r="S111" i="1"/>
  <c r="V200" i="1"/>
  <c r="W199" i="1"/>
  <c r="L199" i="1"/>
  <c r="O199" i="1" s="1"/>
  <c r="AB199" i="1" s="1"/>
  <c r="X200" i="1" s="1"/>
  <c r="AE201" i="1" l="1"/>
  <c r="AD201" i="1" s="1"/>
  <c r="AC200" i="1"/>
  <c r="Y201" i="1" s="1"/>
  <c r="AB200" i="1"/>
  <c r="X201" i="1" s="1"/>
  <c r="R200" i="1"/>
  <c r="N201" i="1" s="1"/>
  <c r="V201" i="1"/>
  <c r="W200" i="1"/>
  <c r="L200" i="1"/>
  <c r="O200" i="1" s="1"/>
  <c r="AE202" i="1" l="1"/>
  <c r="AD202" i="1" s="1"/>
  <c r="AC201" i="1"/>
  <c r="Y202" i="1" s="1"/>
  <c r="Q200" i="1"/>
  <c r="M201" i="1" s="1"/>
  <c r="Q201" i="1" s="1"/>
  <c r="S112" i="1"/>
  <c r="V202" i="1"/>
  <c r="W201" i="1"/>
  <c r="L201" i="1"/>
  <c r="O201" i="1" s="1"/>
  <c r="AB201" i="1" s="1"/>
  <c r="X202" i="1" s="1"/>
  <c r="AE203" i="1" l="1"/>
  <c r="AD203" i="1" s="1"/>
  <c r="AC202" i="1"/>
  <c r="Y203" i="1" s="1"/>
  <c r="R201" i="1"/>
  <c r="N202" i="1" s="1"/>
  <c r="Q202" i="1" s="1"/>
  <c r="M202" i="1"/>
  <c r="V203" i="1"/>
  <c r="W202" i="1"/>
  <c r="L202" i="1"/>
  <c r="O202" i="1" s="1"/>
  <c r="AB202" i="1" s="1"/>
  <c r="X203" i="1" s="1"/>
  <c r="AE204" i="1" l="1"/>
  <c r="AD204" i="1" s="1"/>
  <c r="AB203" i="1"/>
  <c r="X204" i="1" s="1"/>
  <c r="AC203" i="1"/>
  <c r="Y204" i="1" s="1"/>
  <c r="AC204" i="1" s="1"/>
  <c r="Y205" i="1" s="1"/>
  <c r="R202" i="1"/>
  <c r="N203" i="1" s="1"/>
  <c r="M203" i="1"/>
  <c r="S113" i="1"/>
  <c r="V204" i="1"/>
  <c r="W203" i="1"/>
  <c r="L203" i="1"/>
  <c r="O203" i="1" s="1"/>
  <c r="AE205" i="1" l="1"/>
  <c r="AD205" i="1" s="1"/>
  <c r="M204" i="1"/>
  <c r="R203" i="1"/>
  <c r="N204" i="1" s="1"/>
  <c r="Q204" i="1" s="1"/>
  <c r="Q203" i="1"/>
  <c r="V205" i="1"/>
  <c r="W204" i="1"/>
  <c r="L204" i="1"/>
  <c r="O204" i="1" s="1"/>
  <c r="AB204" i="1" s="1"/>
  <c r="X205" i="1" s="1"/>
  <c r="AE206" i="1" l="1"/>
  <c r="AD206" i="1" s="1"/>
  <c r="AB205" i="1"/>
  <c r="X206" i="1" s="1"/>
  <c r="M205" i="1"/>
  <c r="R204" i="1"/>
  <c r="N205" i="1" s="1"/>
  <c r="AC205" i="1"/>
  <c r="Y206" i="1" s="1"/>
  <c r="S114" i="1"/>
  <c r="V206" i="1"/>
  <c r="W205" i="1"/>
  <c r="L205" i="1"/>
  <c r="O205" i="1" s="1"/>
  <c r="AC206" i="1" l="1"/>
  <c r="Y207" i="1" s="1"/>
  <c r="AE207" i="1"/>
  <c r="AD207" i="1" s="1"/>
  <c r="M206" i="1"/>
  <c r="R205" i="1"/>
  <c r="N206" i="1" s="1"/>
  <c r="Q206" i="1" s="1"/>
  <c r="Q205" i="1"/>
  <c r="V207" i="1"/>
  <c r="W206" i="1"/>
  <c r="L206" i="1"/>
  <c r="O206" i="1" s="1"/>
  <c r="AB206" i="1" s="1"/>
  <c r="X207" i="1" s="1"/>
  <c r="AE208" i="1" l="1"/>
  <c r="AD208" i="1" s="1"/>
  <c r="AC207" i="1"/>
  <c r="Y208" i="1" s="1"/>
  <c r="AB207" i="1"/>
  <c r="X208" i="1" s="1"/>
  <c r="R206" i="1"/>
  <c r="N207" i="1" s="1"/>
  <c r="Q207" i="1" s="1"/>
  <c r="M207" i="1"/>
  <c r="S115" i="1"/>
  <c r="V208" i="1"/>
  <c r="W207" i="1"/>
  <c r="L207" i="1"/>
  <c r="O207" i="1" s="1"/>
  <c r="AE209" i="1" l="1"/>
  <c r="AD209" i="1" s="1"/>
  <c r="AC208" i="1"/>
  <c r="Y209" i="1" s="1"/>
  <c r="M208" i="1"/>
  <c r="R207" i="1"/>
  <c r="N208" i="1" s="1"/>
  <c r="V209" i="1"/>
  <c r="W208" i="1"/>
  <c r="L208" i="1"/>
  <c r="O208" i="1" s="1"/>
  <c r="AB208" i="1" s="1"/>
  <c r="X209" i="1" s="1"/>
  <c r="AE210" i="1" l="1"/>
  <c r="AD210" i="1" s="1"/>
  <c r="AC209" i="1"/>
  <c r="Y210" i="1" s="1"/>
  <c r="R208" i="1"/>
  <c r="N209" i="1" s="1"/>
  <c r="Q208" i="1"/>
  <c r="M209" i="1" s="1"/>
  <c r="S116" i="1"/>
  <c r="V210" i="1"/>
  <c r="W209" i="1"/>
  <c r="L209" i="1"/>
  <c r="O209" i="1" s="1"/>
  <c r="AB209" i="1" s="1"/>
  <c r="X210" i="1" s="1"/>
  <c r="AE211" i="1" l="1"/>
  <c r="AD211" i="1" s="1"/>
  <c r="AC210" i="1"/>
  <c r="Y211" i="1" s="1"/>
  <c r="R209" i="1"/>
  <c r="N210" i="1" s="1"/>
  <c r="Q209" i="1"/>
  <c r="M210" i="1" s="1"/>
  <c r="V211" i="1"/>
  <c r="W210" i="1"/>
  <c r="L210" i="1"/>
  <c r="O210" i="1" s="1"/>
  <c r="AB210" i="1" s="1"/>
  <c r="X211" i="1" s="1"/>
  <c r="AE212" i="1" l="1"/>
  <c r="AD212" i="1" s="1"/>
  <c r="M211" i="1"/>
  <c r="R210" i="1"/>
  <c r="N211" i="1" s="1"/>
  <c r="Q211" i="1" s="1"/>
  <c r="AC211" i="1"/>
  <c r="Y212" i="1" s="1"/>
  <c r="Q210" i="1"/>
  <c r="S117" i="1"/>
  <c r="V212" i="1"/>
  <c r="W211" i="1"/>
  <c r="L211" i="1"/>
  <c r="O211" i="1" s="1"/>
  <c r="AB211" i="1" s="1"/>
  <c r="X212" i="1" s="1"/>
  <c r="AE213" i="1" l="1"/>
  <c r="AD213" i="1" s="1"/>
  <c r="AC212" i="1"/>
  <c r="Y213" i="1" s="1"/>
  <c r="R211" i="1"/>
  <c r="N212" i="1" s="1"/>
  <c r="Q212" i="1" s="1"/>
  <c r="M212" i="1"/>
  <c r="V213" i="1"/>
  <c r="W212" i="1"/>
  <c r="L212" i="1"/>
  <c r="O212" i="1" s="1"/>
  <c r="AB212" i="1" s="1"/>
  <c r="X213" i="1" s="1"/>
  <c r="AE214" i="1" l="1"/>
  <c r="AD214" i="1" s="1"/>
  <c r="AC213" i="1"/>
  <c r="Y214" i="1" s="1"/>
  <c r="M213" i="1"/>
  <c r="R212" i="1"/>
  <c r="N213" i="1" s="1"/>
  <c r="Q213" i="1" s="1"/>
  <c r="S118" i="1"/>
  <c r="V214" i="1"/>
  <c r="W213" i="1"/>
  <c r="L213" i="1"/>
  <c r="O213" i="1" s="1"/>
  <c r="AB213" i="1" s="1"/>
  <c r="X214" i="1" s="1"/>
  <c r="AE215" i="1" l="1"/>
  <c r="AD215" i="1" s="1"/>
  <c r="AB214" i="1"/>
  <c r="X215" i="1" s="1"/>
  <c r="AC214" i="1"/>
  <c r="Y215" i="1" s="1"/>
  <c r="M214" i="1"/>
  <c r="R213" i="1"/>
  <c r="N214" i="1" s="1"/>
  <c r="V215" i="1"/>
  <c r="W214" i="1"/>
  <c r="L214" i="1"/>
  <c r="O214" i="1" s="1"/>
  <c r="AC215" i="1" l="1"/>
  <c r="Y216" i="1" s="1"/>
  <c r="AE216" i="1"/>
  <c r="AD216" i="1" s="1"/>
  <c r="R214" i="1"/>
  <c r="N215" i="1" s="1"/>
  <c r="Q214" i="1"/>
  <c r="M215" i="1" s="1"/>
  <c r="S119" i="1"/>
  <c r="V216" i="1"/>
  <c r="W215" i="1"/>
  <c r="L215" i="1"/>
  <c r="O215" i="1" s="1"/>
  <c r="AB215" i="1" s="1"/>
  <c r="X216" i="1" s="1"/>
  <c r="AE217" i="1" l="1"/>
  <c r="AD217" i="1" s="1"/>
  <c r="M216" i="1"/>
  <c r="R215" i="1"/>
  <c r="N216" i="1" s="1"/>
  <c r="Q216" i="1" s="1"/>
  <c r="AB216" i="1"/>
  <c r="X217" i="1" s="1"/>
  <c r="AC216" i="1"/>
  <c r="Y217" i="1" s="1"/>
  <c r="Q215" i="1"/>
  <c r="V217" i="1"/>
  <c r="W216" i="1"/>
  <c r="L216" i="1"/>
  <c r="O216" i="1" s="1"/>
  <c r="AE218" i="1" l="1"/>
  <c r="AD218" i="1" s="1"/>
  <c r="AB217" i="1"/>
  <c r="X218" i="1" s="1"/>
  <c r="AC217" i="1"/>
  <c r="Y218" i="1" s="1"/>
  <c r="M217" i="1"/>
  <c r="R216" i="1"/>
  <c r="N217" i="1" s="1"/>
  <c r="Q217" i="1" s="1"/>
  <c r="S120" i="1"/>
  <c r="V218" i="1"/>
  <c r="W217" i="1"/>
  <c r="L217" i="1"/>
  <c r="O217" i="1" s="1"/>
  <c r="AE219" i="1" l="1"/>
  <c r="AD219" i="1" s="1"/>
  <c r="AB218" i="1"/>
  <c r="X219" i="1" s="1"/>
  <c r="M218" i="1"/>
  <c r="R217" i="1"/>
  <c r="N218" i="1" s="1"/>
  <c r="Q218" i="1" s="1"/>
  <c r="AC218" i="1"/>
  <c r="Y219" i="1" s="1"/>
  <c r="AC219" i="1" s="1"/>
  <c r="Y220" i="1" s="1"/>
  <c r="V219" i="1"/>
  <c r="W218" i="1"/>
  <c r="L218" i="1"/>
  <c r="O218" i="1" s="1"/>
  <c r="AE220" i="1" l="1"/>
  <c r="AD220" i="1" s="1"/>
  <c r="M219" i="1"/>
  <c r="R218" i="1"/>
  <c r="N219" i="1" s="1"/>
  <c r="Q219" i="1" s="1"/>
  <c r="S121" i="1"/>
  <c r="V220" i="1"/>
  <c r="W219" i="1"/>
  <c r="L219" i="1"/>
  <c r="O219" i="1" s="1"/>
  <c r="AB219" i="1" s="1"/>
  <c r="X220" i="1" s="1"/>
  <c r="AE221" i="1" l="1"/>
  <c r="AD221" i="1" s="1"/>
  <c r="AC220" i="1"/>
  <c r="Y221" i="1" s="1"/>
  <c r="R219" i="1"/>
  <c r="N220" i="1" s="1"/>
  <c r="M220" i="1"/>
  <c r="V221" i="1"/>
  <c r="W220" i="1"/>
  <c r="L220" i="1"/>
  <c r="O220" i="1" s="1"/>
  <c r="AB220" i="1" s="1"/>
  <c r="X221" i="1" s="1"/>
  <c r="AE222" i="1" l="1"/>
  <c r="AD222" i="1" s="1"/>
  <c r="AC221" i="1"/>
  <c r="Y222" i="1" s="1"/>
  <c r="M221" i="1"/>
  <c r="R220" i="1"/>
  <c r="N221" i="1" s="1"/>
  <c r="Q220" i="1"/>
  <c r="S122" i="1"/>
  <c r="V222" i="1"/>
  <c r="W221" i="1"/>
  <c r="L221" i="1"/>
  <c r="O221" i="1" s="1"/>
  <c r="AB221" i="1" s="1"/>
  <c r="X222" i="1" s="1"/>
  <c r="AE223" i="1" l="1"/>
  <c r="AD223" i="1" s="1"/>
  <c r="AC222" i="1"/>
  <c r="Y223" i="1" s="1"/>
  <c r="AB222" i="1"/>
  <c r="X223" i="1" s="1"/>
  <c r="M222" i="1"/>
  <c r="R221" i="1"/>
  <c r="N222" i="1" s="1"/>
  <c r="Q222" i="1" s="1"/>
  <c r="Q221" i="1"/>
  <c r="V223" i="1"/>
  <c r="W222" i="1"/>
  <c r="L222" i="1"/>
  <c r="O222" i="1" s="1"/>
  <c r="AC223" i="1" l="1"/>
  <c r="Y224" i="1" s="1"/>
  <c r="AE224" i="1"/>
  <c r="AD224" i="1" s="1"/>
  <c r="AB223" i="1"/>
  <c r="X224" i="1" s="1"/>
  <c r="M223" i="1"/>
  <c r="R222" i="1"/>
  <c r="N223" i="1" s="1"/>
  <c r="Q223" i="1" s="1"/>
  <c r="S123" i="1"/>
  <c r="V224" i="1"/>
  <c r="W223" i="1"/>
  <c r="L223" i="1"/>
  <c r="O223" i="1" s="1"/>
  <c r="AE225" i="1" l="1"/>
  <c r="AD225" i="1" s="1"/>
  <c r="R223" i="1"/>
  <c r="N224" i="1" s="1"/>
  <c r="M224" i="1"/>
  <c r="R224" i="1" s="1"/>
  <c r="N225" i="1" s="1"/>
  <c r="AC224" i="1"/>
  <c r="Y225" i="1" s="1"/>
  <c r="V225" i="1"/>
  <c r="W224" i="1"/>
  <c r="L224" i="1"/>
  <c r="O224" i="1" s="1"/>
  <c r="AB224" i="1" s="1"/>
  <c r="X225" i="1" s="1"/>
  <c r="AE226" i="1" l="1"/>
  <c r="AD226" i="1" s="1"/>
  <c r="AC225" i="1"/>
  <c r="Y226" i="1" s="1"/>
  <c r="AB225" i="1"/>
  <c r="X226" i="1" s="1"/>
  <c r="Q224" i="1"/>
  <c r="M225" i="1" s="1"/>
  <c r="S124" i="1"/>
  <c r="V226" i="1"/>
  <c r="W225" i="1"/>
  <c r="L225" i="1"/>
  <c r="O225" i="1" s="1"/>
  <c r="AC226" i="1" l="1"/>
  <c r="Y227" i="1" s="1"/>
  <c r="AE227" i="1"/>
  <c r="AD227" i="1" s="1"/>
  <c r="AB226" i="1"/>
  <c r="X227" i="1" s="1"/>
  <c r="R225" i="1"/>
  <c r="N226" i="1" s="1"/>
  <c r="M226" i="1"/>
  <c r="Q225" i="1"/>
  <c r="V227" i="1"/>
  <c r="W226" i="1"/>
  <c r="L226" i="1"/>
  <c r="O226" i="1" s="1"/>
  <c r="AC227" i="1" l="1"/>
  <c r="Y228" i="1" s="1"/>
  <c r="AE228" i="1"/>
  <c r="AD228" i="1" s="1"/>
  <c r="R226" i="1"/>
  <c r="N227" i="1" s="1"/>
  <c r="Q226" i="1"/>
  <c r="M227" i="1" s="1"/>
  <c r="S125" i="1"/>
  <c r="V228" i="1"/>
  <c r="W227" i="1"/>
  <c r="L227" i="1"/>
  <c r="O227" i="1" s="1"/>
  <c r="AB227" i="1" s="1"/>
  <c r="X228" i="1" s="1"/>
  <c r="AE229" i="1" l="1"/>
  <c r="AD229" i="1" s="1"/>
  <c r="AC228" i="1"/>
  <c r="Y229" i="1" s="1"/>
  <c r="R227" i="1"/>
  <c r="N228" i="1" s="1"/>
  <c r="Q227" i="1"/>
  <c r="M228" i="1" s="1"/>
  <c r="V229" i="1"/>
  <c r="W228" i="1"/>
  <c r="L228" i="1"/>
  <c r="O228" i="1" s="1"/>
  <c r="AB228" i="1" s="1"/>
  <c r="X229" i="1" s="1"/>
  <c r="AE230" i="1" l="1"/>
  <c r="AD230" i="1" s="1"/>
  <c r="R228" i="1"/>
  <c r="N229" i="1" s="1"/>
  <c r="AB229" i="1"/>
  <c r="X230" i="1" s="1"/>
  <c r="AC229" i="1"/>
  <c r="Y230" i="1" s="1"/>
  <c r="AC230" i="1" s="1"/>
  <c r="Y231" i="1" s="1"/>
  <c r="Q228" i="1"/>
  <c r="M229" i="1" s="1"/>
  <c r="S126" i="1"/>
  <c r="V230" i="1"/>
  <c r="W229" i="1"/>
  <c r="L229" i="1"/>
  <c r="O229" i="1" s="1"/>
  <c r="AE231" i="1" l="1"/>
  <c r="AD231" i="1" s="1"/>
  <c r="M230" i="1"/>
  <c r="R230" i="1" s="1"/>
  <c r="N231" i="1" s="1"/>
  <c r="R229" i="1"/>
  <c r="N230" i="1" s="1"/>
  <c r="Q229" i="1"/>
  <c r="V231" i="1"/>
  <c r="W230" i="1"/>
  <c r="L230" i="1"/>
  <c r="O230" i="1" s="1"/>
  <c r="AB230" i="1" s="1"/>
  <c r="X231" i="1" s="1"/>
  <c r="AE232" i="1" l="1"/>
  <c r="AD232" i="1" s="1"/>
  <c r="AC231" i="1"/>
  <c r="Y232" i="1" s="1"/>
  <c r="Q230" i="1"/>
  <c r="M231" i="1" s="1"/>
  <c r="S127" i="1"/>
  <c r="V232" i="1"/>
  <c r="W231" i="1"/>
  <c r="L231" i="1"/>
  <c r="O231" i="1" s="1"/>
  <c r="AB231" i="1" s="1"/>
  <c r="X232" i="1" s="1"/>
  <c r="AE233" i="1" l="1"/>
  <c r="AD233" i="1" s="1"/>
  <c r="AC232" i="1"/>
  <c r="Y233" i="1" s="1"/>
  <c r="Q231" i="1"/>
  <c r="M232" i="1" s="1"/>
  <c r="R231" i="1"/>
  <c r="N232" i="1" s="1"/>
  <c r="V233" i="1"/>
  <c r="W232" i="1"/>
  <c r="L232" i="1"/>
  <c r="O232" i="1" s="1"/>
  <c r="AB232" i="1" s="1"/>
  <c r="X233" i="1" s="1"/>
  <c r="AE234" i="1" l="1"/>
  <c r="AD234" i="1" s="1"/>
  <c r="AC233" i="1"/>
  <c r="Y234" i="1" s="1"/>
  <c r="AB233" i="1"/>
  <c r="X234" i="1" s="1"/>
  <c r="M233" i="1"/>
  <c r="R232" i="1"/>
  <c r="N233" i="1" s="1"/>
  <c r="Q233" i="1" s="1"/>
  <c r="Q232" i="1"/>
  <c r="S128" i="1"/>
  <c r="V234" i="1"/>
  <c r="W233" i="1"/>
  <c r="L233" i="1"/>
  <c r="O233" i="1" s="1"/>
  <c r="AC234" i="1" l="1"/>
  <c r="Y235" i="1" s="1"/>
  <c r="AE235" i="1"/>
  <c r="AD235" i="1" s="1"/>
  <c r="R233" i="1"/>
  <c r="N234" i="1" s="1"/>
  <c r="Q234" i="1" s="1"/>
  <c r="M235" i="1" s="1"/>
  <c r="M234" i="1"/>
  <c r="V235" i="1"/>
  <c r="W234" i="1"/>
  <c r="L234" i="1"/>
  <c r="O234" i="1" s="1"/>
  <c r="AB234" i="1" s="1"/>
  <c r="X235" i="1" s="1"/>
  <c r="AE236" i="1" l="1"/>
  <c r="AD236" i="1" s="1"/>
  <c r="AC235" i="1"/>
  <c r="Y236" i="1" s="1"/>
  <c r="R234" i="1"/>
  <c r="N235" i="1" s="1"/>
  <c r="S129" i="1"/>
  <c r="V236" i="1"/>
  <c r="W235" i="1"/>
  <c r="L235" i="1"/>
  <c r="O235" i="1" s="1"/>
  <c r="AB235" i="1" s="1"/>
  <c r="X236" i="1" s="1"/>
  <c r="AE237" i="1" l="1"/>
  <c r="AD237" i="1" s="1"/>
  <c r="AC236" i="1"/>
  <c r="Y237" i="1" s="1"/>
  <c r="AB236" i="1"/>
  <c r="X237" i="1" s="1"/>
  <c r="Q235" i="1"/>
  <c r="M236" i="1" s="1"/>
  <c r="R235" i="1"/>
  <c r="N236" i="1" s="1"/>
  <c r="V237" i="1"/>
  <c r="W236" i="1"/>
  <c r="L236" i="1"/>
  <c r="O236" i="1" s="1"/>
  <c r="AE238" i="1" l="1"/>
  <c r="AD238" i="1" s="1"/>
  <c r="AC237" i="1"/>
  <c r="Y238" i="1" s="1"/>
  <c r="AB237" i="1"/>
  <c r="X238" i="1" s="1"/>
  <c r="M237" i="1"/>
  <c r="R236" i="1"/>
  <c r="N237" i="1" s="1"/>
  <c r="Q236" i="1"/>
  <c r="S130" i="1"/>
  <c r="V238" i="1"/>
  <c r="W237" i="1"/>
  <c r="L237" i="1"/>
  <c r="O237" i="1" s="1"/>
  <c r="AE239" i="1" l="1"/>
  <c r="AD239" i="1" s="1"/>
  <c r="AC238" i="1"/>
  <c r="Y239" i="1" s="1"/>
  <c r="R237" i="1"/>
  <c r="N238" i="1" s="1"/>
  <c r="Q237" i="1"/>
  <c r="M238" i="1" s="1"/>
  <c r="V239" i="1"/>
  <c r="W238" i="1"/>
  <c r="L238" i="1"/>
  <c r="O238" i="1" s="1"/>
  <c r="AB238" i="1" s="1"/>
  <c r="X239" i="1" s="1"/>
  <c r="AE240" i="1" l="1"/>
  <c r="AD240" i="1" s="1"/>
  <c r="R238" i="1"/>
  <c r="N239" i="1" s="1"/>
  <c r="AC239" i="1"/>
  <c r="Y240" i="1" s="1"/>
  <c r="Q238" i="1"/>
  <c r="M239" i="1" s="1"/>
  <c r="S131" i="1"/>
  <c r="V240" i="1"/>
  <c r="W239" i="1"/>
  <c r="L239" i="1"/>
  <c r="O239" i="1" s="1"/>
  <c r="AB239" i="1" s="1"/>
  <c r="X240" i="1" s="1"/>
  <c r="AE241" i="1" l="1"/>
  <c r="AD241" i="1" s="1"/>
  <c r="AC240" i="1"/>
  <c r="Y241" i="1" s="1"/>
  <c r="R239" i="1"/>
  <c r="N240" i="1" s="1"/>
  <c r="M240" i="1"/>
  <c r="AB240" i="1"/>
  <c r="X241" i="1" s="1"/>
  <c r="Q239" i="1"/>
  <c r="V241" i="1"/>
  <c r="W240" i="1"/>
  <c r="L240" i="1"/>
  <c r="O240" i="1" s="1"/>
  <c r="AE242" i="1" l="1"/>
  <c r="AD242" i="1" s="1"/>
  <c r="AC241" i="1"/>
  <c r="Y242" i="1" s="1"/>
  <c r="R240" i="1"/>
  <c r="N241" i="1" s="1"/>
  <c r="Q240" i="1"/>
  <c r="M241" i="1" s="1"/>
  <c r="S132" i="1"/>
  <c r="V242" i="1"/>
  <c r="W241" i="1"/>
  <c r="L241" i="1"/>
  <c r="O241" i="1" s="1"/>
  <c r="AB241" i="1" s="1"/>
  <c r="X242" i="1" s="1"/>
  <c r="AE243" i="1" l="1"/>
  <c r="AD243" i="1" s="1"/>
  <c r="R241" i="1"/>
  <c r="N242" i="1" s="1"/>
  <c r="AC242" i="1"/>
  <c r="Y243" i="1" s="1"/>
  <c r="AB242" i="1"/>
  <c r="X243" i="1" s="1"/>
  <c r="Q241" i="1"/>
  <c r="M242" i="1" s="1"/>
  <c r="V243" i="1"/>
  <c r="W242" i="1"/>
  <c r="L242" i="1"/>
  <c r="O242" i="1" s="1"/>
  <c r="AE244" i="1" l="1"/>
  <c r="AD244" i="1" s="1"/>
  <c r="AC243" i="1"/>
  <c r="Y244" i="1" s="1"/>
  <c r="R242" i="1"/>
  <c r="N243" i="1" s="1"/>
  <c r="Q242" i="1"/>
  <c r="M243" i="1" s="1"/>
  <c r="S133" i="1"/>
  <c r="V244" i="1"/>
  <c r="W243" i="1"/>
  <c r="L243" i="1"/>
  <c r="O243" i="1" s="1"/>
  <c r="AB243" i="1" s="1"/>
  <c r="X244" i="1" s="1"/>
  <c r="AE245" i="1" s="1"/>
  <c r="AD245" i="1" s="1"/>
  <c r="R243" i="1" l="1"/>
  <c r="AC244" i="1"/>
  <c r="Y245" i="1" s="1"/>
  <c r="Q243" i="1"/>
  <c r="M244" i="1" s="1"/>
  <c r="N244" i="1"/>
  <c r="V245" i="1"/>
  <c r="W244" i="1"/>
  <c r="L244" i="1"/>
  <c r="O244" i="1" s="1"/>
  <c r="AB244" i="1" s="1"/>
  <c r="X245" i="1" s="1"/>
  <c r="AE246" i="1" s="1"/>
  <c r="AD246" i="1" s="1"/>
  <c r="R244" i="1" l="1"/>
  <c r="N245" i="1" s="1"/>
  <c r="AB245" i="1"/>
  <c r="X246" i="1" s="1"/>
  <c r="AC245" i="1"/>
  <c r="Y246" i="1" s="1"/>
  <c r="Q244" i="1"/>
  <c r="M245" i="1" s="1"/>
  <c r="S134" i="1"/>
  <c r="V246" i="1"/>
  <c r="W245" i="1"/>
  <c r="L245" i="1"/>
  <c r="O245" i="1" s="1"/>
  <c r="AE247" i="1" l="1"/>
  <c r="AD247" i="1" s="1"/>
  <c r="R245" i="1"/>
  <c r="N246" i="1" s="1"/>
  <c r="AB246" i="1"/>
  <c r="X247" i="1" s="1"/>
  <c r="AC246" i="1"/>
  <c r="Y247" i="1" s="1"/>
  <c r="AC247" i="1" s="1"/>
  <c r="Y248" i="1" s="1"/>
  <c r="Q245" i="1"/>
  <c r="M246" i="1" s="1"/>
  <c r="V247" i="1"/>
  <c r="W246" i="1"/>
  <c r="L246" i="1"/>
  <c r="O246" i="1" s="1"/>
  <c r="AE248" i="1" l="1"/>
  <c r="AD248" i="1" s="1"/>
  <c r="R246" i="1"/>
  <c r="N247" i="1" s="1"/>
  <c r="Q246" i="1"/>
  <c r="M247" i="1" s="1"/>
  <c r="S135" i="1"/>
  <c r="V248" i="1"/>
  <c r="W247" i="1"/>
  <c r="L247" i="1"/>
  <c r="O247" i="1" s="1"/>
  <c r="AB247" i="1" s="1"/>
  <c r="X248" i="1" s="1"/>
  <c r="AE249" i="1" l="1"/>
  <c r="AD249" i="1" s="1"/>
  <c r="R247" i="1"/>
  <c r="N248" i="1" s="1"/>
  <c r="AB248" i="1"/>
  <c r="X249" i="1" s="1"/>
  <c r="AC248" i="1"/>
  <c r="Y249" i="1" s="1"/>
  <c r="AC249" i="1" s="1"/>
  <c r="Y250" i="1" s="1"/>
  <c r="Q247" i="1"/>
  <c r="M248" i="1" s="1"/>
  <c r="V249" i="1"/>
  <c r="W248" i="1"/>
  <c r="L248" i="1"/>
  <c r="O248" i="1" s="1"/>
  <c r="AE250" i="1" l="1"/>
  <c r="AD250" i="1" s="1"/>
  <c r="R248" i="1"/>
  <c r="N249" i="1"/>
  <c r="Q248" i="1"/>
  <c r="M249" i="1" s="1"/>
  <c r="R249" i="1" s="1"/>
  <c r="S136" i="1"/>
  <c r="V250" i="1"/>
  <c r="W249" i="1"/>
  <c r="L249" i="1"/>
  <c r="O249" i="1" s="1"/>
  <c r="AB249" i="1" s="1"/>
  <c r="X250" i="1" s="1"/>
  <c r="AE251" i="1" l="1"/>
  <c r="AD251" i="1" s="1"/>
  <c r="AC250" i="1"/>
  <c r="Y251" i="1" s="1"/>
  <c r="N250" i="1"/>
  <c r="Q249" i="1"/>
  <c r="M250" i="1" s="1"/>
  <c r="V251" i="1"/>
  <c r="W250" i="1"/>
  <c r="L250" i="1"/>
  <c r="O250" i="1" s="1"/>
  <c r="AB250" i="1" s="1"/>
  <c r="X251" i="1" s="1"/>
  <c r="AE252" i="1" l="1"/>
  <c r="AD252" i="1" s="1"/>
  <c r="AB251" i="1"/>
  <c r="X252" i="1" s="1"/>
  <c r="AC251" i="1"/>
  <c r="Y252" i="1" s="1"/>
  <c r="AC252" i="1" s="1"/>
  <c r="Y253" i="1" s="1"/>
  <c r="Q250" i="1"/>
  <c r="M251" i="1" s="1"/>
  <c r="R250" i="1"/>
  <c r="N251" i="1" s="1"/>
  <c r="S137" i="1"/>
  <c r="V252" i="1"/>
  <c r="W251" i="1"/>
  <c r="L251" i="1"/>
  <c r="O251" i="1" s="1"/>
  <c r="AE253" i="1" l="1"/>
  <c r="AD253" i="1" s="1"/>
  <c r="Q251" i="1"/>
  <c r="R251" i="1"/>
  <c r="N252" i="1" s="1"/>
  <c r="Q252" i="1" s="1"/>
  <c r="M253" i="1" s="1"/>
  <c r="M252" i="1"/>
  <c r="V253" i="1"/>
  <c r="W252" i="1"/>
  <c r="L252" i="1"/>
  <c r="O252" i="1" s="1"/>
  <c r="AB252" i="1" s="1"/>
  <c r="X253" i="1" s="1"/>
  <c r="AE254" i="1" l="1"/>
  <c r="AD254" i="1" s="1"/>
  <c r="AC253" i="1"/>
  <c r="Y254" i="1" s="1"/>
  <c r="R252" i="1"/>
  <c r="N253" i="1" s="1"/>
  <c r="Q253" i="1" s="1"/>
  <c r="M254" i="1" s="1"/>
  <c r="S138" i="1"/>
  <c r="V254" i="1"/>
  <c r="W253" i="1"/>
  <c r="L253" i="1"/>
  <c r="O253" i="1" s="1"/>
  <c r="AB253" i="1" s="1"/>
  <c r="X254" i="1" s="1"/>
  <c r="AE255" i="1" l="1"/>
  <c r="AD255" i="1" s="1"/>
  <c r="AC254" i="1"/>
  <c r="Y255" i="1" s="1"/>
  <c r="AB254" i="1"/>
  <c r="X255" i="1" s="1"/>
  <c r="R254" i="1"/>
  <c r="N255" i="1" s="1"/>
  <c r="M255" i="1"/>
  <c r="R253" i="1"/>
  <c r="N254" i="1" s="1"/>
  <c r="Q254" i="1" s="1"/>
  <c r="V255" i="1"/>
  <c r="W254" i="1"/>
  <c r="L254" i="1"/>
  <c r="O254" i="1" s="1"/>
  <c r="AE256" i="1" l="1"/>
  <c r="AD256" i="1" s="1"/>
  <c r="AC255" i="1"/>
  <c r="Y256" i="1" s="1"/>
  <c r="R255" i="1"/>
  <c r="N256" i="1" s="1"/>
  <c r="Q255" i="1"/>
  <c r="M256" i="1" s="1"/>
  <c r="S139" i="1"/>
  <c r="V256" i="1"/>
  <c r="W255" i="1"/>
  <c r="L255" i="1"/>
  <c r="O255" i="1" s="1"/>
  <c r="AB255" i="1" s="1"/>
  <c r="X256" i="1" s="1"/>
  <c r="AC256" i="1" l="1"/>
  <c r="Y257" i="1" s="1"/>
  <c r="AE257" i="1"/>
  <c r="AD257" i="1" s="1"/>
  <c r="V257" i="1"/>
  <c r="W256" i="1"/>
  <c r="L256" i="1"/>
  <c r="O256" i="1" s="1"/>
  <c r="AB256" i="1" s="1"/>
  <c r="X257" i="1" s="1"/>
  <c r="AE258" i="1" l="1"/>
  <c r="AD258" i="1" s="1"/>
  <c r="Q256" i="1"/>
  <c r="M257" i="1" s="1"/>
  <c r="AC257" i="1"/>
  <c r="Y258" i="1" s="1"/>
  <c r="R256" i="1"/>
  <c r="N257" i="1" s="1"/>
  <c r="Q257" i="1" s="1"/>
  <c r="S140" i="1"/>
  <c r="V258" i="1"/>
  <c r="W257" i="1"/>
  <c r="L257" i="1"/>
  <c r="O257" i="1" s="1"/>
  <c r="AB257" i="1" s="1"/>
  <c r="X258" i="1" s="1"/>
  <c r="AE259" i="1" l="1"/>
  <c r="AD259" i="1" s="1"/>
  <c r="AC258" i="1"/>
  <c r="Y259" i="1" s="1"/>
  <c r="M258" i="1"/>
  <c r="R257" i="1"/>
  <c r="N258" i="1" s="1"/>
  <c r="V259" i="1"/>
  <c r="W258" i="1"/>
  <c r="L258" i="1"/>
  <c r="O258" i="1" s="1"/>
  <c r="AB258" i="1" s="1"/>
  <c r="X259" i="1" s="1"/>
  <c r="AE260" i="1" l="1"/>
  <c r="AD260" i="1" s="1"/>
  <c r="AC259" i="1"/>
  <c r="Y260" i="1" s="1"/>
  <c r="Q258" i="1"/>
  <c r="M259" i="1"/>
  <c r="R258" i="1"/>
  <c r="N259" i="1" s="1"/>
  <c r="Q259" i="1" s="1"/>
  <c r="S141" i="1"/>
  <c r="V260" i="1"/>
  <c r="W259" i="1"/>
  <c r="L259" i="1"/>
  <c r="O259" i="1" s="1"/>
  <c r="AB259" i="1" s="1"/>
  <c r="X260" i="1" s="1"/>
  <c r="AE261" i="1" l="1"/>
  <c r="AD261" i="1" s="1"/>
  <c r="AC260" i="1"/>
  <c r="Y261" i="1" s="1"/>
  <c r="M260" i="1"/>
  <c r="R259" i="1"/>
  <c r="N260" i="1" s="1"/>
  <c r="Q260" i="1" s="1"/>
  <c r="V261" i="1"/>
  <c r="W260" i="1"/>
  <c r="L260" i="1"/>
  <c r="O260" i="1" s="1"/>
  <c r="AB260" i="1" s="1"/>
  <c r="X261" i="1" s="1"/>
  <c r="AE262" i="1" l="1"/>
  <c r="AD262" i="1" s="1"/>
  <c r="AC261" i="1"/>
  <c r="Y262" i="1" s="1"/>
  <c r="R260" i="1"/>
  <c r="N261" i="1" s="1"/>
  <c r="M261" i="1"/>
  <c r="S142" i="1"/>
  <c r="V262" i="1"/>
  <c r="W261" i="1"/>
  <c r="L261" i="1"/>
  <c r="O261" i="1" s="1"/>
  <c r="AB261" i="1" s="1"/>
  <c r="X262" i="1" s="1"/>
  <c r="AE263" i="1" l="1"/>
  <c r="AD263" i="1" s="1"/>
  <c r="AC262" i="1"/>
  <c r="Y263" i="1" s="1"/>
  <c r="AB262" i="1"/>
  <c r="X263" i="1" s="1"/>
  <c r="Q261" i="1"/>
  <c r="R261" i="1"/>
  <c r="N262" i="1" s="1"/>
  <c r="M262" i="1"/>
  <c r="V263" i="1"/>
  <c r="W262" i="1"/>
  <c r="L262" i="1"/>
  <c r="O262" i="1" s="1"/>
  <c r="AE264" i="1" l="1"/>
  <c r="AD264" i="1" s="1"/>
  <c r="AC263" i="1"/>
  <c r="Y264" i="1" s="1"/>
  <c r="Q262" i="1"/>
  <c r="M263" i="1"/>
  <c r="R262" i="1"/>
  <c r="N263" i="1" s="1"/>
  <c r="Q263" i="1" s="1"/>
  <c r="S143" i="1"/>
  <c r="V264" i="1"/>
  <c r="W263" i="1"/>
  <c r="L263" i="1"/>
  <c r="O263" i="1" s="1"/>
  <c r="AB263" i="1" s="1"/>
  <c r="X264" i="1" s="1"/>
  <c r="AE265" i="1" l="1"/>
  <c r="AD265" i="1" s="1"/>
  <c r="AC264" i="1"/>
  <c r="Y265" i="1" s="1"/>
  <c r="AB264" i="1"/>
  <c r="X265" i="1" s="1"/>
  <c r="M264" i="1"/>
  <c r="R263" i="1"/>
  <c r="N264" i="1" s="1"/>
  <c r="V265" i="1"/>
  <c r="W264" i="1"/>
  <c r="L264" i="1"/>
  <c r="O264" i="1" s="1"/>
  <c r="AE266" i="1" l="1"/>
  <c r="AD266" i="1" s="1"/>
  <c r="AC265" i="1"/>
  <c r="Y266" i="1" s="1"/>
  <c r="Q264" i="1"/>
  <c r="M265" i="1"/>
  <c r="R264" i="1"/>
  <c r="N265" i="1" s="1"/>
  <c r="Q265" i="1" s="1"/>
  <c r="S144" i="1"/>
  <c r="V266" i="1"/>
  <c r="W265" i="1"/>
  <c r="L265" i="1"/>
  <c r="O265" i="1" s="1"/>
  <c r="AB265" i="1" s="1"/>
  <c r="X266" i="1" s="1"/>
  <c r="AE267" i="1" l="1"/>
  <c r="AD267" i="1" s="1"/>
  <c r="AC266" i="1"/>
  <c r="Y267" i="1" s="1"/>
  <c r="R265" i="1"/>
  <c r="N266" i="1" s="1"/>
  <c r="M266" i="1"/>
  <c r="V267" i="1"/>
  <c r="W266" i="1"/>
  <c r="L266" i="1"/>
  <c r="O266" i="1" s="1"/>
  <c r="AB266" i="1" s="1"/>
  <c r="X267" i="1" s="1"/>
  <c r="AE268" i="1" l="1"/>
  <c r="AD268" i="1" s="1"/>
  <c r="AC267" i="1"/>
  <c r="Y268" i="1" s="1"/>
  <c r="R266" i="1"/>
  <c r="N267" i="1" s="1"/>
  <c r="Q266" i="1"/>
  <c r="M267" i="1" s="1"/>
  <c r="S145" i="1"/>
  <c r="V268" i="1"/>
  <c r="W267" i="1"/>
  <c r="L267" i="1"/>
  <c r="O267" i="1" s="1"/>
  <c r="AB267" i="1" s="1"/>
  <c r="X268" i="1" s="1"/>
  <c r="AE269" i="1" l="1"/>
  <c r="AD269" i="1" s="1"/>
  <c r="AC268" i="1"/>
  <c r="Y269" i="1" s="1"/>
  <c r="AB268" i="1"/>
  <c r="X269" i="1" s="1"/>
  <c r="M268" i="1"/>
  <c r="R267" i="1"/>
  <c r="N268" i="1" s="1"/>
  <c r="Q268" i="1" s="1"/>
  <c r="Q267" i="1"/>
  <c r="V269" i="1"/>
  <c r="W268" i="1"/>
  <c r="L268" i="1"/>
  <c r="O268" i="1" s="1"/>
  <c r="AE270" i="1" l="1"/>
  <c r="AD270" i="1" s="1"/>
  <c r="AC269" i="1"/>
  <c r="Y270" i="1" s="1"/>
  <c r="M269" i="1"/>
  <c r="R268" i="1"/>
  <c r="N269" i="1" s="1"/>
  <c r="S146" i="1"/>
  <c r="V270" i="1"/>
  <c r="W269" i="1"/>
  <c r="L269" i="1"/>
  <c r="O269" i="1" s="1"/>
  <c r="AB269" i="1" s="1"/>
  <c r="X270" i="1" s="1"/>
  <c r="AE271" i="1" l="1"/>
  <c r="AD271" i="1" s="1"/>
  <c r="AC270" i="1"/>
  <c r="Y271" i="1" s="1"/>
  <c r="N270" i="1"/>
  <c r="Q269" i="1"/>
  <c r="M270" i="1" s="1"/>
  <c r="R269" i="1"/>
  <c r="V271" i="1"/>
  <c r="W270" i="1"/>
  <c r="L270" i="1"/>
  <c r="O270" i="1" s="1"/>
  <c r="AB270" i="1" s="1"/>
  <c r="X271" i="1" s="1"/>
  <c r="AE272" i="1" l="1"/>
  <c r="AD272" i="1" s="1"/>
  <c r="AC271" i="1"/>
  <c r="Y272" i="1" s="1"/>
  <c r="M271" i="1"/>
  <c r="R270" i="1"/>
  <c r="Q270" i="1"/>
  <c r="N271" i="1"/>
  <c r="S147" i="1"/>
  <c r="V272" i="1"/>
  <c r="W271" i="1"/>
  <c r="L271" i="1"/>
  <c r="O271" i="1" s="1"/>
  <c r="AB271" i="1" s="1"/>
  <c r="X272" i="1" s="1"/>
  <c r="AE273" i="1" l="1"/>
  <c r="AD273" i="1" s="1"/>
  <c r="AC272" i="1"/>
  <c r="Y273" i="1" s="1"/>
  <c r="Q271" i="1"/>
  <c r="M272" i="1"/>
  <c r="R271" i="1"/>
  <c r="N272" i="1" s="1"/>
  <c r="Q272" i="1" s="1"/>
  <c r="V273" i="1"/>
  <c r="W272" i="1"/>
  <c r="L272" i="1"/>
  <c r="O272" i="1" s="1"/>
  <c r="AB272" i="1" s="1"/>
  <c r="X273" i="1" s="1"/>
  <c r="AE274" i="1" l="1"/>
  <c r="AD274" i="1" s="1"/>
  <c r="AB273" i="1"/>
  <c r="X274" i="1" s="1"/>
  <c r="AC273" i="1"/>
  <c r="Y274" i="1" s="1"/>
  <c r="AC274" i="1" s="1"/>
  <c r="Y275" i="1" s="1"/>
  <c r="M273" i="1"/>
  <c r="R272" i="1"/>
  <c r="N273" i="1" s="1"/>
  <c r="S148" i="1"/>
  <c r="V274" i="1"/>
  <c r="W273" i="1"/>
  <c r="L273" i="1"/>
  <c r="O273" i="1" s="1"/>
  <c r="AE275" i="1" l="1"/>
  <c r="AD275" i="1" s="1"/>
  <c r="R273" i="1"/>
  <c r="Q273" i="1"/>
  <c r="M274" i="1" s="1"/>
  <c r="N274" i="1"/>
  <c r="V275" i="1"/>
  <c r="W274" i="1"/>
  <c r="L274" i="1"/>
  <c r="O274" i="1" s="1"/>
  <c r="AB274" i="1" s="1"/>
  <c r="X275" i="1" s="1"/>
  <c r="AE276" i="1" l="1"/>
  <c r="AD276" i="1" s="1"/>
  <c r="R274" i="1"/>
  <c r="N275" i="1" s="1"/>
  <c r="AB275" i="1"/>
  <c r="X276" i="1" s="1"/>
  <c r="AC275" i="1"/>
  <c r="Y276" i="1" s="1"/>
  <c r="AC276" i="1" s="1"/>
  <c r="Y277" i="1" s="1"/>
  <c r="Q274" i="1"/>
  <c r="M275" i="1" s="1"/>
  <c r="S149" i="1"/>
  <c r="V276" i="1"/>
  <c r="W275" i="1"/>
  <c r="L275" i="1"/>
  <c r="O275" i="1" s="1"/>
  <c r="AE277" i="1" l="1"/>
  <c r="AD277" i="1" s="1"/>
  <c r="R275" i="1"/>
  <c r="N276" i="1" s="1"/>
  <c r="Q275" i="1"/>
  <c r="M276" i="1" s="1"/>
  <c r="V277" i="1"/>
  <c r="W276" i="1"/>
  <c r="L276" i="1"/>
  <c r="O276" i="1" s="1"/>
  <c r="AB276" i="1" s="1"/>
  <c r="X277" i="1" s="1"/>
  <c r="AE278" i="1" l="1"/>
  <c r="AD278" i="1" s="1"/>
  <c r="AC277" i="1"/>
  <c r="Y278" i="1" s="1"/>
  <c r="M277" i="1"/>
  <c r="R276" i="1"/>
  <c r="N277" i="1" s="1"/>
  <c r="Q277" i="1" s="1"/>
  <c r="Q276" i="1"/>
  <c r="S150" i="1"/>
  <c r="V278" i="1"/>
  <c r="W277" i="1"/>
  <c r="L277" i="1"/>
  <c r="O277" i="1" s="1"/>
  <c r="AB277" i="1" s="1"/>
  <c r="X278" i="1" s="1"/>
  <c r="AE279" i="1" l="1"/>
  <c r="AD279" i="1" s="1"/>
  <c r="AC278" i="1"/>
  <c r="Y279" i="1" s="1"/>
  <c r="M278" i="1"/>
  <c r="R277" i="1"/>
  <c r="N278" i="1" s="1"/>
  <c r="Q278" i="1" s="1"/>
  <c r="V279" i="1"/>
  <c r="W278" i="1"/>
  <c r="L278" i="1"/>
  <c r="O278" i="1" s="1"/>
  <c r="AB278" i="1" s="1"/>
  <c r="X279" i="1" s="1"/>
  <c r="AE280" i="1" l="1"/>
  <c r="AD280" i="1" s="1"/>
  <c r="AB279" i="1"/>
  <c r="X280" i="1" s="1"/>
  <c r="AC279" i="1"/>
  <c r="Y280" i="1" s="1"/>
  <c r="M279" i="1"/>
  <c r="R278" i="1"/>
  <c r="N279" i="1" s="1"/>
  <c r="S151" i="1"/>
  <c r="V280" i="1"/>
  <c r="W279" i="1"/>
  <c r="L279" i="1"/>
  <c r="O279" i="1" s="1"/>
  <c r="AC280" i="1" l="1"/>
  <c r="Y281" i="1" s="1"/>
  <c r="AE281" i="1"/>
  <c r="AD281" i="1" s="1"/>
  <c r="R279" i="1"/>
  <c r="N280" i="1" s="1"/>
  <c r="Q279" i="1"/>
  <c r="M280" i="1" s="1"/>
  <c r="V281" i="1"/>
  <c r="W280" i="1"/>
  <c r="L280" i="1"/>
  <c r="O280" i="1" s="1"/>
  <c r="AB280" i="1" s="1"/>
  <c r="X281" i="1" s="1"/>
  <c r="AE282" i="1" l="1"/>
  <c r="AD282" i="1" s="1"/>
  <c r="R280" i="1"/>
  <c r="N281" i="1" s="1"/>
  <c r="AC281" i="1"/>
  <c r="Y282" i="1" s="1"/>
  <c r="Q280" i="1"/>
  <c r="M281" i="1" s="1"/>
  <c r="R281" i="1" s="1"/>
  <c r="N282" i="1" s="1"/>
  <c r="S152" i="1"/>
  <c r="V282" i="1"/>
  <c r="W281" i="1"/>
  <c r="L281" i="1"/>
  <c r="O281" i="1" s="1"/>
  <c r="AB281" i="1" s="1"/>
  <c r="X282" i="1" s="1"/>
  <c r="AE283" i="1" l="1"/>
  <c r="AD283" i="1" s="1"/>
  <c r="AC282" i="1"/>
  <c r="Y283" i="1" s="1"/>
  <c r="Q281" i="1"/>
  <c r="M282" i="1" s="1"/>
  <c r="V283" i="1"/>
  <c r="W282" i="1"/>
  <c r="L282" i="1"/>
  <c r="O282" i="1" s="1"/>
  <c r="AB282" i="1" s="1"/>
  <c r="X283" i="1" s="1"/>
  <c r="AE284" i="1" l="1"/>
  <c r="AD284" i="1" s="1"/>
  <c r="AC283" i="1"/>
  <c r="Y284" i="1" s="1"/>
  <c r="R282" i="1"/>
  <c r="N283" i="1" s="1"/>
  <c r="Q282" i="1"/>
  <c r="M283" i="1" s="1"/>
  <c r="S153" i="1"/>
  <c r="V284" i="1"/>
  <c r="W283" i="1"/>
  <c r="L283" i="1"/>
  <c r="O283" i="1" s="1"/>
  <c r="AB283" i="1" s="1"/>
  <c r="X284" i="1" s="1"/>
  <c r="AE285" i="1" l="1"/>
  <c r="AD285" i="1" s="1"/>
  <c r="AC284" i="1"/>
  <c r="Y285" i="1" s="1"/>
  <c r="AB284" i="1"/>
  <c r="X285" i="1" s="1"/>
  <c r="R283" i="1"/>
  <c r="N284" i="1" s="1"/>
  <c r="M284" i="1"/>
  <c r="Q283" i="1"/>
  <c r="V285" i="1"/>
  <c r="W284" i="1"/>
  <c r="L284" i="1"/>
  <c r="O284" i="1" s="1"/>
  <c r="AE286" i="1" l="1"/>
  <c r="AD286" i="1" s="1"/>
  <c r="AB285" i="1"/>
  <c r="X286" i="1" s="1"/>
  <c r="AC285" i="1"/>
  <c r="Y286" i="1" s="1"/>
  <c r="Q284" i="1"/>
  <c r="M285" i="1" s="1"/>
  <c r="R284" i="1"/>
  <c r="N285" i="1" s="1"/>
  <c r="S154" i="1"/>
  <c r="V286" i="1"/>
  <c r="W285" i="1"/>
  <c r="L285" i="1"/>
  <c r="O285" i="1" s="1"/>
  <c r="AC286" i="1" l="1"/>
  <c r="Y287" i="1" s="1"/>
  <c r="AE287" i="1"/>
  <c r="AD287" i="1" s="1"/>
  <c r="M286" i="1"/>
  <c r="R285" i="1"/>
  <c r="N286" i="1" s="1"/>
  <c r="Q286" i="1" s="1"/>
  <c r="AB286" i="1"/>
  <c r="X287" i="1" s="1"/>
  <c r="Q285" i="1"/>
  <c r="V287" i="1"/>
  <c r="W286" i="1"/>
  <c r="L286" i="1"/>
  <c r="O286" i="1" s="1"/>
  <c r="AE288" i="1" l="1"/>
  <c r="AD288" i="1" s="1"/>
  <c r="M287" i="1"/>
  <c r="R286" i="1"/>
  <c r="N287" i="1" s="1"/>
  <c r="Q287" i="1" s="1"/>
  <c r="AC287" i="1"/>
  <c r="Y288" i="1" s="1"/>
  <c r="S155" i="1"/>
  <c r="V288" i="1"/>
  <c r="W287" i="1"/>
  <c r="L287" i="1"/>
  <c r="O287" i="1" s="1"/>
  <c r="AB287" i="1" s="1"/>
  <c r="X288" i="1" s="1"/>
  <c r="AE289" i="1" l="1"/>
  <c r="AD289" i="1" s="1"/>
  <c r="AC288" i="1"/>
  <c r="Y289" i="1" s="1"/>
  <c r="M288" i="1"/>
  <c r="R287" i="1"/>
  <c r="N288" i="1" s="1"/>
  <c r="V289" i="1"/>
  <c r="W288" i="1"/>
  <c r="L288" i="1"/>
  <c r="O288" i="1" s="1"/>
  <c r="AB288" i="1" s="1"/>
  <c r="X289" i="1" s="1"/>
  <c r="AE290" i="1" l="1"/>
  <c r="AD290" i="1" s="1"/>
  <c r="AB289" i="1"/>
  <c r="X290" i="1" s="1"/>
  <c r="AC289" i="1"/>
  <c r="Y290" i="1" s="1"/>
  <c r="AC290" i="1" s="1"/>
  <c r="Y291" i="1" s="1"/>
  <c r="R288" i="1"/>
  <c r="N289" i="1" s="1"/>
  <c r="Q288" i="1"/>
  <c r="M289" i="1" s="1"/>
  <c r="S156" i="1"/>
  <c r="V290" i="1"/>
  <c r="W289" i="1"/>
  <c r="L289" i="1"/>
  <c r="O289" i="1" s="1"/>
  <c r="AE291" i="1" l="1"/>
  <c r="AD291" i="1" s="1"/>
  <c r="R289" i="1"/>
  <c r="N290" i="1" s="1"/>
  <c r="AB290" i="1"/>
  <c r="X291" i="1" s="1"/>
  <c r="Q289" i="1"/>
  <c r="M290" i="1" s="1"/>
  <c r="V291" i="1"/>
  <c r="W290" i="1"/>
  <c r="L290" i="1"/>
  <c r="O290" i="1" s="1"/>
  <c r="AE292" i="1" l="1"/>
  <c r="AD292" i="1" s="1"/>
  <c r="AB291" i="1"/>
  <c r="X292" i="1" s="1"/>
  <c r="R290" i="1"/>
  <c r="N291" i="1" s="1"/>
  <c r="AC291" i="1"/>
  <c r="Y292" i="1" s="1"/>
  <c r="Q290" i="1"/>
  <c r="M291" i="1" s="1"/>
  <c r="S157" i="1"/>
  <c r="V292" i="1"/>
  <c r="W291" i="1"/>
  <c r="L291" i="1"/>
  <c r="O291" i="1" s="1"/>
  <c r="AC292" i="1" l="1"/>
  <c r="Y293" i="1" s="1"/>
  <c r="AE293" i="1"/>
  <c r="AD293" i="1" s="1"/>
  <c r="AB292" i="1"/>
  <c r="X293" i="1" s="1"/>
  <c r="M292" i="1"/>
  <c r="R291" i="1"/>
  <c r="N292" i="1" s="1"/>
  <c r="Q292" i="1" s="1"/>
  <c r="Q291" i="1"/>
  <c r="V293" i="1"/>
  <c r="W292" i="1"/>
  <c r="L292" i="1"/>
  <c r="O292" i="1" s="1"/>
  <c r="AE294" i="1" l="1"/>
  <c r="AD294" i="1" s="1"/>
  <c r="AB293" i="1"/>
  <c r="X294" i="1" s="1"/>
  <c r="AC293" i="1"/>
  <c r="Y294" i="1" s="1"/>
  <c r="AC294" i="1" s="1"/>
  <c r="Y295" i="1" s="1"/>
  <c r="R292" i="1"/>
  <c r="N293" i="1" s="1"/>
  <c r="Q293" i="1" s="1"/>
  <c r="M293" i="1"/>
  <c r="S158" i="1"/>
  <c r="V294" i="1"/>
  <c r="W293" i="1"/>
  <c r="L293" i="1"/>
  <c r="O293" i="1" s="1"/>
  <c r="AE295" i="1" l="1"/>
  <c r="AD295" i="1" s="1"/>
  <c r="R293" i="1"/>
  <c r="N294" i="1" s="1"/>
  <c r="M294" i="1"/>
  <c r="V295" i="1"/>
  <c r="W294" i="1"/>
  <c r="L294" i="1"/>
  <c r="O294" i="1" s="1"/>
  <c r="AB294" i="1" s="1"/>
  <c r="X295" i="1" s="1"/>
  <c r="AE296" i="1" l="1"/>
  <c r="AD296" i="1" s="1"/>
  <c r="AC295" i="1"/>
  <c r="Y296" i="1" s="1"/>
  <c r="AB295" i="1"/>
  <c r="X296" i="1" s="1"/>
  <c r="Q294" i="1"/>
  <c r="M295" i="1" s="1"/>
  <c r="R295" i="1" s="1"/>
  <c r="N296" i="1" s="1"/>
  <c r="R294" i="1"/>
  <c r="N295" i="1" s="1"/>
  <c r="S159" i="1"/>
  <c r="V296" i="1"/>
  <c r="W295" i="1"/>
  <c r="L295" i="1"/>
  <c r="O295" i="1" s="1"/>
  <c r="AE297" i="1" l="1"/>
  <c r="AD297" i="1" s="1"/>
  <c r="Q296" i="1"/>
  <c r="AB296" i="1"/>
  <c r="X297" i="1" s="1"/>
  <c r="AC296" i="1"/>
  <c r="Y297" i="1" s="1"/>
  <c r="AC297" i="1" s="1"/>
  <c r="Y298" i="1" s="1"/>
  <c r="Q295" i="1"/>
  <c r="M296" i="1" s="1"/>
  <c r="V297" i="1"/>
  <c r="W296" i="1"/>
  <c r="L296" i="1"/>
  <c r="O296" i="1" s="1"/>
  <c r="AE298" i="1" l="1"/>
  <c r="AD298" i="1" s="1"/>
  <c r="R296" i="1"/>
  <c r="N297" i="1" s="1"/>
  <c r="Q297" i="1" s="1"/>
  <c r="M298" i="1" s="1"/>
  <c r="M297" i="1"/>
  <c r="S160" i="1"/>
  <c r="V298" i="1"/>
  <c r="W297" i="1"/>
  <c r="L297" i="1"/>
  <c r="O297" i="1" s="1"/>
  <c r="AB297" i="1" s="1"/>
  <c r="X298" i="1" s="1"/>
  <c r="AE299" i="1" l="1"/>
  <c r="AD299" i="1" s="1"/>
  <c r="AB298" i="1"/>
  <c r="X299" i="1" s="1"/>
  <c r="AC298" i="1"/>
  <c r="Y299" i="1" s="1"/>
  <c r="R298" i="1"/>
  <c r="N299" i="1" s="1"/>
  <c r="M299" i="1"/>
  <c r="R297" i="1"/>
  <c r="N298" i="1" s="1"/>
  <c r="Q298" i="1" s="1"/>
  <c r="V299" i="1"/>
  <c r="W298" i="1"/>
  <c r="L298" i="1"/>
  <c r="O298" i="1" s="1"/>
  <c r="AC299" i="1" l="1"/>
  <c r="Y300" i="1" s="1"/>
  <c r="AE300" i="1"/>
  <c r="AD300" i="1" s="1"/>
  <c r="R299" i="1"/>
  <c r="N300" i="1" s="1"/>
  <c r="S161" i="1"/>
  <c r="V300" i="1"/>
  <c r="W299" i="1"/>
  <c r="L299" i="1"/>
  <c r="O299" i="1" s="1"/>
  <c r="AB299" i="1" s="1"/>
  <c r="X300" i="1" s="1"/>
  <c r="AE301" i="1" l="1"/>
  <c r="AD301" i="1" s="1"/>
  <c r="AB300" i="1"/>
  <c r="X301" i="1" s="1"/>
  <c r="AC300" i="1"/>
  <c r="Y301" i="1" s="1"/>
  <c r="AC301" i="1" s="1"/>
  <c r="Y302" i="1" s="1"/>
  <c r="Q299" i="1"/>
  <c r="M300" i="1" s="1"/>
  <c r="V301" i="1"/>
  <c r="W300" i="1"/>
  <c r="L300" i="1"/>
  <c r="O300" i="1" s="1"/>
  <c r="AE302" i="1" l="1"/>
  <c r="AD302" i="1" s="1"/>
  <c r="M301" i="1"/>
  <c r="R300" i="1"/>
  <c r="N301" i="1" s="1"/>
  <c r="Q301" i="1" s="1"/>
  <c r="Q300" i="1"/>
  <c r="S162" i="1"/>
  <c r="V302" i="1"/>
  <c r="W301" i="1"/>
  <c r="L301" i="1"/>
  <c r="O301" i="1" s="1"/>
  <c r="AB301" i="1" s="1"/>
  <c r="X302" i="1" s="1"/>
  <c r="AE303" i="1" l="1"/>
  <c r="AD303" i="1" s="1"/>
  <c r="AB302" i="1"/>
  <c r="X303" i="1" s="1"/>
  <c r="AC302" i="1"/>
  <c r="Y303" i="1" s="1"/>
  <c r="M302" i="1"/>
  <c r="R301" i="1"/>
  <c r="N302" i="1" s="1"/>
  <c r="Q302" i="1" s="1"/>
  <c r="V303" i="1"/>
  <c r="W302" i="1"/>
  <c r="L302" i="1"/>
  <c r="O302" i="1" s="1"/>
  <c r="AC303" i="1" l="1"/>
  <c r="Y304" i="1" s="1"/>
  <c r="AE304" i="1"/>
  <c r="AD304" i="1" s="1"/>
  <c r="R302" i="1"/>
  <c r="N303" i="1" s="1"/>
  <c r="M303" i="1"/>
  <c r="S163" i="1"/>
  <c r="V304" i="1"/>
  <c r="W303" i="1"/>
  <c r="L303" i="1"/>
  <c r="O303" i="1" s="1"/>
  <c r="AB303" i="1" s="1"/>
  <c r="X304" i="1" s="1"/>
  <c r="AE305" i="1" l="1"/>
  <c r="AD305" i="1" s="1"/>
  <c r="AC304" i="1"/>
  <c r="Y305" i="1" s="1"/>
  <c r="R303" i="1"/>
  <c r="N304" i="1" s="1"/>
  <c r="Q303" i="1"/>
  <c r="M304" i="1" s="1"/>
  <c r="V305" i="1"/>
  <c r="W304" i="1"/>
  <c r="L304" i="1"/>
  <c r="O304" i="1" s="1"/>
  <c r="AB304" i="1" s="1"/>
  <c r="X305" i="1" s="1"/>
  <c r="AE306" i="1" l="1"/>
  <c r="AD306" i="1" s="1"/>
  <c r="R304" i="1"/>
  <c r="N305" i="1" s="1"/>
  <c r="AB305" i="1"/>
  <c r="X306" i="1" s="1"/>
  <c r="AC305" i="1"/>
  <c r="Y306" i="1" s="1"/>
  <c r="AC306" i="1" s="1"/>
  <c r="Y307" i="1" s="1"/>
  <c r="Q304" i="1"/>
  <c r="M305" i="1" s="1"/>
  <c r="S164" i="1"/>
  <c r="V306" i="1"/>
  <c r="W305" i="1"/>
  <c r="L305" i="1"/>
  <c r="O305" i="1" s="1"/>
  <c r="AE307" i="1" l="1"/>
  <c r="AD307" i="1" s="1"/>
  <c r="M306" i="1"/>
  <c r="R305" i="1"/>
  <c r="N306" i="1" s="1"/>
  <c r="Q306" i="1" s="1"/>
  <c r="Q305" i="1"/>
  <c r="V307" i="1"/>
  <c r="W306" i="1"/>
  <c r="L306" i="1"/>
  <c r="O306" i="1" s="1"/>
  <c r="AB306" i="1" s="1"/>
  <c r="X307" i="1" s="1"/>
  <c r="AE308" i="1" l="1"/>
  <c r="AD308" i="1" s="1"/>
  <c r="AC307" i="1"/>
  <c r="Y308" i="1" s="1"/>
  <c r="R306" i="1"/>
  <c r="N307" i="1" s="1"/>
  <c r="Q307" i="1" s="1"/>
  <c r="M308" i="1" s="1"/>
  <c r="M307" i="1"/>
  <c r="S165" i="1"/>
  <c r="V308" i="1"/>
  <c r="W307" i="1"/>
  <c r="L307" i="1"/>
  <c r="O307" i="1" s="1"/>
  <c r="AB307" i="1" s="1"/>
  <c r="X308" i="1" s="1"/>
  <c r="AE309" i="1" l="1"/>
  <c r="AD309" i="1" s="1"/>
  <c r="AB308" i="1"/>
  <c r="X309" i="1" s="1"/>
  <c r="AC308" i="1"/>
  <c r="Y309" i="1" s="1"/>
  <c r="R307" i="1"/>
  <c r="N308" i="1" s="1"/>
  <c r="Q308" i="1" s="1"/>
  <c r="M309" i="1" s="1"/>
  <c r="V309" i="1"/>
  <c r="W308" i="1"/>
  <c r="L308" i="1"/>
  <c r="O308" i="1" s="1"/>
  <c r="AC309" i="1" l="1"/>
  <c r="Y310" i="1" s="1"/>
  <c r="AE310" i="1"/>
  <c r="M310" i="1"/>
  <c r="R309" i="1"/>
  <c r="N310" i="1" s="1"/>
  <c r="R308" i="1"/>
  <c r="N309" i="1" s="1"/>
  <c r="Q309" i="1" s="1"/>
  <c r="S166" i="1"/>
  <c r="V310" i="1"/>
  <c r="W309" i="1"/>
  <c r="L309" i="1"/>
  <c r="O309" i="1" s="1"/>
  <c r="AB309" i="1" s="1"/>
  <c r="X310" i="1" s="1"/>
  <c r="AD310" i="1" l="1"/>
  <c r="AE311" i="1" s="1"/>
  <c r="AD311" i="1" s="1"/>
  <c r="AB310" i="1"/>
  <c r="X311" i="1" s="1"/>
  <c r="AC310" i="1"/>
  <c r="Y311" i="1" s="1"/>
  <c r="R310" i="1"/>
  <c r="N311" i="1" s="1"/>
  <c r="Q310" i="1"/>
  <c r="M311" i="1" s="1"/>
  <c r="V311" i="1"/>
  <c r="W310" i="1"/>
  <c r="L310" i="1"/>
  <c r="O310" i="1" s="1"/>
  <c r="AC311" i="1" l="1"/>
  <c r="Y312" i="1" s="1"/>
  <c r="AE312" i="1"/>
  <c r="AD312" i="1" s="1"/>
  <c r="Q311" i="1"/>
  <c r="M312" i="1" s="1"/>
  <c r="AB311" i="1"/>
  <c r="X312" i="1" s="1"/>
  <c r="S167" i="1"/>
  <c r="V312" i="1"/>
  <c r="W311" i="1"/>
  <c r="L311" i="1"/>
  <c r="O311" i="1" s="1"/>
  <c r="AE313" i="1" l="1"/>
  <c r="AD313" i="1" s="1"/>
  <c r="R312" i="1"/>
  <c r="N313" i="1" s="1"/>
  <c r="AC312" i="1"/>
  <c r="Y313" i="1" s="1"/>
  <c r="R311" i="1"/>
  <c r="N312" i="1" s="1"/>
  <c r="V313" i="1"/>
  <c r="W312" i="1"/>
  <c r="L312" i="1"/>
  <c r="O312" i="1" s="1"/>
  <c r="AB312" i="1" s="1"/>
  <c r="X313" i="1" s="1"/>
  <c r="AE314" i="1" l="1"/>
  <c r="AD314" i="1" s="1"/>
  <c r="AC313" i="1"/>
  <c r="Y314" i="1" s="1"/>
  <c r="AB313" i="1"/>
  <c r="X314" i="1" s="1"/>
  <c r="Q313" i="1"/>
  <c r="Q312" i="1"/>
  <c r="M313" i="1" s="1"/>
  <c r="S168" i="1"/>
  <c r="V314" i="1"/>
  <c r="W313" i="1"/>
  <c r="L313" i="1"/>
  <c r="O313" i="1" s="1"/>
  <c r="AE315" i="1" l="1"/>
  <c r="AD315" i="1" s="1"/>
  <c r="AC314" i="1"/>
  <c r="Y315" i="1" s="1"/>
  <c r="M314" i="1"/>
  <c r="R313" i="1"/>
  <c r="N314" i="1" s="1"/>
  <c r="V315" i="1"/>
  <c r="W314" i="1"/>
  <c r="L314" i="1"/>
  <c r="O314" i="1" s="1"/>
  <c r="AB314" i="1" s="1"/>
  <c r="X315" i="1" s="1"/>
  <c r="AE316" i="1" l="1"/>
  <c r="AD316" i="1" s="1"/>
  <c r="AC315" i="1"/>
  <c r="Y316" i="1" s="1"/>
  <c r="Q314" i="1"/>
  <c r="R314" i="1"/>
  <c r="N315" i="1" s="1"/>
  <c r="M315" i="1"/>
  <c r="S169" i="1"/>
  <c r="V316" i="1"/>
  <c r="W315" i="1"/>
  <c r="L315" i="1"/>
  <c r="O315" i="1" s="1"/>
  <c r="AB315" i="1" s="1"/>
  <c r="X316" i="1" s="1"/>
  <c r="AE317" i="1" l="1"/>
  <c r="AD317" i="1" s="1"/>
  <c r="AB316" i="1"/>
  <c r="X317" i="1" s="1"/>
  <c r="AC316" i="1"/>
  <c r="Y317" i="1" s="1"/>
  <c r="AC317" i="1" s="1"/>
  <c r="Y318" i="1" s="1"/>
  <c r="R315" i="1"/>
  <c r="N316" i="1" s="1"/>
  <c r="Q315" i="1"/>
  <c r="M316" i="1" s="1"/>
  <c r="V317" i="1"/>
  <c r="W316" i="1"/>
  <c r="L316" i="1"/>
  <c r="O316" i="1" s="1"/>
  <c r="AE318" i="1" l="1"/>
  <c r="AD318" i="1" s="1"/>
  <c r="R316" i="1"/>
  <c r="N317" i="1" s="1"/>
  <c r="Q316" i="1"/>
  <c r="M317" i="1" s="1"/>
  <c r="S170" i="1"/>
  <c r="V318" i="1"/>
  <c r="W317" i="1"/>
  <c r="L317" i="1"/>
  <c r="O317" i="1" s="1"/>
  <c r="AB317" i="1" s="1"/>
  <c r="X318" i="1" s="1"/>
  <c r="AE319" i="1" l="1"/>
  <c r="AD319" i="1" s="1"/>
  <c r="R317" i="1"/>
  <c r="N318" i="1" s="1"/>
  <c r="AB318" i="1"/>
  <c r="X319" i="1" s="1"/>
  <c r="AC318" i="1"/>
  <c r="Y319" i="1" s="1"/>
  <c r="AC319" i="1" s="1"/>
  <c r="Y320" i="1" s="1"/>
  <c r="Q317" i="1"/>
  <c r="M318" i="1" s="1"/>
  <c r="R318" i="1" s="1"/>
  <c r="N319" i="1" s="1"/>
  <c r="V319" i="1"/>
  <c r="W318" i="1"/>
  <c r="L318" i="1"/>
  <c r="O318" i="1" s="1"/>
  <c r="AE320" i="1" l="1"/>
  <c r="AD320" i="1" s="1"/>
  <c r="Q318" i="1"/>
  <c r="M319" i="1" s="1"/>
  <c r="S171" i="1"/>
  <c r="V320" i="1"/>
  <c r="W319" i="1"/>
  <c r="L319" i="1"/>
  <c r="O319" i="1" s="1"/>
  <c r="AB319" i="1" s="1"/>
  <c r="X320" i="1" s="1"/>
  <c r="AC320" i="1" l="1"/>
  <c r="Y321" i="1" s="1"/>
  <c r="AE321" i="1"/>
  <c r="AD321" i="1" s="1"/>
  <c r="Q319" i="1"/>
  <c r="M320" i="1" s="1"/>
  <c r="R319" i="1"/>
  <c r="N320" i="1" s="1"/>
  <c r="V321" i="1"/>
  <c r="W320" i="1"/>
  <c r="L320" i="1"/>
  <c r="O320" i="1" s="1"/>
  <c r="AB320" i="1" s="1"/>
  <c r="X321" i="1" s="1"/>
  <c r="AE322" i="1" l="1"/>
  <c r="AD322" i="1" s="1"/>
  <c r="AC321" i="1"/>
  <c r="Y322" i="1" s="1"/>
  <c r="Q320" i="1"/>
  <c r="M321" i="1" s="1"/>
  <c r="R321" i="1" s="1"/>
  <c r="N322" i="1" s="1"/>
  <c r="R320" i="1"/>
  <c r="N321" i="1" s="1"/>
  <c r="S172" i="1"/>
  <c r="V322" i="1"/>
  <c r="W321" i="1"/>
  <c r="L321" i="1"/>
  <c r="O321" i="1" s="1"/>
  <c r="AB321" i="1" s="1"/>
  <c r="X322" i="1" s="1"/>
  <c r="AE323" i="1" l="1"/>
  <c r="AD323" i="1" s="1"/>
  <c r="AC322" i="1"/>
  <c r="Y323" i="1" s="1"/>
  <c r="Q322" i="1"/>
  <c r="Q321" i="1"/>
  <c r="M322" i="1" s="1"/>
  <c r="V323" i="1"/>
  <c r="W322" i="1"/>
  <c r="L322" i="1"/>
  <c r="O322" i="1" s="1"/>
  <c r="AB322" i="1" s="1"/>
  <c r="X323" i="1" s="1"/>
  <c r="AE324" i="1" l="1"/>
  <c r="AD324" i="1" s="1"/>
  <c r="AB323" i="1"/>
  <c r="X324" i="1" s="1"/>
  <c r="AC323" i="1"/>
  <c r="Y324" i="1" s="1"/>
  <c r="R322" i="1"/>
  <c r="N323" i="1" s="1"/>
  <c r="M323" i="1"/>
  <c r="S173" i="1"/>
  <c r="V324" i="1"/>
  <c r="W323" i="1"/>
  <c r="L323" i="1"/>
  <c r="O323" i="1" s="1"/>
  <c r="AC324" i="1" l="1"/>
  <c r="Y325" i="1" s="1"/>
  <c r="AE325" i="1"/>
  <c r="AD325" i="1" s="1"/>
  <c r="AB324" i="1"/>
  <c r="X325" i="1" s="1"/>
  <c r="R323" i="1"/>
  <c r="N324" i="1" s="1"/>
  <c r="M324" i="1"/>
  <c r="Q323" i="1"/>
  <c r="V325" i="1"/>
  <c r="W324" i="1"/>
  <c r="L324" i="1"/>
  <c r="O324" i="1" s="1"/>
  <c r="AC325" i="1" l="1"/>
  <c r="Y326" i="1" s="1"/>
  <c r="AE326" i="1"/>
  <c r="AD326" i="1" s="1"/>
  <c r="AB325" i="1"/>
  <c r="X326" i="1" s="1"/>
  <c r="R324" i="1"/>
  <c r="N325" i="1" s="1"/>
  <c r="M325" i="1"/>
  <c r="Q324" i="1"/>
  <c r="S174" i="1"/>
  <c r="V326" i="1"/>
  <c r="W325" i="1"/>
  <c r="L325" i="1"/>
  <c r="O325" i="1" s="1"/>
  <c r="AC326" i="1" l="1"/>
  <c r="Y327" i="1" s="1"/>
  <c r="AE327" i="1"/>
  <c r="AD327" i="1" s="1"/>
  <c r="Q325" i="1"/>
  <c r="M326" i="1"/>
  <c r="R325" i="1"/>
  <c r="N326" i="1" s="1"/>
  <c r="AB326" i="1"/>
  <c r="X327" i="1" s="1"/>
  <c r="V327" i="1"/>
  <c r="W326" i="1"/>
  <c r="L326" i="1"/>
  <c r="O326" i="1" s="1"/>
  <c r="AC327" i="1" l="1"/>
  <c r="Y328" i="1" s="1"/>
  <c r="AE328" i="1"/>
  <c r="AD328" i="1" s="1"/>
  <c r="M327" i="1"/>
  <c r="R326" i="1"/>
  <c r="N327" i="1" s="1"/>
  <c r="Q327" i="1" s="1"/>
  <c r="AB327" i="1"/>
  <c r="X328" i="1" s="1"/>
  <c r="Q326" i="1"/>
  <c r="S175" i="1"/>
  <c r="V328" i="1"/>
  <c r="W327" i="1"/>
  <c r="L327" i="1"/>
  <c r="O327" i="1" s="1"/>
  <c r="AC328" i="1" l="1"/>
  <c r="Y329" i="1" s="1"/>
  <c r="AE329" i="1"/>
  <c r="AD329" i="1" s="1"/>
  <c r="M328" i="1"/>
  <c r="R327" i="1"/>
  <c r="N328" i="1" s="1"/>
  <c r="V329" i="1"/>
  <c r="W328" i="1"/>
  <c r="L328" i="1"/>
  <c r="O328" i="1" s="1"/>
  <c r="AB328" i="1" s="1"/>
  <c r="X329" i="1" s="1"/>
  <c r="AE330" i="1" l="1"/>
  <c r="AD330" i="1" s="1"/>
  <c r="AC329" i="1"/>
  <c r="Y330" i="1" s="1"/>
  <c r="Q328" i="1"/>
  <c r="R328" i="1"/>
  <c r="N329" i="1" s="1"/>
  <c r="M329" i="1"/>
  <c r="S176" i="1"/>
  <c r="V330" i="1"/>
  <c r="W329" i="1"/>
  <c r="L329" i="1"/>
  <c r="O329" i="1" s="1"/>
  <c r="AB329" i="1" s="1"/>
  <c r="X330" i="1" s="1"/>
  <c r="AE331" i="1" l="1"/>
  <c r="AD331" i="1" s="1"/>
  <c r="AB330" i="1"/>
  <c r="X331" i="1" s="1"/>
  <c r="AC330" i="1"/>
  <c r="Y331" i="1" s="1"/>
  <c r="Q329" i="1"/>
  <c r="M330" i="1" s="1"/>
  <c r="R329" i="1"/>
  <c r="N330" i="1" s="1"/>
  <c r="V331" i="1"/>
  <c r="W330" i="1"/>
  <c r="L330" i="1"/>
  <c r="O330" i="1" s="1"/>
  <c r="AC331" i="1" l="1"/>
  <c r="Y332" i="1" s="1"/>
  <c r="AE332" i="1"/>
  <c r="AD332" i="1" s="1"/>
  <c r="R330" i="1"/>
  <c r="N331" i="1" s="1"/>
  <c r="Q330" i="1"/>
  <c r="M331" i="1" s="1"/>
  <c r="S177" i="1"/>
  <c r="V332" i="1"/>
  <c r="W331" i="1"/>
  <c r="L331" i="1"/>
  <c r="O331" i="1" s="1"/>
  <c r="AB331" i="1" s="1"/>
  <c r="X332" i="1" s="1"/>
  <c r="AC332" i="1" l="1"/>
  <c r="Y333" i="1" s="1"/>
  <c r="AE333" i="1"/>
  <c r="AD333" i="1" s="1"/>
  <c r="R331" i="1"/>
  <c r="N332" i="1" s="1"/>
  <c r="Q332" i="1" s="1"/>
  <c r="M333" i="1" s="1"/>
  <c r="M332" i="1"/>
  <c r="AB332" i="1"/>
  <c r="X333" i="1" s="1"/>
  <c r="Q331" i="1"/>
  <c r="V333" i="1"/>
  <c r="W332" i="1"/>
  <c r="L332" i="1"/>
  <c r="O332" i="1" s="1"/>
  <c r="AC333" i="1" l="1"/>
  <c r="Y334" i="1" s="1"/>
  <c r="AE334" i="1"/>
  <c r="AD334" i="1" s="1"/>
  <c r="AB333" i="1"/>
  <c r="X334" i="1" s="1"/>
  <c r="R332" i="1"/>
  <c r="N333" i="1" s="1"/>
  <c r="Q333" i="1" s="1"/>
  <c r="R333" i="1"/>
  <c r="N334" i="1" s="1"/>
  <c r="M334" i="1"/>
  <c r="S178" i="1"/>
  <c r="V334" i="1"/>
  <c r="W333" i="1"/>
  <c r="L333" i="1"/>
  <c r="O333" i="1" s="1"/>
  <c r="AC334" i="1" l="1"/>
  <c r="Y335" i="1" s="1"/>
  <c r="AE335" i="1"/>
  <c r="AD335" i="1" s="1"/>
  <c r="Q334" i="1"/>
  <c r="R334" i="1"/>
  <c r="N335" i="1" s="1"/>
  <c r="M335" i="1"/>
  <c r="AB334" i="1"/>
  <c r="X335" i="1" s="1"/>
  <c r="V335" i="1"/>
  <c r="W334" i="1"/>
  <c r="L334" i="1"/>
  <c r="O334" i="1" s="1"/>
  <c r="AE336" i="1" l="1"/>
  <c r="AD336" i="1" s="1"/>
  <c r="Q335" i="1"/>
  <c r="M336" i="1" s="1"/>
  <c r="AC335" i="1"/>
  <c r="Y336" i="1" s="1"/>
  <c r="R335" i="1"/>
  <c r="N336" i="1" s="1"/>
  <c r="S179" i="1"/>
  <c r="V336" i="1"/>
  <c r="W335" i="1"/>
  <c r="L335" i="1"/>
  <c r="O335" i="1" s="1"/>
  <c r="AB335" i="1" s="1"/>
  <c r="X336" i="1" s="1"/>
  <c r="AE337" i="1" l="1"/>
  <c r="AD337" i="1" s="1"/>
  <c r="AC336" i="1"/>
  <c r="Y337" i="1" s="1"/>
  <c r="R336" i="1"/>
  <c r="N337" i="1" s="1"/>
  <c r="AB336" i="1"/>
  <c r="X337" i="1" s="1"/>
  <c r="Q336" i="1"/>
  <c r="M337" i="1" s="1"/>
  <c r="V337" i="1"/>
  <c r="W336" i="1"/>
  <c r="L336" i="1"/>
  <c r="O336" i="1" s="1"/>
  <c r="AE338" i="1" l="1"/>
  <c r="AD338" i="1" s="1"/>
  <c r="AC337" i="1"/>
  <c r="Y338" i="1" s="1"/>
  <c r="S180" i="1"/>
  <c r="V338" i="1"/>
  <c r="W337" i="1"/>
  <c r="L337" i="1"/>
  <c r="O337" i="1" s="1"/>
  <c r="AB337" i="1" s="1"/>
  <c r="X338" i="1" s="1"/>
  <c r="AE339" i="1" l="1"/>
  <c r="AD339" i="1" s="1"/>
  <c r="AC338" i="1"/>
  <c r="Y339" i="1" s="1"/>
  <c r="R337" i="1"/>
  <c r="N338" i="1" s="1"/>
  <c r="Q337" i="1"/>
  <c r="M338" i="1" s="1"/>
  <c r="V339" i="1"/>
  <c r="W338" i="1"/>
  <c r="L338" i="1"/>
  <c r="O338" i="1" s="1"/>
  <c r="AB338" i="1" s="1"/>
  <c r="X339" i="1" s="1"/>
  <c r="AE340" i="1" l="1"/>
  <c r="AD340" i="1" s="1"/>
  <c r="AC339" i="1"/>
  <c r="Y340" i="1" s="1"/>
  <c r="R338" i="1"/>
  <c r="N339" i="1" s="1"/>
  <c r="Q339" i="1" s="1"/>
  <c r="M339" i="1"/>
  <c r="Q338" i="1"/>
  <c r="S181" i="1"/>
  <c r="V340" i="1"/>
  <c r="W339" i="1"/>
  <c r="L339" i="1"/>
  <c r="O339" i="1" s="1"/>
  <c r="AB339" i="1" s="1"/>
  <c r="X340" i="1" s="1"/>
  <c r="AE341" i="1" l="1"/>
  <c r="AD341" i="1" s="1"/>
  <c r="AC340" i="1"/>
  <c r="Y341" i="1" s="1"/>
  <c r="M340" i="1"/>
  <c r="R339" i="1"/>
  <c r="N340" i="1" s="1"/>
  <c r="V341" i="1"/>
  <c r="W340" i="1"/>
  <c r="L340" i="1"/>
  <c r="O340" i="1" s="1"/>
  <c r="AB340" i="1" s="1"/>
  <c r="X341" i="1" s="1"/>
  <c r="AE342" i="1" l="1"/>
  <c r="AD342" i="1" s="1"/>
  <c r="AC341" i="1"/>
  <c r="Y342" i="1" s="1"/>
  <c r="N341" i="1"/>
  <c r="Q340" i="1"/>
  <c r="M341" i="1"/>
  <c r="R340" i="1"/>
  <c r="S182" i="1"/>
  <c r="V342" i="1"/>
  <c r="W341" i="1"/>
  <c r="L341" i="1"/>
  <c r="O341" i="1" s="1"/>
  <c r="AB341" i="1" s="1"/>
  <c r="X342" i="1" s="1"/>
  <c r="AE343" i="1" l="1"/>
  <c r="AD343" i="1" s="1"/>
  <c r="AC342" i="1"/>
  <c r="Y343" i="1" s="1"/>
  <c r="R341" i="1"/>
  <c r="N342" i="1"/>
  <c r="Q341" i="1"/>
  <c r="M342" i="1" s="1"/>
  <c r="V343" i="1"/>
  <c r="W342" i="1"/>
  <c r="L342" i="1"/>
  <c r="O342" i="1" s="1"/>
  <c r="AB342" i="1" s="1"/>
  <c r="X343" i="1" s="1"/>
  <c r="AE344" i="1" l="1"/>
  <c r="AD344" i="1" s="1"/>
  <c r="AC343" i="1"/>
  <c r="Y344" i="1" s="1"/>
  <c r="M343" i="1"/>
  <c r="R343" i="1" s="1"/>
  <c r="R342" i="1"/>
  <c r="N343" i="1"/>
  <c r="Q342" i="1"/>
  <c r="S183" i="1"/>
  <c r="V344" i="1"/>
  <c r="W343" i="1"/>
  <c r="L343" i="1"/>
  <c r="O343" i="1" s="1"/>
  <c r="AB343" i="1" s="1"/>
  <c r="X344" i="1" s="1"/>
  <c r="AE345" i="1" l="1"/>
  <c r="AD345" i="1" s="1"/>
  <c r="AC344" i="1"/>
  <c r="Y345" i="1" s="1"/>
  <c r="AB344" i="1"/>
  <c r="X345" i="1" s="1"/>
  <c r="Q343" i="1"/>
  <c r="M344" i="1" s="1"/>
  <c r="N344" i="1"/>
  <c r="V345" i="1"/>
  <c r="W344" i="1"/>
  <c r="L344" i="1"/>
  <c r="O344" i="1" s="1"/>
  <c r="AE346" i="1" l="1"/>
  <c r="AD346" i="1" s="1"/>
  <c r="AC345" i="1"/>
  <c r="Y346" i="1" s="1"/>
  <c r="Q344" i="1"/>
  <c r="M345" i="1" s="1"/>
  <c r="R345" i="1" s="1"/>
  <c r="N346" i="1" s="1"/>
  <c r="R344" i="1"/>
  <c r="N345" i="1" s="1"/>
  <c r="Q345" i="1" s="1"/>
  <c r="M346" i="1" s="1"/>
  <c r="S184" i="1"/>
  <c r="V346" i="1"/>
  <c r="W345" i="1"/>
  <c r="L345" i="1"/>
  <c r="O345" i="1" s="1"/>
  <c r="AB345" i="1" s="1"/>
  <c r="X346" i="1" s="1"/>
  <c r="AE347" i="1" l="1"/>
  <c r="AD347" i="1" s="1"/>
  <c r="AC346" i="1"/>
  <c r="Y347" i="1" s="1"/>
  <c r="R346" i="1"/>
  <c r="N347" i="1" s="1"/>
  <c r="AB346" i="1"/>
  <c r="X347" i="1" s="1"/>
  <c r="V347" i="1"/>
  <c r="W346" i="1"/>
  <c r="L346" i="1"/>
  <c r="O346" i="1" s="1"/>
  <c r="AE348" i="1" l="1"/>
  <c r="AD348" i="1" s="1"/>
  <c r="AC347" i="1"/>
  <c r="Y348" i="1" s="1"/>
  <c r="Q346" i="1"/>
  <c r="M347" i="1" s="1"/>
  <c r="Q347" i="1" s="1"/>
  <c r="S185" i="1"/>
  <c r="V348" i="1"/>
  <c r="W347" i="1"/>
  <c r="L347" i="1"/>
  <c r="O347" i="1" s="1"/>
  <c r="AB347" i="1" s="1"/>
  <c r="X348" i="1" s="1"/>
  <c r="AE349" i="1" l="1"/>
  <c r="AD349" i="1" s="1"/>
  <c r="AC348" i="1"/>
  <c r="Y349" i="1" s="1"/>
  <c r="R347" i="1"/>
  <c r="N348" i="1" s="1"/>
  <c r="M348" i="1"/>
  <c r="V349" i="1"/>
  <c r="W348" i="1"/>
  <c r="L348" i="1"/>
  <c r="O348" i="1" s="1"/>
  <c r="AB348" i="1" s="1"/>
  <c r="X349" i="1" s="1"/>
  <c r="AE350" i="1" l="1"/>
  <c r="AD350" i="1" s="1"/>
  <c r="AC349" i="1"/>
  <c r="Y350" i="1" s="1"/>
  <c r="Q348" i="1"/>
  <c r="M349" i="1"/>
  <c r="R348" i="1"/>
  <c r="N349" i="1" s="1"/>
  <c r="S186" i="1"/>
  <c r="V350" i="1"/>
  <c r="W349" i="1"/>
  <c r="L349" i="1"/>
  <c r="O349" i="1" s="1"/>
  <c r="AB349" i="1" s="1"/>
  <c r="X350" i="1" s="1"/>
  <c r="AE351" i="1" l="1"/>
  <c r="AD351" i="1" s="1"/>
  <c r="Q349" i="1"/>
  <c r="AC350" i="1"/>
  <c r="Y351" i="1" s="1"/>
  <c r="R349" i="1"/>
  <c r="N350" i="1" s="1"/>
  <c r="Q350" i="1" s="1"/>
  <c r="M351" i="1" s="1"/>
  <c r="M350" i="1"/>
  <c r="V351" i="1"/>
  <c r="W350" i="1"/>
  <c r="L350" i="1"/>
  <c r="O350" i="1" s="1"/>
  <c r="AB350" i="1" s="1"/>
  <c r="X351" i="1" s="1"/>
  <c r="AE352" i="1" l="1"/>
  <c r="AD352" i="1" s="1"/>
  <c r="AC351" i="1"/>
  <c r="Y352" i="1" s="1"/>
  <c r="AB351" i="1"/>
  <c r="X352" i="1" s="1"/>
  <c r="R350" i="1"/>
  <c r="N351" i="1" s="1"/>
  <c r="S187" i="1"/>
  <c r="V352" i="1"/>
  <c r="W351" i="1"/>
  <c r="L351" i="1"/>
  <c r="O351" i="1" s="1"/>
  <c r="AC352" i="1" l="1"/>
  <c r="Y353" i="1" s="1"/>
  <c r="AE353" i="1"/>
  <c r="AD353" i="1" s="1"/>
  <c r="N352" i="1"/>
  <c r="Q351" i="1"/>
  <c r="M352" i="1" s="1"/>
  <c r="AB352" i="1"/>
  <c r="X353" i="1" s="1"/>
  <c r="R351" i="1"/>
  <c r="V353" i="1"/>
  <c r="W352" i="1"/>
  <c r="L352" i="1"/>
  <c r="O352" i="1" s="1"/>
  <c r="AC353" i="1" l="1"/>
  <c r="Y354" i="1" s="1"/>
  <c r="AE354" i="1"/>
  <c r="AD354" i="1" s="1"/>
  <c r="Q352" i="1"/>
  <c r="M353" i="1" s="1"/>
  <c r="R352" i="1"/>
  <c r="N353" i="1" s="1"/>
  <c r="AB353" i="1"/>
  <c r="X354" i="1" s="1"/>
  <c r="S188" i="1"/>
  <c r="V354" i="1"/>
  <c r="W353" i="1"/>
  <c r="L353" i="1"/>
  <c r="O353" i="1" s="1"/>
  <c r="AC354" i="1" l="1"/>
  <c r="Y355" i="1" s="1"/>
  <c r="AE355" i="1"/>
  <c r="AD355" i="1" s="1"/>
  <c r="Q353" i="1"/>
  <c r="M354" i="1"/>
  <c r="R353" i="1"/>
  <c r="N354" i="1" s="1"/>
  <c r="AB354" i="1"/>
  <c r="X355" i="1" s="1"/>
  <c r="V355" i="1"/>
  <c r="W354" i="1"/>
  <c r="L354" i="1"/>
  <c r="O354" i="1" s="1"/>
  <c r="AC355" i="1" l="1"/>
  <c r="Y356" i="1" s="1"/>
  <c r="AE356" i="1"/>
  <c r="AD356" i="1" s="1"/>
  <c r="Q354" i="1"/>
  <c r="R354" i="1"/>
  <c r="N355" i="1" s="1"/>
  <c r="M355" i="1"/>
  <c r="S189" i="1"/>
  <c r="V356" i="1"/>
  <c r="W355" i="1"/>
  <c r="L355" i="1"/>
  <c r="O355" i="1" s="1"/>
  <c r="AB355" i="1" s="1"/>
  <c r="X356" i="1" s="1"/>
  <c r="AC356" i="1" l="1"/>
  <c r="Y357" i="1" s="1"/>
  <c r="AE357" i="1"/>
  <c r="AD357" i="1" s="1"/>
  <c r="Q355" i="1"/>
  <c r="M356" i="1" s="1"/>
  <c r="R355" i="1"/>
  <c r="N356" i="1" s="1"/>
  <c r="Q356" i="1" s="1"/>
  <c r="M357" i="1" s="1"/>
  <c r="V357" i="1"/>
  <c r="W356" i="1"/>
  <c r="L356" i="1"/>
  <c r="O356" i="1" s="1"/>
  <c r="AB356" i="1" s="1"/>
  <c r="X357" i="1" s="1"/>
  <c r="AE358" i="1" l="1"/>
  <c r="AD358" i="1" s="1"/>
  <c r="AC357" i="1"/>
  <c r="Y358" i="1" s="1"/>
  <c r="AB357" i="1"/>
  <c r="X358" i="1" s="1"/>
  <c r="R356" i="1"/>
  <c r="N357" i="1" s="1"/>
  <c r="S190" i="1"/>
  <c r="V358" i="1"/>
  <c r="W357" i="1"/>
  <c r="L357" i="1"/>
  <c r="O357" i="1" s="1"/>
  <c r="AE359" i="1" l="1"/>
  <c r="AD359" i="1" s="1"/>
  <c r="R357" i="1"/>
  <c r="N358" i="1" s="1"/>
  <c r="AC358" i="1"/>
  <c r="Y359" i="1" s="1"/>
  <c r="Q357" i="1"/>
  <c r="M358" i="1" s="1"/>
  <c r="V359" i="1"/>
  <c r="W358" i="1"/>
  <c r="L358" i="1"/>
  <c r="O358" i="1" s="1"/>
  <c r="AB358" i="1" s="1"/>
  <c r="X359" i="1" s="1"/>
  <c r="AE360" i="1" l="1"/>
  <c r="AD360" i="1" s="1"/>
  <c r="AC359" i="1"/>
  <c r="Y360" i="1" s="1"/>
  <c r="AB359" i="1"/>
  <c r="X360" i="1" s="1"/>
  <c r="Q358" i="1"/>
  <c r="M359" i="1" s="1"/>
  <c r="N359" i="1"/>
  <c r="R358" i="1"/>
  <c r="S191" i="1"/>
  <c r="V360" i="1"/>
  <c r="W359" i="1"/>
  <c r="L359" i="1"/>
  <c r="O359" i="1" s="1"/>
  <c r="AC360" i="1" l="1"/>
  <c r="Y361" i="1" s="1"/>
  <c r="AE361" i="1"/>
  <c r="AD361" i="1" s="1"/>
  <c r="R359" i="1"/>
  <c r="AB360" i="1"/>
  <c r="X361" i="1" s="1"/>
  <c r="N360" i="1"/>
  <c r="Q359" i="1"/>
  <c r="M360" i="1" s="1"/>
  <c r="V361" i="1"/>
  <c r="W360" i="1"/>
  <c r="L360" i="1"/>
  <c r="O360" i="1" s="1"/>
  <c r="AE362" i="1" l="1"/>
  <c r="AD362" i="1" s="1"/>
  <c r="M361" i="1"/>
  <c r="R360" i="1"/>
  <c r="AC361" i="1"/>
  <c r="Y362" i="1" s="1"/>
  <c r="N361" i="1"/>
  <c r="Q360" i="1"/>
  <c r="S192" i="1"/>
  <c r="V362" i="1"/>
  <c r="W361" i="1"/>
  <c r="L361" i="1"/>
  <c r="O361" i="1" s="1"/>
  <c r="AB361" i="1" s="1"/>
  <c r="X362" i="1" s="1"/>
  <c r="AE363" i="1" l="1"/>
  <c r="AD363" i="1" s="1"/>
  <c r="AC362" i="1"/>
  <c r="Y363" i="1" s="1"/>
  <c r="R361" i="1"/>
  <c r="N362" i="1" s="1"/>
  <c r="Q361" i="1"/>
  <c r="M362" i="1" s="1"/>
  <c r="V363" i="1"/>
  <c r="W362" i="1"/>
  <c r="L362" i="1"/>
  <c r="O362" i="1" s="1"/>
  <c r="AB362" i="1" s="1"/>
  <c r="X363" i="1" s="1"/>
  <c r="AE364" i="1" l="1"/>
  <c r="AD364" i="1" s="1"/>
  <c r="Q362" i="1"/>
  <c r="M363" i="1" s="1"/>
  <c r="AC363" i="1"/>
  <c r="Y364" i="1" s="1"/>
  <c r="AB363" i="1"/>
  <c r="X364" i="1" s="1"/>
  <c r="AE365" i="1" s="1"/>
  <c r="AD365" i="1" s="1"/>
  <c r="R362" i="1"/>
  <c r="N363" i="1" s="1"/>
  <c r="S193" i="1"/>
  <c r="V364" i="1"/>
  <c r="W363" i="1"/>
  <c r="L363" i="1"/>
  <c r="O363" i="1" s="1"/>
  <c r="AC364" i="1" l="1"/>
  <c r="Y365" i="1" s="1"/>
  <c r="Q363" i="1"/>
  <c r="M364" i="1" s="1"/>
  <c r="R363" i="1"/>
  <c r="N364" i="1" s="1"/>
  <c r="Q364" i="1" s="1"/>
  <c r="V365" i="1"/>
  <c r="W364" i="1"/>
  <c r="L364" i="1"/>
  <c r="O364" i="1" s="1"/>
  <c r="AB364" i="1" s="1"/>
  <c r="X365" i="1" s="1"/>
  <c r="AE366" i="1" l="1"/>
  <c r="AD366" i="1" s="1"/>
  <c r="AC365" i="1"/>
  <c r="Y366" i="1" s="1"/>
  <c r="M365" i="1"/>
  <c r="R364" i="1"/>
  <c r="N365" i="1" s="1"/>
  <c r="S194" i="1"/>
  <c r="V366" i="1"/>
  <c r="W365" i="1"/>
  <c r="L365" i="1"/>
  <c r="O365" i="1" s="1"/>
  <c r="AB365" i="1" s="1"/>
  <c r="X366" i="1" s="1"/>
  <c r="AE367" i="1" l="1"/>
  <c r="AD367" i="1" s="1"/>
  <c r="AC366" i="1"/>
  <c r="Y367" i="1" s="1"/>
  <c r="Q365" i="1"/>
  <c r="M366" i="1" s="1"/>
  <c r="R365" i="1"/>
  <c r="N366" i="1" s="1"/>
  <c r="V367" i="1"/>
  <c r="W366" i="1"/>
  <c r="L366" i="1"/>
  <c r="O366" i="1" s="1"/>
  <c r="AB366" i="1" s="1"/>
  <c r="X367" i="1" s="1"/>
  <c r="AE368" i="1" l="1"/>
  <c r="AD368" i="1" s="1"/>
  <c r="Q366" i="1"/>
  <c r="M367" i="1" s="1"/>
  <c r="AB367" i="1"/>
  <c r="X368" i="1" s="1"/>
  <c r="AC367" i="1"/>
  <c r="Y368" i="1" s="1"/>
  <c r="R366" i="1"/>
  <c r="N367" i="1" s="1"/>
  <c r="S195" i="1"/>
  <c r="V368" i="1"/>
  <c r="W367" i="1"/>
  <c r="L367" i="1"/>
  <c r="O367" i="1" s="1"/>
  <c r="AC368" i="1" l="1"/>
  <c r="Y369" i="1" s="1"/>
  <c r="AE369" i="1"/>
  <c r="AD369" i="1" s="1"/>
  <c r="R367" i="1"/>
  <c r="Q367" i="1"/>
  <c r="M368" i="1" s="1"/>
  <c r="R368" i="1" s="1"/>
  <c r="N368" i="1"/>
  <c r="V369" i="1"/>
  <c r="W368" i="1"/>
  <c r="L368" i="1"/>
  <c r="O368" i="1" s="1"/>
  <c r="AB368" i="1" s="1"/>
  <c r="X369" i="1" s="1"/>
  <c r="AE370" i="1" l="1"/>
  <c r="AD370" i="1" s="1"/>
  <c r="AC369" i="1"/>
  <c r="Y370" i="1" s="1"/>
  <c r="N369" i="1"/>
  <c r="Q368" i="1"/>
  <c r="M369" i="1" s="1"/>
  <c r="R369" i="1" s="1"/>
  <c r="S196" i="1"/>
  <c r="V370" i="1"/>
  <c r="W369" i="1"/>
  <c r="L369" i="1"/>
  <c r="O369" i="1" s="1"/>
  <c r="AB369" i="1" s="1"/>
  <c r="X370" i="1" s="1"/>
  <c r="AE371" i="1" l="1"/>
  <c r="AD371" i="1" s="1"/>
  <c r="AB370" i="1"/>
  <c r="X371" i="1" s="1"/>
  <c r="AC370" i="1"/>
  <c r="Y371" i="1" s="1"/>
  <c r="N370" i="1"/>
  <c r="Q369" i="1"/>
  <c r="M370" i="1" s="1"/>
  <c r="V371" i="1"/>
  <c r="W370" i="1"/>
  <c r="L370" i="1"/>
  <c r="O370" i="1" s="1"/>
  <c r="AC371" i="1" l="1"/>
  <c r="Y372" i="1" s="1"/>
  <c r="AE372" i="1"/>
  <c r="AD372" i="1" s="1"/>
  <c r="N371" i="1"/>
  <c r="Q370" i="1"/>
  <c r="M371" i="1" s="1"/>
  <c r="R370" i="1"/>
  <c r="S197" i="1"/>
  <c r="V372" i="1"/>
  <c r="W371" i="1"/>
  <c r="L371" i="1"/>
  <c r="O371" i="1" s="1"/>
  <c r="AB371" i="1" s="1"/>
  <c r="X372" i="1" s="1"/>
  <c r="AE373" i="1" l="1"/>
  <c r="AD373" i="1" s="1"/>
  <c r="R371" i="1"/>
  <c r="N372" i="1" s="1"/>
  <c r="M372" i="1"/>
  <c r="AC372" i="1"/>
  <c r="Y373" i="1" s="1"/>
  <c r="Q371" i="1"/>
  <c r="V373" i="1"/>
  <c r="W372" i="1"/>
  <c r="L372" i="1"/>
  <c r="O372" i="1" s="1"/>
  <c r="AB372" i="1" s="1"/>
  <c r="X373" i="1" s="1"/>
  <c r="AE374" i="1" l="1"/>
  <c r="AD374" i="1" s="1"/>
  <c r="AC373" i="1"/>
  <c r="Y374" i="1" s="1"/>
  <c r="N373" i="1"/>
  <c r="Q372" i="1"/>
  <c r="M373" i="1"/>
  <c r="R372" i="1"/>
  <c r="S198" i="1"/>
  <c r="V374" i="1"/>
  <c r="W373" i="1"/>
  <c r="L373" i="1"/>
  <c r="O373" i="1" s="1"/>
  <c r="AB373" i="1" s="1"/>
  <c r="X374" i="1" s="1"/>
  <c r="AE375" i="1" l="1"/>
  <c r="AD375" i="1" s="1"/>
  <c r="AC374" i="1"/>
  <c r="Y375" i="1" s="1"/>
  <c r="N374" i="1"/>
  <c r="Q373" i="1"/>
  <c r="M374" i="1" s="1"/>
  <c r="R374" i="1" s="1"/>
  <c r="N375" i="1" s="1"/>
  <c r="R373" i="1"/>
  <c r="V375" i="1"/>
  <c r="W374" i="1"/>
  <c r="L374" i="1"/>
  <c r="O374" i="1" s="1"/>
  <c r="AB374" i="1" s="1"/>
  <c r="X375" i="1" s="1"/>
  <c r="AE376" i="1" l="1"/>
  <c r="AD376" i="1" s="1"/>
  <c r="AC375" i="1"/>
  <c r="Y376" i="1" s="1"/>
  <c r="AB375" i="1"/>
  <c r="X376" i="1" s="1"/>
  <c r="Q374" i="1"/>
  <c r="M375" i="1" s="1"/>
  <c r="R375" i="1" s="1"/>
  <c r="N376" i="1" s="1"/>
  <c r="S199" i="1"/>
  <c r="V376" i="1"/>
  <c r="W375" i="1"/>
  <c r="L375" i="1"/>
  <c r="O375" i="1" s="1"/>
  <c r="AE377" i="1" l="1"/>
  <c r="AD377" i="1" s="1"/>
  <c r="AC376" i="1"/>
  <c r="Y377" i="1" s="1"/>
  <c r="AB376" i="1"/>
  <c r="X377" i="1" s="1"/>
  <c r="Q376" i="1"/>
  <c r="Q375" i="1"/>
  <c r="M376" i="1" s="1"/>
  <c r="V377" i="1"/>
  <c r="W376" i="1"/>
  <c r="L376" i="1"/>
  <c r="O376" i="1" s="1"/>
  <c r="AE378" i="1" l="1"/>
  <c r="AD378" i="1" s="1"/>
  <c r="AC377" i="1"/>
  <c r="Y378" i="1" s="1"/>
  <c r="R376" i="1"/>
  <c r="N377" i="1" s="1"/>
  <c r="Q377" i="1" s="1"/>
  <c r="M378" i="1" s="1"/>
  <c r="M377" i="1"/>
  <c r="S200" i="1"/>
  <c r="V378" i="1"/>
  <c r="W377" i="1"/>
  <c r="L377" i="1"/>
  <c r="O377" i="1" s="1"/>
  <c r="AB377" i="1" s="1"/>
  <c r="X378" i="1" s="1"/>
  <c r="AE379" i="1" l="1"/>
  <c r="AD379" i="1" s="1"/>
  <c r="AC378" i="1"/>
  <c r="Y379" i="1" s="1"/>
  <c r="R377" i="1"/>
  <c r="N378" i="1" s="1"/>
  <c r="V379" i="1"/>
  <c r="W378" i="1"/>
  <c r="L378" i="1"/>
  <c r="O378" i="1" s="1"/>
  <c r="AB378" i="1" s="1"/>
  <c r="X379" i="1" s="1"/>
  <c r="AE380" i="1" l="1"/>
  <c r="AD380" i="1" s="1"/>
  <c r="AC379" i="1"/>
  <c r="Y380" i="1" s="1"/>
  <c r="Q378" i="1"/>
  <c r="M379" i="1" s="1"/>
  <c r="R378" i="1"/>
  <c r="N379" i="1" s="1"/>
  <c r="S201" i="1"/>
  <c r="V380" i="1"/>
  <c r="W379" i="1"/>
  <c r="L379" i="1"/>
  <c r="O379" i="1" s="1"/>
  <c r="AB379" i="1" s="1"/>
  <c r="X380" i="1" s="1"/>
  <c r="AE381" i="1" l="1"/>
  <c r="AD381" i="1" s="1"/>
  <c r="AC380" i="1"/>
  <c r="Y381" i="1" s="1"/>
  <c r="Q379" i="1"/>
  <c r="M380" i="1"/>
  <c r="R379" i="1"/>
  <c r="N380" i="1" s="1"/>
  <c r="V381" i="1"/>
  <c r="W380" i="1"/>
  <c r="L380" i="1"/>
  <c r="O380" i="1" s="1"/>
  <c r="AB380" i="1" s="1"/>
  <c r="X381" i="1" s="1"/>
  <c r="AE382" i="1" l="1"/>
  <c r="AD382" i="1" s="1"/>
  <c r="Q380" i="1"/>
  <c r="M381" i="1" s="1"/>
  <c r="AC381" i="1"/>
  <c r="Y382" i="1" s="1"/>
  <c r="R380" i="1"/>
  <c r="N381" i="1" s="1"/>
  <c r="S202" i="1"/>
  <c r="V382" i="1"/>
  <c r="W381" i="1"/>
  <c r="L381" i="1"/>
  <c r="O381" i="1" s="1"/>
  <c r="AB381" i="1" s="1"/>
  <c r="X382" i="1" s="1"/>
  <c r="AE383" i="1" l="1"/>
  <c r="AD383" i="1" s="1"/>
  <c r="Q381" i="1"/>
  <c r="AC382" i="1"/>
  <c r="Y383" i="1" s="1"/>
  <c r="M382" i="1"/>
  <c r="R381" i="1"/>
  <c r="N382" i="1" s="1"/>
  <c r="Q382" i="1" s="1"/>
  <c r="M383" i="1" s="1"/>
  <c r="V383" i="1"/>
  <c r="W382" i="1"/>
  <c r="L382" i="1"/>
  <c r="O382" i="1" s="1"/>
  <c r="AB382" i="1" s="1"/>
  <c r="X383" i="1" s="1"/>
  <c r="AE384" i="1" s="1"/>
  <c r="AD384" i="1" s="1"/>
  <c r="AC383" i="1" l="1"/>
  <c r="Y384" i="1" s="1"/>
  <c r="R382" i="1"/>
  <c r="N383" i="1" s="1"/>
  <c r="S203" i="1"/>
  <c r="V384" i="1"/>
  <c r="W383" i="1"/>
  <c r="L383" i="1"/>
  <c r="O383" i="1" s="1"/>
  <c r="AB383" i="1" s="1"/>
  <c r="X384" i="1" s="1"/>
  <c r="AE385" i="1" l="1"/>
  <c r="AD385" i="1" s="1"/>
  <c r="AB384" i="1"/>
  <c r="X385" i="1" s="1"/>
  <c r="AC384" i="1"/>
  <c r="Y385" i="1" s="1"/>
  <c r="AC385" i="1" s="1"/>
  <c r="Y386" i="1" s="1"/>
  <c r="Q383" i="1"/>
  <c r="M384" i="1" s="1"/>
  <c r="R383" i="1"/>
  <c r="N384" i="1" s="1"/>
  <c r="V385" i="1"/>
  <c r="W384" i="1"/>
  <c r="L384" i="1"/>
  <c r="O384" i="1" s="1"/>
  <c r="AE386" i="1" l="1"/>
  <c r="AD386" i="1" s="1"/>
  <c r="Q384" i="1"/>
  <c r="R384" i="1"/>
  <c r="N385" i="1" s="1"/>
  <c r="M385" i="1"/>
  <c r="S204" i="1"/>
  <c r="V386" i="1"/>
  <c r="W385" i="1"/>
  <c r="L385" i="1"/>
  <c r="O385" i="1" s="1"/>
  <c r="AB385" i="1" s="1"/>
  <c r="X386" i="1" s="1"/>
  <c r="AE387" i="1" l="1"/>
  <c r="AD387" i="1" s="1"/>
  <c r="Q385" i="1"/>
  <c r="AB386" i="1"/>
  <c r="X387" i="1" s="1"/>
  <c r="AC386" i="1"/>
  <c r="Y387" i="1" s="1"/>
  <c r="R385" i="1"/>
  <c r="N386" i="1" s="1"/>
  <c r="M386" i="1"/>
  <c r="V387" i="1"/>
  <c r="W386" i="1"/>
  <c r="L386" i="1"/>
  <c r="O386" i="1" s="1"/>
  <c r="AC387" i="1" l="1"/>
  <c r="Y388" i="1" s="1"/>
  <c r="AE388" i="1"/>
  <c r="AD388" i="1" s="1"/>
  <c r="Q386" i="1"/>
  <c r="M387" i="1" s="1"/>
  <c r="AB387" i="1"/>
  <c r="X388" i="1" s="1"/>
  <c r="R386" i="1"/>
  <c r="N387" i="1" s="1"/>
  <c r="S205" i="1"/>
  <c r="V388" i="1"/>
  <c r="W387" i="1"/>
  <c r="L387" i="1"/>
  <c r="O387" i="1" s="1"/>
  <c r="AC388" i="1" l="1"/>
  <c r="Y389" i="1" s="1"/>
  <c r="AE389" i="1"/>
  <c r="AD389" i="1" s="1"/>
  <c r="Q387" i="1"/>
  <c r="M388" i="1" s="1"/>
  <c r="N388" i="1"/>
  <c r="AB388" i="1"/>
  <c r="X389" i="1" s="1"/>
  <c r="R387" i="1"/>
  <c r="V389" i="1"/>
  <c r="W388" i="1"/>
  <c r="L388" i="1"/>
  <c r="O388" i="1" s="1"/>
  <c r="AE390" i="1" l="1"/>
  <c r="AD390" i="1" s="1"/>
  <c r="M389" i="1"/>
  <c r="R388" i="1"/>
  <c r="N389" i="1" s="1"/>
  <c r="Q388" i="1"/>
  <c r="AC389" i="1"/>
  <c r="Y390" i="1" s="1"/>
  <c r="S206" i="1"/>
  <c r="V390" i="1"/>
  <c r="W389" i="1"/>
  <c r="L389" i="1"/>
  <c r="O389" i="1" s="1"/>
  <c r="AB389" i="1" s="1"/>
  <c r="X390" i="1" s="1"/>
  <c r="AE391" i="1" l="1"/>
  <c r="AD391" i="1" s="1"/>
  <c r="AC390" i="1"/>
  <c r="Y391" i="1" s="1"/>
  <c r="AB390" i="1"/>
  <c r="X391" i="1" s="1"/>
  <c r="Q389" i="1"/>
  <c r="R389" i="1"/>
  <c r="N390" i="1" s="1"/>
  <c r="Q390" i="1" s="1"/>
  <c r="M391" i="1" s="1"/>
  <c r="M390" i="1"/>
  <c r="V391" i="1"/>
  <c r="W390" i="1"/>
  <c r="L390" i="1"/>
  <c r="O390" i="1" s="1"/>
  <c r="AC391" i="1" l="1"/>
  <c r="Y392" i="1" s="1"/>
  <c r="AE392" i="1"/>
  <c r="AD392" i="1" s="1"/>
  <c r="R390" i="1"/>
  <c r="N391" i="1" s="1"/>
  <c r="S207" i="1"/>
  <c r="V392" i="1"/>
  <c r="W391" i="1"/>
  <c r="L391" i="1"/>
  <c r="O391" i="1" s="1"/>
  <c r="AB391" i="1" s="1"/>
  <c r="X392" i="1" s="1"/>
  <c r="AE393" i="1" l="1"/>
  <c r="AD393" i="1" s="1"/>
  <c r="AC392" i="1"/>
  <c r="Y393" i="1" s="1"/>
  <c r="Q391" i="1"/>
  <c r="M392" i="1" s="1"/>
  <c r="N392" i="1"/>
  <c r="R391" i="1"/>
  <c r="V393" i="1"/>
  <c r="W392" i="1"/>
  <c r="L392" i="1"/>
  <c r="O392" i="1" s="1"/>
  <c r="AB392" i="1" s="1"/>
  <c r="X393" i="1" s="1"/>
  <c r="AE394" i="1" l="1"/>
  <c r="AD394" i="1" s="1"/>
  <c r="AC393" i="1"/>
  <c r="Y394" i="1" s="1"/>
  <c r="N393" i="1"/>
  <c r="Q392" i="1"/>
  <c r="M393" i="1" s="1"/>
  <c r="R392" i="1"/>
  <c r="S208" i="1"/>
  <c r="V394" i="1"/>
  <c r="W393" i="1"/>
  <c r="L393" i="1"/>
  <c r="O393" i="1" s="1"/>
  <c r="AB393" i="1" s="1"/>
  <c r="X394" i="1" s="1"/>
  <c r="AE395" i="1" l="1"/>
  <c r="AD395" i="1" s="1"/>
  <c r="AC394" i="1"/>
  <c r="Y395" i="1" s="1"/>
  <c r="Q393" i="1"/>
  <c r="M394" i="1" s="1"/>
  <c r="R393" i="1"/>
  <c r="N394" i="1" s="1"/>
  <c r="V395" i="1"/>
  <c r="W394" i="1"/>
  <c r="L394" i="1"/>
  <c r="O394" i="1" s="1"/>
  <c r="AB394" i="1" s="1"/>
  <c r="X395" i="1" s="1"/>
  <c r="AE396" i="1" l="1"/>
  <c r="AD396" i="1" s="1"/>
  <c r="Q394" i="1"/>
  <c r="M395" i="1" s="1"/>
  <c r="AC395" i="1"/>
  <c r="Y396" i="1" s="1"/>
  <c r="R394" i="1"/>
  <c r="N395" i="1" s="1"/>
  <c r="S209" i="1"/>
  <c r="V396" i="1"/>
  <c r="W395" i="1"/>
  <c r="L395" i="1"/>
  <c r="O395" i="1" s="1"/>
  <c r="AB395" i="1" s="1"/>
  <c r="X396" i="1" s="1"/>
  <c r="AE397" i="1" l="1"/>
  <c r="AD397" i="1" s="1"/>
  <c r="AC396" i="1"/>
  <c r="Y397" i="1" s="1"/>
  <c r="Q395" i="1"/>
  <c r="M396" i="1" s="1"/>
  <c r="R395" i="1"/>
  <c r="N396" i="1" s="1"/>
  <c r="V397" i="1"/>
  <c r="W396" i="1"/>
  <c r="L396" i="1"/>
  <c r="O396" i="1" s="1"/>
  <c r="AB396" i="1" s="1"/>
  <c r="X397" i="1" s="1"/>
  <c r="AE398" i="1" l="1"/>
  <c r="AD398" i="1" s="1"/>
  <c r="Q396" i="1"/>
  <c r="M397" i="1" s="1"/>
  <c r="AC397" i="1"/>
  <c r="Y398" i="1" s="1"/>
  <c r="R396" i="1"/>
  <c r="N397" i="1" s="1"/>
  <c r="S210" i="1"/>
  <c r="V398" i="1"/>
  <c r="W397" i="1"/>
  <c r="L397" i="1"/>
  <c r="O397" i="1" s="1"/>
  <c r="AB397" i="1" s="1"/>
  <c r="X398" i="1" s="1"/>
  <c r="AE399" i="1" l="1"/>
  <c r="AD399" i="1" s="1"/>
  <c r="Q397" i="1"/>
  <c r="M398" i="1" s="1"/>
  <c r="AC398" i="1"/>
  <c r="Y399" i="1" s="1"/>
  <c r="AB398" i="1"/>
  <c r="X399" i="1" s="1"/>
  <c r="R397" i="1"/>
  <c r="N398" i="1" s="1"/>
  <c r="V399" i="1"/>
  <c r="W398" i="1"/>
  <c r="L398" i="1"/>
  <c r="O398" i="1" s="1"/>
  <c r="AE400" i="1" l="1"/>
  <c r="AD400" i="1" s="1"/>
  <c r="AC399" i="1"/>
  <c r="Y400" i="1" s="1"/>
  <c r="Q398" i="1"/>
  <c r="M399" i="1" s="1"/>
  <c r="R398" i="1"/>
  <c r="N399" i="1" s="1"/>
  <c r="S211" i="1"/>
  <c r="V400" i="1"/>
  <c r="W399" i="1"/>
  <c r="L399" i="1"/>
  <c r="O399" i="1" s="1"/>
  <c r="AB399" i="1" s="1"/>
  <c r="X400" i="1" s="1"/>
  <c r="AE401" i="1" l="1"/>
  <c r="AD401" i="1" s="1"/>
  <c r="AC400" i="1"/>
  <c r="Y401" i="1" s="1"/>
  <c r="Q399" i="1"/>
  <c r="M400" i="1" s="1"/>
  <c r="R399" i="1"/>
  <c r="N400" i="1" s="1"/>
  <c r="V401" i="1"/>
  <c r="W400" i="1"/>
  <c r="L400" i="1"/>
  <c r="O400" i="1" s="1"/>
  <c r="AB400" i="1" s="1"/>
  <c r="X401" i="1" s="1"/>
  <c r="AE402" i="1" l="1"/>
  <c r="AD402" i="1" s="1"/>
  <c r="R400" i="1"/>
  <c r="Q400" i="1"/>
  <c r="M401" i="1" s="1"/>
  <c r="N401" i="1"/>
  <c r="AC401" i="1"/>
  <c r="Y402" i="1" s="1"/>
  <c r="S212" i="1"/>
  <c r="V402" i="1"/>
  <c r="W401" i="1"/>
  <c r="L401" i="1"/>
  <c r="O401" i="1" s="1"/>
  <c r="AB401" i="1" s="1"/>
  <c r="X402" i="1" s="1"/>
  <c r="AE403" i="1" s="1"/>
  <c r="AD403" i="1" s="1"/>
  <c r="AC402" i="1" l="1"/>
  <c r="Y403" i="1" s="1"/>
  <c r="AB402" i="1"/>
  <c r="X403" i="1" s="1"/>
  <c r="Q401" i="1"/>
  <c r="M402" i="1" s="1"/>
  <c r="R401" i="1"/>
  <c r="N402" i="1" s="1"/>
  <c r="V403" i="1"/>
  <c r="W402" i="1"/>
  <c r="L402" i="1"/>
  <c r="O402" i="1" s="1"/>
  <c r="AC403" i="1" l="1"/>
  <c r="Y404" i="1" s="1"/>
  <c r="AE404" i="1"/>
  <c r="N403" i="1"/>
  <c r="Q402" i="1"/>
  <c r="M403" i="1" s="1"/>
  <c r="R402" i="1"/>
  <c r="S213" i="1"/>
  <c r="V404" i="1"/>
  <c r="W403" i="1"/>
  <c r="L403" i="1"/>
  <c r="O403" i="1" s="1"/>
  <c r="AB403" i="1" s="1"/>
  <c r="X404" i="1" s="1"/>
  <c r="AD404" i="1" l="1"/>
  <c r="AE405" i="1" s="1"/>
  <c r="AD405" i="1" s="1"/>
  <c r="AB404" i="1"/>
  <c r="X405" i="1" s="1"/>
  <c r="Q403" i="1"/>
  <c r="M404" i="1" s="1"/>
  <c r="N404" i="1"/>
  <c r="AC404" i="1"/>
  <c r="Y405" i="1" s="1"/>
  <c r="R403" i="1"/>
  <c r="V405" i="1"/>
  <c r="W404" i="1"/>
  <c r="L404" i="1"/>
  <c r="O404" i="1" s="1"/>
  <c r="AC405" i="1" l="1"/>
  <c r="Y406" i="1" s="1"/>
  <c r="AE406" i="1"/>
  <c r="AD406" i="1" s="1"/>
  <c r="R404" i="1"/>
  <c r="N405" i="1"/>
  <c r="Q404" i="1"/>
  <c r="M405" i="1" s="1"/>
  <c r="R405" i="1" s="1"/>
  <c r="S214" i="1"/>
  <c r="V406" i="1"/>
  <c r="W405" i="1"/>
  <c r="L405" i="1"/>
  <c r="O405" i="1" s="1"/>
  <c r="AB405" i="1" s="1"/>
  <c r="X406" i="1" s="1"/>
  <c r="AE407" i="1" l="1"/>
  <c r="AD407" i="1" s="1"/>
  <c r="AB406" i="1"/>
  <c r="X407" i="1" s="1"/>
  <c r="AC406" i="1"/>
  <c r="Y407" i="1" s="1"/>
  <c r="Q405" i="1"/>
  <c r="M406" i="1" s="1"/>
  <c r="N406" i="1"/>
  <c r="V407" i="1"/>
  <c r="W406" i="1"/>
  <c r="L406" i="1"/>
  <c r="O406" i="1" s="1"/>
  <c r="AC407" i="1" l="1"/>
  <c r="Y408" i="1" s="1"/>
  <c r="AE408" i="1"/>
  <c r="R406" i="1"/>
  <c r="Q406" i="1"/>
  <c r="M407" i="1" s="1"/>
  <c r="N407" i="1"/>
  <c r="S215" i="1"/>
  <c r="V408" i="1"/>
  <c r="W407" i="1"/>
  <c r="L407" i="1"/>
  <c r="O407" i="1" s="1"/>
  <c r="AB407" i="1" s="1"/>
  <c r="X408" i="1" s="1"/>
  <c r="AD408" i="1" l="1"/>
  <c r="AE409" i="1" s="1"/>
  <c r="AD409" i="1" s="1"/>
  <c r="AC408" i="1"/>
  <c r="Y409" i="1" s="1"/>
  <c r="R407" i="1"/>
  <c r="N408" i="1" s="1"/>
  <c r="Q407" i="1"/>
  <c r="M408" i="1" s="1"/>
  <c r="V409" i="1"/>
  <c r="W408" i="1"/>
  <c r="L408" i="1"/>
  <c r="O408" i="1" s="1"/>
  <c r="AB408" i="1" s="1"/>
  <c r="X409" i="1" s="1"/>
  <c r="AE410" i="1" l="1"/>
  <c r="AD410" i="1" s="1"/>
  <c r="AC409" i="1"/>
  <c r="Y410" i="1" s="1"/>
  <c r="Q408" i="1"/>
  <c r="M409" i="1" s="1"/>
  <c r="R408" i="1"/>
  <c r="N409" i="1" s="1"/>
  <c r="S216" i="1"/>
  <c r="V410" i="1"/>
  <c r="W409" i="1"/>
  <c r="L409" i="1"/>
  <c r="O409" i="1" s="1"/>
  <c r="AB409" i="1" s="1"/>
  <c r="X410" i="1" s="1"/>
  <c r="AE411" i="1" l="1"/>
  <c r="AD411" i="1" s="1"/>
  <c r="Q409" i="1"/>
  <c r="M410" i="1" s="1"/>
  <c r="AC410" i="1"/>
  <c r="Y411" i="1" s="1"/>
  <c r="AB410" i="1"/>
  <c r="X411" i="1" s="1"/>
  <c r="R409" i="1"/>
  <c r="N410" i="1" s="1"/>
  <c r="V411" i="1"/>
  <c r="W410" i="1"/>
  <c r="L410" i="1"/>
  <c r="O410" i="1" s="1"/>
  <c r="AE412" i="1" l="1"/>
  <c r="AD412" i="1" s="1"/>
  <c r="Q410" i="1"/>
  <c r="M411" i="1" s="1"/>
  <c r="AC411" i="1"/>
  <c r="Y412" i="1" s="1"/>
  <c r="R410" i="1"/>
  <c r="N411" i="1" s="1"/>
  <c r="S217" i="1"/>
  <c r="V412" i="1"/>
  <c r="W411" i="1"/>
  <c r="L411" i="1"/>
  <c r="O411" i="1" s="1"/>
  <c r="AB411" i="1" s="1"/>
  <c r="X412" i="1" s="1"/>
  <c r="AE413" i="1" l="1"/>
  <c r="AD413" i="1" s="1"/>
  <c r="AC412" i="1"/>
  <c r="Y413" i="1" s="1"/>
  <c r="Q411" i="1"/>
  <c r="M412" i="1" s="1"/>
  <c r="R411" i="1"/>
  <c r="N412" i="1" s="1"/>
  <c r="V413" i="1"/>
  <c r="W412" i="1"/>
  <c r="L412" i="1"/>
  <c r="O412" i="1" s="1"/>
  <c r="AB412" i="1" s="1"/>
  <c r="X413" i="1" s="1"/>
  <c r="AE414" i="1" l="1"/>
  <c r="AD414" i="1" s="1"/>
  <c r="AB413" i="1"/>
  <c r="X414" i="1" s="1"/>
  <c r="AC413" i="1"/>
  <c r="Y414" i="1" s="1"/>
  <c r="AC414" i="1" s="1"/>
  <c r="Y415" i="1" s="1"/>
  <c r="N413" i="1"/>
  <c r="Q412" i="1"/>
  <c r="M413" i="1" s="1"/>
  <c r="R412" i="1"/>
  <c r="S218" i="1"/>
  <c r="V414" i="1"/>
  <c r="W413" i="1"/>
  <c r="L413" i="1"/>
  <c r="O413" i="1" s="1"/>
  <c r="AE415" i="1" l="1"/>
  <c r="AD415" i="1" s="1"/>
  <c r="R413" i="1"/>
  <c r="N414" i="1" s="1"/>
  <c r="Q414" i="1" s="1"/>
  <c r="M415" i="1" s="1"/>
  <c r="Q413" i="1"/>
  <c r="M414" i="1" s="1"/>
  <c r="V415" i="1"/>
  <c r="W414" i="1"/>
  <c r="L414" i="1"/>
  <c r="O414" i="1" s="1"/>
  <c r="AB414" i="1" s="1"/>
  <c r="X415" i="1" s="1"/>
  <c r="AE416" i="1" l="1"/>
  <c r="AD416" i="1" s="1"/>
  <c r="AC415" i="1"/>
  <c r="Y416" i="1" s="1"/>
  <c r="R414" i="1"/>
  <c r="N415" i="1" s="1"/>
  <c r="S219" i="1"/>
  <c r="V416" i="1"/>
  <c r="W415" i="1"/>
  <c r="L415" i="1"/>
  <c r="O415" i="1" s="1"/>
  <c r="AB415" i="1" s="1"/>
  <c r="X416" i="1" s="1"/>
  <c r="AE417" i="1" l="1"/>
  <c r="AD417" i="1" s="1"/>
  <c r="AC416" i="1"/>
  <c r="Y417" i="1" s="1"/>
  <c r="N416" i="1"/>
  <c r="Q415" i="1"/>
  <c r="M416" i="1" s="1"/>
  <c r="R415" i="1"/>
  <c r="V417" i="1"/>
  <c r="W416" i="1"/>
  <c r="L416" i="1"/>
  <c r="O416" i="1" s="1"/>
  <c r="AB416" i="1" s="1"/>
  <c r="X417" i="1" s="1"/>
  <c r="AE418" i="1" l="1"/>
  <c r="AD418" i="1" s="1"/>
  <c r="AB417" i="1"/>
  <c r="X418" i="1" s="1"/>
  <c r="AC417" i="1"/>
  <c r="Y418" i="1" s="1"/>
  <c r="Q416" i="1"/>
  <c r="M417" i="1" s="1"/>
  <c r="R416" i="1"/>
  <c r="N417" i="1" s="1"/>
  <c r="S220" i="1"/>
  <c r="V418" i="1"/>
  <c r="W417" i="1"/>
  <c r="L417" i="1"/>
  <c r="O417" i="1" s="1"/>
  <c r="AC418" i="1" l="1"/>
  <c r="Y419" i="1" s="1"/>
  <c r="AE419" i="1"/>
  <c r="AD419" i="1" s="1"/>
  <c r="Q417" i="1"/>
  <c r="AB418" i="1"/>
  <c r="X419" i="1" s="1"/>
  <c r="M418" i="1"/>
  <c r="R417" i="1"/>
  <c r="N418" i="1" s="1"/>
  <c r="Q418" i="1" s="1"/>
  <c r="M419" i="1" s="1"/>
  <c r="V419" i="1"/>
  <c r="W418" i="1"/>
  <c r="L418" i="1"/>
  <c r="O418" i="1" s="1"/>
  <c r="AC419" i="1" l="1"/>
  <c r="Y420" i="1" s="1"/>
  <c r="AE420" i="1"/>
  <c r="AD420" i="1" s="1"/>
  <c r="R418" i="1"/>
  <c r="N419" i="1" s="1"/>
  <c r="Q419" i="1" s="1"/>
  <c r="M420" i="1" s="1"/>
  <c r="S221" i="1"/>
  <c r="V420" i="1"/>
  <c r="W419" i="1"/>
  <c r="L419" i="1"/>
  <c r="O419" i="1" s="1"/>
  <c r="AB419" i="1" s="1"/>
  <c r="X420" i="1" s="1"/>
  <c r="AC420" i="1" l="1"/>
  <c r="Y421" i="1" s="1"/>
  <c r="AE421" i="1"/>
  <c r="AD421" i="1" s="1"/>
  <c r="AB420" i="1"/>
  <c r="X421" i="1" s="1"/>
  <c r="R419" i="1"/>
  <c r="N420" i="1" s="1"/>
  <c r="V421" i="1"/>
  <c r="W420" i="1"/>
  <c r="L420" i="1"/>
  <c r="O420" i="1" s="1"/>
  <c r="AC421" i="1" l="1"/>
  <c r="Y422" i="1" s="1"/>
  <c r="AE422" i="1"/>
  <c r="AD422" i="1" s="1"/>
  <c r="AB421" i="1"/>
  <c r="X422" i="1" s="1"/>
  <c r="Q420" i="1"/>
  <c r="M421" i="1" s="1"/>
  <c r="R420" i="1"/>
  <c r="N421" i="1" s="1"/>
  <c r="Q421" i="1" s="1"/>
  <c r="S222" i="1"/>
  <c r="V422" i="1"/>
  <c r="W421" i="1"/>
  <c r="L421" i="1"/>
  <c r="O421" i="1" s="1"/>
  <c r="AC422" i="1" l="1"/>
  <c r="Y423" i="1" s="1"/>
  <c r="AE423" i="1"/>
  <c r="AD423" i="1" s="1"/>
  <c r="M422" i="1"/>
  <c r="R421" i="1"/>
  <c r="N422" i="1" s="1"/>
  <c r="V423" i="1"/>
  <c r="W422" i="1"/>
  <c r="L422" i="1"/>
  <c r="O422" i="1" s="1"/>
  <c r="AB422" i="1" s="1"/>
  <c r="X423" i="1" s="1"/>
  <c r="AE424" i="1" l="1"/>
  <c r="AD424" i="1" s="1"/>
  <c r="AC423" i="1"/>
  <c r="Y424" i="1" s="1"/>
  <c r="Q422" i="1"/>
  <c r="M423" i="1"/>
  <c r="R422" i="1"/>
  <c r="N423" i="1" s="1"/>
  <c r="Q423" i="1" s="1"/>
  <c r="S223" i="1"/>
  <c r="V424" i="1"/>
  <c r="W423" i="1"/>
  <c r="L423" i="1"/>
  <c r="O423" i="1" s="1"/>
  <c r="AB423" i="1" s="1"/>
  <c r="X424" i="1" s="1"/>
  <c r="AE425" i="1" l="1"/>
  <c r="AD425" i="1" s="1"/>
  <c r="AC424" i="1"/>
  <c r="Y425" i="1" s="1"/>
  <c r="M424" i="1"/>
  <c r="R423" i="1"/>
  <c r="N424" i="1" s="1"/>
  <c r="Q424" i="1" s="1"/>
  <c r="V425" i="1"/>
  <c r="W424" i="1"/>
  <c r="L424" i="1"/>
  <c r="O424" i="1" s="1"/>
  <c r="AB424" i="1" s="1"/>
  <c r="X425" i="1" s="1"/>
  <c r="AE426" i="1" l="1"/>
  <c r="AD426" i="1" s="1"/>
  <c r="AC425" i="1"/>
  <c r="Y426" i="1" s="1"/>
  <c r="R424" i="1"/>
  <c r="N425" i="1" s="1"/>
  <c r="Q425" i="1" s="1"/>
  <c r="M425" i="1"/>
  <c r="S224" i="1"/>
  <c r="V426" i="1"/>
  <c r="W425" i="1"/>
  <c r="L425" i="1"/>
  <c r="O425" i="1" s="1"/>
  <c r="AB425" i="1" s="1"/>
  <c r="X426" i="1" s="1"/>
  <c r="AE427" i="1" l="1"/>
  <c r="AD427" i="1" s="1"/>
  <c r="AC426" i="1"/>
  <c r="Y427" i="1" s="1"/>
  <c r="M426" i="1"/>
  <c r="R425" i="1"/>
  <c r="N426" i="1" s="1"/>
  <c r="V427" i="1"/>
  <c r="W426" i="1"/>
  <c r="L426" i="1"/>
  <c r="O426" i="1" s="1"/>
  <c r="AB426" i="1" s="1"/>
  <c r="X427" i="1" s="1"/>
  <c r="AE428" i="1" l="1"/>
  <c r="AD428" i="1" s="1"/>
  <c r="AC427" i="1"/>
  <c r="Y428" i="1" s="1"/>
  <c r="M427" i="1"/>
  <c r="R426" i="1"/>
  <c r="N427" i="1" s="1"/>
  <c r="Q427" i="1" s="1"/>
  <c r="M428" i="1" s="1"/>
  <c r="Q426" i="1"/>
  <c r="S225" i="1"/>
  <c r="V428" i="1"/>
  <c r="W427" i="1"/>
  <c r="L427" i="1"/>
  <c r="O427" i="1" s="1"/>
  <c r="AB427" i="1" s="1"/>
  <c r="X428" i="1" s="1"/>
  <c r="AE429" i="1" l="1"/>
  <c r="AD429" i="1" s="1"/>
  <c r="AC428" i="1"/>
  <c r="Y429" i="1" s="1"/>
  <c r="R427" i="1"/>
  <c r="N428" i="1" s="1"/>
  <c r="Q428" i="1" s="1"/>
  <c r="M429" i="1" s="1"/>
  <c r="V429" i="1"/>
  <c r="W428" i="1"/>
  <c r="L428" i="1"/>
  <c r="O428" i="1" s="1"/>
  <c r="AB428" i="1" s="1"/>
  <c r="X429" i="1" s="1"/>
  <c r="AE430" i="1" l="1"/>
  <c r="AD430" i="1" s="1"/>
  <c r="AC429" i="1"/>
  <c r="Y430" i="1" s="1"/>
  <c r="AB429" i="1"/>
  <c r="X430" i="1" s="1"/>
  <c r="R428" i="1"/>
  <c r="N429" i="1" s="1"/>
  <c r="S226" i="1"/>
  <c r="V430" i="1"/>
  <c r="W429" i="1"/>
  <c r="L429" i="1"/>
  <c r="O429" i="1" s="1"/>
  <c r="AE431" i="1" l="1"/>
  <c r="AD431" i="1" s="1"/>
  <c r="AC430" i="1"/>
  <c r="Y431" i="1" s="1"/>
  <c r="Q429" i="1"/>
  <c r="M430" i="1" s="1"/>
  <c r="R429" i="1"/>
  <c r="N430" i="1" s="1"/>
  <c r="V431" i="1"/>
  <c r="W430" i="1"/>
  <c r="L430" i="1"/>
  <c r="O430" i="1" s="1"/>
  <c r="AB430" i="1" s="1"/>
  <c r="X431" i="1" s="1"/>
  <c r="AE432" i="1" l="1"/>
  <c r="AD432" i="1" s="1"/>
  <c r="AC431" i="1"/>
  <c r="Y432" i="1" s="1"/>
  <c r="Q430" i="1"/>
  <c r="M431" i="1" s="1"/>
  <c r="R430" i="1"/>
  <c r="N431" i="1" s="1"/>
  <c r="S227" i="1"/>
  <c r="V432" i="1"/>
  <c r="W431" i="1"/>
  <c r="L431" i="1"/>
  <c r="O431" i="1" s="1"/>
  <c r="AB431" i="1" s="1"/>
  <c r="X432" i="1" s="1"/>
  <c r="AE433" i="1" l="1"/>
  <c r="AD433" i="1" s="1"/>
  <c r="R431" i="1"/>
  <c r="N432" i="1" s="1"/>
  <c r="AB432" i="1"/>
  <c r="X433" i="1" s="1"/>
  <c r="AC432" i="1"/>
  <c r="Y433" i="1" s="1"/>
  <c r="AC433" i="1" s="1"/>
  <c r="Y434" i="1" s="1"/>
  <c r="Q431" i="1"/>
  <c r="M432" i="1" s="1"/>
  <c r="V433" i="1"/>
  <c r="W432" i="1"/>
  <c r="L432" i="1"/>
  <c r="O432" i="1" s="1"/>
  <c r="AE434" i="1" l="1"/>
  <c r="AD434" i="1" s="1"/>
  <c r="R432" i="1"/>
  <c r="N433" i="1" s="1"/>
  <c r="M433" i="1"/>
  <c r="AB433" i="1"/>
  <c r="X434" i="1" s="1"/>
  <c r="Q432" i="1"/>
  <c r="S228" i="1"/>
  <c r="V434" i="1"/>
  <c r="W433" i="1"/>
  <c r="L433" i="1"/>
  <c r="O433" i="1" s="1"/>
  <c r="AC434" i="1" l="1"/>
  <c r="Y435" i="1" s="1"/>
  <c r="AE435" i="1"/>
  <c r="AD435" i="1" s="1"/>
  <c r="R433" i="1"/>
  <c r="N434" i="1" s="1"/>
  <c r="M434" i="1"/>
  <c r="AB434" i="1"/>
  <c r="X435" i="1" s="1"/>
  <c r="Q433" i="1"/>
  <c r="V435" i="1"/>
  <c r="W434" i="1"/>
  <c r="L434" i="1"/>
  <c r="O434" i="1" s="1"/>
  <c r="AE436" i="1" l="1"/>
  <c r="AD436" i="1" s="1"/>
  <c r="AB435" i="1"/>
  <c r="X436" i="1" s="1"/>
  <c r="R434" i="1"/>
  <c r="N435" i="1" s="1"/>
  <c r="Q434" i="1"/>
  <c r="M435" i="1" s="1"/>
  <c r="AC435" i="1"/>
  <c r="Y436" i="1" s="1"/>
  <c r="AC436" i="1" s="1"/>
  <c r="Y437" i="1" s="1"/>
  <c r="S229" i="1"/>
  <c r="V436" i="1"/>
  <c r="W435" i="1"/>
  <c r="L435" i="1"/>
  <c r="O435" i="1" s="1"/>
  <c r="AE437" i="1" l="1"/>
  <c r="AD437" i="1" s="1"/>
  <c r="AB436" i="1"/>
  <c r="X437" i="1" s="1"/>
  <c r="R435" i="1"/>
  <c r="N436" i="1" s="1"/>
  <c r="Q435" i="1"/>
  <c r="M436" i="1" s="1"/>
  <c r="V437" i="1"/>
  <c r="W436" i="1"/>
  <c r="L436" i="1"/>
  <c r="O436" i="1" s="1"/>
  <c r="AC437" i="1" l="1"/>
  <c r="Y438" i="1" s="1"/>
  <c r="AE438" i="1"/>
  <c r="AD438" i="1" s="1"/>
  <c r="R436" i="1"/>
  <c r="N437" i="1" s="1"/>
  <c r="Q436" i="1"/>
  <c r="M437" i="1" s="1"/>
  <c r="AB437" i="1"/>
  <c r="X438" i="1" s="1"/>
  <c r="S230" i="1"/>
  <c r="V438" i="1"/>
  <c r="W437" i="1"/>
  <c r="L437" i="1"/>
  <c r="O437" i="1" s="1"/>
  <c r="AE439" i="1" l="1"/>
  <c r="AD439" i="1" s="1"/>
  <c r="R437" i="1"/>
  <c r="N438" i="1" s="1"/>
  <c r="AC438" i="1"/>
  <c r="Y439" i="1" s="1"/>
  <c r="Q437" i="1"/>
  <c r="M438" i="1" s="1"/>
  <c r="V439" i="1"/>
  <c r="W438" i="1"/>
  <c r="L438" i="1"/>
  <c r="O438" i="1" s="1"/>
  <c r="AB438" i="1" s="1"/>
  <c r="X439" i="1" s="1"/>
  <c r="AE440" i="1" l="1"/>
  <c r="AD440" i="1" s="1"/>
  <c r="R438" i="1"/>
  <c r="N439" i="1" s="1"/>
  <c r="AC439" i="1"/>
  <c r="Y440" i="1" s="1"/>
  <c r="Q438" i="1"/>
  <c r="M439" i="1" s="1"/>
  <c r="S231" i="1"/>
  <c r="V440" i="1"/>
  <c r="W439" i="1"/>
  <c r="L439" i="1"/>
  <c r="O439" i="1" s="1"/>
  <c r="AB439" i="1" s="1"/>
  <c r="X440" i="1" s="1"/>
  <c r="AE441" i="1" l="1"/>
  <c r="AD441" i="1" s="1"/>
  <c r="AC440" i="1"/>
  <c r="Y441" i="1" s="1"/>
  <c r="R439" i="1"/>
  <c r="N440" i="1" s="1"/>
  <c r="AB440" i="1"/>
  <c r="X441" i="1" s="1"/>
  <c r="Q439" i="1"/>
  <c r="M440" i="1" s="1"/>
  <c r="V441" i="1"/>
  <c r="W440" i="1"/>
  <c r="L440" i="1"/>
  <c r="O440" i="1" s="1"/>
  <c r="AC441" i="1" l="1"/>
  <c r="Y442" i="1" s="1"/>
  <c r="AE442" i="1"/>
  <c r="AD442" i="1" s="1"/>
  <c r="R440" i="1"/>
  <c r="N441" i="1" s="1"/>
  <c r="Q441" i="1" s="1"/>
  <c r="M441" i="1"/>
  <c r="Q440" i="1"/>
  <c r="AB441" i="1"/>
  <c r="X442" i="1" s="1"/>
  <c r="S232" i="1"/>
  <c r="V442" i="1"/>
  <c r="W441" i="1"/>
  <c r="L441" i="1"/>
  <c r="O441" i="1" s="1"/>
  <c r="AC442" i="1" l="1"/>
  <c r="Y443" i="1" s="1"/>
  <c r="AE443" i="1"/>
  <c r="AD443" i="1" s="1"/>
  <c r="M442" i="1"/>
  <c r="R441" i="1"/>
  <c r="N442" i="1" s="1"/>
  <c r="V443" i="1"/>
  <c r="W442" i="1"/>
  <c r="L442" i="1"/>
  <c r="O442" i="1" s="1"/>
  <c r="AB442" i="1" s="1"/>
  <c r="X443" i="1" s="1"/>
  <c r="AE444" i="1" l="1"/>
  <c r="AD444" i="1" s="1"/>
  <c r="AB443" i="1"/>
  <c r="X444" i="1" s="1"/>
  <c r="AC443" i="1"/>
  <c r="Y444" i="1" s="1"/>
  <c r="AC444" i="1" s="1"/>
  <c r="Y445" i="1" s="1"/>
  <c r="Q442" i="1"/>
  <c r="M443" i="1"/>
  <c r="R442" i="1"/>
  <c r="N443" i="1" s="1"/>
  <c r="S233" i="1"/>
  <c r="V444" i="1"/>
  <c r="W443" i="1"/>
  <c r="L443" i="1"/>
  <c r="O443" i="1" s="1"/>
  <c r="AE445" i="1" l="1"/>
  <c r="AD445" i="1" s="1"/>
  <c r="AB444" i="1"/>
  <c r="X445" i="1" s="1"/>
  <c r="Q443" i="1"/>
  <c r="M444" i="1" s="1"/>
  <c r="R443" i="1"/>
  <c r="N444" i="1" s="1"/>
  <c r="V445" i="1"/>
  <c r="W444" i="1"/>
  <c r="L444" i="1"/>
  <c r="O444" i="1" s="1"/>
  <c r="AE446" i="1" l="1"/>
  <c r="AD446" i="1" s="1"/>
  <c r="R444" i="1"/>
  <c r="N445" i="1" s="1"/>
  <c r="Q444" i="1"/>
  <c r="M445" i="1" s="1"/>
  <c r="AC445" i="1"/>
  <c r="Y446" i="1" s="1"/>
  <c r="S234" i="1"/>
  <c r="V446" i="1"/>
  <c r="W445" i="1"/>
  <c r="L445" i="1"/>
  <c r="O445" i="1" s="1"/>
  <c r="AB445" i="1" s="1"/>
  <c r="X446" i="1" s="1"/>
  <c r="AE447" i="1" s="1"/>
  <c r="AD447" i="1" s="1"/>
  <c r="AC446" i="1" l="1"/>
  <c r="Y447" i="1" s="1"/>
  <c r="R445" i="1"/>
  <c r="N446" i="1" s="1"/>
  <c r="M446" i="1"/>
  <c r="AB446" i="1"/>
  <c r="X447" i="1" s="1"/>
  <c r="Q445" i="1"/>
  <c r="V447" i="1"/>
  <c r="W446" i="1"/>
  <c r="L446" i="1"/>
  <c r="O446" i="1" s="1"/>
  <c r="AC447" i="1" l="1"/>
  <c r="Y448" i="1" s="1"/>
  <c r="AE448" i="1"/>
  <c r="AD448" i="1" s="1"/>
  <c r="M447" i="1"/>
  <c r="R446" i="1"/>
  <c r="N447" i="1" s="1"/>
  <c r="Q446" i="1"/>
  <c r="AB447" i="1"/>
  <c r="X448" i="1" s="1"/>
  <c r="S235" i="1"/>
  <c r="V448" i="1"/>
  <c r="W447" i="1"/>
  <c r="L447" i="1"/>
  <c r="O447" i="1" s="1"/>
  <c r="AE449" i="1" l="1"/>
  <c r="AD449" i="1" s="1"/>
  <c r="AB448" i="1"/>
  <c r="X449" i="1" s="1"/>
  <c r="R447" i="1"/>
  <c r="N448" i="1" s="1"/>
  <c r="AC448" i="1"/>
  <c r="Y449" i="1" s="1"/>
  <c r="Q447" i="1"/>
  <c r="M448" i="1" s="1"/>
  <c r="V449" i="1"/>
  <c r="W448" i="1"/>
  <c r="L448" i="1"/>
  <c r="O448" i="1" s="1"/>
  <c r="AE450" i="1" l="1"/>
  <c r="AD450" i="1" s="1"/>
  <c r="R448" i="1"/>
  <c r="N449" i="1" s="1"/>
  <c r="M449" i="1"/>
  <c r="AB449" i="1"/>
  <c r="X450" i="1" s="1"/>
  <c r="AC449" i="1"/>
  <c r="Y450" i="1" s="1"/>
  <c r="Q448" i="1"/>
  <c r="S236" i="1"/>
  <c r="V450" i="1"/>
  <c r="W449" i="1"/>
  <c r="L449" i="1"/>
  <c r="O449" i="1" s="1"/>
  <c r="AE451" i="1" l="1"/>
  <c r="AD451" i="1" s="1"/>
  <c r="AB450" i="1"/>
  <c r="X451" i="1" s="1"/>
  <c r="AC450" i="1"/>
  <c r="Y451" i="1" s="1"/>
  <c r="AC451" i="1" s="1"/>
  <c r="Y452" i="1" s="1"/>
  <c r="R449" i="1"/>
  <c r="N450" i="1" s="1"/>
  <c r="Q449" i="1"/>
  <c r="M450" i="1" s="1"/>
  <c r="V451" i="1"/>
  <c r="W450" i="1"/>
  <c r="L450" i="1"/>
  <c r="O450" i="1" s="1"/>
  <c r="AE452" i="1" l="1"/>
  <c r="AD452" i="1" s="1"/>
  <c r="AB451" i="1"/>
  <c r="X452" i="1" s="1"/>
  <c r="R450" i="1"/>
  <c r="N451" i="1" s="1"/>
  <c r="Q450" i="1"/>
  <c r="M451" i="1" s="1"/>
  <c r="S237" i="1"/>
  <c r="V452" i="1"/>
  <c r="W451" i="1"/>
  <c r="L451" i="1"/>
  <c r="O451" i="1" s="1"/>
  <c r="AC452" i="1" l="1"/>
  <c r="Y453" i="1" s="1"/>
  <c r="AE453" i="1"/>
  <c r="AD453" i="1" s="1"/>
  <c r="R451" i="1"/>
  <c r="N452" i="1" s="1"/>
  <c r="Q451" i="1"/>
  <c r="M452" i="1" s="1"/>
  <c r="V453" i="1"/>
  <c r="W452" i="1"/>
  <c r="L452" i="1"/>
  <c r="O452" i="1" s="1"/>
  <c r="AB452" i="1" s="1"/>
  <c r="X453" i="1" s="1"/>
  <c r="AE454" i="1" l="1"/>
  <c r="AD454" i="1" s="1"/>
  <c r="R452" i="1"/>
  <c r="N453" i="1" s="1"/>
  <c r="AC453" i="1"/>
  <c r="Y454" i="1" s="1"/>
  <c r="Q452" i="1"/>
  <c r="M453" i="1" s="1"/>
  <c r="S238" i="1"/>
  <c r="V454" i="1"/>
  <c r="W453" i="1"/>
  <c r="L453" i="1"/>
  <c r="O453" i="1" s="1"/>
  <c r="AB453" i="1" s="1"/>
  <c r="X454" i="1" s="1"/>
  <c r="AE455" i="1" l="1"/>
  <c r="AD455" i="1" s="1"/>
  <c r="R453" i="1"/>
  <c r="N454" i="1" s="1"/>
  <c r="AC454" i="1"/>
  <c r="Y455" i="1" s="1"/>
  <c r="Q453" i="1"/>
  <c r="M454" i="1" s="1"/>
  <c r="V455" i="1"/>
  <c r="W454" i="1"/>
  <c r="L454" i="1"/>
  <c r="O454" i="1" s="1"/>
  <c r="AB454" i="1" s="1"/>
  <c r="X455" i="1" s="1"/>
  <c r="AE456" i="1" s="1"/>
  <c r="AD456" i="1" s="1"/>
  <c r="R454" i="1" l="1"/>
  <c r="N455" i="1" s="1"/>
  <c r="AB455" i="1"/>
  <c r="X456" i="1" s="1"/>
  <c r="AC455" i="1"/>
  <c r="Y456" i="1" s="1"/>
  <c r="AC456" i="1" s="1"/>
  <c r="Y457" i="1" s="1"/>
  <c r="Q454" i="1"/>
  <c r="M455" i="1" s="1"/>
  <c r="S239" i="1"/>
  <c r="V456" i="1"/>
  <c r="W455" i="1"/>
  <c r="L455" i="1"/>
  <c r="O455" i="1" s="1"/>
  <c r="AE457" i="1" l="1"/>
  <c r="AD457" i="1" s="1"/>
  <c r="R455" i="1"/>
  <c r="N456" i="1" s="1"/>
  <c r="AB456" i="1"/>
  <c r="X457" i="1" s="1"/>
  <c r="Q455" i="1"/>
  <c r="M456" i="1" s="1"/>
  <c r="V457" i="1"/>
  <c r="W456" i="1"/>
  <c r="L456" i="1"/>
  <c r="O456" i="1" s="1"/>
  <c r="AE458" i="1" l="1"/>
  <c r="AD458" i="1" s="1"/>
  <c r="AC457" i="1"/>
  <c r="Y458" i="1" s="1"/>
  <c r="R456" i="1"/>
  <c r="N457" i="1" s="1"/>
  <c r="M457" i="1"/>
  <c r="AB457" i="1"/>
  <c r="X458" i="1" s="1"/>
  <c r="AE459" i="1" s="1"/>
  <c r="AD459" i="1" s="1"/>
  <c r="Q456" i="1"/>
  <c r="S240" i="1"/>
  <c r="V458" i="1"/>
  <c r="W457" i="1"/>
  <c r="L457" i="1"/>
  <c r="O457" i="1" s="1"/>
  <c r="AB458" i="1" l="1"/>
  <c r="X459" i="1" s="1"/>
  <c r="R457" i="1"/>
  <c r="N458" i="1" s="1"/>
  <c r="Q457" i="1"/>
  <c r="M458" i="1" s="1"/>
  <c r="AC458" i="1"/>
  <c r="Y459" i="1" s="1"/>
  <c r="V459" i="1"/>
  <c r="W458" i="1"/>
  <c r="L458" i="1"/>
  <c r="O458" i="1" s="1"/>
  <c r="AC459" i="1" l="1"/>
  <c r="Y460" i="1" s="1"/>
  <c r="AE460" i="1"/>
  <c r="R458" i="1"/>
  <c r="N459" i="1" s="1"/>
  <c r="M459" i="1"/>
  <c r="Q458" i="1"/>
  <c r="S241" i="1"/>
  <c r="V460" i="1"/>
  <c r="W459" i="1"/>
  <c r="L459" i="1"/>
  <c r="O459" i="1" s="1"/>
  <c r="AB459" i="1" s="1"/>
  <c r="X460" i="1" s="1"/>
  <c r="AD460" i="1" l="1"/>
  <c r="AE461" i="1" s="1"/>
  <c r="AD461" i="1" s="1"/>
  <c r="AC460" i="1"/>
  <c r="Y461" i="1" s="1"/>
  <c r="AB460" i="1"/>
  <c r="X461" i="1" s="1"/>
  <c r="Q459" i="1"/>
  <c r="M460" i="1"/>
  <c r="R459" i="1"/>
  <c r="N460" i="1" s="1"/>
  <c r="Q460" i="1" s="1"/>
  <c r="V461" i="1"/>
  <c r="W460" i="1"/>
  <c r="L460" i="1"/>
  <c r="O460" i="1" s="1"/>
  <c r="AC461" i="1" l="1"/>
  <c r="Y462" i="1" s="1"/>
  <c r="AE462" i="1"/>
  <c r="AD462" i="1" s="1"/>
  <c r="M461" i="1"/>
  <c r="R460" i="1"/>
  <c r="N461" i="1" s="1"/>
  <c r="Q461" i="1" s="1"/>
  <c r="S242" i="1"/>
  <c r="V462" i="1"/>
  <c r="W461" i="1"/>
  <c r="L461" i="1"/>
  <c r="O461" i="1" s="1"/>
  <c r="AB461" i="1" s="1"/>
  <c r="X462" i="1" s="1"/>
  <c r="AE463" i="1" l="1"/>
  <c r="AD463" i="1" s="1"/>
  <c r="AC462" i="1"/>
  <c r="Y463" i="1" s="1"/>
  <c r="R461" i="1"/>
  <c r="N462" i="1" s="1"/>
  <c r="Q462" i="1" s="1"/>
  <c r="M462" i="1"/>
  <c r="V463" i="1"/>
  <c r="W462" i="1"/>
  <c r="L462" i="1"/>
  <c r="O462" i="1" s="1"/>
  <c r="AB462" i="1" s="1"/>
  <c r="X463" i="1" s="1"/>
  <c r="AE464" i="1" l="1"/>
  <c r="AD464" i="1" s="1"/>
  <c r="AC463" i="1"/>
  <c r="Y464" i="1" s="1"/>
  <c r="M463" i="1"/>
  <c r="R462" i="1"/>
  <c r="N463" i="1" s="1"/>
  <c r="S243" i="1"/>
  <c r="V464" i="1"/>
  <c r="W463" i="1"/>
  <c r="L463" i="1"/>
  <c r="O463" i="1" s="1"/>
  <c r="AB463" i="1" s="1"/>
  <c r="X464" i="1" s="1"/>
  <c r="AE465" i="1" l="1"/>
  <c r="AD465" i="1" s="1"/>
  <c r="AC464" i="1"/>
  <c r="Y465" i="1" s="1"/>
  <c r="R463" i="1"/>
  <c r="N464" i="1" s="1"/>
  <c r="Q463" i="1"/>
  <c r="M464" i="1" s="1"/>
  <c r="V465" i="1"/>
  <c r="W464" i="1"/>
  <c r="L464" i="1"/>
  <c r="O464" i="1" s="1"/>
  <c r="AB464" i="1" s="1"/>
  <c r="X465" i="1" s="1"/>
  <c r="AE466" i="1" l="1"/>
  <c r="AD466" i="1" s="1"/>
  <c r="AC465" i="1"/>
  <c r="Y466" i="1" s="1"/>
  <c r="R464" i="1"/>
  <c r="N465" i="1" s="1"/>
  <c r="Q464" i="1"/>
  <c r="M465" i="1" s="1"/>
  <c r="S244" i="1"/>
  <c r="V466" i="1"/>
  <c r="W465" i="1"/>
  <c r="L465" i="1"/>
  <c r="O465" i="1" s="1"/>
  <c r="AB465" i="1" s="1"/>
  <c r="X466" i="1" s="1"/>
  <c r="AE467" i="1" l="1"/>
  <c r="AD467" i="1" s="1"/>
  <c r="R465" i="1"/>
  <c r="N466" i="1" s="1"/>
  <c r="AC466" i="1"/>
  <c r="Y467" i="1" s="1"/>
  <c r="AB466" i="1"/>
  <c r="X467" i="1" s="1"/>
  <c r="Q465" i="1"/>
  <c r="M466" i="1" s="1"/>
  <c r="V467" i="1"/>
  <c r="W466" i="1"/>
  <c r="L466" i="1"/>
  <c r="O466" i="1" s="1"/>
  <c r="AC467" i="1" l="1"/>
  <c r="Y468" i="1" s="1"/>
  <c r="AE468" i="1"/>
  <c r="AD468" i="1" s="1"/>
  <c r="R466" i="1"/>
  <c r="N467" i="1" s="1"/>
  <c r="M467" i="1"/>
  <c r="AB467" i="1"/>
  <c r="X468" i="1" s="1"/>
  <c r="Q466" i="1"/>
  <c r="S245" i="1"/>
  <c r="V468" i="1"/>
  <c r="W467" i="1"/>
  <c r="L467" i="1"/>
  <c r="O467" i="1" s="1"/>
  <c r="AC468" i="1" l="1"/>
  <c r="Y469" i="1" s="1"/>
  <c r="AE469" i="1"/>
  <c r="AD469" i="1" s="1"/>
  <c r="M468" i="1"/>
  <c r="R467" i="1"/>
  <c r="N468" i="1" s="1"/>
  <c r="Q468" i="1" s="1"/>
  <c r="Q467" i="1"/>
  <c r="V469" i="1"/>
  <c r="W468" i="1"/>
  <c r="L468" i="1"/>
  <c r="O468" i="1" s="1"/>
  <c r="AB468" i="1" s="1"/>
  <c r="X469" i="1" s="1"/>
  <c r="AE470" i="1" l="1"/>
  <c r="AD470" i="1" s="1"/>
  <c r="AC469" i="1"/>
  <c r="Y470" i="1" s="1"/>
  <c r="M469" i="1"/>
  <c r="R468" i="1"/>
  <c r="N469" i="1" s="1"/>
  <c r="S246" i="1"/>
  <c r="V470" i="1"/>
  <c r="W469" i="1"/>
  <c r="L469" i="1"/>
  <c r="O469" i="1" s="1"/>
  <c r="AB469" i="1" s="1"/>
  <c r="X470" i="1" s="1"/>
  <c r="AE471" i="1" l="1"/>
  <c r="AD471" i="1" s="1"/>
  <c r="AC470" i="1"/>
  <c r="Y471" i="1" s="1"/>
  <c r="R469" i="1"/>
  <c r="N470" i="1" s="1"/>
  <c r="Q470" i="1" s="1"/>
  <c r="M470" i="1"/>
  <c r="Q469" i="1"/>
  <c r="V471" i="1"/>
  <c r="W470" i="1"/>
  <c r="L470" i="1"/>
  <c r="O470" i="1" s="1"/>
  <c r="AB470" i="1" s="1"/>
  <c r="X471" i="1" s="1"/>
  <c r="AE472" i="1" l="1"/>
  <c r="AD472" i="1" s="1"/>
  <c r="AC471" i="1"/>
  <c r="Y472" i="1" s="1"/>
  <c r="AB471" i="1"/>
  <c r="X472" i="1" s="1"/>
  <c r="M471" i="1"/>
  <c r="R470" i="1"/>
  <c r="N471" i="1" s="1"/>
  <c r="Q471" i="1" s="1"/>
  <c r="S247" i="1"/>
  <c r="V472" i="1"/>
  <c r="W471" i="1"/>
  <c r="L471" i="1"/>
  <c r="O471" i="1" s="1"/>
  <c r="AE473" i="1" l="1"/>
  <c r="AD473" i="1" s="1"/>
  <c r="AC472" i="1"/>
  <c r="Y473" i="1" s="1"/>
  <c r="R471" i="1"/>
  <c r="N472" i="1" s="1"/>
  <c r="Q472" i="1" s="1"/>
  <c r="M472" i="1"/>
  <c r="V473" i="1"/>
  <c r="W472" i="1"/>
  <c r="L472" i="1"/>
  <c r="O472" i="1" s="1"/>
  <c r="AB472" i="1" s="1"/>
  <c r="X473" i="1" s="1"/>
  <c r="AE474" i="1" l="1"/>
  <c r="AD474" i="1" s="1"/>
  <c r="AC473" i="1"/>
  <c r="Y474" i="1" s="1"/>
  <c r="R472" i="1"/>
  <c r="N473" i="1" s="1"/>
  <c r="Q473" i="1" s="1"/>
  <c r="M473" i="1"/>
  <c r="S248" i="1"/>
  <c r="V474" i="1"/>
  <c r="W473" i="1"/>
  <c r="L473" i="1"/>
  <c r="O473" i="1" s="1"/>
  <c r="AB473" i="1" s="1"/>
  <c r="X474" i="1" s="1"/>
  <c r="AE475" i="1" l="1"/>
  <c r="AD475" i="1" s="1"/>
  <c r="AC474" i="1"/>
  <c r="Y475" i="1" s="1"/>
  <c r="M474" i="1"/>
  <c r="R473" i="1"/>
  <c r="N474" i="1" s="1"/>
  <c r="V475" i="1"/>
  <c r="W474" i="1"/>
  <c r="L474" i="1"/>
  <c r="O474" i="1" s="1"/>
  <c r="AB474" i="1" s="1"/>
  <c r="X475" i="1" s="1"/>
  <c r="AE476" i="1" l="1"/>
  <c r="AD476" i="1" s="1"/>
  <c r="AC475" i="1"/>
  <c r="Y476" i="1" s="1"/>
  <c r="R474" i="1"/>
  <c r="N475" i="1" s="1"/>
  <c r="Q474" i="1"/>
  <c r="M475" i="1" s="1"/>
  <c r="S249" i="1"/>
  <c r="V476" i="1"/>
  <c r="W475" i="1"/>
  <c r="L475" i="1"/>
  <c r="O475" i="1" s="1"/>
  <c r="AB475" i="1" s="1"/>
  <c r="X476" i="1" s="1"/>
  <c r="AE477" i="1" l="1"/>
  <c r="AD477" i="1" s="1"/>
  <c r="R475" i="1"/>
  <c r="N476" i="1" s="1"/>
  <c r="AC476" i="1"/>
  <c r="Y477" i="1" s="1"/>
  <c r="AB476" i="1"/>
  <c r="X477" i="1" s="1"/>
  <c r="Q475" i="1"/>
  <c r="M476" i="1" s="1"/>
  <c r="V477" i="1"/>
  <c r="W476" i="1"/>
  <c r="L476" i="1"/>
  <c r="O476" i="1" s="1"/>
  <c r="AE478" i="1" l="1"/>
  <c r="AD478" i="1" s="1"/>
  <c r="AC477" i="1"/>
  <c r="Y478" i="1" s="1"/>
  <c r="AB477" i="1"/>
  <c r="X478" i="1" s="1"/>
  <c r="M477" i="1"/>
  <c r="R476" i="1"/>
  <c r="N477" i="1" s="1"/>
  <c r="Q477" i="1" s="1"/>
  <c r="Q476" i="1"/>
  <c r="S250" i="1"/>
  <c r="V478" i="1"/>
  <c r="W477" i="1"/>
  <c r="L477" i="1"/>
  <c r="O477" i="1" s="1"/>
  <c r="AC478" i="1" l="1"/>
  <c r="Y479" i="1" s="1"/>
  <c r="AE479" i="1"/>
  <c r="AD479" i="1" s="1"/>
  <c r="R477" i="1"/>
  <c r="N478" i="1" s="1"/>
  <c r="M478" i="1"/>
  <c r="V479" i="1"/>
  <c r="W478" i="1"/>
  <c r="L478" i="1"/>
  <c r="O478" i="1" s="1"/>
  <c r="AB478" i="1" s="1"/>
  <c r="X479" i="1" s="1"/>
  <c r="AE480" i="1" l="1"/>
  <c r="AD480" i="1" s="1"/>
  <c r="AC479" i="1"/>
  <c r="Y480" i="1" s="1"/>
  <c r="Q478" i="1"/>
  <c r="M479" i="1"/>
  <c r="R478" i="1"/>
  <c r="N479" i="1" s="1"/>
  <c r="Q479" i="1" s="1"/>
  <c r="S251" i="1"/>
  <c r="V480" i="1"/>
  <c r="W479" i="1"/>
  <c r="L479" i="1"/>
  <c r="O479" i="1" s="1"/>
  <c r="AB479" i="1" s="1"/>
  <c r="X480" i="1" s="1"/>
  <c r="AE481" i="1" l="1"/>
  <c r="AD481" i="1" s="1"/>
  <c r="AC480" i="1"/>
  <c r="Y481" i="1" s="1"/>
  <c r="AB480" i="1"/>
  <c r="X481" i="1" s="1"/>
  <c r="M480" i="1"/>
  <c r="R479" i="1"/>
  <c r="N480" i="1" s="1"/>
  <c r="Q480" i="1" s="1"/>
  <c r="V481" i="1"/>
  <c r="W480" i="1"/>
  <c r="L480" i="1"/>
  <c r="O480" i="1" s="1"/>
  <c r="AE482" i="1" l="1"/>
  <c r="AD482" i="1" s="1"/>
  <c r="AB481" i="1"/>
  <c r="X482" i="1" s="1"/>
  <c r="AC481" i="1"/>
  <c r="Y482" i="1" s="1"/>
  <c r="M481" i="1"/>
  <c r="R480" i="1"/>
  <c r="N481" i="1" s="1"/>
  <c r="S252" i="1"/>
  <c r="V482" i="1"/>
  <c r="W481" i="1"/>
  <c r="L481" i="1"/>
  <c r="O481" i="1" s="1"/>
  <c r="AC482" i="1" l="1"/>
  <c r="Y483" i="1" s="1"/>
  <c r="AE483" i="1"/>
  <c r="AD483" i="1" s="1"/>
  <c r="Q481" i="1"/>
  <c r="M482" i="1" s="1"/>
  <c r="R481" i="1"/>
  <c r="N482" i="1" s="1"/>
  <c r="V483" i="1"/>
  <c r="W482" i="1"/>
  <c r="L482" i="1"/>
  <c r="O482" i="1" s="1"/>
  <c r="AB482" i="1" s="1"/>
  <c r="X483" i="1" s="1"/>
  <c r="AE484" i="1" l="1"/>
  <c r="AD484" i="1" s="1"/>
  <c r="R482" i="1"/>
  <c r="N483" i="1" s="1"/>
  <c r="AC483" i="1"/>
  <c r="Y484" i="1" s="1"/>
  <c r="AB483" i="1"/>
  <c r="X484" i="1" s="1"/>
  <c r="Q482" i="1"/>
  <c r="M483" i="1" s="1"/>
  <c r="S253" i="1"/>
  <c r="V484" i="1"/>
  <c r="W483" i="1"/>
  <c r="L483" i="1"/>
  <c r="O483" i="1" s="1"/>
  <c r="AE485" i="1" l="1"/>
  <c r="AD485" i="1" s="1"/>
  <c r="AC484" i="1"/>
  <c r="Y485" i="1" s="1"/>
  <c r="R483" i="1"/>
  <c r="N484" i="1" s="1"/>
  <c r="AB484" i="1"/>
  <c r="X485" i="1" s="1"/>
  <c r="Q483" i="1"/>
  <c r="M484" i="1" s="1"/>
  <c r="V485" i="1"/>
  <c r="W484" i="1"/>
  <c r="L484" i="1"/>
  <c r="O484" i="1" s="1"/>
  <c r="AC485" i="1" l="1"/>
  <c r="Y486" i="1" s="1"/>
  <c r="AE486" i="1"/>
  <c r="AD486" i="1" s="1"/>
  <c r="R484" i="1"/>
  <c r="N485" i="1" s="1"/>
  <c r="Q484" i="1"/>
  <c r="M485" i="1" s="1"/>
  <c r="S254" i="1"/>
  <c r="V486" i="1"/>
  <c r="W485" i="1"/>
  <c r="L485" i="1"/>
  <c r="O485" i="1" s="1"/>
  <c r="AB485" i="1" s="1"/>
  <c r="X486" i="1" s="1"/>
  <c r="AE487" i="1" l="1"/>
  <c r="AD487" i="1" s="1"/>
  <c r="AC486" i="1"/>
  <c r="Y487" i="1" s="1"/>
  <c r="R485" i="1"/>
  <c r="N486" i="1" s="1"/>
  <c r="Q485" i="1"/>
  <c r="M486" i="1" s="1"/>
  <c r="V487" i="1"/>
  <c r="W486" i="1"/>
  <c r="L486" i="1"/>
  <c r="O486" i="1" s="1"/>
  <c r="AB486" i="1" s="1"/>
  <c r="X487" i="1" s="1"/>
  <c r="AE488" i="1" l="1"/>
  <c r="AD488" i="1" s="1"/>
  <c r="AC487" i="1"/>
  <c r="Y488" i="1" s="1"/>
  <c r="R486" i="1"/>
  <c r="N487" i="1" s="1"/>
  <c r="M487" i="1"/>
  <c r="Q486" i="1"/>
  <c r="S255" i="1"/>
  <c r="V488" i="1"/>
  <c r="W487" i="1"/>
  <c r="L487" i="1"/>
  <c r="O487" i="1" s="1"/>
  <c r="AB487" i="1" s="1"/>
  <c r="X488" i="1" s="1"/>
  <c r="AE489" i="1" l="1"/>
  <c r="AD489" i="1" s="1"/>
  <c r="AC488" i="1"/>
  <c r="Y489" i="1" s="1"/>
  <c r="R487" i="1"/>
  <c r="N488" i="1" s="1"/>
  <c r="Q487" i="1"/>
  <c r="M488" i="1" s="1"/>
  <c r="V489" i="1"/>
  <c r="W488" i="1"/>
  <c r="L488" i="1"/>
  <c r="O488" i="1" s="1"/>
  <c r="AB488" i="1" s="1"/>
  <c r="X489" i="1" s="1"/>
  <c r="AE490" i="1" l="1"/>
  <c r="AD490" i="1" s="1"/>
  <c r="R488" i="1"/>
  <c r="N489" i="1" s="1"/>
  <c r="AC489" i="1"/>
  <c r="Y490" i="1" s="1"/>
  <c r="AB489" i="1"/>
  <c r="X490" i="1" s="1"/>
  <c r="Q488" i="1"/>
  <c r="M489" i="1" s="1"/>
  <c r="S256" i="1"/>
  <c r="V490" i="1"/>
  <c r="W489" i="1"/>
  <c r="L489" i="1"/>
  <c r="O489" i="1" s="1"/>
  <c r="AE491" i="1" l="1"/>
  <c r="AD491" i="1" s="1"/>
  <c r="AC490" i="1"/>
  <c r="Y491" i="1" s="1"/>
  <c r="AB490" i="1"/>
  <c r="X491" i="1" s="1"/>
  <c r="R489" i="1"/>
  <c r="N490" i="1" s="1"/>
  <c r="M490" i="1"/>
  <c r="Q489" i="1"/>
  <c r="V491" i="1"/>
  <c r="W490" i="1"/>
  <c r="L490" i="1"/>
  <c r="O490" i="1" s="1"/>
  <c r="AC491" i="1" l="1"/>
  <c r="Y492" i="1" s="1"/>
  <c r="AE492" i="1"/>
  <c r="AD492" i="1" s="1"/>
  <c r="R490" i="1"/>
  <c r="N491" i="1" s="1"/>
  <c r="Q490" i="1"/>
  <c r="M491" i="1" s="1"/>
  <c r="S257" i="1"/>
  <c r="V492" i="1"/>
  <c r="W491" i="1"/>
  <c r="L491" i="1"/>
  <c r="O491" i="1" s="1"/>
  <c r="AB491" i="1" s="1"/>
  <c r="X492" i="1" s="1"/>
  <c r="AE493" i="1" l="1"/>
  <c r="AD493" i="1" s="1"/>
  <c r="M492" i="1"/>
  <c r="R491" i="1"/>
  <c r="N492" i="1" s="1"/>
  <c r="Q492" i="1" s="1"/>
  <c r="AC492" i="1"/>
  <c r="Y493" i="1" s="1"/>
  <c r="AB492" i="1"/>
  <c r="X493" i="1" s="1"/>
  <c r="Q491" i="1"/>
  <c r="V493" i="1"/>
  <c r="W492" i="1"/>
  <c r="L492" i="1"/>
  <c r="O492" i="1" s="1"/>
  <c r="AE494" i="1" l="1"/>
  <c r="AD494" i="1" s="1"/>
  <c r="AC493" i="1"/>
  <c r="Y494" i="1" s="1"/>
  <c r="R492" i="1"/>
  <c r="N493" i="1" s="1"/>
  <c r="Q493" i="1" s="1"/>
  <c r="M493" i="1"/>
  <c r="S258" i="1"/>
  <c r="V494" i="1"/>
  <c r="W493" i="1"/>
  <c r="L493" i="1"/>
  <c r="O493" i="1" s="1"/>
  <c r="AB493" i="1" s="1"/>
  <c r="X494" i="1" s="1"/>
  <c r="AE495" i="1" l="1"/>
  <c r="AD495" i="1" s="1"/>
  <c r="AC494" i="1"/>
  <c r="Y495" i="1" s="1"/>
  <c r="M494" i="1"/>
  <c r="R493" i="1"/>
  <c r="N494" i="1" s="1"/>
  <c r="V495" i="1"/>
  <c r="W494" i="1"/>
  <c r="L494" i="1"/>
  <c r="O494" i="1" s="1"/>
  <c r="AB494" i="1" s="1"/>
  <c r="X495" i="1" s="1"/>
  <c r="AE496" i="1" l="1"/>
  <c r="AD496" i="1" s="1"/>
  <c r="AC495" i="1"/>
  <c r="Y496" i="1" s="1"/>
  <c r="AB495" i="1"/>
  <c r="X496" i="1" s="1"/>
  <c r="Q494" i="1"/>
  <c r="R494" i="1"/>
  <c r="N495" i="1" s="1"/>
  <c r="M495" i="1"/>
  <c r="S259" i="1"/>
  <c r="V496" i="1"/>
  <c r="W495" i="1"/>
  <c r="L495" i="1"/>
  <c r="O495" i="1" s="1"/>
  <c r="AE497" i="1" l="1"/>
  <c r="AD497" i="1" s="1"/>
  <c r="AB496" i="1"/>
  <c r="X497" i="1" s="1"/>
  <c r="Q495" i="1"/>
  <c r="AC496" i="1"/>
  <c r="Y497" i="1" s="1"/>
  <c r="M496" i="1"/>
  <c r="R495" i="1"/>
  <c r="N496" i="1" s="1"/>
  <c r="Q496" i="1" s="1"/>
  <c r="V497" i="1"/>
  <c r="W496" i="1"/>
  <c r="L496" i="1"/>
  <c r="O496" i="1" s="1"/>
  <c r="AE498" i="1" l="1"/>
  <c r="AD498" i="1" s="1"/>
  <c r="AB497" i="1"/>
  <c r="X498" i="1" s="1"/>
  <c r="AC497" i="1"/>
  <c r="Y498" i="1" s="1"/>
  <c r="AC498" i="1" s="1"/>
  <c r="Y499" i="1" s="1"/>
  <c r="M497" i="1"/>
  <c r="R496" i="1"/>
  <c r="N497" i="1" s="1"/>
  <c r="Q497" i="1" s="1"/>
  <c r="S260" i="1"/>
  <c r="V498" i="1"/>
  <c r="W497" i="1"/>
  <c r="L497" i="1"/>
  <c r="O497" i="1" s="1"/>
  <c r="AE499" i="1" l="1"/>
  <c r="AD499" i="1" s="1"/>
  <c r="M498" i="1"/>
  <c r="R497" i="1"/>
  <c r="N498" i="1" s="1"/>
  <c r="V499" i="1"/>
  <c r="W498" i="1"/>
  <c r="L498" i="1"/>
  <c r="O498" i="1" s="1"/>
  <c r="AB498" i="1" s="1"/>
  <c r="X499" i="1" s="1"/>
  <c r="AE500" i="1" l="1"/>
  <c r="AD500" i="1" s="1"/>
  <c r="AC499" i="1"/>
  <c r="Y500" i="1" s="1"/>
  <c r="Q498" i="1"/>
  <c r="R498" i="1"/>
  <c r="N499" i="1" s="1"/>
  <c r="M499" i="1"/>
  <c r="S261" i="1"/>
  <c r="V500" i="1"/>
  <c r="W499" i="1"/>
  <c r="L499" i="1"/>
  <c r="O499" i="1" s="1"/>
  <c r="AB499" i="1" s="1"/>
  <c r="X500" i="1" s="1"/>
  <c r="AE501" i="1" l="1"/>
  <c r="AD501" i="1" s="1"/>
  <c r="AB500" i="1"/>
  <c r="X501" i="1" s="1"/>
  <c r="AC500" i="1"/>
  <c r="Y501" i="1" s="1"/>
  <c r="AC501" i="1" s="1"/>
  <c r="Y502" i="1" s="1"/>
  <c r="R499" i="1"/>
  <c r="N500" i="1" s="1"/>
  <c r="M500" i="1"/>
  <c r="Q499" i="1"/>
  <c r="V501" i="1"/>
  <c r="W500" i="1"/>
  <c r="L500" i="1"/>
  <c r="O500" i="1" s="1"/>
  <c r="AE502" i="1" l="1"/>
  <c r="AD502" i="1" s="1"/>
  <c r="AB501" i="1"/>
  <c r="X502" i="1" s="1"/>
  <c r="M501" i="1"/>
  <c r="R500" i="1"/>
  <c r="N501" i="1" s="1"/>
  <c r="Q500" i="1"/>
  <c r="S262" i="1"/>
  <c r="V502" i="1"/>
  <c r="W501" i="1"/>
  <c r="L501" i="1"/>
  <c r="O501" i="1" s="1"/>
  <c r="AE503" i="1" l="1"/>
  <c r="AD503" i="1" s="1"/>
  <c r="AB502" i="1"/>
  <c r="X503" i="1" s="1"/>
  <c r="M502" i="1"/>
  <c r="R501" i="1"/>
  <c r="N502" i="1" s="1"/>
  <c r="AC502" i="1"/>
  <c r="Y503" i="1" s="1"/>
  <c r="Q501" i="1"/>
  <c r="V503" i="1"/>
  <c r="W502" i="1"/>
  <c r="L502" i="1"/>
  <c r="O502" i="1" s="1"/>
  <c r="AC503" i="1" l="1"/>
  <c r="Y504" i="1" s="1"/>
  <c r="AE504" i="1"/>
  <c r="AD504" i="1" s="1"/>
  <c r="AB503" i="1"/>
  <c r="X504" i="1" s="1"/>
  <c r="R502" i="1"/>
  <c r="N503" i="1" s="1"/>
  <c r="M503" i="1"/>
  <c r="Q502" i="1"/>
  <c r="S263" i="1"/>
  <c r="V504" i="1"/>
  <c r="W503" i="1"/>
  <c r="L503" i="1"/>
  <c r="O503" i="1" s="1"/>
  <c r="AC504" i="1" l="1"/>
  <c r="Y505" i="1" s="1"/>
  <c r="AE505" i="1"/>
  <c r="AD505" i="1" s="1"/>
  <c r="Q503" i="1"/>
  <c r="M504" i="1" s="1"/>
  <c r="R503" i="1"/>
  <c r="N504" i="1" s="1"/>
  <c r="V505" i="1"/>
  <c r="W504" i="1"/>
  <c r="L504" i="1"/>
  <c r="O504" i="1" s="1"/>
  <c r="AB504" i="1" s="1"/>
  <c r="X505" i="1" s="1"/>
  <c r="AE506" i="1" l="1"/>
  <c r="AD506" i="1" s="1"/>
  <c r="R504" i="1"/>
  <c r="N505" i="1" s="1"/>
  <c r="M505" i="1"/>
  <c r="AB505" i="1"/>
  <c r="X506" i="1" s="1"/>
  <c r="AC505" i="1"/>
  <c r="Y506" i="1" s="1"/>
  <c r="AC506" i="1" s="1"/>
  <c r="Y507" i="1" s="1"/>
  <c r="Q504" i="1"/>
  <c r="S264" i="1"/>
  <c r="V506" i="1"/>
  <c r="W505" i="1"/>
  <c r="L505" i="1"/>
  <c r="O505" i="1" s="1"/>
  <c r="AE507" i="1" l="1"/>
  <c r="AD507" i="1" s="1"/>
  <c r="AB506" i="1"/>
  <c r="X507" i="1" s="1"/>
  <c r="Q505" i="1"/>
  <c r="R505" i="1"/>
  <c r="N506" i="1" s="1"/>
  <c r="M506" i="1"/>
  <c r="V507" i="1"/>
  <c r="W506" i="1"/>
  <c r="L506" i="1"/>
  <c r="O506" i="1" s="1"/>
  <c r="AE508" i="1" l="1"/>
  <c r="AD508" i="1" s="1"/>
  <c r="Q506" i="1"/>
  <c r="M507" i="1" s="1"/>
  <c r="R506" i="1"/>
  <c r="N507" i="1" s="1"/>
  <c r="AC507" i="1"/>
  <c r="Y508" i="1" s="1"/>
  <c r="S265" i="1"/>
  <c r="V508" i="1"/>
  <c r="W507" i="1"/>
  <c r="L507" i="1"/>
  <c r="O507" i="1" s="1"/>
  <c r="AB507" i="1" s="1"/>
  <c r="X508" i="1" s="1"/>
  <c r="AE509" i="1" s="1"/>
  <c r="AD509" i="1" s="1"/>
  <c r="R507" i="1" l="1"/>
  <c r="N508" i="1" s="1"/>
  <c r="AB508" i="1"/>
  <c r="X509" i="1" s="1"/>
  <c r="AC508" i="1"/>
  <c r="Y509" i="1" s="1"/>
  <c r="AC509" i="1" s="1"/>
  <c r="Y510" i="1" s="1"/>
  <c r="Q507" i="1"/>
  <c r="M508" i="1" s="1"/>
  <c r="V509" i="1"/>
  <c r="W508" i="1"/>
  <c r="L508" i="1"/>
  <c r="O508" i="1" s="1"/>
  <c r="AE510" i="1" l="1"/>
  <c r="AD510" i="1" s="1"/>
  <c r="M509" i="1"/>
  <c r="R508" i="1"/>
  <c r="N509" i="1" s="1"/>
  <c r="Q509" i="1" s="1"/>
  <c r="Q508" i="1"/>
  <c r="S266" i="1"/>
  <c r="V510" i="1"/>
  <c r="W509" i="1"/>
  <c r="L509" i="1"/>
  <c r="O509" i="1" s="1"/>
  <c r="AB509" i="1" s="1"/>
  <c r="X510" i="1" s="1"/>
  <c r="AE511" i="1" l="1"/>
  <c r="AD511" i="1" s="1"/>
  <c r="AC510" i="1"/>
  <c r="Y511" i="1" s="1"/>
  <c r="AB510" i="1"/>
  <c r="X511" i="1" s="1"/>
  <c r="R509" i="1"/>
  <c r="N510" i="1" s="1"/>
  <c r="M510" i="1"/>
  <c r="V511" i="1"/>
  <c r="W510" i="1"/>
  <c r="L510" i="1"/>
  <c r="O510" i="1" s="1"/>
  <c r="AC511" i="1" l="1"/>
  <c r="Y512" i="1" s="1"/>
  <c r="AE512" i="1"/>
  <c r="Q510" i="1"/>
  <c r="M511" i="1"/>
  <c r="R510" i="1"/>
  <c r="N511" i="1" s="1"/>
  <c r="Q511" i="1" s="1"/>
  <c r="S267" i="1"/>
  <c r="V512" i="1"/>
  <c r="W511" i="1"/>
  <c r="L511" i="1"/>
  <c r="O511" i="1" s="1"/>
  <c r="AB511" i="1" s="1"/>
  <c r="X512" i="1" s="1"/>
  <c r="AD512" i="1" l="1"/>
  <c r="AE513" i="1" s="1"/>
  <c r="AD513" i="1" s="1"/>
  <c r="AC512" i="1"/>
  <c r="Y513" i="1" s="1"/>
  <c r="AB512" i="1"/>
  <c r="X513" i="1" s="1"/>
  <c r="M512" i="1"/>
  <c r="R511" i="1"/>
  <c r="N512" i="1" s="1"/>
  <c r="Q512" i="1" s="1"/>
  <c r="V513" i="1"/>
  <c r="W512" i="1"/>
  <c r="L512" i="1"/>
  <c r="O512" i="1" s="1"/>
  <c r="AE514" i="1" l="1"/>
  <c r="AD514" i="1" s="1"/>
  <c r="AC513" i="1"/>
  <c r="Y514" i="1" s="1"/>
  <c r="R512" i="1"/>
  <c r="N513" i="1" s="1"/>
  <c r="Q513" i="1" s="1"/>
  <c r="M513" i="1"/>
  <c r="S268" i="1"/>
  <c r="V514" i="1"/>
  <c r="W513" i="1"/>
  <c r="L513" i="1"/>
  <c r="O513" i="1" s="1"/>
  <c r="AB513" i="1" s="1"/>
  <c r="X514" i="1" s="1"/>
  <c r="AE515" i="1" s="1"/>
  <c r="AD515" i="1" s="1"/>
  <c r="AC514" i="1" l="1"/>
  <c r="Y515" i="1" s="1"/>
  <c r="M514" i="1"/>
  <c r="R513" i="1"/>
  <c r="N514" i="1" s="1"/>
  <c r="V515" i="1"/>
  <c r="W514" i="1"/>
  <c r="L514" i="1"/>
  <c r="O514" i="1" s="1"/>
  <c r="AB514" i="1" s="1"/>
  <c r="X515" i="1" s="1"/>
  <c r="AE516" i="1" s="1"/>
  <c r="AD516" i="1" s="1"/>
  <c r="AB515" i="1" l="1"/>
  <c r="X516" i="1" s="1"/>
  <c r="AC515" i="1"/>
  <c r="Y516" i="1" s="1"/>
  <c r="AC516" i="1" s="1"/>
  <c r="Y517" i="1" s="1"/>
  <c r="M515" i="1"/>
  <c r="R514" i="1"/>
  <c r="N515" i="1" s="1"/>
  <c r="Q515" i="1" s="1"/>
  <c r="Q514" i="1"/>
  <c r="S269" i="1"/>
  <c r="V516" i="1"/>
  <c r="W515" i="1"/>
  <c r="L515" i="1"/>
  <c r="O515" i="1" s="1"/>
  <c r="AE517" i="1" l="1"/>
  <c r="AD517" i="1" s="1"/>
  <c r="R515" i="1"/>
  <c r="N516" i="1" s="1"/>
  <c r="M516" i="1"/>
  <c r="V517" i="1"/>
  <c r="W516" i="1"/>
  <c r="L516" i="1"/>
  <c r="O516" i="1" s="1"/>
  <c r="AB516" i="1" s="1"/>
  <c r="X517" i="1" s="1"/>
  <c r="AE518" i="1" l="1"/>
  <c r="AD518" i="1" s="1"/>
  <c r="AC517" i="1"/>
  <c r="Y518" i="1" s="1"/>
  <c r="M517" i="1"/>
  <c r="R516" i="1"/>
  <c r="N517" i="1" s="1"/>
  <c r="Q517" i="1" s="1"/>
  <c r="Q516" i="1"/>
  <c r="S270" i="1"/>
  <c r="V518" i="1"/>
  <c r="W517" i="1"/>
  <c r="L517" i="1"/>
  <c r="O517" i="1" s="1"/>
  <c r="AB517" i="1" s="1"/>
  <c r="X518" i="1" s="1"/>
  <c r="AE519" i="1" l="1"/>
  <c r="AD519" i="1" s="1"/>
  <c r="AB518" i="1"/>
  <c r="X519" i="1" s="1"/>
  <c r="AC518" i="1"/>
  <c r="Y519" i="1" s="1"/>
  <c r="AC519" i="1" s="1"/>
  <c r="Y520" i="1" s="1"/>
  <c r="M518" i="1"/>
  <c r="R517" i="1"/>
  <c r="N518" i="1" s="1"/>
  <c r="Q518" i="1" s="1"/>
  <c r="V519" i="1"/>
  <c r="W518" i="1"/>
  <c r="L518" i="1"/>
  <c r="O518" i="1" s="1"/>
  <c r="AE520" i="1" l="1"/>
  <c r="AD520" i="1" s="1"/>
  <c r="AB519" i="1"/>
  <c r="X520" i="1" s="1"/>
  <c r="R518" i="1"/>
  <c r="N519" i="1" s="1"/>
  <c r="M519" i="1"/>
  <c r="S271" i="1"/>
  <c r="V520" i="1"/>
  <c r="W519" i="1"/>
  <c r="L519" i="1"/>
  <c r="O519" i="1" s="1"/>
  <c r="AC520" i="1" l="1"/>
  <c r="Y521" i="1" s="1"/>
  <c r="AE521" i="1"/>
  <c r="AD521" i="1" s="1"/>
  <c r="R519" i="1"/>
  <c r="N520" i="1" s="1"/>
  <c r="Q519" i="1"/>
  <c r="M520" i="1" s="1"/>
  <c r="AB520" i="1"/>
  <c r="X521" i="1" s="1"/>
  <c r="V521" i="1"/>
  <c r="W520" i="1"/>
  <c r="L520" i="1"/>
  <c r="O520" i="1" s="1"/>
  <c r="AE522" i="1" l="1"/>
  <c r="AD522" i="1" s="1"/>
  <c r="AC521" i="1"/>
  <c r="Y522" i="1" s="1"/>
  <c r="R520" i="1"/>
  <c r="N521" i="1" s="1"/>
  <c r="Q520" i="1"/>
  <c r="M521" i="1" s="1"/>
  <c r="S272" i="1"/>
  <c r="V522" i="1"/>
  <c r="W521" i="1"/>
  <c r="L521" i="1"/>
  <c r="O521" i="1" s="1"/>
  <c r="AB521" i="1" s="1"/>
  <c r="X522" i="1" s="1"/>
  <c r="AE523" i="1" s="1"/>
  <c r="AD523" i="1" s="1"/>
  <c r="R521" i="1" l="1"/>
  <c r="N522" i="1" s="1"/>
  <c r="M522" i="1"/>
  <c r="AC522" i="1"/>
  <c r="Y523" i="1" s="1"/>
  <c r="AB522" i="1"/>
  <c r="X523" i="1" s="1"/>
  <c r="AE524" i="1" s="1"/>
  <c r="AD524" i="1" s="1"/>
  <c r="Q521" i="1"/>
  <c r="V523" i="1"/>
  <c r="W522" i="1"/>
  <c r="L522" i="1"/>
  <c r="O522" i="1" s="1"/>
  <c r="AC523" i="1" l="1"/>
  <c r="Y524" i="1" s="1"/>
  <c r="Q522" i="1"/>
  <c r="M523" i="1" s="1"/>
  <c r="R522" i="1"/>
  <c r="N523" i="1" s="1"/>
  <c r="S273" i="1"/>
  <c r="V524" i="1"/>
  <c r="W523" i="1"/>
  <c r="L523" i="1"/>
  <c r="O523" i="1" s="1"/>
  <c r="AB523" i="1" s="1"/>
  <c r="X524" i="1" s="1"/>
  <c r="AE525" i="1" s="1"/>
  <c r="AD525" i="1" s="1"/>
  <c r="R523" i="1" l="1"/>
  <c r="N524" i="1" s="1"/>
  <c r="AC524" i="1"/>
  <c r="Y525" i="1" s="1"/>
  <c r="AB524" i="1"/>
  <c r="X525" i="1" s="1"/>
  <c r="AE526" i="1" s="1"/>
  <c r="AD526" i="1" s="1"/>
  <c r="Q523" i="1"/>
  <c r="M524" i="1" s="1"/>
  <c r="V525" i="1"/>
  <c r="W524" i="1"/>
  <c r="L524" i="1"/>
  <c r="O524" i="1" s="1"/>
  <c r="AC525" i="1" l="1"/>
  <c r="Y526" i="1" s="1"/>
  <c r="R524" i="1"/>
  <c r="N525" i="1" s="1"/>
  <c r="Q524" i="1"/>
  <c r="M525" i="1" s="1"/>
  <c r="S274" i="1"/>
  <c r="V526" i="1"/>
  <c r="W525" i="1"/>
  <c r="L525" i="1"/>
  <c r="O525" i="1" s="1"/>
  <c r="AB525" i="1" s="1"/>
  <c r="X526" i="1" s="1"/>
  <c r="AE527" i="1" s="1"/>
  <c r="AD527" i="1" s="1"/>
  <c r="AC526" i="1" l="1"/>
  <c r="Y527" i="1" s="1"/>
  <c r="AB526" i="1"/>
  <c r="X527" i="1" s="1"/>
  <c r="AE528" i="1" s="1"/>
  <c r="AD528" i="1" s="1"/>
  <c r="R525" i="1"/>
  <c r="N526" i="1" s="1"/>
  <c r="M526" i="1"/>
  <c r="Q525" i="1"/>
  <c r="V527" i="1"/>
  <c r="W526" i="1"/>
  <c r="L526" i="1"/>
  <c r="O526" i="1" s="1"/>
  <c r="AC527" i="1" l="1"/>
  <c r="Y528" i="1" s="1"/>
  <c r="Q526" i="1"/>
  <c r="M527" i="1"/>
  <c r="R526" i="1"/>
  <c r="N527" i="1" s="1"/>
  <c r="Q527" i="1" s="1"/>
  <c r="S275" i="1"/>
  <c r="V528" i="1"/>
  <c r="W527" i="1"/>
  <c r="L527" i="1"/>
  <c r="O527" i="1" s="1"/>
  <c r="AB527" i="1" s="1"/>
  <c r="X528" i="1" s="1"/>
  <c r="AE529" i="1" s="1"/>
  <c r="AD529" i="1" s="1"/>
  <c r="AC528" i="1" l="1"/>
  <c r="Y529" i="1" s="1"/>
  <c r="AB528" i="1"/>
  <c r="X529" i="1" s="1"/>
  <c r="AE530" i="1" s="1"/>
  <c r="AD530" i="1" s="1"/>
  <c r="R527" i="1"/>
  <c r="N528" i="1" s="1"/>
  <c r="M528" i="1"/>
  <c r="AC529" i="1"/>
  <c r="Y530" i="1" s="1"/>
  <c r="V529" i="1"/>
  <c r="W528" i="1"/>
  <c r="L528" i="1"/>
  <c r="O528" i="1" s="1"/>
  <c r="R528" i="1" l="1"/>
  <c r="N529" i="1" s="1"/>
  <c r="Q528" i="1"/>
  <c r="M529" i="1" s="1"/>
  <c r="S276" i="1"/>
  <c r="V530" i="1"/>
  <c r="W529" i="1"/>
  <c r="L529" i="1"/>
  <c r="O529" i="1" s="1"/>
  <c r="AB529" i="1" s="1"/>
  <c r="X530" i="1" s="1"/>
  <c r="AC530" i="1" l="1"/>
  <c r="Y531" i="1" s="1"/>
  <c r="AE531" i="1"/>
  <c r="AD531" i="1" s="1"/>
  <c r="R529" i="1"/>
  <c r="N530" i="1" s="1"/>
  <c r="Q529" i="1"/>
  <c r="M530" i="1" s="1"/>
  <c r="V531" i="1"/>
  <c r="W530" i="1"/>
  <c r="L530" i="1"/>
  <c r="O530" i="1" s="1"/>
  <c r="AB530" i="1" s="1"/>
  <c r="X531" i="1" s="1"/>
  <c r="AE532" i="1" l="1"/>
  <c r="AD532" i="1" s="1"/>
  <c r="R530" i="1"/>
  <c r="N531" i="1" s="1"/>
  <c r="AB531" i="1"/>
  <c r="X532" i="1" s="1"/>
  <c r="AC531" i="1"/>
  <c r="Y532" i="1" s="1"/>
  <c r="AC532" i="1" s="1"/>
  <c r="Y533" i="1" s="1"/>
  <c r="Q530" i="1"/>
  <c r="M531" i="1" s="1"/>
  <c r="S277" i="1"/>
  <c r="V532" i="1"/>
  <c r="W531" i="1"/>
  <c r="L531" i="1"/>
  <c r="O531" i="1" s="1"/>
  <c r="AE533" i="1" l="1"/>
  <c r="AD533" i="1" s="1"/>
  <c r="R531" i="1"/>
  <c r="N532" i="1" s="1"/>
  <c r="AB532" i="1"/>
  <c r="X533" i="1" s="1"/>
  <c r="Q531" i="1"/>
  <c r="M532" i="1" s="1"/>
  <c r="V533" i="1"/>
  <c r="W532" i="1"/>
  <c r="L532" i="1"/>
  <c r="O532" i="1" s="1"/>
  <c r="AE534" i="1" l="1"/>
  <c r="AD534" i="1" s="1"/>
  <c r="AC533" i="1"/>
  <c r="Y534" i="1" s="1"/>
  <c r="R532" i="1"/>
  <c r="N533" i="1" s="1"/>
  <c r="Q532" i="1"/>
  <c r="M533" i="1" s="1"/>
  <c r="S278" i="1"/>
  <c r="V534" i="1"/>
  <c r="W533" i="1"/>
  <c r="L533" i="1"/>
  <c r="O533" i="1" s="1"/>
  <c r="AB533" i="1" s="1"/>
  <c r="X534" i="1" s="1"/>
  <c r="AE535" i="1" s="1"/>
  <c r="AD535" i="1" s="1"/>
  <c r="AC534" i="1" l="1"/>
  <c r="Y535" i="1" s="1"/>
  <c r="R533" i="1"/>
  <c r="N534" i="1" s="1"/>
  <c r="Q533" i="1"/>
  <c r="M534" i="1" s="1"/>
  <c r="V535" i="1"/>
  <c r="W534" i="1"/>
  <c r="L534" i="1"/>
  <c r="O534" i="1" s="1"/>
  <c r="AB534" i="1" s="1"/>
  <c r="X535" i="1" s="1"/>
  <c r="AE536" i="1" s="1"/>
  <c r="AD536" i="1" s="1"/>
  <c r="R534" i="1" l="1"/>
  <c r="N535" i="1" s="1"/>
  <c r="AB535" i="1"/>
  <c r="X536" i="1" s="1"/>
  <c r="AC535" i="1"/>
  <c r="Y536" i="1" s="1"/>
  <c r="AC536" i="1" s="1"/>
  <c r="Y537" i="1" s="1"/>
  <c r="Q534" i="1"/>
  <c r="M535" i="1" s="1"/>
  <c r="S279" i="1"/>
  <c r="V536" i="1"/>
  <c r="W535" i="1"/>
  <c r="L535" i="1"/>
  <c r="O535" i="1" s="1"/>
  <c r="AE537" i="1" l="1"/>
  <c r="AD537" i="1" s="1"/>
  <c r="R535" i="1"/>
  <c r="N536" i="1" s="1"/>
  <c r="AB536" i="1"/>
  <c r="X537" i="1" s="1"/>
  <c r="Q535" i="1"/>
  <c r="M536" i="1" s="1"/>
  <c r="V537" i="1"/>
  <c r="W536" i="1"/>
  <c r="L536" i="1"/>
  <c r="O536" i="1" s="1"/>
  <c r="AE538" i="1" l="1"/>
  <c r="AD538" i="1" s="1"/>
  <c r="R536" i="1"/>
  <c r="N537" i="1" s="1"/>
  <c r="AC537" i="1"/>
  <c r="Y538" i="1" s="1"/>
  <c r="Q536" i="1"/>
  <c r="M537" i="1" s="1"/>
  <c r="S280" i="1"/>
  <c r="V538" i="1"/>
  <c r="W537" i="1"/>
  <c r="L537" i="1"/>
  <c r="O537" i="1" s="1"/>
  <c r="AB537" i="1" s="1"/>
  <c r="X538" i="1" s="1"/>
  <c r="AE539" i="1" l="1"/>
  <c r="AD539" i="1" s="1"/>
  <c r="AC538" i="1"/>
  <c r="Y539" i="1" s="1"/>
  <c r="M538" i="1"/>
  <c r="R537" i="1"/>
  <c r="N538" i="1" s="1"/>
  <c r="Q538" i="1" s="1"/>
  <c r="Q537" i="1"/>
  <c r="V539" i="1"/>
  <c r="W538" i="1"/>
  <c r="L538" i="1"/>
  <c r="O538" i="1" s="1"/>
  <c r="AB538" i="1" s="1"/>
  <c r="X539" i="1" s="1"/>
  <c r="AE540" i="1" l="1"/>
  <c r="AD540" i="1" s="1"/>
  <c r="AB539" i="1"/>
  <c r="X540" i="1" s="1"/>
  <c r="AC539" i="1"/>
  <c r="Y540" i="1" s="1"/>
  <c r="M539" i="1"/>
  <c r="R538" i="1"/>
  <c r="N539" i="1" s="1"/>
  <c r="Q539" i="1" s="1"/>
  <c r="S281" i="1"/>
  <c r="V540" i="1"/>
  <c r="W539" i="1"/>
  <c r="L539" i="1"/>
  <c r="O539" i="1" s="1"/>
  <c r="AC540" i="1" l="1"/>
  <c r="Y541" i="1" s="1"/>
  <c r="AE541" i="1"/>
  <c r="AD541" i="1" s="1"/>
  <c r="M540" i="1"/>
  <c r="R539" i="1"/>
  <c r="N540" i="1" s="1"/>
  <c r="V541" i="1"/>
  <c r="W540" i="1"/>
  <c r="L540" i="1"/>
  <c r="O540" i="1" s="1"/>
  <c r="AB540" i="1" s="1"/>
  <c r="X541" i="1" s="1"/>
  <c r="AE542" i="1" l="1"/>
  <c r="AD542" i="1" s="1"/>
  <c r="AC541" i="1"/>
  <c r="Y542" i="1" s="1"/>
  <c r="R540" i="1"/>
  <c r="N541" i="1" s="1"/>
  <c r="Q540" i="1"/>
  <c r="M541" i="1" s="1"/>
  <c r="S282" i="1"/>
  <c r="V542" i="1"/>
  <c r="W541" i="1"/>
  <c r="L541" i="1"/>
  <c r="O541" i="1" s="1"/>
  <c r="AB541" i="1" s="1"/>
  <c r="X542" i="1" s="1"/>
  <c r="AE543" i="1" s="1"/>
  <c r="AD543" i="1" s="1"/>
  <c r="R541" i="1" l="1"/>
  <c r="N542" i="1" s="1"/>
  <c r="AC542" i="1"/>
  <c r="Y543" i="1" s="1"/>
  <c r="AB542" i="1"/>
  <c r="X543" i="1" s="1"/>
  <c r="AE544" i="1" s="1"/>
  <c r="AD544" i="1" s="1"/>
  <c r="Q541" i="1"/>
  <c r="M542" i="1" s="1"/>
  <c r="V543" i="1"/>
  <c r="W542" i="1"/>
  <c r="L542" i="1"/>
  <c r="O542" i="1" s="1"/>
  <c r="AC543" i="1" l="1"/>
  <c r="Y544" i="1" s="1"/>
  <c r="R542" i="1"/>
  <c r="N543" i="1" s="1"/>
  <c r="M543" i="1"/>
  <c r="Q542" i="1"/>
  <c r="S283" i="1"/>
  <c r="V544" i="1"/>
  <c r="W543" i="1"/>
  <c r="L543" i="1"/>
  <c r="O543" i="1" s="1"/>
  <c r="AB543" i="1" s="1"/>
  <c r="X544" i="1" s="1"/>
  <c r="AE545" i="1" s="1"/>
  <c r="AD545" i="1" s="1"/>
  <c r="AC544" i="1" l="1"/>
  <c r="Y545" i="1" s="1"/>
  <c r="AB544" i="1"/>
  <c r="X545" i="1" s="1"/>
  <c r="AE546" i="1" s="1"/>
  <c r="AD546" i="1" s="1"/>
  <c r="R543" i="1"/>
  <c r="N544" i="1" s="1"/>
  <c r="Q543" i="1"/>
  <c r="M544" i="1" s="1"/>
  <c r="V545" i="1"/>
  <c r="W544" i="1"/>
  <c r="L544" i="1"/>
  <c r="O544" i="1" s="1"/>
  <c r="AC545" i="1" l="1"/>
  <c r="Y546" i="1" s="1"/>
  <c r="R544" i="1"/>
  <c r="N545" i="1" s="1"/>
  <c r="AB545" i="1"/>
  <c r="X546" i="1" s="1"/>
  <c r="AE547" i="1" s="1"/>
  <c r="AD547" i="1" s="1"/>
  <c r="Q544" i="1"/>
  <c r="M545" i="1" s="1"/>
  <c r="AC546" i="1"/>
  <c r="Y547" i="1" s="1"/>
  <c r="S284" i="1"/>
  <c r="V546" i="1"/>
  <c r="W545" i="1"/>
  <c r="L545" i="1"/>
  <c r="O545" i="1" s="1"/>
  <c r="R545" i="1" l="1"/>
  <c r="N546" i="1" s="1"/>
  <c r="M546" i="1"/>
  <c r="AB546" i="1"/>
  <c r="X547" i="1" s="1"/>
  <c r="AE548" i="1" s="1"/>
  <c r="AD548" i="1" s="1"/>
  <c r="Q545" i="1"/>
  <c r="V547" i="1"/>
  <c r="W546" i="1"/>
  <c r="L546" i="1"/>
  <c r="O546" i="1" s="1"/>
  <c r="AC547" i="1" l="1"/>
  <c r="Y548" i="1" s="1"/>
  <c r="R546" i="1"/>
  <c r="N547" i="1" s="1"/>
  <c r="M547" i="1"/>
  <c r="Q546" i="1"/>
  <c r="S285" i="1"/>
  <c r="V548" i="1"/>
  <c r="W547" i="1"/>
  <c r="L547" i="1"/>
  <c r="O547" i="1" s="1"/>
  <c r="AB547" i="1" s="1"/>
  <c r="X548" i="1" s="1"/>
  <c r="AE549" i="1" s="1"/>
  <c r="AD549" i="1" s="1"/>
  <c r="AC548" i="1" l="1"/>
  <c r="Y549" i="1" s="1"/>
  <c r="AB548" i="1"/>
  <c r="X549" i="1" s="1"/>
  <c r="AE550" i="1" s="1"/>
  <c r="AD550" i="1" s="1"/>
  <c r="Q547" i="1"/>
  <c r="M548" i="1"/>
  <c r="R547" i="1"/>
  <c r="N548" i="1" s="1"/>
  <c r="Q548" i="1" s="1"/>
  <c r="V549" i="1"/>
  <c r="W548" i="1"/>
  <c r="L548" i="1"/>
  <c r="O548" i="1" s="1"/>
  <c r="AC549" i="1" l="1"/>
  <c r="Y550" i="1" s="1"/>
  <c r="AB549" i="1"/>
  <c r="X550" i="1" s="1"/>
  <c r="R548" i="1"/>
  <c r="N549" i="1" s="1"/>
  <c r="M549" i="1"/>
  <c r="S286" i="1"/>
  <c r="V550" i="1"/>
  <c r="W549" i="1"/>
  <c r="L549" i="1"/>
  <c r="O549" i="1" s="1"/>
  <c r="AC550" i="1" l="1"/>
  <c r="Y551" i="1" s="1"/>
  <c r="AE551" i="1"/>
  <c r="AD551" i="1" s="1"/>
  <c r="R549" i="1"/>
  <c r="N550" i="1" s="1"/>
  <c r="M550" i="1"/>
  <c r="AB550" i="1"/>
  <c r="X551" i="1" s="1"/>
  <c r="Q549" i="1"/>
  <c r="V551" i="1"/>
  <c r="W550" i="1"/>
  <c r="L550" i="1"/>
  <c r="O550" i="1" s="1"/>
  <c r="AE552" i="1" l="1"/>
  <c r="AD552" i="1" s="1"/>
  <c r="M551" i="1"/>
  <c r="R550" i="1"/>
  <c r="N551" i="1" s="1"/>
  <c r="Q551" i="1" s="1"/>
  <c r="Q550" i="1"/>
  <c r="AC551" i="1"/>
  <c r="Y552" i="1" s="1"/>
  <c r="S287" i="1"/>
  <c r="V552" i="1"/>
  <c r="W551" i="1"/>
  <c r="L551" i="1"/>
  <c r="O551" i="1" s="1"/>
  <c r="AB551" i="1" s="1"/>
  <c r="X552" i="1" s="1"/>
  <c r="AE553" i="1" l="1"/>
  <c r="AD553" i="1" s="1"/>
  <c r="AC552" i="1"/>
  <c r="Y553" i="1" s="1"/>
  <c r="M552" i="1"/>
  <c r="R551" i="1"/>
  <c r="N552" i="1" s="1"/>
  <c r="Q552" i="1" s="1"/>
  <c r="V553" i="1"/>
  <c r="W552" i="1"/>
  <c r="L552" i="1"/>
  <c r="O552" i="1" s="1"/>
  <c r="AB552" i="1" s="1"/>
  <c r="X553" i="1" s="1"/>
  <c r="AE554" i="1" l="1"/>
  <c r="AD554" i="1" s="1"/>
  <c r="AC553" i="1"/>
  <c r="Y554" i="1" s="1"/>
  <c r="AB553" i="1"/>
  <c r="X554" i="1" s="1"/>
  <c r="R552" i="1"/>
  <c r="N553" i="1" s="1"/>
  <c r="Q553" i="1" s="1"/>
  <c r="M553" i="1"/>
  <c r="S288" i="1"/>
  <c r="V554" i="1"/>
  <c r="W553" i="1"/>
  <c r="L553" i="1"/>
  <c r="O553" i="1" s="1"/>
  <c r="AE555" i="1" l="1"/>
  <c r="AD555" i="1" s="1"/>
  <c r="AB554" i="1"/>
  <c r="X555" i="1" s="1"/>
  <c r="AC554" i="1"/>
  <c r="Y555" i="1" s="1"/>
  <c r="M554" i="1"/>
  <c r="R553" i="1"/>
  <c r="N554" i="1" s="1"/>
  <c r="V555" i="1"/>
  <c r="W554" i="1"/>
  <c r="L554" i="1"/>
  <c r="O554" i="1" s="1"/>
  <c r="AC555" i="1" l="1"/>
  <c r="Y556" i="1" s="1"/>
  <c r="AE556" i="1"/>
  <c r="AD556" i="1" s="1"/>
  <c r="R554" i="1"/>
  <c r="N555" i="1" s="1"/>
  <c r="M555" i="1"/>
  <c r="Q554" i="1"/>
  <c r="S289" i="1"/>
  <c r="V556" i="1"/>
  <c r="W555" i="1"/>
  <c r="L555" i="1"/>
  <c r="O555" i="1" s="1"/>
  <c r="AB555" i="1" s="1"/>
  <c r="X556" i="1" s="1"/>
  <c r="AE557" i="1" l="1"/>
  <c r="AD557" i="1" s="1"/>
  <c r="AB556" i="1"/>
  <c r="X557" i="1" s="1"/>
  <c r="AC556" i="1"/>
  <c r="Y557" i="1" s="1"/>
  <c r="R555" i="1"/>
  <c r="N556" i="1" s="1"/>
  <c r="Q555" i="1"/>
  <c r="M556" i="1" s="1"/>
  <c r="V557" i="1"/>
  <c r="W556" i="1"/>
  <c r="L556" i="1"/>
  <c r="O556" i="1" s="1"/>
  <c r="AE558" i="1" l="1"/>
  <c r="AD558" i="1" s="1"/>
  <c r="R556" i="1"/>
  <c r="N557" i="1" s="1"/>
  <c r="AB557" i="1"/>
  <c r="X558" i="1" s="1"/>
  <c r="AC557" i="1"/>
  <c r="Y558" i="1" s="1"/>
  <c r="AC558" i="1" s="1"/>
  <c r="Y559" i="1" s="1"/>
  <c r="Q556" i="1"/>
  <c r="M557" i="1" s="1"/>
  <c r="S290" i="1"/>
  <c r="V558" i="1"/>
  <c r="W557" i="1"/>
  <c r="L557" i="1"/>
  <c r="O557" i="1" s="1"/>
  <c r="AE559" i="1" l="1"/>
  <c r="AD559" i="1" s="1"/>
  <c r="R557" i="1"/>
  <c r="N558" i="1" s="1"/>
  <c r="AB558" i="1"/>
  <c r="X559" i="1" s="1"/>
  <c r="Q557" i="1"/>
  <c r="M558" i="1" s="1"/>
  <c r="V559" i="1"/>
  <c r="W558" i="1"/>
  <c r="L558" i="1"/>
  <c r="O558" i="1" s="1"/>
  <c r="AE560" i="1" l="1"/>
  <c r="AD560" i="1" s="1"/>
  <c r="M559" i="1"/>
  <c r="R558" i="1"/>
  <c r="N559" i="1" s="1"/>
  <c r="Q559" i="1" s="1"/>
  <c r="Q558" i="1"/>
  <c r="AC559" i="1"/>
  <c r="Y560" i="1" s="1"/>
  <c r="S291" i="1"/>
  <c r="V560" i="1"/>
  <c r="W559" i="1"/>
  <c r="L559" i="1"/>
  <c r="O559" i="1" s="1"/>
  <c r="AB559" i="1" s="1"/>
  <c r="X560" i="1" s="1"/>
  <c r="AE561" i="1" s="1"/>
  <c r="AD561" i="1" s="1"/>
  <c r="AB560" i="1" l="1"/>
  <c r="X561" i="1" s="1"/>
  <c r="AC560" i="1"/>
  <c r="Y561" i="1" s="1"/>
  <c r="M560" i="1"/>
  <c r="R559" i="1"/>
  <c r="N560" i="1" s="1"/>
  <c r="Q560" i="1" s="1"/>
  <c r="V561" i="1"/>
  <c r="W560" i="1"/>
  <c r="L560" i="1"/>
  <c r="O560" i="1" s="1"/>
  <c r="AC561" i="1" l="1"/>
  <c r="Y562" i="1" s="1"/>
  <c r="AE562" i="1"/>
  <c r="AD562" i="1" s="1"/>
  <c r="M561" i="1"/>
  <c r="R560" i="1"/>
  <c r="N561" i="1" s="1"/>
  <c r="Q561" i="1" s="1"/>
  <c r="S292" i="1"/>
  <c r="V562" i="1"/>
  <c r="W561" i="1"/>
  <c r="L561" i="1"/>
  <c r="O561" i="1" s="1"/>
  <c r="AB561" i="1" s="1"/>
  <c r="X562" i="1" s="1"/>
  <c r="AE563" i="1" l="1"/>
  <c r="AD563" i="1" s="1"/>
  <c r="AC562" i="1"/>
  <c r="Y563" i="1" s="1"/>
  <c r="M562" i="1"/>
  <c r="R561" i="1"/>
  <c r="N562" i="1" s="1"/>
  <c r="Q562" i="1" s="1"/>
  <c r="V563" i="1"/>
  <c r="W562" i="1"/>
  <c r="L562" i="1"/>
  <c r="O562" i="1" s="1"/>
  <c r="AB562" i="1" s="1"/>
  <c r="X563" i="1" s="1"/>
  <c r="AE564" i="1" l="1"/>
  <c r="AD564" i="1" s="1"/>
  <c r="AC563" i="1"/>
  <c r="Y564" i="1" s="1"/>
  <c r="AB563" i="1"/>
  <c r="X564" i="1" s="1"/>
  <c r="M563" i="1"/>
  <c r="R562" i="1"/>
  <c r="N563" i="1" s="1"/>
  <c r="Q563" i="1" s="1"/>
  <c r="S293" i="1"/>
  <c r="V564" i="1"/>
  <c r="W563" i="1"/>
  <c r="L563" i="1"/>
  <c r="O563" i="1" s="1"/>
  <c r="AE565" i="1" l="1"/>
  <c r="AD565" i="1" s="1"/>
  <c r="AC564" i="1"/>
  <c r="Y565" i="1" s="1"/>
  <c r="M564" i="1"/>
  <c r="R563" i="1"/>
  <c r="N564" i="1" s="1"/>
  <c r="V565" i="1"/>
  <c r="W564" i="1"/>
  <c r="L564" i="1"/>
  <c r="O564" i="1" s="1"/>
  <c r="AB564" i="1" s="1"/>
  <c r="X565" i="1" s="1"/>
  <c r="AE566" i="1" l="1"/>
  <c r="AD566" i="1" s="1"/>
  <c r="AC565" i="1"/>
  <c r="Y566" i="1" s="1"/>
  <c r="Q564" i="1"/>
  <c r="M565" i="1" s="1"/>
  <c r="R564" i="1"/>
  <c r="N565" i="1" s="1"/>
  <c r="S294" i="1"/>
  <c r="V566" i="1"/>
  <c r="W565" i="1"/>
  <c r="L565" i="1"/>
  <c r="O565" i="1" s="1"/>
  <c r="AB565" i="1" s="1"/>
  <c r="X566" i="1" s="1"/>
  <c r="AE567" i="1" l="1"/>
  <c r="AD567" i="1" s="1"/>
  <c r="AB566" i="1"/>
  <c r="X567" i="1" s="1"/>
  <c r="AC566" i="1"/>
  <c r="Y567" i="1" s="1"/>
  <c r="M566" i="1"/>
  <c r="R565" i="1"/>
  <c r="N566" i="1" s="1"/>
  <c r="Q566" i="1" s="1"/>
  <c r="Q565" i="1"/>
  <c r="V567" i="1"/>
  <c r="W566" i="1"/>
  <c r="L566" i="1"/>
  <c r="O566" i="1" s="1"/>
  <c r="AC567" i="1" l="1"/>
  <c r="Y568" i="1" s="1"/>
  <c r="AE568" i="1"/>
  <c r="AD568" i="1" s="1"/>
  <c r="M567" i="1"/>
  <c r="R566" i="1"/>
  <c r="N567" i="1" s="1"/>
  <c r="S295" i="1"/>
  <c r="V568" i="1"/>
  <c r="W567" i="1"/>
  <c r="L567" i="1"/>
  <c r="O567" i="1" s="1"/>
  <c r="AB567" i="1" s="1"/>
  <c r="X568" i="1" s="1"/>
  <c r="AE569" i="1" l="1"/>
  <c r="AD569" i="1" s="1"/>
  <c r="AB568" i="1"/>
  <c r="X569" i="1" s="1"/>
  <c r="AC568" i="1"/>
  <c r="Y569" i="1" s="1"/>
  <c r="Q567" i="1"/>
  <c r="R567" i="1"/>
  <c r="N568" i="1" s="1"/>
  <c r="M568" i="1"/>
  <c r="V569" i="1"/>
  <c r="W568" i="1"/>
  <c r="L568" i="1"/>
  <c r="O568" i="1" s="1"/>
  <c r="AC569" i="1" l="1"/>
  <c r="Y570" i="1" s="1"/>
  <c r="AE570" i="1"/>
  <c r="AD570" i="1" s="1"/>
  <c r="AB569" i="1"/>
  <c r="X570" i="1" s="1"/>
  <c r="Q568" i="1"/>
  <c r="M569" i="1" s="1"/>
  <c r="R568" i="1"/>
  <c r="N569" i="1" s="1"/>
  <c r="S296" i="1"/>
  <c r="V570" i="1"/>
  <c r="W569" i="1"/>
  <c r="L569" i="1"/>
  <c r="O569" i="1" s="1"/>
  <c r="AE571" i="1" l="1"/>
  <c r="AD571" i="1" s="1"/>
  <c r="M570" i="1"/>
  <c r="R569" i="1"/>
  <c r="N570" i="1" s="1"/>
  <c r="Q570" i="1" s="1"/>
  <c r="AB570" i="1"/>
  <c r="X571" i="1" s="1"/>
  <c r="AC570" i="1"/>
  <c r="Y571" i="1" s="1"/>
  <c r="AC571" i="1" s="1"/>
  <c r="Y572" i="1" s="1"/>
  <c r="Q569" i="1"/>
  <c r="V571" i="1"/>
  <c r="W570" i="1"/>
  <c r="L570" i="1"/>
  <c r="O570" i="1" s="1"/>
  <c r="AE572" i="1" l="1"/>
  <c r="AD572" i="1" s="1"/>
  <c r="AB571" i="1"/>
  <c r="X572" i="1" s="1"/>
  <c r="M571" i="1"/>
  <c r="R570" i="1"/>
  <c r="N571" i="1" s="1"/>
  <c r="Q571" i="1" s="1"/>
  <c r="S297" i="1"/>
  <c r="V572" i="1"/>
  <c r="W571" i="1"/>
  <c r="L571" i="1"/>
  <c r="O571" i="1" s="1"/>
  <c r="AC572" i="1" l="1"/>
  <c r="Y573" i="1" s="1"/>
  <c r="AE573" i="1"/>
  <c r="AD573" i="1" s="1"/>
  <c r="R571" i="1"/>
  <c r="N572" i="1" s="1"/>
  <c r="M572" i="1"/>
  <c r="V573" i="1"/>
  <c r="W572" i="1"/>
  <c r="L572" i="1"/>
  <c r="O572" i="1" s="1"/>
  <c r="AB572" i="1" s="1"/>
  <c r="X573" i="1" s="1"/>
  <c r="AC573" i="1" l="1"/>
  <c r="Y574" i="1" s="1"/>
  <c r="AE574" i="1"/>
  <c r="M573" i="1"/>
  <c r="R572" i="1"/>
  <c r="N573" i="1" s="1"/>
  <c r="Q573" i="1" s="1"/>
  <c r="Q572" i="1"/>
  <c r="S298" i="1"/>
  <c r="V574" i="1"/>
  <c r="W573" i="1"/>
  <c r="L573" i="1"/>
  <c r="O573" i="1" s="1"/>
  <c r="AB573" i="1" s="1"/>
  <c r="X574" i="1" s="1"/>
  <c r="AD574" i="1" l="1"/>
  <c r="AE575" i="1" s="1"/>
  <c r="AD575" i="1" s="1"/>
  <c r="AC574" i="1"/>
  <c r="Y575" i="1" s="1"/>
  <c r="AB574" i="1"/>
  <c r="X575" i="1" s="1"/>
  <c r="R573" i="1"/>
  <c r="N574" i="1" s="1"/>
  <c r="Q574" i="1" s="1"/>
  <c r="M574" i="1"/>
  <c r="V575" i="1"/>
  <c r="W574" i="1"/>
  <c r="L574" i="1"/>
  <c r="O574" i="1" s="1"/>
  <c r="AE576" i="1" l="1"/>
  <c r="AD576" i="1" s="1"/>
  <c r="AC575" i="1"/>
  <c r="Y576" i="1" s="1"/>
  <c r="R574" i="1"/>
  <c r="N575" i="1" s="1"/>
  <c r="Q575" i="1" s="1"/>
  <c r="M575" i="1"/>
  <c r="S299" i="1"/>
  <c r="V576" i="1"/>
  <c r="W575" i="1"/>
  <c r="L575" i="1"/>
  <c r="O575" i="1" s="1"/>
  <c r="AB575" i="1" s="1"/>
  <c r="X576" i="1" s="1"/>
  <c r="AE577" i="1" l="1"/>
  <c r="AD577" i="1" s="1"/>
  <c r="AC576" i="1"/>
  <c r="AB576" i="1"/>
  <c r="X577" i="1" s="1"/>
  <c r="Y577" i="1"/>
  <c r="AC577" i="1" s="1"/>
  <c r="Y578" i="1" s="1"/>
  <c r="R575" i="1"/>
  <c r="N576" i="1" s="1"/>
  <c r="Q576" i="1" s="1"/>
  <c r="M576" i="1"/>
  <c r="V577" i="1"/>
  <c r="W576" i="1"/>
  <c r="L576" i="1"/>
  <c r="O576" i="1" s="1"/>
  <c r="AE578" i="1" l="1"/>
  <c r="AD578" i="1" s="1"/>
  <c r="AB577" i="1"/>
  <c r="X578" i="1" s="1"/>
  <c r="M577" i="1"/>
  <c r="R576" i="1"/>
  <c r="N577" i="1" s="1"/>
  <c r="Q577" i="1" s="1"/>
  <c r="S300" i="1"/>
  <c r="V578" i="1"/>
  <c r="W577" i="1"/>
  <c r="L577" i="1"/>
  <c r="O577" i="1" s="1"/>
  <c r="AC578" i="1" l="1"/>
  <c r="Y579" i="1" s="1"/>
  <c r="AE579" i="1"/>
  <c r="AD579" i="1" s="1"/>
  <c r="M578" i="1"/>
  <c r="R577" i="1"/>
  <c r="N578" i="1" s="1"/>
  <c r="V579" i="1"/>
  <c r="W578" i="1"/>
  <c r="L578" i="1"/>
  <c r="O578" i="1" s="1"/>
  <c r="AB578" i="1" s="1"/>
  <c r="X579" i="1" s="1"/>
  <c r="AE580" i="1" l="1"/>
  <c r="AD580" i="1" s="1"/>
  <c r="AC579" i="1"/>
  <c r="Y580" i="1" s="1"/>
  <c r="Q578" i="1"/>
  <c r="R578" i="1"/>
  <c r="N579" i="1" s="1"/>
  <c r="M579" i="1"/>
  <c r="S301" i="1"/>
  <c r="V580" i="1"/>
  <c r="W579" i="1"/>
  <c r="L579" i="1"/>
  <c r="O579" i="1" s="1"/>
  <c r="AB579" i="1" s="1"/>
  <c r="X580" i="1" s="1"/>
  <c r="AE581" i="1" l="1"/>
  <c r="AD581" i="1" s="1"/>
  <c r="AB580" i="1"/>
  <c r="X581" i="1" s="1"/>
  <c r="AC580" i="1"/>
  <c r="Y581" i="1" s="1"/>
  <c r="R579" i="1"/>
  <c r="N580" i="1" s="1"/>
  <c r="M580" i="1"/>
  <c r="Q579" i="1"/>
  <c r="V581" i="1"/>
  <c r="W580" i="1"/>
  <c r="L580" i="1"/>
  <c r="O580" i="1" s="1"/>
  <c r="AC581" i="1" l="1"/>
  <c r="Y582" i="1" s="1"/>
  <c r="AE582" i="1"/>
  <c r="AD582" i="1" s="1"/>
  <c r="R580" i="1"/>
  <c r="N581" i="1" s="1"/>
  <c r="Q580" i="1"/>
  <c r="M581" i="1" s="1"/>
  <c r="S302" i="1"/>
  <c r="V582" i="1"/>
  <c r="W581" i="1"/>
  <c r="L581" i="1"/>
  <c r="O581" i="1" s="1"/>
  <c r="AB581" i="1" s="1"/>
  <c r="X582" i="1" s="1"/>
  <c r="AE583" i="1" l="1"/>
  <c r="AD583" i="1" s="1"/>
  <c r="AC582" i="1"/>
  <c r="Y583" i="1" s="1"/>
  <c r="AB582" i="1"/>
  <c r="X583" i="1" s="1"/>
  <c r="M582" i="1"/>
  <c r="R581" i="1"/>
  <c r="N582" i="1" s="1"/>
  <c r="Q582" i="1" s="1"/>
  <c r="Q581" i="1"/>
  <c r="V583" i="1"/>
  <c r="W582" i="1"/>
  <c r="L582" i="1"/>
  <c r="O582" i="1" s="1"/>
  <c r="AE584" i="1" l="1"/>
  <c r="AD584" i="1" s="1"/>
  <c r="AC583" i="1"/>
  <c r="Y584" i="1" s="1"/>
  <c r="AB583" i="1"/>
  <c r="X584" i="1" s="1"/>
  <c r="R582" i="1"/>
  <c r="N583" i="1" s="1"/>
  <c r="M583" i="1"/>
  <c r="S303" i="1"/>
  <c r="V584" i="1"/>
  <c r="W583" i="1"/>
  <c r="L583" i="1"/>
  <c r="O583" i="1" s="1"/>
  <c r="AC584" i="1" l="1"/>
  <c r="Y585" i="1" s="1"/>
  <c r="AE585" i="1"/>
  <c r="AD585" i="1" s="1"/>
  <c r="R583" i="1"/>
  <c r="N584" i="1" s="1"/>
  <c r="Q583" i="1"/>
  <c r="M584" i="1" s="1"/>
  <c r="AB584" i="1"/>
  <c r="X585" i="1" s="1"/>
  <c r="V585" i="1"/>
  <c r="W584" i="1"/>
  <c r="L584" i="1"/>
  <c r="O584" i="1" s="1"/>
  <c r="AC585" i="1" l="1"/>
  <c r="Y586" i="1" s="1"/>
  <c r="AE586" i="1"/>
  <c r="AD586" i="1" s="1"/>
  <c r="R584" i="1"/>
  <c r="N585" i="1" s="1"/>
  <c r="M585" i="1"/>
  <c r="AB585" i="1"/>
  <c r="X586" i="1" s="1"/>
  <c r="Q584" i="1"/>
  <c r="S304" i="1"/>
  <c r="V586" i="1"/>
  <c r="W585" i="1"/>
  <c r="L585" i="1"/>
  <c r="O585" i="1" s="1"/>
  <c r="AC586" i="1" l="1"/>
  <c r="Y587" i="1" s="1"/>
  <c r="AE587" i="1"/>
  <c r="AD587" i="1" s="1"/>
  <c r="Q585" i="1"/>
  <c r="M586" i="1" s="1"/>
  <c r="R585" i="1"/>
  <c r="N586" i="1" s="1"/>
  <c r="AB586" i="1"/>
  <c r="X587" i="1" s="1"/>
  <c r="V587" i="1"/>
  <c r="W586" i="1"/>
  <c r="L586" i="1"/>
  <c r="O586" i="1" s="1"/>
  <c r="AC587" i="1" l="1"/>
  <c r="Y588" i="1" s="1"/>
  <c r="AE588" i="1"/>
  <c r="AD588" i="1" s="1"/>
  <c r="R586" i="1"/>
  <c r="N587" i="1" s="1"/>
  <c r="M587" i="1"/>
  <c r="Q586" i="1"/>
  <c r="S305" i="1"/>
  <c r="V588" i="1"/>
  <c r="W587" i="1"/>
  <c r="L587" i="1"/>
  <c r="O587" i="1" s="1"/>
  <c r="AB587" i="1" s="1"/>
  <c r="X588" i="1" s="1"/>
  <c r="AE589" i="1" l="1"/>
  <c r="AD589" i="1" s="1"/>
  <c r="AC588" i="1"/>
  <c r="Y589" i="1" s="1"/>
  <c r="AB588" i="1"/>
  <c r="X589" i="1" s="1"/>
  <c r="R587" i="1"/>
  <c r="N588" i="1" s="1"/>
  <c r="Q587" i="1"/>
  <c r="M588" i="1" s="1"/>
  <c r="V589" i="1"/>
  <c r="W588" i="1"/>
  <c r="L588" i="1"/>
  <c r="O588" i="1" s="1"/>
  <c r="AE590" i="1" l="1"/>
  <c r="AD590" i="1" s="1"/>
  <c r="AC589" i="1"/>
  <c r="Y590" i="1" s="1"/>
  <c r="R588" i="1"/>
  <c r="N589" i="1" s="1"/>
  <c r="Q588" i="1"/>
  <c r="M589" i="1" s="1"/>
  <c r="S306" i="1"/>
  <c r="V590" i="1"/>
  <c r="W589" i="1"/>
  <c r="L589" i="1"/>
  <c r="O589" i="1" s="1"/>
  <c r="AB589" i="1" s="1"/>
  <c r="X590" i="1" s="1"/>
  <c r="AE591" i="1" l="1"/>
  <c r="AD591" i="1" s="1"/>
  <c r="AC590" i="1"/>
  <c r="Y591" i="1" s="1"/>
  <c r="M590" i="1"/>
  <c r="R589" i="1"/>
  <c r="N590" i="1" s="1"/>
  <c r="Q590" i="1" s="1"/>
  <c r="Q589" i="1"/>
  <c r="V591" i="1"/>
  <c r="W590" i="1"/>
  <c r="L590" i="1"/>
  <c r="O590" i="1" s="1"/>
  <c r="AB590" i="1" s="1"/>
  <c r="X591" i="1" s="1"/>
  <c r="AE592" i="1" l="1"/>
  <c r="AD592" i="1" s="1"/>
  <c r="AB591" i="1"/>
  <c r="X592" i="1" s="1"/>
  <c r="AC591" i="1"/>
  <c r="Y592" i="1" s="1"/>
  <c r="R590" i="1"/>
  <c r="N591" i="1" s="1"/>
  <c r="M591" i="1"/>
  <c r="S307" i="1"/>
  <c r="V592" i="1"/>
  <c r="W591" i="1"/>
  <c r="L591" i="1"/>
  <c r="O591" i="1" s="1"/>
  <c r="AE593" i="1" l="1"/>
  <c r="AD593" i="1" s="1"/>
  <c r="R591" i="1"/>
  <c r="N592" i="1" s="1"/>
  <c r="M592" i="1"/>
  <c r="AC592" i="1"/>
  <c r="Y593" i="1" s="1"/>
  <c r="Q591" i="1"/>
  <c r="V593" i="1"/>
  <c r="W592" i="1"/>
  <c r="L592" i="1"/>
  <c r="O592" i="1" s="1"/>
  <c r="AB592" i="1" s="1"/>
  <c r="X593" i="1" s="1"/>
  <c r="AE594" i="1" l="1"/>
  <c r="AD594" i="1" s="1"/>
  <c r="AB593" i="1"/>
  <c r="X594" i="1" s="1"/>
  <c r="AC593" i="1"/>
  <c r="Y594" i="1" s="1"/>
  <c r="M593" i="1"/>
  <c r="R592" i="1"/>
  <c r="N593" i="1" s="1"/>
  <c r="Q592" i="1"/>
  <c r="S308" i="1"/>
  <c r="V594" i="1"/>
  <c r="W593" i="1"/>
  <c r="L593" i="1"/>
  <c r="O593" i="1" s="1"/>
  <c r="AC594" i="1" l="1"/>
  <c r="Y595" i="1" s="1"/>
  <c r="AE595" i="1"/>
  <c r="AD595" i="1" s="1"/>
  <c r="AB594" i="1"/>
  <c r="X595" i="1" s="1"/>
  <c r="R593" i="1"/>
  <c r="N594" i="1" s="1"/>
  <c r="M594" i="1"/>
  <c r="Q593" i="1"/>
  <c r="V595" i="1"/>
  <c r="W594" i="1"/>
  <c r="L594" i="1"/>
  <c r="O594" i="1" s="1"/>
  <c r="AC595" i="1" l="1"/>
  <c r="Y596" i="1" s="1"/>
  <c r="AE596" i="1"/>
  <c r="AD596" i="1" s="1"/>
  <c r="AB595" i="1"/>
  <c r="X596" i="1" s="1"/>
  <c r="R594" i="1"/>
  <c r="N595" i="1" s="1"/>
  <c r="Q594" i="1"/>
  <c r="M595" i="1" s="1"/>
  <c r="S309" i="1"/>
  <c r="V596" i="1"/>
  <c r="W595" i="1"/>
  <c r="L595" i="1"/>
  <c r="O595" i="1" s="1"/>
  <c r="AE597" i="1" l="1"/>
  <c r="AD597" i="1" s="1"/>
  <c r="R595" i="1"/>
  <c r="N596" i="1" s="1"/>
  <c r="AC596" i="1"/>
  <c r="Y597" i="1" s="1"/>
  <c r="Q595" i="1"/>
  <c r="M596" i="1" s="1"/>
  <c r="V597" i="1"/>
  <c r="W596" i="1"/>
  <c r="L596" i="1"/>
  <c r="O596" i="1" s="1"/>
  <c r="AB596" i="1" s="1"/>
  <c r="X597" i="1" s="1"/>
  <c r="AE598" i="1" l="1"/>
  <c r="AD598" i="1" s="1"/>
  <c r="AC597" i="1"/>
  <c r="Y598" i="1" s="1"/>
  <c r="R596" i="1"/>
  <c r="N597" i="1" s="1"/>
  <c r="Q596" i="1"/>
  <c r="M597" i="1" s="1"/>
  <c r="S310" i="1"/>
  <c r="V598" i="1"/>
  <c r="W597" i="1"/>
  <c r="L597" i="1"/>
  <c r="O597" i="1" s="1"/>
  <c r="AB597" i="1" s="1"/>
  <c r="X598" i="1" s="1"/>
  <c r="AE599" i="1" l="1"/>
  <c r="AD599" i="1" s="1"/>
  <c r="R597" i="1"/>
  <c r="N598" i="1" s="1"/>
  <c r="AC598" i="1"/>
  <c r="Y599" i="1" s="1"/>
  <c r="AB598" i="1"/>
  <c r="X599" i="1" s="1"/>
  <c r="Q597" i="1"/>
  <c r="M598" i="1" s="1"/>
  <c r="V599" i="1"/>
  <c r="W598" i="1"/>
  <c r="L598" i="1"/>
  <c r="O598" i="1" s="1"/>
  <c r="AE600" i="1" l="1"/>
  <c r="AD600" i="1" s="1"/>
  <c r="AC599" i="1"/>
  <c r="Y600" i="1" s="1"/>
  <c r="AB599" i="1"/>
  <c r="X600" i="1" s="1"/>
  <c r="M599" i="1"/>
  <c r="R598" i="1"/>
  <c r="N599" i="1" s="1"/>
  <c r="Q599" i="1" s="1"/>
  <c r="Q598" i="1"/>
  <c r="S311" i="1"/>
  <c r="V600" i="1"/>
  <c r="W599" i="1"/>
  <c r="L599" i="1"/>
  <c r="O599" i="1" s="1"/>
  <c r="AE601" i="1" l="1"/>
  <c r="AD601" i="1" s="1"/>
  <c r="AB600" i="1"/>
  <c r="X601" i="1" s="1"/>
  <c r="M600" i="1"/>
  <c r="R599" i="1"/>
  <c r="N600" i="1" s="1"/>
  <c r="Q600" i="1" s="1"/>
  <c r="AC600" i="1"/>
  <c r="Y601" i="1" s="1"/>
  <c r="AC601" i="1" s="1"/>
  <c r="Y602" i="1" s="1"/>
  <c r="V601" i="1"/>
  <c r="W600" i="1"/>
  <c r="L600" i="1"/>
  <c r="O600" i="1" s="1"/>
  <c r="AE602" i="1" l="1"/>
  <c r="AD602" i="1" s="1"/>
  <c r="AB601" i="1"/>
  <c r="X602" i="1"/>
  <c r="M601" i="1"/>
  <c r="R600" i="1"/>
  <c r="N601" i="1" s="1"/>
  <c r="Q601" i="1" s="1"/>
  <c r="S312" i="1"/>
  <c r="V602" i="1"/>
  <c r="W601" i="1"/>
  <c r="L601" i="1"/>
  <c r="O601" i="1" s="1"/>
  <c r="AE603" i="1" l="1"/>
  <c r="AD603" i="1" s="1"/>
  <c r="AB602" i="1"/>
  <c r="X603" i="1" s="1"/>
  <c r="AC602" i="1"/>
  <c r="Y603" i="1" s="1"/>
  <c r="AC603" i="1" s="1"/>
  <c r="Y604" i="1" s="1"/>
  <c r="R601" i="1"/>
  <c r="N602" i="1" s="1"/>
  <c r="M602" i="1"/>
  <c r="V603" i="1"/>
  <c r="W602" i="1"/>
  <c r="L602" i="1"/>
  <c r="O602" i="1" s="1"/>
  <c r="AE604" i="1" l="1"/>
  <c r="AD604" i="1" s="1"/>
  <c r="AB603" i="1"/>
  <c r="X604" i="1" s="1"/>
  <c r="R602" i="1"/>
  <c r="N603" i="1" s="1"/>
  <c r="Q602" i="1"/>
  <c r="M603" i="1" s="1"/>
  <c r="S313" i="1"/>
  <c r="V604" i="1"/>
  <c r="W603" i="1"/>
  <c r="L603" i="1"/>
  <c r="O603" i="1" s="1"/>
  <c r="AE605" i="1" l="1"/>
  <c r="AD605" i="1" s="1"/>
  <c r="R603" i="1"/>
  <c r="N604" i="1" s="1"/>
  <c r="Q603" i="1"/>
  <c r="M604" i="1" s="1"/>
  <c r="AC604" i="1"/>
  <c r="Y605" i="1" s="1"/>
  <c r="V605" i="1"/>
  <c r="W604" i="1"/>
  <c r="L604" i="1"/>
  <c r="O604" i="1" s="1"/>
  <c r="AB604" i="1" s="1"/>
  <c r="X605" i="1" s="1"/>
  <c r="AE606" i="1" l="1"/>
  <c r="AD606" i="1" s="1"/>
  <c r="AC605" i="1"/>
  <c r="Y606" i="1" s="1"/>
  <c r="R604" i="1"/>
  <c r="N605" i="1" s="1"/>
  <c r="Q604" i="1"/>
  <c r="M605" i="1" s="1"/>
  <c r="S314" i="1"/>
  <c r="V606" i="1"/>
  <c r="W605" i="1"/>
  <c r="L605" i="1"/>
  <c r="O605" i="1" s="1"/>
  <c r="AB605" i="1" s="1"/>
  <c r="X606" i="1" s="1"/>
  <c r="AE607" i="1" l="1"/>
  <c r="AD607" i="1" s="1"/>
  <c r="AC606" i="1"/>
  <c r="Y607" i="1" s="1"/>
  <c r="R605" i="1"/>
  <c r="N606" i="1" s="1"/>
  <c r="AB606" i="1"/>
  <c r="X607" i="1" s="1"/>
  <c r="Q605" i="1"/>
  <c r="M606" i="1" s="1"/>
  <c r="V607" i="1"/>
  <c r="W606" i="1"/>
  <c r="L606" i="1"/>
  <c r="O606" i="1" s="1"/>
  <c r="AC607" i="1" l="1"/>
  <c r="Y608" i="1" s="1"/>
  <c r="AE608" i="1"/>
  <c r="AD608" i="1" s="1"/>
  <c r="R606" i="1"/>
  <c r="N607" i="1" s="1"/>
  <c r="AB607" i="1"/>
  <c r="X608" i="1" s="1"/>
  <c r="Q606" i="1"/>
  <c r="M607" i="1" s="1"/>
  <c r="S315" i="1"/>
  <c r="V608" i="1"/>
  <c r="W607" i="1"/>
  <c r="L607" i="1"/>
  <c r="O607" i="1" s="1"/>
  <c r="AC608" i="1" l="1"/>
  <c r="Y609" i="1" s="1"/>
  <c r="AE609" i="1"/>
  <c r="AD609" i="1" s="1"/>
  <c r="R607" i="1"/>
  <c r="N608" i="1" s="1"/>
  <c r="Q607" i="1"/>
  <c r="M608" i="1" s="1"/>
  <c r="V609" i="1"/>
  <c r="W608" i="1"/>
  <c r="L608" i="1"/>
  <c r="O608" i="1" s="1"/>
  <c r="AB608" i="1" s="1"/>
  <c r="X609" i="1" s="1"/>
  <c r="AE610" i="1" l="1"/>
  <c r="AD610" i="1" s="1"/>
  <c r="AC609" i="1"/>
  <c r="Y610" i="1" s="1"/>
  <c r="M609" i="1"/>
  <c r="R608" i="1"/>
  <c r="N609" i="1" s="1"/>
  <c r="Q609" i="1" s="1"/>
  <c r="Q608" i="1"/>
  <c r="S316" i="1"/>
  <c r="V610" i="1"/>
  <c r="W609" i="1"/>
  <c r="L609" i="1"/>
  <c r="O609" i="1" s="1"/>
  <c r="AB609" i="1" s="1"/>
  <c r="X610" i="1" s="1"/>
  <c r="AE611" i="1" l="1"/>
  <c r="AD611" i="1" s="1"/>
  <c r="AC610" i="1"/>
  <c r="Y611" i="1" s="1"/>
  <c r="AB610" i="1"/>
  <c r="X611" i="1" s="1"/>
  <c r="R609" i="1"/>
  <c r="N610" i="1" s="1"/>
  <c r="Q610" i="1" s="1"/>
  <c r="M610" i="1"/>
  <c r="V611" i="1"/>
  <c r="W610" i="1"/>
  <c r="L610" i="1"/>
  <c r="O610" i="1" s="1"/>
  <c r="AE612" i="1" l="1"/>
  <c r="AD612" i="1" s="1"/>
  <c r="AC611" i="1"/>
  <c r="Y612" i="1" s="1"/>
  <c r="AB611" i="1"/>
  <c r="X612" i="1" s="1"/>
  <c r="R610" i="1"/>
  <c r="N611" i="1" s="1"/>
  <c r="M611" i="1"/>
  <c r="S317" i="1"/>
  <c r="V612" i="1"/>
  <c r="W611" i="1"/>
  <c r="L611" i="1"/>
  <c r="O611" i="1" s="1"/>
  <c r="AC612" i="1" l="1"/>
  <c r="Y613" i="1" s="1"/>
  <c r="AE613" i="1"/>
  <c r="AD613" i="1" s="1"/>
  <c r="M612" i="1"/>
  <c r="R611" i="1"/>
  <c r="N612" i="1" s="1"/>
  <c r="Q612" i="1" s="1"/>
  <c r="AB612" i="1"/>
  <c r="X613" i="1" s="1"/>
  <c r="Q611" i="1"/>
  <c r="V613" i="1"/>
  <c r="W612" i="1"/>
  <c r="L612" i="1"/>
  <c r="O612" i="1" s="1"/>
  <c r="AE614" i="1" l="1"/>
  <c r="AD614" i="1" s="1"/>
  <c r="AB613" i="1"/>
  <c r="X614" i="1" s="1"/>
  <c r="M613" i="1"/>
  <c r="R612" i="1"/>
  <c r="N613" i="1" s="1"/>
  <c r="Q613" i="1" s="1"/>
  <c r="AC613" i="1"/>
  <c r="Y614" i="1" s="1"/>
  <c r="AC614" i="1" s="1"/>
  <c r="Y615" i="1" s="1"/>
  <c r="S318" i="1"/>
  <c r="V614" i="1"/>
  <c r="W613" i="1"/>
  <c r="L613" i="1"/>
  <c r="O613" i="1" s="1"/>
  <c r="AE615" i="1" l="1"/>
  <c r="AD615" i="1" s="1"/>
  <c r="M614" i="1"/>
  <c r="R613" i="1"/>
  <c r="N614" i="1" s="1"/>
  <c r="V615" i="1"/>
  <c r="W614" i="1"/>
  <c r="L614" i="1"/>
  <c r="O614" i="1" s="1"/>
  <c r="AB614" i="1" s="1"/>
  <c r="X615" i="1" s="1"/>
  <c r="AE616" i="1" l="1"/>
  <c r="AD616" i="1" s="1"/>
  <c r="AC615" i="1"/>
  <c r="Y616" i="1" s="1"/>
  <c r="Q614" i="1"/>
  <c r="M615" i="1" s="1"/>
  <c r="R614" i="1"/>
  <c r="N615" i="1" s="1"/>
  <c r="S319" i="1"/>
  <c r="V616" i="1"/>
  <c r="W615" i="1"/>
  <c r="L615" i="1"/>
  <c r="O615" i="1" s="1"/>
  <c r="AB615" i="1" s="1"/>
  <c r="X616" i="1" s="1"/>
  <c r="AE617" i="1" l="1"/>
  <c r="AD617" i="1" s="1"/>
  <c r="R615" i="1"/>
  <c r="N616" i="1" s="1"/>
  <c r="AC616" i="1"/>
  <c r="Y617" i="1" s="1"/>
  <c r="AB616" i="1"/>
  <c r="X617" i="1" s="1"/>
  <c r="Q615" i="1"/>
  <c r="M616" i="1" s="1"/>
  <c r="V617" i="1"/>
  <c r="W616" i="1"/>
  <c r="L616" i="1"/>
  <c r="O616" i="1" s="1"/>
  <c r="AE618" i="1" l="1"/>
  <c r="AD618" i="1" s="1"/>
  <c r="AC617" i="1"/>
  <c r="Y618" i="1" s="1"/>
  <c r="R616" i="1"/>
  <c r="N617" i="1" s="1"/>
  <c r="AB617" i="1"/>
  <c r="X618" i="1" s="1"/>
  <c r="Q616" i="1"/>
  <c r="M617" i="1" s="1"/>
  <c r="S320" i="1"/>
  <c r="V618" i="1"/>
  <c r="W617" i="1"/>
  <c r="L617" i="1"/>
  <c r="O617" i="1" s="1"/>
  <c r="AC618" i="1" l="1"/>
  <c r="Y619" i="1" s="1"/>
  <c r="AE619" i="1"/>
  <c r="AD619" i="1" s="1"/>
  <c r="R617" i="1"/>
  <c r="N618" i="1" s="1"/>
  <c r="Q617" i="1"/>
  <c r="M618" i="1" s="1"/>
  <c r="V619" i="1"/>
  <c r="W618" i="1"/>
  <c r="L618" i="1"/>
  <c r="O618" i="1" s="1"/>
  <c r="AB618" i="1" s="1"/>
  <c r="X619" i="1" s="1"/>
  <c r="AE620" i="1" l="1"/>
  <c r="AD620" i="1" s="1"/>
  <c r="R618" i="1"/>
  <c r="N619" i="1" s="1"/>
  <c r="Q618" i="1"/>
  <c r="M619" i="1" s="1"/>
  <c r="AC619" i="1"/>
  <c r="Y620" i="1" s="1"/>
  <c r="S321" i="1"/>
  <c r="V620" i="1"/>
  <c r="W619" i="1"/>
  <c r="L619" i="1"/>
  <c r="O619" i="1" s="1"/>
  <c r="AB619" i="1" s="1"/>
  <c r="X620" i="1" s="1"/>
  <c r="AE621" i="1" l="1"/>
  <c r="AD621" i="1" s="1"/>
  <c r="AC620" i="1"/>
  <c r="Y621" i="1" s="1"/>
  <c r="R619" i="1"/>
  <c r="N620" i="1" s="1"/>
  <c r="Q619" i="1"/>
  <c r="M620" i="1" s="1"/>
  <c r="V621" i="1"/>
  <c r="W620" i="1"/>
  <c r="L620" i="1"/>
  <c r="O620" i="1" s="1"/>
  <c r="AB620" i="1" s="1"/>
  <c r="X621" i="1" s="1"/>
  <c r="AE622" i="1" s="1"/>
  <c r="AD622" i="1" s="1"/>
  <c r="AC621" i="1" l="1"/>
  <c r="Y622" i="1" s="1"/>
  <c r="M621" i="1"/>
  <c r="R620" i="1"/>
  <c r="N621" i="1" s="1"/>
  <c r="Q620" i="1"/>
  <c r="S322" i="1"/>
  <c r="V622" i="1"/>
  <c r="W621" i="1"/>
  <c r="L621" i="1"/>
  <c r="O621" i="1" s="1"/>
  <c r="AB621" i="1" s="1"/>
  <c r="X622" i="1" s="1"/>
  <c r="AE623" i="1" s="1"/>
  <c r="AD623" i="1" s="1"/>
  <c r="AC622" i="1" l="1"/>
  <c r="Y623" i="1" s="1"/>
  <c r="AB622" i="1"/>
  <c r="X623" i="1" s="1"/>
  <c r="AE624" i="1" s="1"/>
  <c r="AD624" i="1" s="1"/>
  <c r="R621" i="1"/>
  <c r="N622" i="1" s="1"/>
  <c r="Q621" i="1"/>
  <c r="M622" i="1" s="1"/>
  <c r="V623" i="1"/>
  <c r="W622" i="1"/>
  <c r="L622" i="1"/>
  <c r="O622" i="1" s="1"/>
  <c r="R622" i="1" l="1"/>
  <c r="N623" i="1" s="1"/>
  <c r="AB623" i="1"/>
  <c r="X624" i="1" s="1"/>
  <c r="AC623" i="1"/>
  <c r="Y624" i="1" s="1"/>
  <c r="Q622" i="1"/>
  <c r="M623" i="1" s="1"/>
  <c r="S323" i="1"/>
  <c r="V624" i="1"/>
  <c r="W623" i="1"/>
  <c r="L623" i="1"/>
  <c r="O623" i="1" s="1"/>
  <c r="AE625" i="1" l="1"/>
  <c r="AD625" i="1" s="1"/>
  <c r="AC624" i="1"/>
  <c r="Y625" i="1" s="1"/>
  <c r="M624" i="1"/>
  <c r="R623" i="1"/>
  <c r="N624" i="1" s="1"/>
  <c r="Q624" i="1" s="1"/>
  <c r="Q623" i="1"/>
  <c r="V625" i="1"/>
  <c r="W624" i="1"/>
  <c r="L624" i="1"/>
  <c r="O624" i="1" s="1"/>
  <c r="AB624" i="1" s="1"/>
  <c r="X625" i="1" s="1"/>
  <c r="AE626" i="1" l="1"/>
  <c r="AD626" i="1" s="1"/>
  <c r="AB625" i="1"/>
  <c r="X626" i="1" s="1"/>
  <c r="AC625" i="1"/>
  <c r="Y626" i="1" s="1"/>
  <c r="M625" i="1"/>
  <c r="R624" i="1"/>
  <c r="N625" i="1" s="1"/>
  <c r="S324" i="1"/>
  <c r="V626" i="1"/>
  <c r="W625" i="1"/>
  <c r="L625" i="1"/>
  <c r="O625" i="1" s="1"/>
  <c r="AE627" i="1" l="1"/>
  <c r="AD627" i="1" s="1"/>
  <c r="AC626" i="1"/>
  <c r="Y627" i="1" s="1"/>
  <c r="AB626" i="1"/>
  <c r="X627" i="1" s="1"/>
  <c r="R625" i="1"/>
  <c r="N626" i="1" s="1"/>
  <c r="Q625" i="1"/>
  <c r="M626" i="1" s="1"/>
  <c r="V627" i="1"/>
  <c r="W626" i="1"/>
  <c r="L626" i="1"/>
  <c r="O626" i="1" s="1"/>
  <c r="AE628" i="1" l="1"/>
  <c r="AD628" i="1" s="1"/>
  <c r="AC627" i="1"/>
  <c r="Y628" i="1" s="1"/>
  <c r="R626" i="1"/>
  <c r="N627" i="1" s="1"/>
  <c r="Q626" i="1"/>
  <c r="M627" i="1" s="1"/>
  <c r="S325" i="1"/>
  <c r="V628" i="1"/>
  <c r="W627" i="1"/>
  <c r="L627" i="1"/>
  <c r="O627" i="1" s="1"/>
  <c r="AB627" i="1" s="1"/>
  <c r="X628" i="1" s="1"/>
  <c r="AE629" i="1" l="1"/>
  <c r="AD629" i="1" s="1"/>
  <c r="R627" i="1"/>
  <c r="N628" i="1" s="1"/>
  <c r="AC628" i="1"/>
  <c r="Y629" i="1" s="1"/>
  <c r="AB628" i="1"/>
  <c r="X629" i="1" s="1"/>
  <c r="Q627" i="1"/>
  <c r="M628" i="1" s="1"/>
  <c r="V629" i="1"/>
  <c r="W628" i="1"/>
  <c r="L628" i="1"/>
  <c r="O628" i="1" s="1"/>
  <c r="AE630" i="1" l="1"/>
  <c r="AD630" i="1" s="1"/>
  <c r="AC629" i="1"/>
  <c r="Y630" i="1" s="1"/>
  <c r="AB629" i="1"/>
  <c r="X630" i="1" s="1"/>
  <c r="R628" i="1"/>
  <c r="N629" i="1" s="1"/>
  <c r="M629" i="1"/>
  <c r="Q628" i="1"/>
  <c r="S326" i="1"/>
  <c r="V630" i="1"/>
  <c r="W629" i="1"/>
  <c r="L629" i="1"/>
  <c r="O629" i="1" s="1"/>
  <c r="AC630" i="1" l="1"/>
  <c r="Y631" i="1" s="1"/>
  <c r="AE631" i="1"/>
  <c r="AD631" i="1" s="1"/>
  <c r="Q629" i="1"/>
  <c r="AB630" i="1"/>
  <c r="X631" i="1" s="1"/>
  <c r="M630" i="1"/>
  <c r="R629" i="1"/>
  <c r="N630" i="1" s="1"/>
  <c r="Q630" i="1" s="1"/>
  <c r="V631" i="1"/>
  <c r="W630" i="1"/>
  <c r="L630" i="1"/>
  <c r="O630" i="1" s="1"/>
  <c r="AC631" i="1" l="1"/>
  <c r="Y632" i="1" s="1"/>
  <c r="AE632" i="1"/>
  <c r="AD632" i="1" s="1"/>
  <c r="AB631" i="1"/>
  <c r="X632" i="1" s="1"/>
  <c r="M631" i="1"/>
  <c r="R630" i="1"/>
  <c r="N631" i="1" s="1"/>
  <c r="Q631" i="1" s="1"/>
  <c r="S327" i="1"/>
  <c r="V632" i="1"/>
  <c r="W631" i="1"/>
  <c r="L631" i="1"/>
  <c r="O631" i="1" s="1"/>
  <c r="AC632" i="1" l="1"/>
  <c r="Y633" i="1" s="1"/>
  <c r="AE633" i="1"/>
  <c r="AD633" i="1" s="1"/>
  <c r="M632" i="1"/>
  <c r="R631" i="1"/>
  <c r="N632" i="1" s="1"/>
  <c r="V633" i="1"/>
  <c r="W632" i="1"/>
  <c r="L632" i="1"/>
  <c r="O632" i="1" s="1"/>
  <c r="AB632" i="1" s="1"/>
  <c r="X633" i="1" s="1"/>
  <c r="AE634" i="1" l="1"/>
  <c r="AD634" i="1" s="1"/>
  <c r="AB633" i="1"/>
  <c r="X634" i="1" s="1"/>
  <c r="AC633" i="1"/>
  <c r="Y634" i="1" s="1"/>
  <c r="Q632" i="1"/>
  <c r="R632" i="1"/>
  <c r="N633" i="1" s="1"/>
  <c r="M633" i="1"/>
  <c r="S328" i="1"/>
  <c r="V634" i="1"/>
  <c r="W633" i="1"/>
  <c r="L633" i="1"/>
  <c r="O633" i="1" s="1"/>
  <c r="AC634" i="1" l="1"/>
  <c r="Y635" i="1" s="1"/>
  <c r="AE635" i="1"/>
  <c r="AD635" i="1" s="1"/>
  <c r="R633" i="1"/>
  <c r="N634" i="1" s="1"/>
  <c r="Q633" i="1"/>
  <c r="M634" i="1" s="1"/>
  <c r="V635" i="1"/>
  <c r="W634" i="1"/>
  <c r="L634" i="1"/>
  <c r="O634" i="1" s="1"/>
  <c r="AB634" i="1" s="1"/>
  <c r="X635" i="1" s="1"/>
  <c r="AE636" i="1" l="1"/>
  <c r="AD636" i="1" s="1"/>
  <c r="AC635" i="1"/>
  <c r="Y636" i="1" s="1"/>
  <c r="R634" i="1"/>
  <c r="N635" i="1" s="1"/>
  <c r="Q634" i="1"/>
  <c r="M635" i="1" s="1"/>
  <c r="S329" i="1"/>
  <c r="V636" i="1"/>
  <c r="W635" i="1"/>
  <c r="L635" i="1"/>
  <c r="O635" i="1" s="1"/>
  <c r="AB635" i="1" s="1"/>
  <c r="X636" i="1" s="1"/>
  <c r="AE637" i="1" l="1"/>
  <c r="AD637" i="1" s="1"/>
  <c r="AC636" i="1"/>
  <c r="Y637" i="1" s="1"/>
  <c r="R635" i="1"/>
  <c r="N636" i="1" s="1"/>
  <c r="Q635" i="1"/>
  <c r="M636" i="1" s="1"/>
  <c r="V637" i="1"/>
  <c r="W636" i="1"/>
  <c r="L636" i="1"/>
  <c r="O636" i="1" s="1"/>
  <c r="AB636" i="1" s="1"/>
  <c r="X637" i="1" s="1"/>
  <c r="AE638" i="1" l="1"/>
  <c r="AD638" i="1" s="1"/>
  <c r="AB637" i="1"/>
  <c r="X638" i="1" s="1"/>
  <c r="R636" i="1"/>
  <c r="N637" i="1" s="1"/>
  <c r="AC637" i="1"/>
  <c r="Y638" i="1" s="1"/>
  <c r="AC638" i="1" s="1"/>
  <c r="Y639" i="1" s="1"/>
  <c r="Q636" i="1"/>
  <c r="M637" i="1" s="1"/>
  <c r="S330" i="1"/>
  <c r="V638" i="1"/>
  <c r="W637" i="1"/>
  <c r="L637" i="1"/>
  <c r="O637" i="1" s="1"/>
  <c r="AE639" i="1" l="1"/>
  <c r="AD639" i="1" s="1"/>
  <c r="R637" i="1"/>
  <c r="N638" i="1" s="1"/>
  <c r="M638" i="1"/>
  <c r="Q637" i="1"/>
  <c r="V639" i="1"/>
  <c r="W638" i="1"/>
  <c r="L638" i="1"/>
  <c r="O638" i="1" s="1"/>
  <c r="AB638" i="1" s="1"/>
  <c r="X639" i="1" s="1"/>
  <c r="AE640" i="1" l="1"/>
  <c r="AD640" i="1" s="1"/>
  <c r="AC639" i="1"/>
  <c r="Y640" i="1" s="1"/>
  <c r="Q638" i="1"/>
  <c r="M639" i="1" s="1"/>
  <c r="R638" i="1"/>
  <c r="N639" i="1" s="1"/>
  <c r="S331" i="1"/>
  <c r="V640" i="1"/>
  <c r="W639" i="1"/>
  <c r="L639" i="1"/>
  <c r="O639" i="1" s="1"/>
  <c r="AB639" i="1" s="1"/>
  <c r="X640" i="1" s="1"/>
  <c r="AE641" i="1" l="1"/>
  <c r="AD641" i="1" s="1"/>
  <c r="M640" i="1"/>
  <c r="R639" i="1"/>
  <c r="N640" i="1" s="1"/>
  <c r="AC640" i="1"/>
  <c r="Y641" i="1" s="1"/>
  <c r="Q639" i="1"/>
  <c r="V641" i="1"/>
  <c r="W640" i="1"/>
  <c r="L640" i="1"/>
  <c r="O640" i="1" s="1"/>
  <c r="AB640" i="1" s="1"/>
  <c r="X641" i="1" s="1"/>
  <c r="AE642" i="1" l="1"/>
  <c r="AD642" i="1" s="1"/>
  <c r="AC641" i="1"/>
  <c r="Y642" i="1" s="1"/>
  <c r="Q640" i="1"/>
  <c r="M641" i="1" s="1"/>
  <c r="R640" i="1"/>
  <c r="N641" i="1" s="1"/>
  <c r="S332" i="1"/>
  <c r="V642" i="1"/>
  <c r="W641" i="1"/>
  <c r="L641" i="1"/>
  <c r="O641" i="1" s="1"/>
  <c r="AB641" i="1" s="1"/>
  <c r="X642" i="1" s="1"/>
  <c r="AE643" i="1" l="1"/>
  <c r="AD643" i="1" s="1"/>
  <c r="R641" i="1"/>
  <c r="N642" i="1" s="1"/>
  <c r="AC642" i="1"/>
  <c r="Y643" i="1" s="1"/>
  <c r="AB642" i="1"/>
  <c r="X643" i="1" s="1"/>
  <c r="Q641" i="1"/>
  <c r="M642" i="1" s="1"/>
  <c r="V643" i="1"/>
  <c r="W642" i="1"/>
  <c r="L642" i="1"/>
  <c r="O642" i="1" s="1"/>
  <c r="AC643" i="1" l="1"/>
  <c r="Y644" i="1" s="1"/>
  <c r="AE644" i="1"/>
  <c r="AD644" i="1" s="1"/>
  <c r="M643" i="1"/>
  <c r="R642" i="1"/>
  <c r="N643" i="1" s="1"/>
  <c r="AB643" i="1"/>
  <c r="X644" i="1" s="1"/>
  <c r="Q642" i="1"/>
  <c r="S333" i="1"/>
  <c r="V644" i="1"/>
  <c r="W643" i="1"/>
  <c r="L643" i="1"/>
  <c r="O643" i="1" s="1"/>
  <c r="AE645" i="1" l="1"/>
  <c r="AD645" i="1" s="1"/>
  <c r="M644" i="1"/>
  <c r="R643" i="1"/>
  <c r="N644" i="1" s="1"/>
  <c r="Q644" i="1" s="1"/>
  <c r="AC644" i="1"/>
  <c r="Y645" i="1" s="1"/>
  <c r="Q643" i="1"/>
  <c r="V645" i="1"/>
  <c r="W644" i="1"/>
  <c r="L644" i="1"/>
  <c r="O644" i="1" s="1"/>
  <c r="AB644" i="1" s="1"/>
  <c r="X645" i="1" s="1"/>
  <c r="AE646" i="1" s="1"/>
  <c r="AD646" i="1" s="1"/>
  <c r="AC645" i="1" l="1"/>
  <c r="Y646" i="1" s="1"/>
  <c r="AB645" i="1"/>
  <c r="X646" i="1" s="1"/>
  <c r="M645" i="1"/>
  <c r="R644" i="1"/>
  <c r="N645" i="1" s="1"/>
  <c r="S334" i="1"/>
  <c r="V646" i="1"/>
  <c r="W645" i="1"/>
  <c r="L645" i="1"/>
  <c r="O645" i="1" s="1"/>
  <c r="AC646" i="1" l="1"/>
  <c r="Y647" i="1" s="1"/>
  <c r="AE647" i="1"/>
  <c r="AD647" i="1" s="1"/>
  <c r="Q645" i="1"/>
  <c r="M646" i="1" s="1"/>
  <c r="AB646" i="1"/>
  <c r="X647" i="1" s="1"/>
  <c r="R645" i="1"/>
  <c r="N646" i="1" s="1"/>
  <c r="V647" i="1"/>
  <c r="W646" i="1"/>
  <c r="L646" i="1"/>
  <c r="O646" i="1" s="1"/>
  <c r="AE648" i="1" l="1"/>
  <c r="AD648" i="1" s="1"/>
  <c r="R646" i="1"/>
  <c r="N647" i="1" s="1"/>
  <c r="AC647" i="1"/>
  <c r="Y648" i="1" s="1"/>
  <c r="Q646" i="1"/>
  <c r="M647" i="1" s="1"/>
  <c r="S335" i="1"/>
  <c r="V648" i="1"/>
  <c r="W647" i="1"/>
  <c r="L647" i="1"/>
  <c r="O647" i="1" s="1"/>
  <c r="AB647" i="1" s="1"/>
  <c r="X648" i="1" s="1"/>
  <c r="AE649" i="1" l="1"/>
  <c r="AD649" i="1" s="1"/>
  <c r="AC648" i="1"/>
  <c r="Y649" i="1" s="1"/>
  <c r="R647" i="1"/>
  <c r="N648" i="1" s="1"/>
  <c r="AB648" i="1"/>
  <c r="X649" i="1" s="1"/>
  <c r="Q647" i="1"/>
  <c r="M648" i="1" s="1"/>
  <c r="V649" i="1"/>
  <c r="W648" i="1"/>
  <c r="L648" i="1"/>
  <c r="O648" i="1" s="1"/>
  <c r="AC649" i="1" l="1"/>
  <c r="Y650" i="1" s="1"/>
  <c r="AE650" i="1"/>
  <c r="R648" i="1"/>
  <c r="N649" i="1" s="1"/>
  <c r="M649" i="1"/>
  <c r="Q648" i="1"/>
  <c r="S336" i="1"/>
  <c r="V650" i="1"/>
  <c r="W649" i="1"/>
  <c r="L649" i="1"/>
  <c r="O649" i="1" s="1"/>
  <c r="AB649" i="1" s="1"/>
  <c r="X650" i="1" s="1"/>
  <c r="AD650" i="1" l="1"/>
  <c r="AE651" i="1" s="1"/>
  <c r="AD651" i="1" s="1"/>
  <c r="AC650" i="1"/>
  <c r="Y651" i="1" s="1"/>
  <c r="R649" i="1"/>
  <c r="N650" i="1" s="1"/>
  <c r="M650" i="1"/>
  <c r="Q649" i="1"/>
  <c r="V651" i="1"/>
  <c r="W650" i="1"/>
  <c r="L650" i="1"/>
  <c r="O650" i="1" s="1"/>
  <c r="AB650" i="1" s="1"/>
  <c r="X651" i="1" s="1"/>
  <c r="AE652" i="1" l="1"/>
  <c r="AD652" i="1" s="1"/>
  <c r="AC651" i="1"/>
  <c r="Y652" i="1" s="1"/>
  <c r="Q650" i="1"/>
  <c r="M651" i="1" s="1"/>
  <c r="R650" i="1"/>
  <c r="N651" i="1" s="1"/>
  <c r="Q651" i="1" s="1"/>
  <c r="S337" i="1"/>
  <c r="V652" i="1"/>
  <c r="W651" i="1"/>
  <c r="L651" i="1"/>
  <c r="O651" i="1" s="1"/>
  <c r="AB651" i="1" s="1"/>
  <c r="X652" i="1" s="1"/>
  <c r="AE653" i="1" l="1"/>
  <c r="AD653" i="1" s="1"/>
  <c r="AB652" i="1"/>
  <c r="X653" i="1" s="1"/>
  <c r="AC652" i="1"/>
  <c r="Y653" i="1" s="1"/>
  <c r="R651" i="1"/>
  <c r="N652" i="1" s="1"/>
  <c r="M652" i="1"/>
  <c r="V653" i="1"/>
  <c r="W652" i="1"/>
  <c r="L652" i="1"/>
  <c r="O652" i="1" s="1"/>
  <c r="AC653" i="1" l="1"/>
  <c r="Y654" i="1" s="1"/>
  <c r="AE654" i="1"/>
  <c r="Q652" i="1"/>
  <c r="M653" i="1"/>
  <c r="R652" i="1"/>
  <c r="N653" i="1" s="1"/>
  <c r="Q653" i="1" s="1"/>
  <c r="S338" i="1"/>
  <c r="V654" i="1"/>
  <c r="W653" i="1"/>
  <c r="L653" i="1"/>
  <c r="O653" i="1" s="1"/>
  <c r="AB653" i="1" s="1"/>
  <c r="X654" i="1" s="1"/>
  <c r="AD654" i="1" l="1"/>
  <c r="AE655" i="1" s="1"/>
  <c r="AD655" i="1" s="1"/>
  <c r="AC654" i="1"/>
  <c r="Y655" i="1" s="1"/>
  <c r="M654" i="1"/>
  <c r="R653" i="1"/>
  <c r="N654" i="1" s="1"/>
  <c r="Q654" i="1" s="1"/>
  <c r="V655" i="1"/>
  <c r="W654" i="1"/>
  <c r="L654" i="1"/>
  <c r="O654" i="1" s="1"/>
  <c r="AB654" i="1" s="1"/>
  <c r="X655" i="1" s="1"/>
  <c r="AE656" i="1" l="1"/>
  <c r="AD656" i="1" s="1"/>
  <c r="AB655" i="1"/>
  <c r="X656" i="1" s="1"/>
  <c r="AC655" i="1"/>
  <c r="Y656" i="1" s="1"/>
  <c r="AC656" i="1" s="1"/>
  <c r="Y657" i="1" s="1"/>
  <c r="M655" i="1"/>
  <c r="R654" i="1"/>
  <c r="N655" i="1" s="1"/>
  <c r="S339" i="1"/>
  <c r="V656" i="1"/>
  <c r="W655" i="1"/>
  <c r="L655" i="1"/>
  <c r="O655" i="1" s="1"/>
  <c r="AE657" i="1" l="1"/>
  <c r="AD657" i="1" s="1"/>
  <c r="R655" i="1"/>
  <c r="N656" i="1" s="1"/>
  <c r="Q655" i="1"/>
  <c r="M656" i="1" s="1"/>
  <c r="V657" i="1"/>
  <c r="W656" i="1"/>
  <c r="L656" i="1"/>
  <c r="O656" i="1" s="1"/>
  <c r="AB656" i="1" s="1"/>
  <c r="X657" i="1" s="1"/>
  <c r="AE658" i="1" l="1"/>
  <c r="AD658" i="1" s="1"/>
  <c r="R656" i="1"/>
  <c r="N657" i="1" s="1"/>
  <c r="AB657" i="1"/>
  <c r="X658" i="1" s="1"/>
  <c r="AC657" i="1"/>
  <c r="Y658" i="1" s="1"/>
  <c r="AC658" i="1" s="1"/>
  <c r="Y659" i="1" s="1"/>
  <c r="Q656" i="1"/>
  <c r="M657" i="1" s="1"/>
  <c r="S340" i="1"/>
  <c r="V658" i="1"/>
  <c r="W657" i="1"/>
  <c r="L657" i="1"/>
  <c r="O657" i="1" s="1"/>
  <c r="AE659" i="1" l="1"/>
  <c r="AD659" i="1" s="1"/>
  <c r="R657" i="1"/>
  <c r="N658" i="1" s="1"/>
  <c r="Q657" i="1"/>
  <c r="M658" i="1" s="1"/>
  <c r="R658" i="1" s="1"/>
  <c r="N659" i="1" s="1"/>
  <c r="V659" i="1"/>
  <c r="W658" i="1"/>
  <c r="L658" i="1"/>
  <c r="O658" i="1" s="1"/>
  <c r="AB658" i="1" s="1"/>
  <c r="X659" i="1" s="1"/>
  <c r="AE660" i="1" l="1"/>
  <c r="AD660" i="1" s="1"/>
  <c r="AC659" i="1"/>
  <c r="Y660" i="1" s="1"/>
  <c r="Q658" i="1"/>
  <c r="M659" i="1" s="1"/>
  <c r="S341" i="1"/>
  <c r="V660" i="1"/>
  <c r="W659" i="1"/>
  <c r="L659" i="1"/>
  <c r="O659" i="1" s="1"/>
  <c r="AB659" i="1" s="1"/>
  <c r="X660" i="1" s="1"/>
  <c r="AE661" i="1" l="1"/>
  <c r="AD661" i="1" s="1"/>
  <c r="AB660" i="1"/>
  <c r="X661" i="1" s="1"/>
  <c r="AC660" i="1"/>
  <c r="Y661" i="1" s="1"/>
  <c r="AC661" i="1" s="1"/>
  <c r="Y662" i="1" s="1"/>
  <c r="R659" i="1"/>
  <c r="N660" i="1" s="1"/>
  <c r="Q659" i="1"/>
  <c r="M660" i="1" s="1"/>
  <c r="V661" i="1"/>
  <c r="W660" i="1"/>
  <c r="L660" i="1"/>
  <c r="O660" i="1" s="1"/>
  <c r="AE662" i="1" l="1"/>
  <c r="AD662" i="1" s="1"/>
  <c r="R660" i="1"/>
  <c r="N661" i="1" s="1"/>
  <c r="Q660" i="1"/>
  <c r="M661" i="1" s="1"/>
  <c r="S342" i="1"/>
  <c r="V662" i="1"/>
  <c r="W661" i="1"/>
  <c r="L661" i="1"/>
  <c r="O661" i="1" s="1"/>
  <c r="AB661" i="1" s="1"/>
  <c r="X662" i="1" s="1"/>
  <c r="AE663" i="1" l="1"/>
  <c r="AD663" i="1" s="1"/>
  <c r="R661" i="1"/>
  <c r="N662" i="1" s="1"/>
  <c r="AC662" i="1"/>
  <c r="Y663" i="1" s="1"/>
  <c r="AB662" i="1"/>
  <c r="X663" i="1" s="1"/>
  <c r="Q661" i="1"/>
  <c r="M662" i="1" s="1"/>
  <c r="R662" i="1" s="1"/>
  <c r="V663" i="1"/>
  <c r="W662" i="1"/>
  <c r="L662" i="1"/>
  <c r="O662" i="1" s="1"/>
  <c r="AE664" i="1" l="1"/>
  <c r="AD664" i="1" s="1"/>
  <c r="AC663" i="1"/>
  <c r="Y664" i="1" s="1"/>
  <c r="N663" i="1"/>
  <c r="Q662" i="1"/>
  <c r="M663" i="1" s="1"/>
  <c r="S343" i="1"/>
  <c r="V664" i="1"/>
  <c r="W663" i="1"/>
  <c r="L663" i="1"/>
  <c r="O663" i="1" s="1"/>
  <c r="AB663" i="1" s="1"/>
  <c r="X664" i="1" s="1"/>
  <c r="AE665" i="1" l="1"/>
  <c r="AD665" i="1" s="1"/>
  <c r="AC664" i="1"/>
  <c r="Y665" i="1" s="1"/>
  <c r="AB664" i="1"/>
  <c r="X665" i="1" s="1"/>
  <c r="N664" i="1"/>
  <c r="Q663" i="1"/>
  <c r="M664" i="1" s="1"/>
  <c r="R663" i="1"/>
  <c r="V665" i="1"/>
  <c r="W664" i="1"/>
  <c r="L664" i="1"/>
  <c r="O664" i="1" s="1"/>
  <c r="AE666" i="1" l="1"/>
  <c r="AD666" i="1" s="1"/>
  <c r="AC665" i="1"/>
  <c r="Y666" i="1" s="1"/>
  <c r="R664" i="1"/>
  <c r="AB665" i="1"/>
  <c r="X666" i="1" s="1"/>
  <c r="N665" i="1"/>
  <c r="Q664" i="1"/>
  <c r="M665" i="1" s="1"/>
  <c r="S344" i="1"/>
  <c r="V666" i="1"/>
  <c r="W665" i="1"/>
  <c r="L665" i="1"/>
  <c r="O665" i="1" s="1"/>
  <c r="AC666" i="1" l="1"/>
  <c r="Y667" i="1" s="1"/>
  <c r="AE667" i="1"/>
  <c r="AD667" i="1" s="1"/>
  <c r="R665" i="1"/>
  <c r="N666" i="1"/>
  <c r="Q665" i="1"/>
  <c r="M666" i="1" s="1"/>
  <c r="V667" i="1"/>
  <c r="W666" i="1"/>
  <c r="L666" i="1"/>
  <c r="O666" i="1" s="1"/>
  <c r="AB666" i="1" s="1"/>
  <c r="X667" i="1" s="1"/>
  <c r="AE668" i="1" l="1"/>
  <c r="AD668" i="1" s="1"/>
  <c r="R666" i="1"/>
  <c r="AC667" i="1"/>
  <c r="Y668" i="1" s="1"/>
  <c r="Q666" i="1"/>
  <c r="M667" i="1" s="1"/>
  <c r="N667" i="1"/>
  <c r="S345" i="1"/>
  <c r="V668" i="1"/>
  <c r="W667" i="1"/>
  <c r="L667" i="1"/>
  <c r="O667" i="1" s="1"/>
  <c r="AB667" i="1" s="1"/>
  <c r="X668" i="1" s="1"/>
  <c r="AE669" i="1" l="1"/>
  <c r="AD669" i="1" s="1"/>
  <c r="AC668" i="1"/>
  <c r="Y669" i="1" s="1"/>
  <c r="R667" i="1"/>
  <c r="AB668" i="1"/>
  <c r="X669" i="1" s="1"/>
  <c r="Q667" i="1"/>
  <c r="M668" i="1" s="1"/>
  <c r="R668" i="1" s="1"/>
  <c r="N669" i="1" s="1"/>
  <c r="N668" i="1"/>
  <c r="V669" i="1"/>
  <c r="W668" i="1"/>
  <c r="L668" i="1"/>
  <c r="O668" i="1" s="1"/>
  <c r="AC669" i="1" l="1"/>
  <c r="Y670" i="1" s="1"/>
  <c r="AE670" i="1"/>
  <c r="AD670" i="1" s="1"/>
  <c r="Q668" i="1"/>
  <c r="M669" i="1" s="1"/>
  <c r="Q669" i="1" s="1"/>
  <c r="S346" i="1"/>
  <c r="V670" i="1"/>
  <c r="W669" i="1"/>
  <c r="L669" i="1"/>
  <c r="O669" i="1" s="1"/>
  <c r="AB669" i="1" s="1"/>
  <c r="X670" i="1" s="1"/>
  <c r="AE671" i="1" l="1"/>
  <c r="AD671" i="1" s="1"/>
  <c r="AC670" i="1"/>
  <c r="Y671" i="1" s="1"/>
  <c r="R669" i="1"/>
  <c r="N670" i="1" s="1"/>
  <c r="M670" i="1"/>
  <c r="V671" i="1"/>
  <c r="W670" i="1"/>
  <c r="L670" i="1"/>
  <c r="O670" i="1" s="1"/>
  <c r="AB670" i="1" s="1"/>
  <c r="X671" i="1" s="1"/>
  <c r="AE672" i="1" l="1"/>
  <c r="AD672" i="1" s="1"/>
  <c r="AC671" i="1"/>
  <c r="Y672" i="1" s="1"/>
  <c r="R670" i="1"/>
  <c r="N671" i="1" s="1"/>
  <c r="Q670" i="1"/>
  <c r="M671" i="1" s="1"/>
  <c r="S347" i="1"/>
  <c r="V672" i="1"/>
  <c r="W671" i="1"/>
  <c r="L671" i="1"/>
  <c r="O671" i="1" s="1"/>
  <c r="AB671" i="1" s="1"/>
  <c r="X672" i="1" s="1"/>
  <c r="AE673" i="1" l="1"/>
  <c r="AD673" i="1" s="1"/>
  <c r="Q671" i="1"/>
  <c r="M672" i="1"/>
  <c r="R671" i="1"/>
  <c r="N672" i="1" s="1"/>
  <c r="AC672" i="1"/>
  <c r="Y673" i="1" s="1"/>
  <c r="V673" i="1"/>
  <c r="W672" i="1"/>
  <c r="L672" i="1"/>
  <c r="O672" i="1" s="1"/>
  <c r="AB672" i="1" s="1"/>
  <c r="X673" i="1" s="1"/>
  <c r="AE674" i="1" l="1"/>
  <c r="AD674" i="1" s="1"/>
  <c r="AC673" i="1"/>
  <c r="Y674" i="1" s="1"/>
  <c r="Q672" i="1"/>
  <c r="M673" i="1" s="1"/>
  <c r="R673" i="1" s="1"/>
  <c r="N674" i="1" s="1"/>
  <c r="N673" i="1"/>
  <c r="R672" i="1"/>
  <c r="S348" i="1"/>
  <c r="V674" i="1"/>
  <c r="W673" i="1"/>
  <c r="L673" i="1"/>
  <c r="O673" i="1" s="1"/>
  <c r="AB673" i="1" s="1"/>
  <c r="X674" i="1" s="1"/>
  <c r="AE675" i="1" l="1"/>
  <c r="AD675" i="1" s="1"/>
  <c r="AB674" i="1"/>
  <c r="X675" i="1" s="1"/>
  <c r="AC674" i="1"/>
  <c r="Y675" i="1" s="1"/>
  <c r="AC675" i="1" s="1"/>
  <c r="Y676" i="1" s="1"/>
  <c r="Q673" i="1"/>
  <c r="M674" i="1" s="1"/>
  <c r="V675" i="1"/>
  <c r="W674" i="1"/>
  <c r="L674" i="1"/>
  <c r="O674" i="1" s="1"/>
  <c r="AE676" i="1" l="1"/>
  <c r="AD676" i="1" s="1"/>
  <c r="AB675" i="1"/>
  <c r="X676" i="1" s="1"/>
  <c r="M675" i="1"/>
  <c r="R674" i="1"/>
  <c r="N675" i="1" s="1"/>
  <c r="Q674" i="1"/>
  <c r="S349" i="1"/>
  <c r="V676" i="1"/>
  <c r="W675" i="1"/>
  <c r="L675" i="1"/>
  <c r="O675" i="1" s="1"/>
  <c r="AC676" i="1" l="1"/>
  <c r="Y677" i="1" s="1"/>
  <c r="AE677" i="1"/>
  <c r="AD677" i="1" s="1"/>
  <c r="M676" i="1"/>
  <c r="R675" i="1"/>
  <c r="N676" i="1" s="1"/>
  <c r="Q675" i="1"/>
  <c r="V677" i="1"/>
  <c r="W676" i="1"/>
  <c r="L676" i="1"/>
  <c r="O676" i="1" s="1"/>
  <c r="AB676" i="1" s="1"/>
  <c r="X677" i="1" s="1"/>
  <c r="AE678" i="1" l="1"/>
  <c r="AD678" i="1" s="1"/>
  <c r="AC677" i="1"/>
  <c r="Y678" i="1" s="1"/>
  <c r="Q676" i="1"/>
  <c r="M677" i="1"/>
  <c r="R676" i="1"/>
  <c r="N677" i="1" s="1"/>
  <c r="Q677" i="1" s="1"/>
  <c r="M678" i="1" s="1"/>
  <c r="S350" i="1"/>
  <c r="V678" i="1"/>
  <c r="W677" i="1"/>
  <c r="L677" i="1"/>
  <c r="O677" i="1" s="1"/>
  <c r="AB677" i="1" s="1"/>
  <c r="X678" i="1" s="1"/>
  <c r="AE679" i="1" l="1"/>
  <c r="AD679" i="1" s="1"/>
  <c r="AC678" i="1"/>
  <c r="Y679" i="1" s="1"/>
  <c r="R677" i="1"/>
  <c r="N678" i="1" s="1"/>
  <c r="V679" i="1"/>
  <c r="W678" i="1"/>
  <c r="L678" i="1"/>
  <c r="O678" i="1" s="1"/>
  <c r="AB678" i="1" s="1"/>
  <c r="X679" i="1" s="1"/>
  <c r="AE680" i="1" l="1"/>
  <c r="AD680" i="1" s="1"/>
  <c r="AC679" i="1"/>
  <c r="Y680" i="1" s="1"/>
  <c r="R678" i="1"/>
  <c r="N679" i="1"/>
  <c r="Q678" i="1"/>
  <c r="M679" i="1" s="1"/>
  <c r="S351" i="1"/>
  <c r="V680" i="1"/>
  <c r="W679" i="1"/>
  <c r="L679" i="1"/>
  <c r="O679" i="1" s="1"/>
  <c r="AB679" i="1" s="1"/>
  <c r="X680" i="1" s="1"/>
  <c r="AE681" i="1" l="1"/>
  <c r="AD681" i="1" s="1"/>
  <c r="AC680" i="1"/>
  <c r="Y681" i="1" s="1"/>
  <c r="N680" i="1"/>
  <c r="Q679" i="1"/>
  <c r="M680" i="1" s="1"/>
  <c r="R679" i="1"/>
  <c r="V681" i="1"/>
  <c r="W680" i="1"/>
  <c r="L680" i="1"/>
  <c r="O680" i="1" s="1"/>
  <c r="AB680" i="1" s="1"/>
  <c r="X681" i="1" s="1"/>
  <c r="AE682" i="1" l="1"/>
  <c r="AD682" i="1" s="1"/>
  <c r="R680" i="1"/>
  <c r="AB681" i="1"/>
  <c r="X682" i="1" s="1"/>
  <c r="AC681" i="1"/>
  <c r="Y682" i="1" s="1"/>
  <c r="AC682" i="1" s="1"/>
  <c r="Y683" i="1" s="1"/>
  <c r="N681" i="1"/>
  <c r="Q680" i="1"/>
  <c r="M681" i="1" s="1"/>
  <c r="S352" i="1"/>
  <c r="V682" i="1"/>
  <c r="W681" i="1"/>
  <c r="L681" i="1"/>
  <c r="O681" i="1" s="1"/>
  <c r="AE683" i="1" l="1"/>
  <c r="AD683" i="1" s="1"/>
  <c r="R681" i="1"/>
  <c r="M682" i="1"/>
  <c r="N682" i="1"/>
  <c r="Q681" i="1"/>
  <c r="V683" i="1"/>
  <c r="W682" i="1"/>
  <c r="L682" i="1"/>
  <c r="O682" i="1" s="1"/>
  <c r="AB682" i="1" s="1"/>
  <c r="X683" i="1" s="1"/>
  <c r="AE684" i="1" l="1"/>
  <c r="AD684" i="1" s="1"/>
  <c r="AC683" i="1"/>
  <c r="Y684" i="1" s="1"/>
  <c r="M683" i="1"/>
  <c r="R682" i="1"/>
  <c r="N683" i="1" s="1"/>
  <c r="Q682" i="1"/>
  <c r="S353" i="1"/>
  <c r="V684" i="1"/>
  <c r="W683" i="1"/>
  <c r="L683" i="1"/>
  <c r="O683" i="1" s="1"/>
  <c r="AB683" i="1" s="1"/>
  <c r="X684" i="1" s="1"/>
  <c r="AE685" i="1" l="1"/>
  <c r="AD685" i="1" s="1"/>
  <c r="AC684" i="1"/>
  <c r="Y685" i="1" s="1"/>
  <c r="M684" i="1"/>
  <c r="R683" i="1"/>
  <c r="N684" i="1" s="1"/>
  <c r="Q684" i="1" s="1"/>
  <c r="Q683" i="1"/>
  <c r="V685" i="1"/>
  <c r="W684" i="1"/>
  <c r="L684" i="1"/>
  <c r="O684" i="1" s="1"/>
  <c r="AB684" i="1" s="1"/>
  <c r="X685" i="1" s="1"/>
  <c r="AE686" i="1" l="1"/>
  <c r="AD686" i="1" s="1"/>
  <c r="AB685" i="1"/>
  <c r="X686" i="1" s="1"/>
  <c r="AC685" i="1"/>
  <c r="Y686" i="1" s="1"/>
  <c r="M685" i="1"/>
  <c r="R684" i="1"/>
  <c r="N685" i="1" s="1"/>
  <c r="S354" i="1"/>
  <c r="V686" i="1"/>
  <c r="W685" i="1"/>
  <c r="L685" i="1"/>
  <c r="O685" i="1" s="1"/>
  <c r="AC686" i="1" l="1"/>
  <c r="Y687" i="1" s="1"/>
  <c r="AE687" i="1"/>
  <c r="AD687" i="1" s="1"/>
  <c r="R685" i="1"/>
  <c r="N686" i="1" s="1"/>
  <c r="M686" i="1"/>
  <c r="R686" i="1" s="1"/>
  <c r="N687" i="1" s="1"/>
  <c r="Q685" i="1"/>
  <c r="V687" i="1"/>
  <c r="W686" i="1"/>
  <c r="L686" i="1"/>
  <c r="O686" i="1" s="1"/>
  <c r="AB686" i="1" s="1"/>
  <c r="X687" i="1" s="1"/>
  <c r="AE688" i="1" l="1"/>
  <c r="AD688" i="1" s="1"/>
  <c r="AB687" i="1"/>
  <c r="X688" i="1" s="1"/>
  <c r="AC687" i="1"/>
  <c r="Y688" i="1" s="1"/>
  <c r="Q686" i="1"/>
  <c r="M687" i="1" s="1"/>
  <c r="Q687" i="1"/>
  <c r="S355" i="1"/>
  <c r="V688" i="1"/>
  <c r="W687" i="1"/>
  <c r="L687" i="1"/>
  <c r="O687" i="1" s="1"/>
  <c r="AC688" i="1" l="1"/>
  <c r="Y689" i="1" s="1"/>
  <c r="AE689" i="1"/>
  <c r="AD689" i="1" s="1"/>
  <c r="M688" i="1"/>
  <c r="R687" i="1"/>
  <c r="N688" i="1" s="1"/>
  <c r="V689" i="1"/>
  <c r="W688" i="1"/>
  <c r="L688" i="1"/>
  <c r="O688" i="1" s="1"/>
  <c r="AB688" i="1" s="1"/>
  <c r="X689" i="1" s="1"/>
  <c r="AE690" i="1" l="1"/>
  <c r="AD690" i="1" s="1"/>
  <c r="AC689" i="1"/>
  <c r="Y690" i="1" s="1"/>
  <c r="Q688" i="1"/>
  <c r="M689" i="1" s="1"/>
  <c r="R689" i="1" s="1"/>
  <c r="N690" i="1" s="1"/>
  <c r="N689" i="1"/>
  <c r="R688" i="1"/>
  <c r="S356" i="1"/>
  <c r="V690" i="1"/>
  <c r="W689" i="1"/>
  <c r="L689" i="1"/>
  <c r="O689" i="1" s="1"/>
  <c r="AB689" i="1" s="1"/>
  <c r="X690" i="1" s="1"/>
  <c r="AE691" i="1" l="1"/>
  <c r="AD691" i="1" s="1"/>
  <c r="AC690" i="1"/>
  <c r="Y691" i="1" s="1"/>
  <c r="AB690" i="1"/>
  <c r="X691" i="1" s="1"/>
  <c r="Q689" i="1"/>
  <c r="M690" i="1" s="1"/>
  <c r="R690" i="1" s="1"/>
  <c r="N691" i="1" s="1"/>
  <c r="V691" i="1"/>
  <c r="W690" i="1"/>
  <c r="L690" i="1"/>
  <c r="O690" i="1" s="1"/>
  <c r="AC691" i="1" l="1"/>
  <c r="Y692" i="1" s="1"/>
  <c r="AE692" i="1"/>
  <c r="AD692" i="1" s="1"/>
  <c r="Q690" i="1"/>
  <c r="M691" i="1" s="1"/>
  <c r="S357" i="1"/>
  <c r="V692" i="1"/>
  <c r="W691" i="1"/>
  <c r="L691" i="1"/>
  <c r="O691" i="1" s="1"/>
  <c r="AB691" i="1" s="1"/>
  <c r="X692" i="1" s="1"/>
  <c r="AE693" i="1" l="1"/>
  <c r="AD693" i="1" s="1"/>
  <c r="AC692" i="1"/>
  <c r="Y693" i="1" s="1"/>
  <c r="AB692" i="1"/>
  <c r="X693" i="1" s="1"/>
  <c r="M692" i="1"/>
  <c r="R691" i="1"/>
  <c r="N692" i="1" s="1"/>
  <c r="Q691" i="1"/>
  <c r="V693" i="1"/>
  <c r="W692" i="1"/>
  <c r="L692" i="1"/>
  <c r="O692" i="1" s="1"/>
  <c r="AC693" i="1" l="1"/>
  <c r="Y694" i="1" s="1"/>
  <c r="AE694" i="1"/>
  <c r="Q692" i="1"/>
  <c r="M693" i="1"/>
  <c r="R692" i="1"/>
  <c r="N693" i="1" s="1"/>
  <c r="S358" i="1"/>
  <c r="V694" i="1"/>
  <c r="W693" i="1"/>
  <c r="L693" i="1"/>
  <c r="O693" i="1" s="1"/>
  <c r="AB693" i="1" s="1"/>
  <c r="X694" i="1" s="1"/>
  <c r="AD694" i="1" l="1"/>
  <c r="AE695" i="1" s="1"/>
  <c r="AD695" i="1" s="1"/>
  <c r="Q693" i="1"/>
  <c r="M694" i="1" s="1"/>
  <c r="AC694" i="1"/>
  <c r="Y695" i="1" s="1"/>
  <c r="AB694" i="1"/>
  <c r="X695" i="1" s="1"/>
  <c r="R693" i="1"/>
  <c r="N694" i="1" s="1"/>
  <c r="V695" i="1"/>
  <c r="W694" i="1"/>
  <c r="L694" i="1"/>
  <c r="O694" i="1" s="1"/>
  <c r="AE696" i="1" l="1"/>
  <c r="AD696" i="1" s="1"/>
  <c r="AC695" i="1"/>
  <c r="Y696" i="1" s="1"/>
  <c r="Q694" i="1"/>
  <c r="M695" i="1" s="1"/>
  <c r="AB695" i="1"/>
  <c r="X696" i="1" s="1"/>
  <c r="R694" i="1"/>
  <c r="N695" i="1" s="1"/>
  <c r="S359" i="1"/>
  <c r="V696" i="1"/>
  <c r="W695" i="1"/>
  <c r="L695" i="1"/>
  <c r="O695" i="1" s="1"/>
  <c r="AC696" i="1" l="1"/>
  <c r="Y697" i="1" s="1"/>
  <c r="AE697" i="1"/>
  <c r="AD697" i="1" s="1"/>
  <c r="N696" i="1"/>
  <c r="Q695" i="1"/>
  <c r="M696" i="1" s="1"/>
  <c r="R696" i="1" s="1"/>
  <c r="R695" i="1"/>
  <c r="V697" i="1"/>
  <c r="W696" i="1"/>
  <c r="L696" i="1"/>
  <c r="O696" i="1" s="1"/>
  <c r="AB696" i="1" s="1"/>
  <c r="X697" i="1" s="1"/>
  <c r="AE698" i="1" l="1"/>
  <c r="AD698" i="1" s="1"/>
  <c r="AC697" i="1"/>
  <c r="Y698" i="1" s="1"/>
  <c r="N697" i="1"/>
  <c r="Q696" i="1"/>
  <c r="M697" i="1" s="1"/>
  <c r="S360" i="1"/>
  <c r="V698" i="1"/>
  <c r="W697" i="1"/>
  <c r="L697" i="1"/>
  <c r="O697" i="1" s="1"/>
  <c r="AB697" i="1" s="1"/>
  <c r="X698" i="1" s="1"/>
  <c r="AE699" i="1" l="1"/>
  <c r="AD699" i="1" s="1"/>
  <c r="AC698" i="1"/>
  <c r="Y699" i="1" s="1"/>
  <c r="Q697" i="1"/>
  <c r="R697" i="1"/>
  <c r="N698" i="1" s="1"/>
  <c r="M698" i="1"/>
  <c r="V699" i="1"/>
  <c r="W698" i="1"/>
  <c r="L698" i="1"/>
  <c r="O698" i="1" s="1"/>
  <c r="AB698" i="1" s="1"/>
  <c r="X699" i="1" s="1"/>
  <c r="AE700" i="1" l="1"/>
  <c r="AD700" i="1" s="1"/>
  <c r="AC699" i="1"/>
  <c r="Y700" i="1" s="1"/>
  <c r="Q698" i="1"/>
  <c r="R698" i="1"/>
  <c r="N699" i="1" s="1"/>
  <c r="M699" i="1"/>
  <c r="S361" i="1"/>
  <c r="V700" i="1"/>
  <c r="W699" i="1"/>
  <c r="L699" i="1"/>
  <c r="O699" i="1" s="1"/>
  <c r="AB699" i="1" s="1"/>
  <c r="X700" i="1" s="1"/>
  <c r="AE701" i="1" l="1"/>
  <c r="AD701" i="1" s="1"/>
  <c r="Q699" i="1"/>
  <c r="AB700" i="1"/>
  <c r="X701" i="1" s="1"/>
  <c r="AC700" i="1"/>
  <c r="Y701" i="1" s="1"/>
  <c r="M700" i="1"/>
  <c r="R699" i="1"/>
  <c r="N700" i="1" s="1"/>
  <c r="Q700" i="1" s="1"/>
  <c r="M701" i="1" s="1"/>
  <c r="V701" i="1"/>
  <c r="W700" i="1"/>
  <c r="L700" i="1"/>
  <c r="O700" i="1" s="1"/>
  <c r="AC701" i="1" l="1"/>
  <c r="Y702" i="1" s="1"/>
  <c r="AE702" i="1"/>
  <c r="AD702" i="1" s="1"/>
  <c r="AB701" i="1"/>
  <c r="X702" i="1" s="1"/>
  <c r="R700" i="1"/>
  <c r="N701" i="1" s="1"/>
  <c r="S362" i="1"/>
  <c r="V702" i="1"/>
  <c r="W701" i="1"/>
  <c r="L701" i="1"/>
  <c r="O701" i="1" s="1"/>
  <c r="AE703" i="1" l="1"/>
  <c r="AD703" i="1" s="1"/>
  <c r="AB702" i="1"/>
  <c r="X703" i="1" s="1"/>
  <c r="N702" i="1"/>
  <c r="Q701" i="1"/>
  <c r="M702" i="1" s="1"/>
  <c r="R701" i="1"/>
  <c r="AC702" i="1"/>
  <c r="Y703" i="1" s="1"/>
  <c r="V703" i="1"/>
  <c r="W702" i="1"/>
  <c r="L702" i="1"/>
  <c r="O702" i="1" s="1"/>
  <c r="AC703" i="1" l="1"/>
  <c r="Y704" i="1" s="1"/>
  <c r="AE704" i="1"/>
  <c r="AD704" i="1" s="1"/>
  <c r="AB703" i="1"/>
  <c r="X704" i="1" s="1"/>
  <c r="N703" i="1"/>
  <c r="Q702" i="1"/>
  <c r="M703" i="1" s="1"/>
  <c r="R702" i="1"/>
  <c r="S363" i="1"/>
  <c r="V704" i="1"/>
  <c r="W703" i="1"/>
  <c r="L703" i="1"/>
  <c r="O703" i="1" s="1"/>
  <c r="AC704" i="1" l="1"/>
  <c r="Y705" i="1" s="1"/>
  <c r="AE705" i="1"/>
  <c r="AD705" i="1" s="1"/>
  <c r="R703" i="1"/>
  <c r="AB704" i="1"/>
  <c r="X705" i="1" s="1"/>
  <c r="Q703" i="1"/>
  <c r="M704" i="1" s="1"/>
  <c r="N704" i="1"/>
  <c r="V705" i="1"/>
  <c r="W704" i="1"/>
  <c r="L704" i="1"/>
  <c r="O704" i="1" s="1"/>
  <c r="AE706" i="1" l="1"/>
  <c r="AD706" i="1" s="1"/>
  <c r="R704" i="1"/>
  <c r="N705" i="1"/>
  <c r="Q704" i="1"/>
  <c r="M705" i="1" s="1"/>
  <c r="R705" i="1" s="1"/>
  <c r="N706" i="1" s="1"/>
  <c r="AC705" i="1"/>
  <c r="Y706" i="1" s="1"/>
  <c r="S364" i="1"/>
  <c r="V706" i="1"/>
  <c r="W705" i="1"/>
  <c r="L705" i="1"/>
  <c r="O705" i="1" s="1"/>
  <c r="AB705" i="1" s="1"/>
  <c r="X706" i="1" s="1"/>
  <c r="AE707" i="1" l="1"/>
  <c r="AD707" i="1" s="1"/>
  <c r="AC706" i="1"/>
  <c r="Y707" i="1" s="1"/>
  <c r="AB706" i="1"/>
  <c r="X707" i="1" s="1"/>
  <c r="Q706" i="1"/>
  <c r="M707" i="1" s="1"/>
  <c r="Q705" i="1"/>
  <c r="M706" i="1" s="1"/>
  <c r="R706" i="1" s="1"/>
  <c r="N707" i="1" s="1"/>
  <c r="V707" i="1"/>
  <c r="W706" i="1"/>
  <c r="L706" i="1"/>
  <c r="O706" i="1" s="1"/>
  <c r="AE708" i="1" l="1"/>
  <c r="AD708" i="1" s="1"/>
  <c r="Q707" i="1"/>
  <c r="M708" i="1" s="1"/>
  <c r="R707" i="1"/>
  <c r="N708" i="1" s="1"/>
  <c r="AC707" i="1"/>
  <c r="Y708" i="1" s="1"/>
  <c r="S365" i="1"/>
  <c r="V708" i="1"/>
  <c r="W707" i="1"/>
  <c r="L707" i="1"/>
  <c r="O707" i="1" s="1"/>
  <c r="AB707" i="1" s="1"/>
  <c r="X708" i="1" s="1"/>
  <c r="AE709" i="1" l="1"/>
  <c r="AD709" i="1" s="1"/>
  <c r="AC708" i="1"/>
  <c r="Y709" i="1" s="1"/>
  <c r="R708" i="1"/>
  <c r="N709" i="1" s="1"/>
  <c r="V709" i="1"/>
  <c r="W708" i="1"/>
  <c r="L708" i="1"/>
  <c r="O708" i="1" s="1"/>
  <c r="AB708" i="1" s="1"/>
  <c r="X709" i="1" s="1"/>
  <c r="AE710" i="1" l="1"/>
  <c r="AD710" i="1" s="1"/>
  <c r="AC709" i="1"/>
  <c r="Y710" i="1" s="1"/>
  <c r="Q709" i="1"/>
  <c r="Q708" i="1"/>
  <c r="M709" i="1" s="1"/>
  <c r="S366" i="1"/>
  <c r="V710" i="1"/>
  <c r="W709" i="1"/>
  <c r="L709" i="1"/>
  <c r="O709" i="1" s="1"/>
  <c r="AB709" i="1" s="1"/>
  <c r="X710" i="1" s="1"/>
  <c r="AE711" i="1" l="1"/>
  <c r="AD711" i="1" s="1"/>
  <c r="AC710" i="1"/>
  <c r="Y711" i="1" s="1"/>
  <c r="AB710" i="1"/>
  <c r="X711" i="1" s="1"/>
  <c r="M710" i="1"/>
  <c r="R709" i="1"/>
  <c r="N710" i="1" s="1"/>
  <c r="Q710" i="1" s="1"/>
  <c r="M711" i="1" s="1"/>
  <c r="V711" i="1"/>
  <c r="W710" i="1"/>
  <c r="L710" i="1"/>
  <c r="O710" i="1" s="1"/>
  <c r="AE712" i="1" l="1"/>
  <c r="AD712" i="1" s="1"/>
  <c r="AC711" i="1"/>
  <c r="Y712" i="1" s="1"/>
  <c r="R710" i="1"/>
  <c r="N711" i="1" s="1"/>
  <c r="S367" i="1"/>
  <c r="V712" i="1"/>
  <c r="W711" i="1"/>
  <c r="L711" i="1"/>
  <c r="O711" i="1" s="1"/>
  <c r="AB711" i="1" s="1"/>
  <c r="X712" i="1" s="1"/>
  <c r="AE713" i="1" l="1"/>
  <c r="AD713" i="1" s="1"/>
  <c r="AC712" i="1"/>
  <c r="Y713" i="1" s="1"/>
  <c r="Q711" i="1"/>
  <c r="M712" i="1" s="1"/>
  <c r="N712" i="1"/>
  <c r="R711" i="1"/>
  <c r="V713" i="1"/>
  <c r="W712" i="1"/>
  <c r="L712" i="1"/>
  <c r="O712" i="1" s="1"/>
  <c r="AB712" i="1" s="1"/>
  <c r="X713" i="1" s="1"/>
  <c r="AE714" i="1" l="1"/>
  <c r="AD714" i="1" s="1"/>
  <c r="AB713" i="1"/>
  <c r="X714" i="1" s="1"/>
  <c r="AC713" i="1"/>
  <c r="Y714" i="1" s="1"/>
  <c r="Q712" i="1"/>
  <c r="R712" i="1"/>
  <c r="N713" i="1" s="1"/>
  <c r="M713" i="1"/>
  <c r="S368" i="1"/>
  <c r="V714" i="1"/>
  <c r="W713" i="1"/>
  <c r="L713" i="1"/>
  <c r="O713" i="1" s="1"/>
  <c r="AC714" i="1" l="1"/>
  <c r="Y715" i="1" s="1"/>
  <c r="AE715" i="1"/>
  <c r="AD715" i="1" s="1"/>
  <c r="AB714" i="1"/>
  <c r="X715" i="1" s="1"/>
  <c r="Q713" i="1"/>
  <c r="N714" i="1"/>
  <c r="R713" i="1"/>
  <c r="M714" i="1"/>
  <c r="R714" i="1" s="1"/>
  <c r="N715" i="1" s="1"/>
  <c r="V715" i="1"/>
  <c r="W714" i="1"/>
  <c r="L714" i="1"/>
  <c r="O714" i="1" s="1"/>
  <c r="AE716" i="1" l="1"/>
  <c r="AD716" i="1" s="1"/>
  <c r="AC715" i="1"/>
  <c r="Y716" i="1" s="1"/>
  <c r="N716" i="1"/>
  <c r="Q714" i="1"/>
  <c r="M715" i="1" s="1"/>
  <c r="R715" i="1" s="1"/>
  <c r="S369" i="1"/>
  <c r="V716" i="1"/>
  <c r="W715" i="1"/>
  <c r="L715" i="1"/>
  <c r="O715" i="1" s="1"/>
  <c r="AB715" i="1" s="1"/>
  <c r="X716" i="1" s="1"/>
  <c r="AE717" i="1" s="1"/>
  <c r="AD717" i="1" s="1"/>
  <c r="Q715" i="1" l="1"/>
  <c r="M716" i="1" s="1"/>
  <c r="R716" i="1" s="1"/>
  <c r="N717" i="1" s="1"/>
  <c r="AC716" i="1"/>
  <c r="Y717" i="1" s="1"/>
  <c r="V717" i="1"/>
  <c r="W716" i="1"/>
  <c r="L716" i="1"/>
  <c r="O716" i="1" s="1"/>
  <c r="AB716" i="1" s="1"/>
  <c r="X717" i="1" s="1"/>
  <c r="AE718" i="1" s="1"/>
  <c r="AD718" i="1" s="1"/>
  <c r="AC717" i="1" l="1"/>
  <c r="Y718" i="1" s="1"/>
  <c r="Q716" i="1"/>
  <c r="M717" i="1" s="1"/>
  <c r="S370" i="1"/>
  <c r="V718" i="1"/>
  <c r="W717" i="1"/>
  <c r="L717" i="1"/>
  <c r="O717" i="1" s="1"/>
  <c r="AB717" i="1" s="1"/>
  <c r="X718" i="1" s="1"/>
  <c r="AE719" i="1" l="1"/>
  <c r="AD719" i="1" s="1"/>
  <c r="AC718" i="1"/>
  <c r="Y719" i="1" s="1"/>
  <c r="R717" i="1"/>
  <c r="N718" i="1" s="1"/>
  <c r="Q717" i="1"/>
  <c r="M718" i="1" s="1"/>
  <c r="R718" i="1" s="1"/>
  <c r="V719" i="1"/>
  <c r="W718" i="1"/>
  <c r="L718" i="1"/>
  <c r="O718" i="1" s="1"/>
  <c r="AB718" i="1" s="1"/>
  <c r="X719" i="1" s="1"/>
  <c r="AE720" i="1" l="1"/>
  <c r="AD720" i="1" s="1"/>
  <c r="AB719" i="1"/>
  <c r="X720" i="1" s="1"/>
  <c r="AC719" i="1"/>
  <c r="Y720" i="1" s="1"/>
  <c r="Q718" i="1"/>
  <c r="M719" i="1" s="1"/>
  <c r="N719" i="1"/>
  <c r="S371" i="1"/>
  <c r="V720" i="1"/>
  <c r="W719" i="1"/>
  <c r="L719" i="1"/>
  <c r="O719" i="1" s="1"/>
  <c r="AC720" i="1" l="1"/>
  <c r="Y721" i="1" s="1"/>
  <c r="AE721" i="1"/>
  <c r="AD721" i="1" s="1"/>
  <c r="R719" i="1"/>
  <c r="N720" i="1" s="1"/>
  <c r="Q719" i="1"/>
  <c r="M720" i="1" s="1"/>
  <c r="V721" i="1"/>
  <c r="W720" i="1"/>
  <c r="L720" i="1"/>
  <c r="O720" i="1" s="1"/>
  <c r="AB720" i="1" s="1"/>
  <c r="X721" i="1" s="1"/>
  <c r="AE722" i="1" l="1"/>
  <c r="AD722" i="1" s="1"/>
  <c r="AC721" i="1"/>
  <c r="Y722" i="1" s="1"/>
  <c r="R720" i="1"/>
  <c r="Q720" i="1"/>
  <c r="M721" i="1" s="1"/>
  <c r="R721" i="1" s="1"/>
  <c r="N721" i="1"/>
  <c r="S372" i="1"/>
  <c r="V722" i="1"/>
  <c r="W721" i="1"/>
  <c r="L721" i="1"/>
  <c r="O721" i="1" s="1"/>
  <c r="AB721" i="1" s="1"/>
  <c r="X722" i="1" s="1"/>
  <c r="AE723" i="1" l="1"/>
  <c r="AD723" i="1" s="1"/>
  <c r="AB722" i="1"/>
  <c r="X723" i="1" s="1"/>
  <c r="AC722" i="1"/>
  <c r="Y723" i="1" s="1"/>
  <c r="Q721" i="1"/>
  <c r="M722" i="1" s="1"/>
  <c r="N722" i="1"/>
  <c r="V723" i="1"/>
  <c r="W722" i="1"/>
  <c r="L722" i="1"/>
  <c r="O722" i="1" s="1"/>
  <c r="AC723" i="1" l="1"/>
  <c r="Y724" i="1" s="1"/>
  <c r="AE724" i="1"/>
  <c r="AD724" i="1" s="1"/>
  <c r="Q722" i="1"/>
  <c r="M723" i="1" s="1"/>
  <c r="R722" i="1"/>
  <c r="N723" i="1" s="1"/>
  <c r="S373" i="1"/>
  <c r="V724" i="1"/>
  <c r="W723" i="1"/>
  <c r="L723" i="1"/>
  <c r="O723" i="1" s="1"/>
  <c r="AB723" i="1" s="1"/>
  <c r="X724" i="1" s="1"/>
  <c r="AE725" i="1" l="1"/>
  <c r="AD725" i="1" s="1"/>
  <c r="Q723" i="1"/>
  <c r="M724" i="1" s="1"/>
  <c r="AC724" i="1"/>
  <c r="Y725" i="1" s="1"/>
  <c r="R723" i="1"/>
  <c r="N724" i="1" s="1"/>
  <c r="V725" i="1"/>
  <c r="W724" i="1"/>
  <c r="L724" i="1"/>
  <c r="O724" i="1" s="1"/>
  <c r="AB724" i="1" s="1"/>
  <c r="X725" i="1" s="1"/>
  <c r="AE726" i="1" l="1"/>
  <c r="AD726" i="1" s="1"/>
  <c r="AC725" i="1"/>
  <c r="Y726" i="1" s="1"/>
  <c r="Q724" i="1"/>
  <c r="M725" i="1" s="1"/>
  <c r="R724" i="1"/>
  <c r="N725" i="1" s="1"/>
  <c r="S374" i="1"/>
  <c r="V726" i="1"/>
  <c r="W725" i="1"/>
  <c r="L725" i="1"/>
  <c r="O725" i="1" s="1"/>
  <c r="AB725" i="1" s="1"/>
  <c r="X726" i="1" s="1"/>
  <c r="AE727" i="1" l="1"/>
  <c r="AD727" i="1" s="1"/>
  <c r="Q725" i="1"/>
  <c r="M726" i="1" s="1"/>
  <c r="AC726" i="1"/>
  <c r="Y727" i="1" s="1"/>
  <c r="R725" i="1"/>
  <c r="N726" i="1" s="1"/>
  <c r="V727" i="1"/>
  <c r="W726" i="1"/>
  <c r="L726" i="1"/>
  <c r="O726" i="1" s="1"/>
  <c r="AB726" i="1" s="1"/>
  <c r="X727" i="1" s="1"/>
  <c r="AE728" i="1" l="1"/>
  <c r="AD728" i="1" s="1"/>
  <c r="Q726" i="1"/>
  <c r="M727" i="1" s="1"/>
  <c r="AB727" i="1"/>
  <c r="X728" i="1" s="1"/>
  <c r="AC727" i="1"/>
  <c r="Y728" i="1" s="1"/>
  <c r="AC728" i="1" s="1"/>
  <c r="R726" i="1"/>
  <c r="N727" i="1" s="1"/>
  <c r="S375" i="1"/>
  <c r="V728" i="1"/>
  <c r="W727" i="1"/>
  <c r="L727" i="1"/>
  <c r="O727" i="1" s="1"/>
  <c r="Y729" i="1" l="1"/>
  <c r="AE729" i="1"/>
  <c r="AD729" i="1" s="1"/>
  <c r="Q727" i="1"/>
  <c r="M728" i="1" s="1"/>
  <c r="AB728" i="1"/>
  <c r="X729" i="1" s="1"/>
  <c r="R727" i="1"/>
  <c r="N728" i="1" s="1"/>
  <c r="V729" i="1"/>
  <c r="W728" i="1"/>
  <c r="L728" i="1"/>
  <c r="O728" i="1" s="1"/>
  <c r="AE730" i="1" l="1"/>
  <c r="AD730" i="1" s="1"/>
  <c r="Q728" i="1"/>
  <c r="M729" i="1" s="1"/>
  <c r="N729" i="1"/>
  <c r="AB729" i="1"/>
  <c r="X730" i="1" s="1"/>
  <c r="AC729" i="1"/>
  <c r="Y730" i="1" s="1"/>
  <c r="AC730" i="1" s="1"/>
  <c r="Y731" i="1" s="1"/>
  <c r="R728" i="1"/>
  <c r="S376" i="1"/>
  <c r="V730" i="1"/>
  <c r="W729" i="1"/>
  <c r="L729" i="1"/>
  <c r="O729" i="1" s="1"/>
  <c r="AE731" i="1" l="1"/>
  <c r="AD731" i="1" s="1"/>
  <c r="Q729" i="1"/>
  <c r="M730" i="1" s="1"/>
  <c r="R729" i="1"/>
  <c r="N730" i="1" s="1"/>
  <c r="V731" i="1"/>
  <c r="W730" i="1"/>
  <c r="L730" i="1"/>
  <c r="O730" i="1" s="1"/>
  <c r="AB730" i="1" s="1"/>
  <c r="X731" i="1" s="1"/>
  <c r="AE732" i="1" l="1"/>
  <c r="AD732" i="1" s="1"/>
  <c r="Q730" i="1"/>
  <c r="M731" i="1" s="1"/>
  <c r="AB731" i="1"/>
  <c r="X732" i="1" s="1"/>
  <c r="AC731" i="1"/>
  <c r="Y732" i="1" s="1"/>
  <c r="AC732" i="1" s="1"/>
  <c r="Y733" i="1" s="1"/>
  <c r="R730" i="1"/>
  <c r="N731" i="1" s="1"/>
  <c r="S377" i="1"/>
  <c r="V732" i="1"/>
  <c r="W731" i="1"/>
  <c r="L731" i="1"/>
  <c r="O731" i="1" s="1"/>
  <c r="AE733" i="1" l="1"/>
  <c r="AD733" i="1" s="1"/>
  <c r="Q731" i="1"/>
  <c r="M732" i="1" s="1"/>
  <c r="N732" i="1"/>
  <c r="AB732" i="1"/>
  <c r="X733" i="1" s="1"/>
  <c r="R731" i="1"/>
  <c r="V733" i="1"/>
  <c r="W732" i="1"/>
  <c r="L732" i="1"/>
  <c r="O732" i="1" s="1"/>
  <c r="AC733" i="1" l="1"/>
  <c r="Y734" i="1" s="1"/>
  <c r="AE734" i="1"/>
  <c r="AD734" i="1" s="1"/>
  <c r="Q732" i="1"/>
  <c r="M733" i="1" s="1"/>
  <c r="N733" i="1"/>
  <c r="AB733" i="1"/>
  <c r="X734" i="1" s="1"/>
  <c r="R732" i="1"/>
  <c r="S378" i="1"/>
  <c r="V734" i="1"/>
  <c r="W733" i="1"/>
  <c r="L733" i="1"/>
  <c r="O733" i="1" s="1"/>
  <c r="AC734" i="1" l="1"/>
  <c r="Y735" i="1" s="1"/>
  <c r="AE735" i="1"/>
  <c r="AD735" i="1" s="1"/>
  <c r="AB734" i="1"/>
  <c r="X735" i="1" s="1"/>
  <c r="R733" i="1"/>
  <c r="N734" i="1"/>
  <c r="Q733" i="1"/>
  <c r="M734" i="1" s="1"/>
  <c r="V735" i="1"/>
  <c r="W734" i="1"/>
  <c r="L734" i="1"/>
  <c r="O734" i="1" s="1"/>
  <c r="AE736" i="1" l="1"/>
  <c r="AD736" i="1" s="1"/>
  <c r="N735" i="1"/>
  <c r="Q735" i="1" s="1"/>
  <c r="M736" i="1" s="1"/>
  <c r="Q734" i="1"/>
  <c r="M735" i="1" s="1"/>
  <c r="AC735" i="1"/>
  <c r="Y736" i="1" s="1"/>
  <c r="R734" i="1"/>
  <c r="S379" i="1"/>
  <c r="V736" i="1"/>
  <c r="W735" i="1"/>
  <c r="L735" i="1"/>
  <c r="O735" i="1" s="1"/>
  <c r="AB735" i="1" s="1"/>
  <c r="X736" i="1" s="1"/>
  <c r="AE737" i="1" l="1"/>
  <c r="AD737" i="1" s="1"/>
  <c r="AC736" i="1"/>
  <c r="Y737" i="1" s="1"/>
  <c r="R735" i="1"/>
  <c r="N736" i="1" s="1"/>
  <c r="V737" i="1"/>
  <c r="W736" i="1"/>
  <c r="L736" i="1"/>
  <c r="O736" i="1" s="1"/>
  <c r="AB736" i="1" s="1"/>
  <c r="X737" i="1" s="1"/>
  <c r="AE738" i="1" l="1"/>
  <c r="AD738" i="1" s="1"/>
  <c r="AC737" i="1"/>
  <c r="Y738" i="1" s="1"/>
  <c r="R736" i="1"/>
  <c r="N737" i="1" s="1"/>
  <c r="Q736" i="1"/>
  <c r="M737" i="1" s="1"/>
  <c r="S380" i="1"/>
  <c r="V738" i="1"/>
  <c r="W737" i="1"/>
  <c r="L737" i="1"/>
  <c r="O737" i="1" s="1"/>
  <c r="AB737" i="1" s="1"/>
  <c r="X738" i="1" s="1"/>
  <c r="AE739" i="1" l="1"/>
  <c r="AD739" i="1" s="1"/>
  <c r="AC738" i="1"/>
  <c r="Y739" i="1" s="1"/>
  <c r="Q737" i="1"/>
  <c r="M738" i="1" s="1"/>
  <c r="R737" i="1"/>
  <c r="N738" i="1" s="1"/>
  <c r="V739" i="1"/>
  <c r="W738" i="1"/>
  <c r="L738" i="1"/>
  <c r="O738" i="1" s="1"/>
  <c r="AB738" i="1" s="1"/>
  <c r="X739" i="1" s="1"/>
  <c r="AE740" i="1" l="1"/>
  <c r="AD740" i="1" s="1"/>
  <c r="AC739" i="1"/>
  <c r="Y740" i="1" s="1"/>
  <c r="Q738" i="1"/>
  <c r="M739" i="1"/>
  <c r="R738" i="1"/>
  <c r="N739" i="1" s="1"/>
  <c r="S381" i="1"/>
  <c r="V740" i="1"/>
  <c r="W739" i="1"/>
  <c r="L739" i="1"/>
  <c r="O739" i="1" s="1"/>
  <c r="AB739" i="1" s="1"/>
  <c r="X740" i="1" s="1"/>
  <c r="AE741" i="1" l="1"/>
  <c r="AD741" i="1" s="1"/>
  <c r="N740" i="1"/>
  <c r="Q739" i="1"/>
  <c r="M740" i="1" s="1"/>
  <c r="R740" i="1" s="1"/>
  <c r="AC740" i="1"/>
  <c r="Y741" i="1" s="1"/>
  <c r="AB740" i="1"/>
  <c r="X741" i="1" s="1"/>
  <c r="R739" i="1"/>
  <c r="V741" i="1"/>
  <c r="W740" i="1"/>
  <c r="L740" i="1"/>
  <c r="O740" i="1" s="1"/>
  <c r="AE742" i="1" l="1"/>
  <c r="AD742" i="1" s="1"/>
  <c r="AC741" i="1"/>
  <c r="Y742" i="1" s="1"/>
  <c r="Q740" i="1"/>
  <c r="M741" i="1" s="1"/>
  <c r="N741" i="1"/>
  <c r="Q741" i="1" s="1"/>
  <c r="M742" i="1" s="1"/>
  <c r="S382" i="1"/>
  <c r="V742" i="1"/>
  <c r="W741" i="1"/>
  <c r="L741" i="1"/>
  <c r="O741" i="1" s="1"/>
  <c r="AB741" i="1" s="1"/>
  <c r="X742" i="1" s="1"/>
  <c r="AE743" i="1" l="1"/>
  <c r="AD743" i="1" s="1"/>
  <c r="AC742" i="1"/>
  <c r="Y743" i="1" s="1"/>
  <c r="R741" i="1"/>
  <c r="N742" i="1" s="1"/>
  <c r="V743" i="1"/>
  <c r="W742" i="1"/>
  <c r="L742" i="1"/>
  <c r="O742" i="1" s="1"/>
  <c r="AB742" i="1" s="1"/>
  <c r="X743" i="1" s="1"/>
  <c r="AE744" i="1" l="1"/>
  <c r="AD744" i="1" s="1"/>
  <c r="AC743" i="1"/>
  <c r="Y744" i="1" s="1"/>
  <c r="Q742" i="1"/>
  <c r="M743" i="1" s="1"/>
  <c r="R742" i="1"/>
  <c r="N743" i="1" s="1"/>
  <c r="S383" i="1"/>
  <c r="V744" i="1"/>
  <c r="W743" i="1"/>
  <c r="L743" i="1"/>
  <c r="O743" i="1" s="1"/>
  <c r="AB743" i="1" s="1"/>
  <c r="X744" i="1" s="1"/>
  <c r="AE745" i="1" l="1"/>
  <c r="AD745" i="1" s="1"/>
  <c r="Q743" i="1"/>
  <c r="M744" i="1" s="1"/>
  <c r="AB744" i="1"/>
  <c r="X745" i="1" s="1"/>
  <c r="AC744" i="1"/>
  <c r="Y745" i="1" s="1"/>
  <c r="AC745" i="1" s="1"/>
  <c r="Y746" i="1" s="1"/>
  <c r="R743" i="1"/>
  <c r="N744" i="1" s="1"/>
  <c r="V745" i="1"/>
  <c r="W744" i="1"/>
  <c r="L744" i="1"/>
  <c r="O744" i="1" s="1"/>
  <c r="AE746" i="1" l="1"/>
  <c r="AD746" i="1" s="1"/>
  <c r="Q744" i="1"/>
  <c r="M745" i="1" s="1"/>
  <c r="N745" i="1"/>
  <c r="R744" i="1"/>
  <c r="S384" i="1"/>
  <c r="V746" i="1"/>
  <c r="W745" i="1"/>
  <c r="L745" i="1"/>
  <c r="O745" i="1" s="1"/>
  <c r="AB745" i="1" s="1"/>
  <c r="X746" i="1" s="1"/>
  <c r="AE747" i="1" l="1"/>
  <c r="AD747" i="1" s="1"/>
  <c r="AC746" i="1"/>
  <c r="Y747" i="1" s="1"/>
  <c r="M746" i="1"/>
  <c r="R745" i="1"/>
  <c r="N746" i="1"/>
  <c r="Q746" i="1" s="1"/>
  <c r="Q745" i="1"/>
  <c r="V747" i="1"/>
  <c r="W746" i="1"/>
  <c r="L746" i="1"/>
  <c r="O746" i="1" s="1"/>
  <c r="AB746" i="1" s="1"/>
  <c r="X747" i="1" s="1"/>
  <c r="AE748" i="1" l="1"/>
  <c r="AD748" i="1" s="1"/>
  <c r="AC747" i="1"/>
  <c r="Y748" i="1" s="1"/>
  <c r="AB747" i="1"/>
  <c r="X748" i="1" s="1"/>
  <c r="R746" i="1"/>
  <c r="N747" i="1" s="1"/>
  <c r="M747" i="1"/>
  <c r="R747" i="1" s="1"/>
  <c r="S385" i="1"/>
  <c r="V748" i="1"/>
  <c r="W747" i="1"/>
  <c r="L747" i="1"/>
  <c r="O747" i="1" s="1"/>
  <c r="AE749" i="1" l="1"/>
  <c r="AD749" i="1" s="1"/>
  <c r="AC748" i="1"/>
  <c r="Y749" i="1" s="1"/>
  <c r="Q747" i="1"/>
  <c r="M748" i="1" s="1"/>
  <c r="N748" i="1"/>
  <c r="V749" i="1"/>
  <c r="W748" i="1"/>
  <c r="L748" i="1"/>
  <c r="O748" i="1" s="1"/>
  <c r="AB748" i="1" s="1"/>
  <c r="X749" i="1" s="1"/>
  <c r="AE750" i="1" l="1"/>
  <c r="AD750" i="1" s="1"/>
  <c r="AC749" i="1"/>
  <c r="Y750" i="1" s="1"/>
  <c r="Q748" i="1"/>
  <c r="M749" i="1" s="1"/>
  <c r="R748" i="1"/>
  <c r="N749" i="1" s="1"/>
  <c r="S386" i="1"/>
  <c r="V750" i="1"/>
  <c r="W749" i="1"/>
  <c r="L749" i="1"/>
  <c r="O749" i="1" s="1"/>
  <c r="AB749" i="1" s="1"/>
  <c r="X750" i="1" s="1"/>
  <c r="AE751" i="1" l="1"/>
  <c r="AD751" i="1" s="1"/>
  <c r="AC750" i="1"/>
  <c r="Y751" i="1" s="1"/>
  <c r="AB750" i="1"/>
  <c r="X751" i="1" s="1"/>
  <c r="Q749" i="1"/>
  <c r="M750" i="1" s="1"/>
  <c r="R750" i="1" s="1"/>
  <c r="N751" i="1" s="1"/>
  <c r="N750" i="1"/>
  <c r="R749" i="1"/>
  <c r="V751" i="1"/>
  <c r="W750" i="1"/>
  <c r="L750" i="1"/>
  <c r="O750" i="1" s="1"/>
  <c r="AE752" i="1" l="1"/>
  <c r="AD752" i="1" s="1"/>
  <c r="AB751" i="1"/>
  <c r="X752" i="1" s="1"/>
  <c r="AC751" i="1"/>
  <c r="Y752" i="1" s="1"/>
  <c r="Q750" i="1"/>
  <c r="M751" i="1" s="1"/>
  <c r="R751" i="1" s="1"/>
  <c r="N752" i="1" s="1"/>
  <c r="S387" i="1"/>
  <c r="V752" i="1"/>
  <c r="W751" i="1"/>
  <c r="L751" i="1"/>
  <c r="O751" i="1" s="1"/>
  <c r="AC752" i="1" l="1"/>
  <c r="Y753" i="1" s="1"/>
  <c r="AE753" i="1"/>
  <c r="AD753" i="1" s="1"/>
  <c r="Q751" i="1"/>
  <c r="M752" i="1" s="1"/>
  <c r="Q752" i="1" s="1"/>
  <c r="M753" i="1" s="1"/>
  <c r="V753" i="1"/>
  <c r="W752" i="1"/>
  <c r="L752" i="1"/>
  <c r="O752" i="1" s="1"/>
  <c r="AB752" i="1" s="1"/>
  <c r="X753" i="1" s="1"/>
  <c r="AE754" i="1" l="1"/>
  <c r="AD754" i="1" s="1"/>
  <c r="AC753" i="1"/>
  <c r="Y754" i="1" s="1"/>
  <c r="R752" i="1"/>
  <c r="N753" i="1" s="1"/>
  <c r="S388" i="1"/>
  <c r="V754" i="1"/>
  <c r="W753" i="1"/>
  <c r="L753" i="1"/>
  <c r="O753" i="1" s="1"/>
  <c r="AB753" i="1" s="1"/>
  <c r="X754" i="1" s="1"/>
  <c r="AE755" i="1" l="1"/>
  <c r="AD755" i="1" s="1"/>
  <c r="AB754" i="1"/>
  <c r="X755" i="1" s="1"/>
  <c r="AC754" i="1"/>
  <c r="Y755" i="1" s="1"/>
  <c r="N754" i="1"/>
  <c r="Q753" i="1"/>
  <c r="M754" i="1" s="1"/>
  <c r="R753" i="1"/>
  <c r="V755" i="1"/>
  <c r="W754" i="1"/>
  <c r="L754" i="1"/>
  <c r="O754" i="1" s="1"/>
  <c r="AC755" i="1" l="1"/>
  <c r="Y756" i="1" s="1"/>
  <c r="AE756" i="1"/>
  <c r="AD756" i="1" s="1"/>
  <c r="AB755" i="1"/>
  <c r="X756" i="1" s="1"/>
  <c r="R754" i="1"/>
  <c r="N755" i="1" s="1"/>
  <c r="Q754" i="1"/>
  <c r="M755" i="1" s="1"/>
  <c r="S389" i="1"/>
  <c r="V756" i="1"/>
  <c r="W755" i="1"/>
  <c r="L755" i="1"/>
  <c r="O755" i="1" s="1"/>
  <c r="AC756" i="1" l="1"/>
  <c r="Y757" i="1" s="1"/>
  <c r="AE757" i="1"/>
  <c r="AD757" i="1" s="1"/>
  <c r="Q755" i="1"/>
  <c r="M756" i="1" s="1"/>
  <c r="R755" i="1"/>
  <c r="N756" i="1" s="1"/>
  <c r="AB756" i="1"/>
  <c r="X757" i="1" s="1"/>
  <c r="V757" i="1"/>
  <c r="W756" i="1"/>
  <c r="L756" i="1"/>
  <c r="O756" i="1" s="1"/>
  <c r="AE758" i="1" l="1"/>
  <c r="AD758" i="1" s="1"/>
  <c r="N757" i="1"/>
  <c r="Q756" i="1"/>
  <c r="M757" i="1" s="1"/>
  <c r="R756" i="1"/>
  <c r="AC757" i="1"/>
  <c r="Y758" i="1" s="1"/>
  <c r="S390" i="1"/>
  <c r="V758" i="1"/>
  <c r="W757" i="1"/>
  <c r="L757" i="1"/>
  <c r="O757" i="1" s="1"/>
  <c r="AB757" i="1" s="1"/>
  <c r="X758" i="1" s="1"/>
  <c r="AE759" i="1" l="1"/>
  <c r="AD759" i="1" s="1"/>
  <c r="AC758" i="1"/>
  <c r="Y759" i="1" s="1"/>
  <c r="AB758" i="1"/>
  <c r="X759" i="1" s="1"/>
  <c r="R757" i="1"/>
  <c r="M758" i="1"/>
  <c r="N758" i="1"/>
  <c r="Q757" i="1"/>
  <c r="V759" i="1"/>
  <c r="W758" i="1"/>
  <c r="L758" i="1"/>
  <c r="O758" i="1" s="1"/>
  <c r="AE760" i="1" l="1"/>
  <c r="AD760" i="1" s="1"/>
  <c r="AC759" i="1"/>
  <c r="Y760" i="1" s="1"/>
  <c r="AB759" i="1"/>
  <c r="X760" i="1" s="1"/>
  <c r="R758" i="1"/>
  <c r="N759" i="1" s="1"/>
  <c r="M759" i="1"/>
  <c r="Q758" i="1"/>
  <c r="S391" i="1"/>
  <c r="V760" i="1"/>
  <c r="W759" i="1"/>
  <c r="L759" i="1"/>
  <c r="O759" i="1" s="1"/>
  <c r="AE761" i="1" l="1"/>
  <c r="AD761" i="1" s="1"/>
  <c r="Q759" i="1"/>
  <c r="R759" i="1"/>
  <c r="N760" i="1" s="1"/>
  <c r="Q760" i="1" s="1"/>
  <c r="M761" i="1" s="1"/>
  <c r="M760" i="1"/>
  <c r="AC760" i="1"/>
  <c r="Y761" i="1" s="1"/>
  <c r="V761" i="1"/>
  <c r="W760" i="1"/>
  <c r="L760" i="1"/>
  <c r="O760" i="1" s="1"/>
  <c r="AB760" i="1" s="1"/>
  <c r="X761" i="1" s="1"/>
  <c r="AE762" i="1" s="1"/>
  <c r="AD762" i="1" s="1"/>
  <c r="R761" i="1" l="1"/>
  <c r="N762" i="1" s="1"/>
  <c r="AB761" i="1"/>
  <c r="X762" i="1" s="1"/>
  <c r="AC761" i="1"/>
  <c r="Y762" i="1" s="1"/>
  <c r="AC762" i="1" s="1"/>
  <c r="Y763" i="1" s="1"/>
  <c r="R760" i="1"/>
  <c r="N761" i="1" s="1"/>
  <c r="S392" i="1"/>
  <c r="V762" i="1"/>
  <c r="W761" i="1"/>
  <c r="L761" i="1"/>
  <c r="O761" i="1" s="1"/>
  <c r="AE763" i="1" l="1"/>
  <c r="AD763" i="1" s="1"/>
  <c r="Q761" i="1"/>
  <c r="M762" i="1" s="1"/>
  <c r="V763" i="1"/>
  <c r="W762" i="1"/>
  <c r="L762" i="1"/>
  <c r="O762" i="1" s="1"/>
  <c r="AB762" i="1" s="1"/>
  <c r="X763" i="1" s="1"/>
  <c r="AE764" i="1" l="1"/>
  <c r="AD764" i="1" s="1"/>
  <c r="AC763" i="1"/>
  <c r="Y764" i="1" s="1"/>
  <c r="R762" i="1"/>
  <c r="N763" i="1" s="1"/>
  <c r="Q762" i="1"/>
  <c r="M763" i="1" s="1"/>
  <c r="S393" i="1"/>
  <c r="V764" i="1"/>
  <c r="W763" i="1"/>
  <c r="L763" i="1"/>
  <c r="O763" i="1" s="1"/>
  <c r="AB763" i="1" s="1"/>
  <c r="X764" i="1" s="1"/>
  <c r="AE765" i="1" l="1"/>
  <c r="AD765" i="1" s="1"/>
  <c r="R763" i="1"/>
  <c r="AC764" i="1"/>
  <c r="Y765" i="1" s="1"/>
  <c r="AB764" i="1"/>
  <c r="X765" i="1" s="1"/>
  <c r="Q763" i="1"/>
  <c r="M764" i="1" s="1"/>
  <c r="N764" i="1"/>
  <c r="V765" i="1"/>
  <c r="W764" i="1"/>
  <c r="L764" i="1"/>
  <c r="O764" i="1" s="1"/>
  <c r="AE766" i="1" l="1"/>
  <c r="AD766" i="1" s="1"/>
  <c r="AC765" i="1"/>
  <c r="Y766" i="1" s="1"/>
  <c r="R764" i="1"/>
  <c r="N765" i="1"/>
  <c r="Q764" i="1"/>
  <c r="M765" i="1" s="1"/>
  <c r="R765" i="1" s="1"/>
  <c r="N766" i="1" s="1"/>
  <c r="S394" i="1"/>
  <c r="V766" i="1"/>
  <c r="W765" i="1"/>
  <c r="L765" i="1"/>
  <c r="O765" i="1" s="1"/>
  <c r="AB765" i="1" s="1"/>
  <c r="X766" i="1" s="1"/>
  <c r="AE767" i="1" s="1"/>
  <c r="AD767" i="1" s="1"/>
  <c r="AB766" i="1" l="1"/>
  <c r="X767" i="1" s="1"/>
  <c r="AC766" i="1"/>
  <c r="Y767" i="1" s="1"/>
  <c r="Q765" i="1"/>
  <c r="M766" i="1" s="1"/>
  <c r="R766" i="1" s="1"/>
  <c r="N767" i="1" s="1"/>
  <c r="V767" i="1"/>
  <c r="W766" i="1"/>
  <c r="L766" i="1"/>
  <c r="O766" i="1" s="1"/>
  <c r="AE768" i="1" l="1"/>
  <c r="AD768" i="1" s="1"/>
  <c r="AC767" i="1"/>
  <c r="Y768" i="1" s="1"/>
  <c r="Q767" i="1"/>
  <c r="Q766" i="1"/>
  <c r="M767" i="1" s="1"/>
  <c r="S395" i="1"/>
  <c r="V768" i="1"/>
  <c r="W767" i="1"/>
  <c r="L767" i="1"/>
  <c r="O767" i="1" s="1"/>
  <c r="AB767" i="1" s="1"/>
  <c r="X768" i="1" s="1"/>
  <c r="AE769" i="1" l="1"/>
  <c r="AD769" i="1" s="1"/>
  <c r="AC768" i="1"/>
  <c r="Y769" i="1" s="1"/>
  <c r="AB768" i="1"/>
  <c r="X769" i="1" s="1"/>
  <c r="M768" i="1"/>
  <c r="R767" i="1"/>
  <c r="N768" i="1" s="1"/>
  <c r="V769" i="1"/>
  <c r="W768" i="1"/>
  <c r="L768" i="1"/>
  <c r="O768" i="1" s="1"/>
  <c r="AE770" i="1" l="1"/>
  <c r="AD770" i="1" s="1"/>
  <c r="AC769" i="1"/>
  <c r="Y770" i="1" s="1"/>
  <c r="Q768" i="1"/>
  <c r="R768" i="1"/>
  <c r="N769" i="1" s="1"/>
  <c r="M769" i="1"/>
  <c r="S396" i="1"/>
  <c r="V770" i="1"/>
  <c r="W769" i="1"/>
  <c r="L769" i="1"/>
  <c r="O769" i="1" s="1"/>
  <c r="AB769" i="1" s="1"/>
  <c r="X770" i="1" s="1"/>
  <c r="AE771" i="1" l="1"/>
  <c r="AD771" i="1" s="1"/>
  <c r="AC770" i="1"/>
  <c r="Y771" i="1" s="1"/>
  <c r="Q769" i="1"/>
  <c r="M770" i="1" s="1"/>
  <c r="R770" i="1" s="1"/>
  <c r="R769" i="1"/>
  <c r="N770" i="1" s="1"/>
  <c r="V771" i="1"/>
  <c r="W770" i="1"/>
  <c r="L770" i="1"/>
  <c r="O770" i="1" s="1"/>
  <c r="AB770" i="1" s="1"/>
  <c r="X771" i="1" s="1"/>
  <c r="AE772" i="1" l="1"/>
  <c r="AD772" i="1" s="1"/>
  <c r="Q770" i="1"/>
  <c r="M771" i="1" s="1"/>
  <c r="N771" i="1"/>
  <c r="AC771" i="1"/>
  <c r="Y772" i="1" s="1"/>
  <c r="AB771" i="1"/>
  <c r="X772" i="1" s="1"/>
  <c r="S397" i="1"/>
  <c r="V772" i="1"/>
  <c r="W771" i="1"/>
  <c r="L771" i="1"/>
  <c r="O771" i="1" s="1"/>
  <c r="AC772" i="1" l="1"/>
  <c r="Y773" i="1" s="1"/>
  <c r="AE773" i="1"/>
  <c r="AD773" i="1" s="1"/>
  <c r="AB772" i="1"/>
  <c r="X773" i="1" s="1"/>
  <c r="Q771" i="1"/>
  <c r="M772" i="1"/>
  <c r="R772" i="1" s="1"/>
  <c r="R771" i="1"/>
  <c r="N772" i="1" s="1"/>
  <c r="V773" i="1"/>
  <c r="W772" i="1"/>
  <c r="L772" i="1"/>
  <c r="O772" i="1" s="1"/>
  <c r="AE774" i="1" l="1"/>
  <c r="AD774" i="1" s="1"/>
  <c r="AC773" i="1"/>
  <c r="Y774" i="1" s="1"/>
  <c r="Q772" i="1"/>
  <c r="M773" i="1" s="1"/>
  <c r="N773" i="1"/>
  <c r="S398" i="1"/>
  <c r="V774" i="1"/>
  <c r="W773" i="1"/>
  <c r="L773" i="1"/>
  <c r="O773" i="1" s="1"/>
  <c r="AB773" i="1" s="1"/>
  <c r="X774" i="1" s="1"/>
  <c r="AE775" i="1" l="1"/>
  <c r="AD775" i="1" s="1"/>
  <c r="AC774" i="1"/>
  <c r="Y775" i="1" s="1"/>
  <c r="AB774" i="1"/>
  <c r="X775" i="1" s="1"/>
  <c r="Q773" i="1"/>
  <c r="M774" i="1" s="1"/>
  <c r="R773" i="1"/>
  <c r="N774" i="1" s="1"/>
  <c r="V775" i="1"/>
  <c r="W774" i="1"/>
  <c r="L774" i="1"/>
  <c r="O774" i="1" s="1"/>
  <c r="AE776" i="1" l="1"/>
  <c r="AD776" i="1" s="1"/>
  <c r="AC775" i="1"/>
  <c r="Y776" i="1" s="1"/>
  <c r="R774" i="1"/>
  <c r="N775" i="1" s="1"/>
  <c r="Q774" i="1"/>
  <c r="M775" i="1" s="1"/>
  <c r="S399" i="1"/>
  <c r="V776" i="1"/>
  <c r="W775" i="1"/>
  <c r="L775" i="1"/>
  <c r="O775" i="1" s="1"/>
  <c r="AB775" i="1" s="1"/>
  <c r="X776" i="1" s="1"/>
  <c r="AE777" i="1" l="1"/>
  <c r="AD777" i="1" s="1"/>
  <c r="AC776" i="1"/>
  <c r="Y777" i="1" s="1"/>
  <c r="M776" i="1"/>
  <c r="R775" i="1"/>
  <c r="N776" i="1" s="1"/>
  <c r="Q775" i="1"/>
  <c r="V777" i="1"/>
  <c r="W776" i="1"/>
  <c r="L776" i="1"/>
  <c r="O776" i="1" s="1"/>
  <c r="AB776" i="1" s="1"/>
  <c r="X777" i="1" s="1"/>
  <c r="AE778" i="1" l="1"/>
  <c r="AD778" i="1" s="1"/>
  <c r="Q776" i="1"/>
  <c r="M777" i="1" s="1"/>
  <c r="AC777" i="1"/>
  <c r="Y778" i="1" s="1"/>
  <c r="R776" i="1"/>
  <c r="N777" i="1" s="1"/>
  <c r="Q777" i="1" s="1"/>
  <c r="M778" i="1" s="1"/>
  <c r="S400" i="1"/>
  <c r="V778" i="1"/>
  <c r="W777" i="1"/>
  <c r="L777" i="1"/>
  <c r="O777" i="1" s="1"/>
  <c r="AB777" i="1" s="1"/>
  <c r="X778" i="1" s="1"/>
  <c r="AE779" i="1" l="1"/>
  <c r="AD779" i="1" s="1"/>
  <c r="AC778" i="1"/>
  <c r="Y779" i="1" s="1"/>
  <c r="R777" i="1"/>
  <c r="N778" i="1" s="1"/>
  <c r="R778" i="1" s="1"/>
  <c r="V779" i="1"/>
  <c r="W778" i="1"/>
  <c r="L778" i="1"/>
  <c r="O778" i="1" s="1"/>
  <c r="AB778" i="1" s="1"/>
  <c r="X779" i="1" s="1"/>
  <c r="AE780" i="1" l="1"/>
  <c r="AD780" i="1" s="1"/>
  <c r="AC779" i="1"/>
  <c r="Y780" i="1" s="1"/>
  <c r="Q778" i="1"/>
  <c r="M779" i="1" s="1"/>
  <c r="N779" i="1"/>
  <c r="S401" i="1"/>
  <c r="V780" i="1"/>
  <c r="W779" i="1"/>
  <c r="L779" i="1"/>
  <c r="O779" i="1" s="1"/>
  <c r="AB779" i="1" s="1"/>
  <c r="X780" i="1" s="1"/>
  <c r="AE781" i="1" l="1"/>
  <c r="AD781" i="1" s="1"/>
  <c r="AC780" i="1"/>
  <c r="Y781" i="1" s="1"/>
  <c r="R779" i="1"/>
  <c r="Q779" i="1"/>
  <c r="M780" i="1" s="1"/>
  <c r="N780" i="1"/>
  <c r="V781" i="1"/>
  <c r="W780" i="1"/>
  <c r="L780" i="1"/>
  <c r="O780" i="1" s="1"/>
  <c r="AB780" i="1" s="1"/>
  <c r="X781" i="1" s="1"/>
  <c r="AE782" i="1" l="1"/>
  <c r="AD782" i="1" s="1"/>
  <c r="R780" i="1"/>
  <c r="AC781" i="1"/>
  <c r="Y782" i="1" s="1"/>
  <c r="AB781" i="1"/>
  <c r="X782" i="1" s="1"/>
  <c r="Q780" i="1"/>
  <c r="M781" i="1" s="1"/>
  <c r="N781" i="1"/>
  <c r="S402" i="1"/>
  <c r="V782" i="1"/>
  <c r="W781" i="1"/>
  <c r="L781" i="1"/>
  <c r="O781" i="1" s="1"/>
  <c r="AE783" i="1" l="1"/>
  <c r="AD783" i="1" s="1"/>
  <c r="AC782" i="1"/>
  <c r="Y783" i="1" s="1"/>
  <c r="R781" i="1"/>
  <c r="Q781" i="1"/>
  <c r="M782" i="1" s="1"/>
  <c r="R782" i="1" s="1"/>
  <c r="N783" i="1" s="1"/>
  <c r="N782" i="1"/>
  <c r="V783" i="1"/>
  <c r="W782" i="1"/>
  <c r="L782" i="1"/>
  <c r="O782" i="1" s="1"/>
  <c r="AB782" i="1" s="1"/>
  <c r="X783" i="1" s="1"/>
  <c r="AE784" i="1" l="1"/>
  <c r="AD784" i="1" s="1"/>
  <c r="AC783" i="1"/>
  <c r="Y784" i="1" s="1"/>
  <c r="Q782" i="1"/>
  <c r="M783" i="1" s="1"/>
  <c r="R783" i="1" s="1"/>
  <c r="N784" i="1" s="1"/>
  <c r="S403" i="1"/>
  <c r="V784" i="1"/>
  <c r="W783" i="1"/>
  <c r="L783" i="1"/>
  <c r="O783" i="1" s="1"/>
  <c r="AB783" i="1" s="1"/>
  <c r="X784" i="1" s="1"/>
  <c r="AE785" i="1" l="1"/>
  <c r="AD785" i="1" s="1"/>
  <c r="AB784" i="1"/>
  <c r="X785" i="1" s="1"/>
  <c r="AC784" i="1"/>
  <c r="Y785" i="1" s="1"/>
  <c r="Q783" i="1"/>
  <c r="M784" i="1" s="1"/>
  <c r="V785" i="1"/>
  <c r="W784" i="1"/>
  <c r="L784" i="1"/>
  <c r="O784" i="1" s="1"/>
  <c r="AE786" i="1" l="1"/>
  <c r="AD786" i="1" s="1"/>
  <c r="M785" i="1"/>
  <c r="R784" i="1"/>
  <c r="N785" i="1" s="1"/>
  <c r="Q784" i="1"/>
  <c r="AC785" i="1"/>
  <c r="Y786" i="1" s="1"/>
  <c r="S404" i="1"/>
  <c r="V786" i="1"/>
  <c r="W785" i="1"/>
  <c r="L785" i="1"/>
  <c r="O785" i="1" s="1"/>
  <c r="AB785" i="1" s="1"/>
  <c r="X786" i="1" s="1"/>
  <c r="AE787" i="1" l="1"/>
  <c r="AD787" i="1" s="1"/>
  <c r="AC786" i="1"/>
  <c r="Y787" i="1" s="1"/>
  <c r="R785" i="1"/>
  <c r="N786" i="1"/>
  <c r="Q785" i="1"/>
  <c r="M786" i="1" s="1"/>
  <c r="V787" i="1"/>
  <c r="W786" i="1"/>
  <c r="L786" i="1"/>
  <c r="O786" i="1" s="1"/>
  <c r="AB786" i="1" s="1"/>
  <c r="X787" i="1" s="1"/>
  <c r="AE788" i="1" l="1"/>
  <c r="AD788" i="1" s="1"/>
  <c r="AC787" i="1"/>
  <c r="Y788" i="1" s="1"/>
  <c r="R786" i="1"/>
  <c r="N787" i="1" s="1"/>
  <c r="Q786" i="1"/>
  <c r="M787" i="1" s="1"/>
  <c r="S405" i="1"/>
  <c r="V788" i="1"/>
  <c r="W787" i="1"/>
  <c r="L787" i="1"/>
  <c r="O787" i="1" s="1"/>
  <c r="AB787" i="1" s="1"/>
  <c r="X788" i="1" s="1"/>
  <c r="AE789" i="1" l="1"/>
  <c r="AD789" i="1" s="1"/>
  <c r="Q787" i="1"/>
  <c r="M788" i="1" s="1"/>
  <c r="AC788" i="1"/>
  <c r="Y789" i="1" s="1"/>
  <c r="R787" i="1"/>
  <c r="N788" i="1" s="1"/>
  <c r="V789" i="1"/>
  <c r="W788" i="1"/>
  <c r="L788" i="1"/>
  <c r="O788" i="1" s="1"/>
  <c r="AB788" i="1" s="1"/>
  <c r="X789" i="1" s="1"/>
  <c r="AE790" i="1" l="1"/>
  <c r="AD790" i="1" s="1"/>
  <c r="Q788" i="1"/>
  <c r="AB789" i="1"/>
  <c r="X790" i="1" s="1"/>
  <c r="AC789" i="1"/>
  <c r="Y790" i="1" s="1"/>
  <c r="M789" i="1"/>
  <c r="R788" i="1"/>
  <c r="N789" i="1" s="1"/>
  <c r="S406" i="1"/>
  <c r="V790" i="1"/>
  <c r="W789" i="1"/>
  <c r="L789" i="1"/>
  <c r="O789" i="1" s="1"/>
  <c r="AC790" i="1" l="1"/>
  <c r="Y791" i="1" s="1"/>
  <c r="AE791" i="1"/>
  <c r="AD791" i="1" s="1"/>
  <c r="Q789" i="1"/>
  <c r="M790" i="1"/>
  <c r="R789" i="1"/>
  <c r="N790" i="1" s="1"/>
  <c r="Q790" i="1" s="1"/>
  <c r="M791" i="1" s="1"/>
  <c r="V791" i="1"/>
  <c r="W790" i="1"/>
  <c r="L790" i="1"/>
  <c r="O790" i="1" s="1"/>
  <c r="AB790" i="1" s="1"/>
  <c r="X791" i="1" s="1"/>
  <c r="AE792" i="1" l="1"/>
  <c r="AD792" i="1" s="1"/>
  <c r="AC791" i="1"/>
  <c r="Y792" i="1" s="1"/>
  <c r="R790" i="1"/>
  <c r="N791" i="1" s="1"/>
  <c r="S407" i="1"/>
  <c r="V792" i="1"/>
  <c r="W791" i="1"/>
  <c r="L791" i="1"/>
  <c r="O791" i="1" s="1"/>
  <c r="AB791" i="1" s="1"/>
  <c r="X792" i="1" s="1"/>
  <c r="AE793" i="1" s="1"/>
  <c r="AD793" i="1" s="1"/>
  <c r="AC792" i="1" l="1"/>
  <c r="Y793" i="1" s="1"/>
  <c r="Q791" i="1"/>
  <c r="M792" i="1" s="1"/>
  <c r="R792" i="1" s="1"/>
  <c r="R791" i="1"/>
  <c r="N792" i="1" s="1"/>
  <c r="V793" i="1"/>
  <c r="W792" i="1"/>
  <c r="L792" i="1"/>
  <c r="O792" i="1" s="1"/>
  <c r="AB792" i="1" s="1"/>
  <c r="X793" i="1" s="1"/>
  <c r="AE794" i="1" l="1"/>
  <c r="AD794" i="1" s="1"/>
  <c r="AC793" i="1"/>
  <c r="Y794" i="1" s="1"/>
  <c r="N793" i="1"/>
  <c r="Q792" i="1"/>
  <c r="M793" i="1" s="1"/>
  <c r="S408" i="1"/>
  <c r="V794" i="1"/>
  <c r="W793" i="1"/>
  <c r="L793" i="1"/>
  <c r="O793" i="1" s="1"/>
  <c r="AB793" i="1" s="1"/>
  <c r="X794" i="1" s="1"/>
  <c r="AE795" i="1" l="1"/>
  <c r="AD795" i="1" s="1"/>
  <c r="AC794" i="1"/>
  <c r="Y795" i="1" s="1"/>
  <c r="AB794" i="1"/>
  <c r="X795" i="1" s="1"/>
  <c r="R793" i="1"/>
  <c r="N794" i="1" s="1"/>
  <c r="Q793" i="1"/>
  <c r="M794" i="1" s="1"/>
  <c r="R794" i="1" s="1"/>
  <c r="V795" i="1"/>
  <c r="W794" i="1"/>
  <c r="L794" i="1"/>
  <c r="O794" i="1" s="1"/>
  <c r="AE796" i="1" l="1"/>
  <c r="AD796" i="1" s="1"/>
  <c r="AC795" i="1"/>
  <c r="Y796" i="1" s="1"/>
  <c r="Q794" i="1"/>
  <c r="M795" i="1" s="1"/>
  <c r="N795" i="1"/>
  <c r="S409" i="1"/>
  <c r="V796" i="1"/>
  <c r="W795" i="1"/>
  <c r="L795" i="1"/>
  <c r="O795" i="1" s="1"/>
  <c r="AB795" i="1" s="1"/>
  <c r="X796" i="1" s="1"/>
  <c r="AE797" i="1" l="1"/>
  <c r="AD797" i="1" s="1"/>
  <c r="AC796" i="1"/>
  <c r="Y797" i="1" s="1"/>
  <c r="AB796" i="1"/>
  <c r="X797" i="1" s="1"/>
  <c r="Q795" i="1"/>
  <c r="M796" i="1" s="1"/>
  <c r="R795" i="1"/>
  <c r="N796" i="1" s="1"/>
  <c r="Q796" i="1" s="1"/>
  <c r="V797" i="1"/>
  <c r="W796" i="1"/>
  <c r="L796" i="1"/>
  <c r="O796" i="1" s="1"/>
  <c r="AE798" i="1" l="1"/>
  <c r="AD798" i="1" s="1"/>
  <c r="AC797" i="1"/>
  <c r="Y798" i="1" s="1"/>
  <c r="R796" i="1"/>
  <c r="N797" i="1" s="1"/>
  <c r="M797" i="1"/>
  <c r="AB797" i="1"/>
  <c r="X798" i="1" s="1"/>
  <c r="S410" i="1"/>
  <c r="V798" i="1"/>
  <c r="W797" i="1"/>
  <c r="L797" i="1"/>
  <c r="O797" i="1" s="1"/>
  <c r="AC798" i="1" l="1"/>
  <c r="Y799" i="1" s="1"/>
  <c r="AE799" i="1"/>
  <c r="AD799" i="1" s="1"/>
  <c r="N798" i="1"/>
  <c r="Q797" i="1"/>
  <c r="M798" i="1" s="1"/>
  <c r="R798" i="1" s="1"/>
  <c r="N799" i="1" s="1"/>
  <c r="R797" i="1"/>
  <c r="V799" i="1"/>
  <c r="W798" i="1"/>
  <c r="L798" i="1"/>
  <c r="O798" i="1" s="1"/>
  <c r="AB798" i="1" s="1"/>
  <c r="X799" i="1" s="1"/>
  <c r="AE800" i="1" l="1"/>
  <c r="AD800" i="1" s="1"/>
  <c r="AC799" i="1"/>
  <c r="Y800" i="1" s="1"/>
  <c r="N800" i="1"/>
  <c r="Q799" i="1"/>
  <c r="M800" i="1" s="1"/>
  <c r="Q798" i="1"/>
  <c r="M799" i="1" s="1"/>
  <c r="R799" i="1" s="1"/>
  <c r="S411" i="1"/>
  <c r="V800" i="1"/>
  <c r="W799" i="1"/>
  <c r="L799" i="1"/>
  <c r="O799" i="1" s="1"/>
  <c r="AB799" i="1" s="1"/>
  <c r="X800" i="1" s="1"/>
  <c r="AE801" i="1" l="1"/>
  <c r="AD801" i="1" s="1"/>
  <c r="AC800" i="1"/>
  <c r="Y801" i="1" s="1"/>
  <c r="R800" i="1"/>
  <c r="N801" i="1"/>
  <c r="V801" i="1"/>
  <c r="W800" i="1"/>
  <c r="L800" i="1"/>
  <c r="O800" i="1" s="1"/>
  <c r="AB800" i="1" s="1"/>
  <c r="X801" i="1" s="1"/>
  <c r="AE802" i="1" l="1"/>
  <c r="AD802" i="1" s="1"/>
  <c r="AC801" i="1"/>
  <c r="Y802" i="1" s="1"/>
  <c r="Q800" i="1"/>
  <c r="M801" i="1" s="1"/>
  <c r="S412" i="1"/>
  <c r="V802" i="1"/>
  <c r="W801" i="1"/>
  <c r="L801" i="1"/>
  <c r="O801" i="1" s="1"/>
  <c r="AB801" i="1" s="1"/>
  <c r="X802" i="1" s="1"/>
  <c r="AE803" i="1" l="1"/>
  <c r="AD803" i="1" s="1"/>
  <c r="AC802" i="1"/>
  <c r="Y803" i="1" s="1"/>
  <c r="AB802" i="1"/>
  <c r="X803" i="1" s="1"/>
  <c r="R801" i="1"/>
  <c r="N802" i="1" s="1"/>
  <c r="Q801" i="1"/>
  <c r="M802" i="1" s="1"/>
  <c r="V803" i="1"/>
  <c r="W802" i="1"/>
  <c r="L802" i="1"/>
  <c r="O802" i="1" s="1"/>
  <c r="AE804" i="1" l="1"/>
  <c r="AD804" i="1" s="1"/>
  <c r="AC803" i="1"/>
  <c r="Y804" i="1" s="1"/>
  <c r="Q802" i="1"/>
  <c r="R802" i="1"/>
  <c r="N803" i="1" s="1"/>
  <c r="M803" i="1"/>
  <c r="R803" i="1" s="1"/>
  <c r="N804" i="1" s="1"/>
  <c r="S413" i="1"/>
  <c r="V804" i="1"/>
  <c r="W803" i="1"/>
  <c r="L803" i="1"/>
  <c r="O803" i="1" s="1"/>
  <c r="AB803" i="1" s="1"/>
  <c r="X804" i="1" s="1"/>
  <c r="AE805" i="1" l="1"/>
  <c r="AD805" i="1" s="1"/>
  <c r="AC804" i="1"/>
  <c r="Y805" i="1" s="1"/>
  <c r="Q803" i="1"/>
  <c r="M804" i="1" s="1"/>
  <c r="V805" i="1"/>
  <c r="W804" i="1"/>
  <c r="L804" i="1"/>
  <c r="O804" i="1" s="1"/>
  <c r="AB804" i="1" s="1"/>
  <c r="X805" i="1" s="1"/>
  <c r="AE806" i="1" l="1"/>
  <c r="AD806" i="1" s="1"/>
  <c r="AC805" i="1"/>
  <c r="Y806" i="1" s="1"/>
  <c r="M805" i="1"/>
  <c r="R805" i="1" s="1"/>
  <c r="R804" i="1"/>
  <c r="N805" i="1" s="1"/>
  <c r="Q804" i="1"/>
  <c r="S414" i="1"/>
  <c r="V806" i="1"/>
  <c r="W805" i="1"/>
  <c r="L805" i="1"/>
  <c r="O805" i="1" s="1"/>
  <c r="AB805" i="1" s="1"/>
  <c r="X806" i="1" s="1"/>
  <c r="AE807" i="1" l="1"/>
  <c r="AD807" i="1" s="1"/>
  <c r="AC806" i="1"/>
  <c r="Y807" i="1" s="1"/>
  <c r="Q805" i="1"/>
  <c r="M806" i="1" s="1"/>
  <c r="N806" i="1"/>
  <c r="V807" i="1"/>
  <c r="W806" i="1"/>
  <c r="L806" i="1"/>
  <c r="O806" i="1" s="1"/>
  <c r="AB806" i="1" s="1"/>
  <c r="X807" i="1" s="1"/>
  <c r="AE808" i="1" l="1"/>
  <c r="AD808" i="1" s="1"/>
  <c r="AC807" i="1"/>
  <c r="Y808" i="1" s="1"/>
  <c r="AB807" i="1"/>
  <c r="X808" i="1" s="1"/>
  <c r="R806" i="1"/>
  <c r="N807" i="1" s="1"/>
  <c r="Q806" i="1"/>
  <c r="M807" i="1" s="1"/>
  <c r="S415" i="1"/>
  <c r="V808" i="1"/>
  <c r="W807" i="1"/>
  <c r="L807" i="1"/>
  <c r="O807" i="1" s="1"/>
  <c r="AE809" i="1" l="1"/>
  <c r="AD809" i="1" s="1"/>
  <c r="AC808" i="1"/>
  <c r="Y809" i="1" s="1"/>
  <c r="N808" i="1"/>
  <c r="Q807" i="1"/>
  <c r="M808" i="1" s="1"/>
  <c r="R808" i="1" s="1"/>
  <c r="N809" i="1" s="1"/>
  <c r="R807" i="1"/>
  <c r="V809" i="1"/>
  <c r="W808" i="1"/>
  <c r="L808" i="1"/>
  <c r="O808" i="1" s="1"/>
  <c r="AB808" i="1" s="1"/>
  <c r="X809" i="1" s="1"/>
  <c r="AE810" i="1" l="1"/>
  <c r="AD810" i="1" s="1"/>
  <c r="AC809" i="1"/>
  <c r="Y810" i="1" s="1"/>
  <c r="Q808" i="1"/>
  <c r="M809" i="1" s="1"/>
  <c r="R809" i="1" s="1"/>
  <c r="N810" i="1" s="1"/>
  <c r="S416" i="1"/>
  <c r="V810" i="1"/>
  <c r="W809" i="1"/>
  <c r="L809" i="1"/>
  <c r="O809" i="1" s="1"/>
  <c r="AB809" i="1" s="1"/>
  <c r="X810" i="1" s="1"/>
  <c r="AE811" i="1" l="1"/>
  <c r="AD811" i="1" s="1"/>
  <c r="AC810" i="1"/>
  <c r="Y811" i="1" s="1"/>
  <c r="AB810" i="1"/>
  <c r="X811" i="1" s="1"/>
  <c r="Q809" i="1"/>
  <c r="M810" i="1" s="1"/>
  <c r="V811" i="1"/>
  <c r="W810" i="1"/>
  <c r="L810" i="1"/>
  <c r="O810" i="1" s="1"/>
  <c r="AE812" i="1" l="1"/>
  <c r="AD812" i="1" s="1"/>
  <c r="AC811" i="1"/>
  <c r="Y812" i="1" s="1"/>
  <c r="R810" i="1"/>
  <c r="N811" i="1" s="1"/>
  <c r="Q810" i="1"/>
  <c r="M811" i="1" s="1"/>
  <c r="R811" i="1" s="1"/>
  <c r="S417" i="1"/>
  <c r="V812" i="1"/>
  <c r="W811" i="1"/>
  <c r="L811" i="1"/>
  <c r="O811" i="1" s="1"/>
  <c r="AB811" i="1" s="1"/>
  <c r="X812" i="1" s="1"/>
  <c r="AE813" i="1" l="1"/>
  <c r="AD813" i="1" s="1"/>
  <c r="AC812" i="1"/>
  <c r="Y813" i="1" s="1"/>
  <c r="AB812" i="1"/>
  <c r="X813" i="1" s="1"/>
  <c r="Q811" i="1"/>
  <c r="M812" i="1" s="1"/>
  <c r="N812" i="1"/>
  <c r="S418" i="1"/>
  <c r="V813" i="1"/>
  <c r="W812" i="1"/>
  <c r="L812" i="1"/>
  <c r="O812" i="1" s="1"/>
  <c r="AE814" i="1" l="1"/>
  <c r="AD814" i="1" s="1"/>
  <c r="AC813" i="1"/>
  <c r="Y814" i="1" s="1"/>
  <c r="AB813" i="1"/>
  <c r="X814" i="1" s="1"/>
  <c r="R812" i="1"/>
  <c r="N813" i="1" s="1"/>
  <c r="Q812" i="1"/>
  <c r="M813" i="1" s="1"/>
  <c r="V814" i="1"/>
  <c r="W813" i="1"/>
  <c r="L813" i="1"/>
  <c r="O813" i="1" s="1"/>
  <c r="AC814" i="1" l="1"/>
  <c r="Y815" i="1" s="1"/>
  <c r="AE815" i="1"/>
  <c r="AD815" i="1" s="1"/>
  <c r="R813" i="1"/>
  <c r="N814" i="1" s="1"/>
  <c r="Q814" i="1" s="1"/>
  <c r="M815" i="1" s="1"/>
  <c r="M814" i="1"/>
  <c r="AB814" i="1"/>
  <c r="X815" i="1" s="1"/>
  <c r="Q813" i="1"/>
  <c r="S419" i="1"/>
  <c r="V815" i="1"/>
  <c r="W814" i="1"/>
  <c r="L814" i="1"/>
  <c r="O814" i="1" s="1"/>
  <c r="AE816" i="1" l="1"/>
  <c r="AD816" i="1" s="1"/>
  <c r="AC815" i="1"/>
  <c r="Y816" i="1" s="1"/>
  <c r="R814" i="1"/>
  <c r="N815" i="1" s="1"/>
  <c r="V816" i="1"/>
  <c r="W815" i="1"/>
  <c r="L815" i="1"/>
  <c r="O815" i="1" s="1"/>
  <c r="AB815" i="1" s="1"/>
  <c r="X816" i="1" s="1"/>
  <c r="AE817" i="1" l="1"/>
  <c r="AD817" i="1" s="1"/>
  <c r="AC816" i="1"/>
  <c r="Y817" i="1" s="1"/>
  <c r="AB816" i="1"/>
  <c r="X817" i="1" s="1"/>
  <c r="R815" i="1"/>
  <c r="N816" i="1"/>
  <c r="Q816" i="1" s="1"/>
  <c r="M817" i="1" s="1"/>
  <c r="Q815" i="1"/>
  <c r="M816" i="1" s="1"/>
  <c r="S420" i="1"/>
  <c r="V817" i="1"/>
  <c r="W816" i="1"/>
  <c r="L816" i="1"/>
  <c r="O816" i="1" s="1"/>
  <c r="AE818" i="1" l="1"/>
  <c r="AD818" i="1" s="1"/>
  <c r="AC817" i="1"/>
  <c r="Y818" i="1" s="1"/>
  <c r="R817" i="1"/>
  <c r="R816" i="1"/>
  <c r="N817" i="1" s="1"/>
  <c r="V818" i="1"/>
  <c r="W817" i="1"/>
  <c r="L817" i="1"/>
  <c r="O817" i="1" s="1"/>
  <c r="AB817" i="1" s="1"/>
  <c r="X818" i="1" s="1"/>
  <c r="AE819" i="1" l="1"/>
  <c r="AD819" i="1" s="1"/>
  <c r="AB818" i="1"/>
  <c r="X819" i="1" s="1"/>
  <c r="AC818" i="1"/>
  <c r="Y819" i="1" s="1"/>
  <c r="AC819" i="1" s="1"/>
  <c r="Y820" i="1" s="1"/>
  <c r="N818" i="1"/>
  <c r="Q818" i="1" s="1"/>
  <c r="Q817" i="1"/>
  <c r="M818" i="1" s="1"/>
  <c r="S421" i="1"/>
  <c r="V819" i="1"/>
  <c r="W818" i="1"/>
  <c r="L818" i="1"/>
  <c r="O818" i="1" s="1"/>
  <c r="AE820" i="1" l="1"/>
  <c r="AD820" i="1" s="1"/>
  <c r="AB819" i="1"/>
  <c r="X820" i="1" s="1"/>
  <c r="M819" i="1"/>
  <c r="R819" i="1" s="1"/>
  <c r="R818" i="1"/>
  <c r="N819" i="1" s="1"/>
  <c r="V820" i="1"/>
  <c r="W819" i="1"/>
  <c r="L819" i="1"/>
  <c r="O819" i="1" s="1"/>
  <c r="AC820" i="1" l="1"/>
  <c r="Y821" i="1" s="1"/>
  <c r="AE821" i="1"/>
  <c r="AD821" i="1" s="1"/>
  <c r="Q819" i="1"/>
  <c r="M820" i="1" s="1"/>
  <c r="N820" i="1"/>
  <c r="Q820" i="1" s="1"/>
  <c r="AB820" i="1"/>
  <c r="X821" i="1" s="1"/>
  <c r="S422" i="1"/>
  <c r="V821" i="1"/>
  <c r="W820" i="1"/>
  <c r="L820" i="1"/>
  <c r="O820" i="1" s="1"/>
  <c r="AE822" i="1" l="1"/>
  <c r="AD822" i="1" s="1"/>
  <c r="M821" i="1"/>
  <c r="R820" i="1"/>
  <c r="N821" i="1" s="1"/>
  <c r="AC821" i="1"/>
  <c r="Y822" i="1" s="1"/>
  <c r="V822" i="1"/>
  <c r="W821" i="1"/>
  <c r="L821" i="1"/>
  <c r="O821" i="1" s="1"/>
  <c r="AB821" i="1" s="1"/>
  <c r="X822" i="1" s="1"/>
  <c r="AE823" i="1" l="1"/>
  <c r="AD823" i="1" s="1"/>
  <c r="AC822" i="1"/>
  <c r="Y823" i="1" s="1"/>
  <c r="Q821" i="1"/>
  <c r="M822" i="1"/>
  <c r="R821" i="1"/>
  <c r="N822" i="1" s="1"/>
  <c r="Q822" i="1" s="1"/>
  <c r="S423" i="1"/>
  <c r="V823" i="1"/>
  <c r="W822" i="1"/>
  <c r="L822" i="1"/>
  <c r="O822" i="1" s="1"/>
  <c r="AB822" i="1" s="1"/>
  <c r="X823" i="1" s="1"/>
  <c r="AE824" i="1" l="1"/>
  <c r="AD824" i="1" s="1"/>
  <c r="AB823" i="1"/>
  <c r="X824" i="1" s="1"/>
  <c r="AC823" i="1"/>
  <c r="Y824" i="1" s="1"/>
  <c r="AC824" i="1" s="1"/>
  <c r="Y825" i="1" s="1"/>
  <c r="M823" i="1"/>
  <c r="R823" i="1" s="1"/>
  <c r="N824" i="1" s="1"/>
  <c r="R822" i="1"/>
  <c r="N823" i="1" s="1"/>
  <c r="Q823" i="1" s="1"/>
  <c r="M824" i="1" s="1"/>
  <c r="V824" i="1"/>
  <c r="W823" i="1"/>
  <c r="L823" i="1"/>
  <c r="O823" i="1" s="1"/>
  <c r="AE825" i="1" l="1"/>
  <c r="AD825" i="1" s="1"/>
  <c r="R824" i="1"/>
  <c r="N825" i="1" s="1"/>
  <c r="S424" i="1"/>
  <c r="V825" i="1"/>
  <c r="W824" i="1"/>
  <c r="L824" i="1"/>
  <c r="O824" i="1" s="1"/>
  <c r="AB824" i="1" s="1"/>
  <c r="X825" i="1" s="1"/>
  <c r="AE826" i="1" l="1"/>
  <c r="AD826" i="1" s="1"/>
  <c r="AC825" i="1"/>
  <c r="Y826" i="1" s="1"/>
  <c r="Q824" i="1"/>
  <c r="M825" i="1" s="1"/>
  <c r="V826" i="1"/>
  <c r="W825" i="1"/>
  <c r="L825" i="1"/>
  <c r="O825" i="1" s="1"/>
  <c r="AB825" i="1" s="1"/>
  <c r="X826" i="1" s="1"/>
  <c r="AE827" i="1" l="1"/>
  <c r="AD827" i="1" s="1"/>
  <c r="AC826" i="1"/>
  <c r="Y827" i="1" s="1"/>
  <c r="Q825" i="1"/>
  <c r="M826" i="1" s="1"/>
  <c r="R825" i="1"/>
  <c r="N826" i="1" s="1"/>
  <c r="Q826" i="1" s="1"/>
  <c r="S425" i="1"/>
  <c r="V827" i="1"/>
  <c r="W826" i="1"/>
  <c r="L826" i="1"/>
  <c r="O826" i="1" s="1"/>
  <c r="AB826" i="1" s="1"/>
  <c r="X827" i="1" s="1"/>
  <c r="AE828" i="1" l="1"/>
  <c r="AD828" i="1" s="1"/>
  <c r="AB827" i="1"/>
  <c r="X828" i="1" s="1"/>
  <c r="AC827" i="1"/>
  <c r="Y828" i="1" s="1"/>
  <c r="M827" i="1"/>
  <c r="R826" i="1"/>
  <c r="N827" i="1" s="1"/>
  <c r="V828" i="1"/>
  <c r="W827" i="1"/>
  <c r="L827" i="1"/>
  <c r="O827" i="1" s="1"/>
  <c r="AC828" i="1" l="1"/>
  <c r="Y829" i="1" s="1"/>
  <c r="AE829" i="1"/>
  <c r="AD829" i="1" s="1"/>
  <c r="N828" i="1"/>
  <c r="Q827" i="1"/>
  <c r="M828" i="1"/>
  <c r="R827" i="1"/>
  <c r="S426" i="1"/>
  <c r="V829" i="1"/>
  <c r="W828" i="1"/>
  <c r="L828" i="1"/>
  <c r="O828" i="1" s="1"/>
  <c r="AB828" i="1" s="1"/>
  <c r="X829" i="1" s="1"/>
  <c r="AE830" i="1" l="1"/>
  <c r="AD830" i="1" s="1"/>
  <c r="AC829" i="1"/>
  <c r="Y830" i="1" s="1"/>
  <c r="R828" i="1"/>
  <c r="N829" i="1" s="1"/>
  <c r="Q828" i="1"/>
  <c r="M829" i="1" s="1"/>
  <c r="V830" i="1"/>
  <c r="W829" i="1"/>
  <c r="L829" i="1"/>
  <c r="O829" i="1" s="1"/>
  <c r="AB829" i="1" s="1"/>
  <c r="X830" i="1" s="1"/>
  <c r="AE831" i="1" l="1"/>
  <c r="AD831" i="1" s="1"/>
  <c r="R829" i="1"/>
  <c r="N830" i="1" s="1"/>
  <c r="Q830" i="1" s="1"/>
  <c r="M831" i="1" s="1"/>
  <c r="AC830" i="1"/>
  <c r="Y831" i="1" s="1"/>
  <c r="Q829" i="1"/>
  <c r="M830" i="1" s="1"/>
  <c r="S427" i="1"/>
  <c r="V831" i="1"/>
  <c r="W830" i="1"/>
  <c r="L830" i="1"/>
  <c r="O830" i="1" s="1"/>
  <c r="AB830" i="1" s="1"/>
  <c r="X831" i="1" s="1"/>
  <c r="AE832" i="1" l="1"/>
  <c r="AD832" i="1" s="1"/>
  <c r="AC831" i="1"/>
  <c r="Y832" i="1" s="1"/>
  <c r="R830" i="1"/>
  <c r="N831" i="1" s="1"/>
  <c r="V832" i="1"/>
  <c r="W831" i="1"/>
  <c r="L831" i="1"/>
  <c r="O831" i="1" s="1"/>
  <c r="AB831" i="1" s="1"/>
  <c r="X832" i="1" s="1"/>
  <c r="AE833" i="1" l="1"/>
  <c r="AD833" i="1" s="1"/>
  <c r="AC832" i="1"/>
  <c r="Y833" i="1" s="1"/>
  <c r="AB832" i="1"/>
  <c r="X833" i="1" s="1"/>
  <c r="R831" i="1"/>
  <c r="N832" i="1" s="1"/>
  <c r="Q832" i="1" s="1"/>
  <c r="Q831" i="1"/>
  <c r="M832" i="1" s="1"/>
  <c r="S428" i="1"/>
  <c r="V833" i="1"/>
  <c r="W832" i="1"/>
  <c r="L832" i="1"/>
  <c r="O832" i="1" s="1"/>
  <c r="AC833" i="1" l="1"/>
  <c r="Y834" i="1" s="1"/>
  <c r="AE834" i="1"/>
  <c r="AD834" i="1" s="1"/>
  <c r="R832" i="1"/>
  <c r="N833" i="1" s="1"/>
  <c r="M833" i="1"/>
  <c r="V834" i="1"/>
  <c r="W833" i="1"/>
  <c r="L833" i="1"/>
  <c r="O833" i="1" s="1"/>
  <c r="AB833" i="1" s="1"/>
  <c r="X834" i="1" s="1"/>
  <c r="AE835" i="1" l="1"/>
  <c r="AD835" i="1" s="1"/>
  <c r="AC834" i="1"/>
  <c r="Y835" i="1" s="1"/>
  <c r="N834" i="1"/>
  <c r="Q833" i="1"/>
  <c r="M834" i="1" s="1"/>
  <c r="R833" i="1"/>
  <c r="S429" i="1"/>
  <c r="V835" i="1"/>
  <c r="W834" i="1"/>
  <c r="L834" i="1"/>
  <c r="O834" i="1" s="1"/>
  <c r="AB834" i="1" s="1"/>
  <c r="X835" i="1" s="1"/>
  <c r="AE836" i="1" l="1"/>
  <c r="AD836" i="1" s="1"/>
  <c r="AC835" i="1"/>
  <c r="Y836" i="1" s="1"/>
  <c r="AB835" i="1"/>
  <c r="X836" i="1" s="1"/>
  <c r="R834" i="1"/>
  <c r="N835" i="1" s="1"/>
  <c r="Q834" i="1"/>
  <c r="M835" i="1" s="1"/>
  <c r="R835" i="1" s="1"/>
  <c r="N836" i="1" s="1"/>
  <c r="V836" i="1"/>
  <c r="W835" i="1"/>
  <c r="L835" i="1"/>
  <c r="O835" i="1" s="1"/>
  <c r="AE837" i="1" l="1"/>
  <c r="AD837" i="1" s="1"/>
  <c r="AC836" i="1"/>
  <c r="Y837" i="1" s="1"/>
  <c r="Q836" i="1"/>
  <c r="Q835" i="1"/>
  <c r="M836" i="1" s="1"/>
  <c r="S430" i="1"/>
  <c r="V837" i="1"/>
  <c r="W836" i="1"/>
  <c r="L836" i="1"/>
  <c r="O836" i="1" s="1"/>
  <c r="AB836" i="1" s="1"/>
  <c r="X837" i="1" s="1"/>
  <c r="AE838" i="1" l="1"/>
  <c r="AD838" i="1" s="1"/>
  <c r="AC837" i="1"/>
  <c r="Y838" i="1" s="1"/>
  <c r="AB837" i="1"/>
  <c r="X838" i="1" s="1"/>
  <c r="R836" i="1"/>
  <c r="N837" i="1" s="1"/>
  <c r="Q837" i="1" s="1"/>
  <c r="M838" i="1" s="1"/>
  <c r="M837" i="1"/>
  <c r="S431" i="1"/>
  <c r="V838" i="1"/>
  <c r="W837" i="1"/>
  <c r="L837" i="1"/>
  <c r="O837" i="1" s="1"/>
  <c r="AC838" i="1" l="1"/>
  <c r="Y839" i="1" s="1"/>
  <c r="AE839" i="1"/>
  <c r="AD839" i="1" s="1"/>
  <c r="R837" i="1"/>
  <c r="N838" i="1" s="1"/>
  <c r="V839" i="1"/>
  <c r="W838" i="1"/>
  <c r="L838" i="1"/>
  <c r="O838" i="1" s="1"/>
  <c r="AB838" i="1" s="1"/>
  <c r="X839" i="1" s="1"/>
  <c r="AE840" i="1" l="1"/>
  <c r="AD840" i="1" s="1"/>
  <c r="AC839" i="1"/>
  <c r="Y840" i="1" s="1"/>
  <c r="R838" i="1"/>
  <c r="N839" i="1" s="1"/>
  <c r="Q838" i="1"/>
  <c r="M839" i="1" s="1"/>
  <c r="S432" i="1"/>
  <c r="V840" i="1"/>
  <c r="W839" i="1"/>
  <c r="L839" i="1"/>
  <c r="O839" i="1" s="1"/>
  <c r="AB839" i="1" s="1"/>
  <c r="X840" i="1" s="1"/>
  <c r="AE841" i="1" l="1"/>
  <c r="AD841" i="1" s="1"/>
  <c r="Q839" i="1"/>
  <c r="AB840" i="1"/>
  <c r="X841" i="1" s="1"/>
  <c r="AC840" i="1"/>
  <c r="Y841" i="1" s="1"/>
  <c r="AC841" i="1" s="1"/>
  <c r="Y842" i="1" s="1"/>
  <c r="M840" i="1"/>
  <c r="R839" i="1"/>
  <c r="N840" i="1" s="1"/>
  <c r="Q840" i="1" s="1"/>
  <c r="V841" i="1"/>
  <c r="W840" i="1"/>
  <c r="L840" i="1"/>
  <c r="O840" i="1" s="1"/>
  <c r="AE842" i="1" l="1"/>
  <c r="AD842" i="1" s="1"/>
  <c r="AB841" i="1"/>
  <c r="X842" i="1" s="1"/>
  <c r="M841" i="1"/>
  <c r="R840" i="1"/>
  <c r="N841" i="1" s="1"/>
  <c r="Q841" i="1" s="1"/>
  <c r="S433" i="1"/>
  <c r="V842" i="1"/>
  <c r="W841" i="1"/>
  <c r="L841" i="1"/>
  <c r="O841" i="1" s="1"/>
  <c r="AC842" i="1" l="1"/>
  <c r="Y843" i="1" s="1"/>
  <c r="AE843" i="1"/>
  <c r="AD843" i="1" s="1"/>
  <c r="R841" i="1"/>
  <c r="N842" i="1" s="1"/>
  <c r="M842" i="1"/>
  <c r="V843" i="1"/>
  <c r="W842" i="1"/>
  <c r="L842" i="1"/>
  <c r="O842" i="1" s="1"/>
  <c r="AB842" i="1" s="1"/>
  <c r="X843" i="1" s="1"/>
  <c r="AE844" i="1" l="1"/>
  <c r="AD844" i="1" s="1"/>
  <c r="AC843" i="1"/>
  <c r="Y844" i="1" s="1"/>
  <c r="Q842" i="1"/>
  <c r="R842" i="1"/>
  <c r="N843" i="1" s="1"/>
  <c r="M843" i="1"/>
  <c r="S434" i="1"/>
  <c r="V844" i="1"/>
  <c r="W843" i="1"/>
  <c r="L843" i="1"/>
  <c r="O843" i="1" s="1"/>
  <c r="AB843" i="1" s="1"/>
  <c r="X844" i="1" s="1"/>
  <c r="AE845" i="1" l="1"/>
  <c r="AD845" i="1" s="1"/>
  <c r="AB844" i="1"/>
  <c r="X845" i="1" s="1"/>
  <c r="AC844" i="1"/>
  <c r="Y845" i="1" s="1"/>
  <c r="R843" i="1"/>
  <c r="N844" i="1" s="1"/>
  <c r="Q843" i="1"/>
  <c r="M844" i="1" s="1"/>
  <c r="V845" i="1"/>
  <c r="W844" i="1"/>
  <c r="L844" i="1"/>
  <c r="O844" i="1" s="1"/>
  <c r="AC845" i="1" l="1"/>
  <c r="Y846" i="1" s="1"/>
  <c r="AE846" i="1"/>
  <c r="R844" i="1"/>
  <c r="N845" i="1" s="1"/>
  <c r="M845" i="1"/>
  <c r="Q844" i="1"/>
  <c r="S435" i="1"/>
  <c r="V846" i="1"/>
  <c r="W845" i="1"/>
  <c r="L845" i="1"/>
  <c r="O845" i="1" s="1"/>
  <c r="AB845" i="1" s="1"/>
  <c r="X846" i="1" s="1"/>
  <c r="AD846" i="1" l="1"/>
  <c r="AE847" i="1" s="1"/>
  <c r="AD847" i="1" s="1"/>
  <c r="AC846" i="1"/>
  <c r="Y847" i="1" s="1"/>
  <c r="AB846" i="1"/>
  <c r="X847" i="1" s="1"/>
  <c r="Q845" i="1"/>
  <c r="R845" i="1"/>
  <c r="N846" i="1" s="1"/>
  <c r="M846" i="1"/>
  <c r="V847" i="1"/>
  <c r="W846" i="1"/>
  <c r="L846" i="1"/>
  <c r="O846" i="1" s="1"/>
  <c r="AE848" i="1" l="1"/>
  <c r="AD848" i="1" s="1"/>
  <c r="AC847" i="1"/>
  <c r="Y848" i="1" s="1"/>
  <c r="R846" i="1"/>
  <c r="N847" i="1" s="1"/>
  <c r="Q846" i="1"/>
  <c r="M847" i="1" s="1"/>
  <c r="S436" i="1"/>
  <c r="V848" i="1"/>
  <c r="W847" i="1"/>
  <c r="L847" i="1"/>
  <c r="O847" i="1" s="1"/>
  <c r="AB847" i="1" s="1"/>
  <c r="X848" i="1" s="1"/>
  <c r="AE849" i="1" l="1"/>
  <c r="AD849" i="1" s="1"/>
  <c r="R847" i="1"/>
  <c r="N848" i="1" s="1"/>
  <c r="AB848" i="1"/>
  <c r="X849" i="1" s="1"/>
  <c r="AC848" i="1"/>
  <c r="Y849" i="1" s="1"/>
  <c r="AC849" i="1" s="1"/>
  <c r="Y850" i="1" s="1"/>
  <c r="Q847" i="1"/>
  <c r="M848" i="1" s="1"/>
  <c r="V849" i="1"/>
  <c r="W848" i="1"/>
  <c r="L848" i="1"/>
  <c r="O848" i="1" s="1"/>
  <c r="AE850" i="1" l="1"/>
  <c r="AD850" i="1" s="1"/>
  <c r="AB849" i="1"/>
  <c r="X850" i="1" s="1"/>
  <c r="R848" i="1"/>
  <c r="N849" i="1" s="1"/>
  <c r="M849" i="1"/>
  <c r="Q848" i="1"/>
  <c r="S437" i="1"/>
  <c r="V850" i="1"/>
  <c r="W849" i="1"/>
  <c r="L849" i="1"/>
  <c r="O849" i="1" s="1"/>
  <c r="AC850" i="1" l="1"/>
  <c r="Y851" i="1" s="1"/>
  <c r="AE851" i="1"/>
  <c r="AD851" i="1" s="1"/>
  <c r="M850" i="1"/>
  <c r="R849" i="1"/>
  <c r="N850" i="1" s="1"/>
  <c r="Q850" i="1" s="1"/>
  <c r="AB850" i="1"/>
  <c r="X851" i="1" s="1"/>
  <c r="Q849" i="1"/>
  <c r="V851" i="1"/>
  <c r="W850" i="1"/>
  <c r="L850" i="1"/>
  <c r="O850" i="1" s="1"/>
  <c r="AE852" i="1" l="1"/>
  <c r="AD852" i="1" s="1"/>
  <c r="AC851" i="1"/>
  <c r="Y852" i="1" s="1"/>
  <c r="AB851" i="1"/>
  <c r="X852" i="1" s="1"/>
  <c r="M851" i="1"/>
  <c r="R850" i="1"/>
  <c r="N851" i="1" s="1"/>
  <c r="Q851" i="1" s="1"/>
  <c r="S438" i="1"/>
  <c r="V852" i="1"/>
  <c r="W851" i="1"/>
  <c r="L851" i="1"/>
  <c r="O851" i="1" s="1"/>
  <c r="AC852" i="1" l="1"/>
  <c r="Y853" i="1" s="1"/>
  <c r="AE853" i="1"/>
  <c r="AD853" i="1" s="1"/>
  <c r="R851" i="1"/>
  <c r="N852" i="1" s="1"/>
  <c r="M852" i="1"/>
  <c r="V853" i="1"/>
  <c r="W852" i="1"/>
  <c r="L852" i="1"/>
  <c r="O852" i="1" s="1"/>
  <c r="AB852" i="1" s="1"/>
  <c r="X853" i="1" s="1"/>
  <c r="AE854" i="1" l="1"/>
  <c r="AD854" i="1" s="1"/>
  <c r="AC853" i="1"/>
  <c r="Y854" i="1" s="1"/>
  <c r="M853" i="1"/>
  <c r="R852" i="1"/>
  <c r="N853" i="1" s="1"/>
  <c r="Q852" i="1"/>
  <c r="S439" i="1"/>
  <c r="V854" i="1"/>
  <c r="W853" i="1"/>
  <c r="L853" i="1"/>
  <c r="O853" i="1" s="1"/>
  <c r="AB853" i="1" s="1"/>
  <c r="X854" i="1" s="1"/>
  <c r="AE855" i="1" l="1"/>
  <c r="AD855" i="1" s="1"/>
  <c r="AB854" i="1"/>
  <c r="X855" i="1" s="1"/>
  <c r="AC854" i="1"/>
  <c r="Y855" i="1" s="1"/>
  <c r="M854" i="1"/>
  <c r="R853" i="1"/>
  <c r="N854" i="1" s="1"/>
  <c r="Q854" i="1" s="1"/>
  <c r="Q853" i="1"/>
  <c r="V855" i="1"/>
  <c r="W854" i="1"/>
  <c r="L854" i="1"/>
  <c r="O854" i="1" s="1"/>
  <c r="AC855" i="1" l="1"/>
  <c r="Y856" i="1" s="1"/>
  <c r="AE856" i="1"/>
  <c r="AD856" i="1" s="1"/>
  <c r="AB855" i="1"/>
  <c r="X856" i="1" s="1"/>
  <c r="R854" i="1"/>
  <c r="N855" i="1" s="1"/>
  <c r="M855" i="1"/>
  <c r="S440" i="1"/>
  <c r="V856" i="1"/>
  <c r="W855" i="1"/>
  <c r="L855" i="1"/>
  <c r="O855" i="1" s="1"/>
  <c r="AC856" i="1" l="1"/>
  <c r="Y857" i="1" s="1"/>
  <c r="AE857" i="1"/>
  <c r="AD857" i="1" s="1"/>
  <c r="Q855" i="1"/>
  <c r="M856" i="1" s="1"/>
  <c r="R856" i="1" s="1"/>
  <c r="N857" i="1" s="1"/>
  <c r="R855" i="1"/>
  <c r="N856" i="1" s="1"/>
  <c r="AB856" i="1"/>
  <c r="X857" i="1" s="1"/>
  <c r="V857" i="1"/>
  <c r="W856" i="1"/>
  <c r="L856" i="1"/>
  <c r="O856" i="1" s="1"/>
  <c r="AE858" i="1" l="1"/>
  <c r="AD858" i="1" s="1"/>
  <c r="AB857" i="1"/>
  <c r="X858" i="1" s="1"/>
  <c r="Q857" i="1"/>
  <c r="AC857" i="1"/>
  <c r="Y858" i="1" s="1"/>
  <c r="Q856" i="1"/>
  <c r="M857" i="1" s="1"/>
  <c r="S441" i="1"/>
  <c r="V858" i="1"/>
  <c r="W857" i="1"/>
  <c r="L857" i="1"/>
  <c r="O857" i="1" s="1"/>
  <c r="AC858" i="1" l="1"/>
  <c r="Y859" i="1" s="1"/>
  <c r="AE859" i="1"/>
  <c r="AD859" i="1" s="1"/>
  <c r="R857" i="1"/>
  <c r="N858" i="1" s="1"/>
  <c r="M858" i="1"/>
  <c r="V859" i="1"/>
  <c r="W858" i="1"/>
  <c r="L858" i="1"/>
  <c r="O858" i="1" s="1"/>
  <c r="AB858" i="1" s="1"/>
  <c r="X859" i="1" s="1"/>
  <c r="AE860" i="1" l="1"/>
  <c r="AD860" i="1" s="1"/>
  <c r="AC859" i="1"/>
  <c r="Y860" i="1" s="1"/>
  <c r="Q858" i="1"/>
  <c r="R858" i="1"/>
  <c r="N859" i="1" s="1"/>
  <c r="M859" i="1"/>
  <c r="R859" i="1" s="1"/>
  <c r="N860" i="1" s="1"/>
  <c r="S442" i="1"/>
  <c r="V860" i="1"/>
  <c r="W859" i="1"/>
  <c r="L859" i="1"/>
  <c r="O859" i="1" s="1"/>
  <c r="AB859" i="1" s="1"/>
  <c r="X860" i="1" s="1"/>
  <c r="AE861" i="1" l="1"/>
  <c r="AD861" i="1" s="1"/>
  <c r="AC860" i="1"/>
  <c r="Y861" i="1" s="1"/>
  <c r="AB860" i="1"/>
  <c r="X861" i="1" s="1"/>
  <c r="Q860" i="1"/>
  <c r="Q859" i="1"/>
  <c r="M860" i="1" s="1"/>
  <c r="S443" i="1"/>
  <c r="V861" i="1"/>
  <c r="W860" i="1"/>
  <c r="L860" i="1"/>
  <c r="O860" i="1" s="1"/>
  <c r="AE862" i="1" l="1"/>
  <c r="AD862" i="1" s="1"/>
  <c r="AC861" i="1"/>
  <c r="Y862" i="1" s="1"/>
  <c r="R860" i="1"/>
  <c r="N861" i="1" s="1"/>
  <c r="M861" i="1"/>
  <c r="V862" i="1"/>
  <c r="W861" i="1"/>
  <c r="L861" i="1"/>
  <c r="O861" i="1" s="1"/>
  <c r="AB861" i="1" s="1"/>
  <c r="X862" i="1" s="1"/>
  <c r="AE863" i="1" l="1"/>
  <c r="AD863" i="1" s="1"/>
  <c r="AC862" i="1"/>
  <c r="Y863" i="1" s="1"/>
  <c r="M862" i="1"/>
  <c r="R861" i="1"/>
  <c r="N862" i="1" s="1"/>
  <c r="Q861" i="1"/>
  <c r="S444" i="1"/>
  <c r="V863" i="1"/>
  <c r="W862" i="1"/>
  <c r="L862" i="1"/>
  <c r="O862" i="1" s="1"/>
  <c r="AB862" i="1" s="1"/>
  <c r="X863" i="1" s="1"/>
  <c r="AE864" i="1" l="1"/>
  <c r="AD864" i="1" s="1"/>
  <c r="AC863" i="1"/>
  <c r="Y864" i="1" s="1"/>
  <c r="R862" i="1"/>
  <c r="N863" i="1" s="1"/>
  <c r="M863" i="1"/>
  <c r="Q862" i="1"/>
  <c r="V864" i="1"/>
  <c r="W863" i="1"/>
  <c r="L863" i="1"/>
  <c r="O863" i="1" s="1"/>
  <c r="AB863" i="1" s="1"/>
  <c r="X864" i="1" s="1"/>
  <c r="AE865" i="1" l="1"/>
  <c r="AD865" i="1" s="1"/>
  <c r="AC864" i="1"/>
  <c r="Y865" i="1" s="1"/>
  <c r="AB864" i="1"/>
  <c r="X865" i="1" s="1"/>
  <c r="Q863" i="1"/>
  <c r="M864" i="1" s="1"/>
  <c r="R863" i="1"/>
  <c r="N864" i="1" s="1"/>
  <c r="S445" i="1"/>
  <c r="V865" i="1"/>
  <c r="W864" i="1"/>
  <c r="L864" i="1"/>
  <c r="O864" i="1" s="1"/>
  <c r="AE866" i="1" l="1"/>
  <c r="AD866" i="1" s="1"/>
  <c r="AC865" i="1"/>
  <c r="Y866" i="1" s="1"/>
  <c r="Q864" i="1"/>
  <c r="R864" i="1"/>
  <c r="N865" i="1" s="1"/>
  <c r="Q865" i="1" s="1"/>
  <c r="M866" i="1" s="1"/>
  <c r="M865" i="1"/>
  <c r="V866" i="1"/>
  <c r="W865" i="1"/>
  <c r="L865" i="1"/>
  <c r="O865" i="1" s="1"/>
  <c r="AB865" i="1" s="1"/>
  <c r="X866" i="1" s="1"/>
  <c r="AE867" i="1" l="1"/>
  <c r="AD867" i="1" s="1"/>
  <c r="AB866" i="1"/>
  <c r="X867" i="1" s="1"/>
  <c r="AC866" i="1"/>
  <c r="Y867" i="1" s="1"/>
  <c r="R865" i="1"/>
  <c r="N866" i="1" s="1"/>
  <c r="S446" i="1"/>
  <c r="V867" i="1"/>
  <c r="W866" i="1"/>
  <c r="L866" i="1"/>
  <c r="O866" i="1" s="1"/>
  <c r="AC867" i="1" l="1"/>
  <c r="Y868" i="1" s="1"/>
  <c r="AE868" i="1"/>
  <c r="AD868" i="1" s="1"/>
  <c r="AB867" i="1"/>
  <c r="X868" i="1" s="1"/>
  <c r="N867" i="1"/>
  <c r="Q866" i="1"/>
  <c r="M867" i="1" s="1"/>
  <c r="R867" i="1" s="1"/>
  <c r="R866" i="1"/>
  <c r="V868" i="1"/>
  <c r="W867" i="1"/>
  <c r="L867" i="1"/>
  <c r="O867" i="1" s="1"/>
  <c r="AC868" i="1" l="1"/>
  <c r="Y869" i="1" s="1"/>
  <c r="AE869" i="1"/>
  <c r="AD869" i="1" s="1"/>
  <c r="AB868" i="1"/>
  <c r="X869" i="1" s="1"/>
  <c r="N868" i="1"/>
  <c r="Q867" i="1"/>
  <c r="M868" i="1" s="1"/>
  <c r="S447" i="1"/>
  <c r="V869" i="1"/>
  <c r="W868" i="1"/>
  <c r="L868" i="1"/>
  <c r="O868" i="1" s="1"/>
  <c r="AE870" i="1" l="1"/>
  <c r="AD870" i="1" s="1"/>
  <c r="Q868" i="1"/>
  <c r="M869" i="1"/>
  <c r="R869" i="1" s="1"/>
  <c r="R868" i="1"/>
  <c r="N869" i="1" s="1"/>
  <c r="AC869" i="1"/>
  <c r="Y870" i="1" s="1"/>
  <c r="V870" i="1"/>
  <c r="W869" i="1"/>
  <c r="L869" i="1"/>
  <c r="O869" i="1" s="1"/>
  <c r="AB869" i="1" s="1"/>
  <c r="X870" i="1" s="1"/>
  <c r="AE871" i="1" s="1"/>
  <c r="AD871" i="1" s="1"/>
  <c r="AC870" i="1" l="1"/>
  <c r="Y871" i="1" s="1"/>
  <c r="AB870" i="1"/>
  <c r="X871" i="1" s="1"/>
  <c r="N870" i="1"/>
  <c r="Q869" i="1"/>
  <c r="M870" i="1" s="1"/>
  <c r="S448" i="1"/>
  <c r="V871" i="1"/>
  <c r="W870" i="1"/>
  <c r="L870" i="1"/>
  <c r="O870" i="1" s="1"/>
  <c r="AE872" i="1" l="1"/>
  <c r="AD872" i="1" s="1"/>
  <c r="AC871" i="1"/>
  <c r="Y872" i="1" s="1"/>
  <c r="Q870" i="1"/>
  <c r="M871" i="1" s="1"/>
  <c r="R870" i="1"/>
  <c r="N871" i="1" s="1"/>
  <c r="V872" i="1"/>
  <c r="W871" i="1"/>
  <c r="L871" i="1"/>
  <c r="O871" i="1" s="1"/>
  <c r="AB871" i="1" s="1"/>
  <c r="X872" i="1" s="1"/>
  <c r="AE873" i="1" l="1"/>
  <c r="AD873" i="1" s="1"/>
  <c r="AC872" i="1"/>
  <c r="Y873" i="1" s="1"/>
  <c r="Q871" i="1"/>
  <c r="M872" i="1" s="1"/>
  <c r="R871" i="1"/>
  <c r="N872" i="1" s="1"/>
  <c r="S449" i="1"/>
  <c r="V873" i="1"/>
  <c r="W872" i="1"/>
  <c r="L872" i="1"/>
  <c r="O872" i="1" s="1"/>
  <c r="AB872" i="1" s="1"/>
  <c r="X873" i="1" s="1"/>
  <c r="AE874" i="1" l="1"/>
  <c r="AD874" i="1" s="1"/>
  <c r="N873" i="1"/>
  <c r="Q872" i="1"/>
  <c r="M873" i="1" s="1"/>
  <c r="R873" i="1" s="1"/>
  <c r="AC873" i="1"/>
  <c r="Y874" i="1" s="1"/>
  <c r="R872" i="1"/>
  <c r="V874" i="1"/>
  <c r="W873" i="1"/>
  <c r="L873" i="1"/>
  <c r="O873" i="1" s="1"/>
  <c r="AB873" i="1" s="1"/>
  <c r="X874" i="1" s="1"/>
  <c r="AE875" i="1" l="1"/>
  <c r="AD875" i="1" s="1"/>
  <c r="AC874" i="1"/>
  <c r="Y875" i="1" s="1"/>
  <c r="AB874" i="1"/>
  <c r="X875" i="1" s="1"/>
  <c r="AC875" i="1" s="1"/>
  <c r="Y876" i="1" s="1"/>
  <c r="Q873" i="1"/>
  <c r="M874" i="1" s="1"/>
  <c r="N874" i="1"/>
  <c r="S450" i="1"/>
  <c r="V875" i="1"/>
  <c r="W874" i="1"/>
  <c r="L874" i="1"/>
  <c r="O874" i="1" s="1"/>
  <c r="AE876" i="1" l="1"/>
  <c r="AD876" i="1" s="1"/>
  <c r="N875" i="1"/>
  <c r="Q874" i="1"/>
  <c r="M875" i="1" s="1"/>
  <c r="R875" i="1" s="1"/>
  <c r="N876" i="1" s="1"/>
  <c r="R874" i="1"/>
  <c r="V876" i="1"/>
  <c r="W875" i="1"/>
  <c r="L875" i="1"/>
  <c r="O875" i="1" s="1"/>
  <c r="AB875" i="1" s="1"/>
  <c r="X876" i="1" s="1"/>
  <c r="AE877" i="1" l="1"/>
  <c r="AD877" i="1" s="1"/>
  <c r="AB876" i="1"/>
  <c r="X877" i="1" s="1"/>
  <c r="AC876" i="1"/>
  <c r="Y877" i="1" s="1"/>
  <c r="Q876" i="1"/>
  <c r="Q875" i="1"/>
  <c r="M876" i="1" s="1"/>
  <c r="S451" i="1"/>
  <c r="V877" i="1"/>
  <c r="W876" i="1"/>
  <c r="L876" i="1"/>
  <c r="O876" i="1" s="1"/>
  <c r="AC877" i="1" l="1"/>
  <c r="Y878" i="1" s="1"/>
  <c r="AE878" i="1"/>
  <c r="AD878" i="1" s="1"/>
  <c r="R876" i="1"/>
  <c r="N877" i="1" s="1"/>
  <c r="M877" i="1"/>
  <c r="V878" i="1"/>
  <c r="W877" i="1"/>
  <c r="L877" i="1"/>
  <c r="O877" i="1" s="1"/>
  <c r="AB877" i="1" s="1"/>
  <c r="X878" i="1" s="1"/>
  <c r="AE879" i="1" l="1"/>
  <c r="AD879" i="1" s="1"/>
  <c r="AC878" i="1"/>
  <c r="Y879" i="1" s="1"/>
  <c r="R877" i="1"/>
  <c r="N878" i="1"/>
  <c r="Q877" i="1"/>
  <c r="M878" i="1" s="1"/>
  <c r="S452" i="1"/>
  <c r="V879" i="1"/>
  <c r="W878" i="1"/>
  <c r="L878" i="1"/>
  <c r="O878" i="1" s="1"/>
  <c r="AB878" i="1" s="1"/>
  <c r="X879" i="1" s="1"/>
  <c r="AE880" i="1" l="1"/>
  <c r="AD880" i="1" s="1"/>
  <c r="AC879" i="1"/>
  <c r="Y880" i="1" s="1"/>
  <c r="R878" i="1"/>
  <c r="N879" i="1" s="1"/>
  <c r="Q878" i="1"/>
  <c r="M879" i="1" s="1"/>
  <c r="R879" i="1" s="1"/>
  <c r="V880" i="1"/>
  <c r="W879" i="1"/>
  <c r="L879" i="1"/>
  <c r="O879" i="1" s="1"/>
  <c r="AB879" i="1" s="1"/>
  <c r="X880" i="1" s="1"/>
  <c r="AE881" i="1" l="1"/>
  <c r="AD881" i="1" s="1"/>
  <c r="AC880" i="1"/>
  <c r="Y881" i="1" s="1"/>
  <c r="N880" i="1"/>
  <c r="Q879" i="1"/>
  <c r="M880" i="1" s="1"/>
  <c r="S453" i="1"/>
  <c r="V881" i="1"/>
  <c r="W880" i="1"/>
  <c r="L880" i="1"/>
  <c r="O880" i="1" s="1"/>
  <c r="AB880" i="1" s="1"/>
  <c r="X881" i="1" s="1"/>
  <c r="AE882" i="1" l="1"/>
  <c r="AD882" i="1" s="1"/>
  <c r="AC881" i="1"/>
  <c r="Y882" i="1" s="1"/>
  <c r="R880" i="1"/>
  <c r="N881" i="1" s="1"/>
  <c r="Q880" i="1"/>
  <c r="M881" i="1" s="1"/>
  <c r="V882" i="1"/>
  <c r="W881" i="1"/>
  <c r="L881" i="1"/>
  <c r="O881" i="1" s="1"/>
  <c r="AB881" i="1" s="1"/>
  <c r="X882" i="1" s="1"/>
  <c r="AE883" i="1" l="1"/>
  <c r="AD883" i="1" s="1"/>
  <c r="R881" i="1"/>
  <c r="AC882" i="1"/>
  <c r="Y883" i="1" s="1"/>
  <c r="N882" i="1"/>
  <c r="Q881" i="1"/>
  <c r="M882" i="1" s="1"/>
  <c r="S454" i="1"/>
  <c r="V883" i="1"/>
  <c r="W882" i="1"/>
  <c r="L882" i="1"/>
  <c r="O882" i="1" s="1"/>
  <c r="AB882" i="1" s="1"/>
  <c r="X883" i="1" s="1"/>
  <c r="AE884" i="1" l="1"/>
  <c r="AD884" i="1" s="1"/>
  <c r="AC883" i="1"/>
  <c r="Y884" i="1" s="1"/>
  <c r="R882" i="1"/>
  <c r="N883" i="1" s="1"/>
  <c r="AB883" i="1"/>
  <c r="X884" i="1" s="1"/>
  <c r="Q882" i="1"/>
  <c r="M883" i="1" s="1"/>
  <c r="R883" i="1" s="1"/>
  <c r="V884" i="1"/>
  <c r="W883" i="1"/>
  <c r="L883" i="1"/>
  <c r="O883" i="1" s="1"/>
  <c r="AE885" i="1" l="1"/>
  <c r="AD885" i="1" s="1"/>
  <c r="AC884" i="1"/>
  <c r="Y885" i="1" s="1"/>
  <c r="N884" i="1"/>
  <c r="Q883" i="1"/>
  <c r="M884" i="1" s="1"/>
  <c r="S455" i="1"/>
  <c r="V885" i="1"/>
  <c r="W884" i="1"/>
  <c r="L884" i="1"/>
  <c r="O884" i="1" s="1"/>
  <c r="AB884" i="1" s="1"/>
  <c r="X885" i="1" s="1"/>
  <c r="AE886" i="1" l="1"/>
  <c r="AD886" i="1" s="1"/>
  <c r="AC885" i="1"/>
  <c r="Y886" i="1" s="1"/>
  <c r="Q884" i="1"/>
  <c r="N885" i="1"/>
  <c r="M885" i="1"/>
  <c r="R885" i="1" s="1"/>
  <c r="N886" i="1" s="1"/>
  <c r="R884" i="1"/>
  <c r="V886" i="1"/>
  <c r="W885" i="1"/>
  <c r="L885" i="1"/>
  <c r="O885" i="1" s="1"/>
  <c r="AB885" i="1" s="1"/>
  <c r="X886" i="1" s="1"/>
  <c r="AE887" i="1" l="1"/>
  <c r="AD887" i="1" s="1"/>
  <c r="AC886" i="1"/>
  <c r="Y887" i="1" s="1"/>
  <c r="Q885" i="1"/>
  <c r="M886" i="1" s="1"/>
  <c r="Q886" i="1" s="1"/>
  <c r="S456" i="1"/>
  <c r="V887" i="1"/>
  <c r="W886" i="1"/>
  <c r="L886" i="1"/>
  <c r="O886" i="1" s="1"/>
  <c r="AB886" i="1" s="1"/>
  <c r="X887" i="1" s="1"/>
  <c r="AE888" i="1" l="1"/>
  <c r="AD888" i="1" s="1"/>
  <c r="AC887" i="1"/>
  <c r="Y888" i="1" s="1"/>
  <c r="AB887" i="1"/>
  <c r="X888" i="1" s="1"/>
  <c r="AE889" i="1" s="1"/>
  <c r="AD889" i="1" s="1"/>
  <c r="M887" i="1"/>
  <c r="R886" i="1"/>
  <c r="N887" i="1" s="1"/>
  <c r="Q887" i="1" s="1"/>
  <c r="M888" i="1" s="1"/>
  <c r="V888" i="1"/>
  <c r="W887" i="1"/>
  <c r="L887" i="1"/>
  <c r="O887" i="1" s="1"/>
  <c r="AC888" i="1" l="1"/>
  <c r="Y889" i="1" s="1"/>
  <c r="AB888" i="1"/>
  <c r="X889" i="1" s="1"/>
  <c r="R887" i="1"/>
  <c r="N888" i="1" s="1"/>
  <c r="Q888" i="1" s="1"/>
  <c r="M889" i="1" s="1"/>
  <c r="S457" i="1"/>
  <c r="V889" i="1"/>
  <c r="W888" i="1"/>
  <c r="L888" i="1"/>
  <c r="O888" i="1" s="1"/>
  <c r="AE890" i="1" l="1"/>
  <c r="AD890" i="1" s="1"/>
  <c r="R888" i="1"/>
  <c r="N889" i="1" s="1"/>
  <c r="AC889" i="1"/>
  <c r="Y890" i="1" s="1"/>
  <c r="V890" i="1"/>
  <c r="W889" i="1"/>
  <c r="L889" i="1"/>
  <c r="O889" i="1" s="1"/>
  <c r="AB889" i="1" s="1"/>
  <c r="X890" i="1" s="1"/>
  <c r="AE891" i="1" l="1"/>
  <c r="AD891" i="1" s="1"/>
  <c r="AC890" i="1"/>
  <c r="Y891" i="1" s="1"/>
  <c r="Q889" i="1"/>
  <c r="M890" i="1" s="1"/>
  <c r="R889" i="1"/>
  <c r="N890" i="1" s="1"/>
  <c r="Q890" i="1" s="1"/>
  <c r="S458" i="1"/>
  <c r="V891" i="1"/>
  <c r="W890" i="1"/>
  <c r="L890" i="1"/>
  <c r="O890" i="1" s="1"/>
  <c r="AB890" i="1" s="1"/>
  <c r="X891" i="1" s="1"/>
  <c r="AE892" i="1" l="1"/>
  <c r="AD892" i="1" s="1"/>
  <c r="AC891" i="1"/>
  <c r="Y892" i="1" s="1"/>
  <c r="M891" i="1"/>
  <c r="R890" i="1"/>
  <c r="N891" i="1" s="1"/>
  <c r="V892" i="1"/>
  <c r="W891" i="1"/>
  <c r="L891" i="1"/>
  <c r="O891" i="1" s="1"/>
  <c r="AB891" i="1" s="1"/>
  <c r="X892" i="1" s="1"/>
  <c r="AE893" i="1" s="1"/>
  <c r="AD893" i="1" s="1"/>
  <c r="AC892" i="1" l="1"/>
  <c r="Y893" i="1" s="1"/>
  <c r="R891" i="1"/>
  <c r="N892" i="1" s="1"/>
  <c r="Q892" i="1" s="1"/>
  <c r="M893" i="1" s="1"/>
  <c r="Q891" i="1"/>
  <c r="M892" i="1" s="1"/>
  <c r="S459" i="1"/>
  <c r="V893" i="1"/>
  <c r="W892" i="1"/>
  <c r="L892" i="1"/>
  <c r="O892" i="1" s="1"/>
  <c r="AB892" i="1" s="1"/>
  <c r="X893" i="1" s="1"/>
  <c r="AE894" i="1" s="1"/>
  <c r="AD894" i="1" s="1"/>
  <c r="AC893" i="1" l="1"/>
  <c r="Y894" i="1" s="1"/>
  <c r="AB893" i="1"/>
  <c r="X894" i="1" s="1"/>
  <c r="AE895" i="1" s="1"/>
  <c r="AD895" i="1" s="1"/>
  <c r="R892" i="1"/>
  <c r="N893" i="1" s="1"/>
  <c r="V894" i="1"/>
  <c r="W893" i="1"/>
  <c r="L893" i="1"/>
  <c r="O893" i="1" s="1"/>
  <c r="AC894" i="1" l="1"/>
  <c r="Y895" i="1" s="1"/>
  <c r="Q893" i="1"/>
  <c r="M894" i="1" s="1"/>
  <c r="N894" i="1"/>
  <c r="R893" i="1"/>
  <c r="S460" i="1"/>
  <c r="V895" i="1"/>
  <c r="W894" i="1"/>
  <c r="L894" i="1"/>
  <c r="O894" i="1" s="1"/>
  <c r="AB894" i="1" s="1"/>
  <c r="X895" i="1" s="1"/>
  <c r="AE896" i="1" s="1"/>
  <c r="AD896" i="1" s="1"/>
  <c r="AB895" i="1" l="1"/>
  <c r="X896" i="1" s="1"/>
  <c r="AC895" i="1"/>
  <c r="Y896" i="1" s="1"/>
  <c r="AC896" i="1" s="1"/>
  <c r="Y897" i="1" s="1"/>
  <c r="Q894" i="1"/>
  <c r="M895" i="1"/>
  <c r="R894" i="1"/>
  <c r="N895" i="1" s="1"/>
  <c r="Q895" i="1" s="1"/>
  <c r="V896" i="1"/>
  <c r="W895" i="1"/>
  <c r="L895" i="1"/>
  <c r="O895" i="1" s="1"/>
  <c r="AE897" i="1" l="1"/>
  <c r="AD897" i="1" s="1"/>
  <c r="M896" i="1"/>
  <c r="R895" i="1"/>
  <c r="N896" i="1" s="1"/>
  <c r="S461" i="1"/>
  <c r="V897" i="1"/>
  <c r="W896" i="1"/>
  <c r="L896" i="1"/>
  <c r="O896" i="1" s="1"/>
  <c r="AB896" i="1" s="1"/>
  <c r="X897" i="1" s="1"/>
  <c r="AC897" i="1" l="1"/>
  <c r="Y898" i="1" s="1"/>
  <c r="AE898" i="1"/>
  <c r="AD898" i="1" s="1"/>
  <c r="AB897" i="1"/>
  <c r="X898" i="1" s="1"/>
  <c r="N897" i="1"/>
  <c r="Q897" i="1" s="1"/>
  <c r="M898" i="1" s="1"/>
  <c r="Q896" i="1"/>
  <c r="M897" i="1" s="1"/>
  <c r="R896" i="1"/>
  <c r="V898" i="1"/>
  <c r="W897" i="1"/>
  <c r="L897" i="1"/>
  <c r="O897" i="1" s="1"/>
  <c r="AE899" i="1" l="1"/>
  <c r="AD899" i="1" s="1"/>
  <c r="R898" i="1"/>
  <c r="AC898" i="1"/>
  <c r="Y899" i="1" s="1"/>
  <c r="R897" i="1"/>
  <c r="N898" i="1" s="1"/>
  <c r="S462" i="1"/>
  <c r="V899" i="1"/>
  <c r="W898" i="1"/>
  <c r="L898" i="1"/>
  <c r="O898" i="1" s="1"/>
  <c r="AB898" i="1" s="1"/>
  <c r="X899" i="1" s="1"/>
  <c r="AE900" i="1" s="1"/>
  <c r="AD900" i="1" s="1"/>
  <c r="AC899" i="1" l="1"/>
  <c r="Y900" i="1" s="1"/>
  <c r="AB899" i="1"/>
  <c r="X900" i="1" s="1"/>
  <c r="Q898" i="1"/>
  <c r="M899" i="1" s="1"/>
  <c r="N899" i="1"/>
  <c r="V900" i="1"/>
  <c r="W899" i="1"/>
  <c r="L899" i="1"/>
  <c r="O899" i="1" s="1"/>
  <c r="AE901" i="1" l="1"/>
  <c r="AD901" i="1" s="1"/>
  <c r="R899" i="1"/>
  <c r="N900" i="1" s="1"/>
  <c r="M900" i="1"/>
  <c r="AC900" i="1"/>
  <c r="Y901" i="1" s="1"/>
  <c r="Q899" i="1"/>
  <c r="S463" i="1"/>
  <c r="V901" i="1"/>
  <c r="W900" i="1"/>
  <c r="L900" i="1"/>
  <c r="O900" i="1" s="1"/>
  <c r="AB900" i="1" s="1"/>
  <c r="X901" i="1" s="1"/>
  <c r="AE902" i="1" l="1"/>
  <c r="AD902" i="1" s="1"/>
  <c r="AC901" i="1"/>
  <c r="Q900" i="1"/>
  <c r="M901" i="1" s="1"/>
  <c r="R900" i="1"/>
  <c r="N901" i="1" s="1"/>
  <c r="Y902" i="1"/>
  <c r="V902" i="1"/>
  <c r="W901" i="1"/>
  <c r="L901" i="1"/>
  <c r="O901" i="1" s="1"/>
  <c r="AB901" i="1" s="1"/>
  <c r="X902" i="1" s="1"/>
  <c r="AE903" i="1" l="1"/>
  <c r="AD903" i="1" s="1"/>
  <c r="Q901" i="1"/>
  <c r="M902" i="1" s="1"/>
  <c r="AC902" i="1"/>
  <c r="Y903" i="1" s="1"/>
  <c r="R901" i="1"/>
  <c r="N902" i="1" s="1"/>
  <c r="S464" i="1"/>
  <c r="V903" i="1"/>
  <c r="W902" i="1"/>
  <c r="L902" i="1"/>
  <c r="O902" i="1" s="1"/>
  <c r="AB902" i="1" s="1"/>
  <c r="X903" i="1" s="1"/>
  <c r="AE904" i="1" s="1"/>
  <c r="AD904" i="1" s="1"/>
  <c r="AC903" i="1" l="1"/>
  <c r="Y904" i="1" s="1"/>
  <c r="Q902" i="1"/>
  <c r="M903" i="1" s="1"/>
  <c r="R902" i="1"/>
  <c r="N903" i="1" s="1"/>
  <c r="Q903" i="1" s="1"/>
  <c r="V904" i="1"/>
  <c r="W903" i="1"/>
  <c r="L903" i="1"/>
  <c r="O903" i="1" s="1"/>
  <c r="AB903" i="1" s="1"/>
  <c r="X904" i="1" s="1"/>
  <c r="AE905" i="1" l="1"/>
  <c r="AD905" i="1" s="1"/>
  <c r="AC904" i="1"/>
  <c r="Y905" i="1" s="1"/>
  <c r="M904" i="1"/>
  <c r="R903" i="1"/>
  <c r="N904" i="1" s="1"/>
  <c r="S465" i="1"/>
  <c r="V905" i="1"/>
  <c r="W904" i="1"/>
  <c r="L904" i="1"/>
  <c r="O904" i="1" s="1"/>
  <c r="AB904" i="1" s="1"/>
  <c r="X905" i="1" s="1"/>
  <c r="AE906" i="1" l="1"/>
  <c r="AD906" i="1" s="1"/>
  <c r="AB905" i="1"/>
  <c r="X906" i="1" s="1"/>
  <c r="AC905" i="1"/>
  <c r="Y906" i="1" s="1"/>
  <c r="AC906" i="1" s="1"/>
  <c r="Y907" i="1" s="1"/>
  <c r="Q904" i="1"/>
  <c r="M905" i="1"/>
  <c r="R904" i="1"/>
  <c r="N905" i="1" s="1"/>
  <c r="V906" i="1"/>
  <c r="W905" i="1"/>
  <c r="L905" i="1"/>
  <c r="O905" i="1" s="1"/>
  <c r="AE907" i="1" l="1"/>
  <c r="AD907" i="1" s="1"/>
  <c r="Q905" i="1"/>
  <c r="M906" i="1" s="1"/>
  <c r="AB906" i="1"/>
  <c r="X907" i="1" s="1"/>
  <c r="R905" i="1"/>
  <c r="N906" i="1" s="1"/>
  <c r="Q906" i="1" s="1"/>
  <c r="S466" i="1"/>
  <c r="V907" i="1"/>
  <c r="W906" i="1"/>
  <c r="L906" i="1"/>
  <c r="O906" i="1" s="1"/>
  <c r="AE908" i="1" l="1"/>
  <c r="AD908" i="1" s="1"/>
  <c r="M907" i="1"/>
  <c r="R906" i="1"/>
  <c r="N907" i="1" s="1"/>
  <c r="AC907" i="1"/>
  <c r="Y908" i="1" s="1"/>
  <c r="V908" i="1"/>
  <c r="W907" i="1"/>
  <c r="L907" i="1"/>
  <c r="O907" i="1" s="1"/>
  <c r="AB907" i="1" s="1"/>
  <c r="X908" i="1" s="1"/>
  <c r="AE909" i="1" s="1"/>
  <c r="AD909" i="1" s="1"/>
  <c r="AC908" i="1" l="1"/>
  <c r="Y909" i="1" s="1"/>
  <c r="Q907" i="1"/>
  <c r="M908" i="1" s="1"/>
  <c r="R907" i="1"/>
  <c r="N908" i="1" s="1"/>
  <c r="Q908" i="1" s="1"/>
  <c r="M909" i="1" s="1"/>
  <c r="S467" i="1"/>
  <c r="V909" i="1"/>
  <c r="W908" i="1"/>
  <c r="L908" i="1"/>
  <c r="O908" i="1" s="1"/>
  <c r="AB908" i="1" s="1"/>
  <c r="X909" i="1" s="1"/>
  <c r="AE910" i="1" s="1"/>
  <c r="AD910" i="1" s="1"/>
  <c r="AC909" i="1" l="1"/>
  <c r="Y910" i="1" s="1"/>
  <c r="R908" i="1"/>
  <c r="N909" i="1" s="1"/>
  <c r="V910" i="1"/>
  <c r="W909" i="1"/>
  <c r="L909" i="1"/>
  <c r="O909" i="1" s="1"/>
  <c r="AB909" i="1" s="1"/>
  <c r="X910" i="1" s="1"/>
  <c r="AE911" i="1" l="1"/>
  <c r="AD911" i="1" s="1"/>
  <c r="AC910" i="1"/>
  <c r="Y911" i="1" s="1"/>
  <c r="N910" i="1"/>
  <c r="Q909" i="1"/>
  <c r="M910" i="1" s="1"/>
  <c r="R910" i="1" s="1"/>
  <c r="R909" i="1"/>
  <c r="S468" i="1"/>
  <c r="V911" i="1"/>
  <c r="W910" i="1"/>
  <c r="L910" i="1"/>
  <c r="O910" i="1" s="1"/>
  <c r="AB910" i="1" s="1"/>
  <c r="X911" i="1" s="1"/>
  <c r="AE912" i="1" l="1"/>
  <c r="AD912" i="1" s="1"/>
  <c r="AB911" i="1"/>
  <c r="X912" i="1" s="1"/>
  <c r="AC911" i="1"/>
  <c r="Y912" i="1" s="1"/>
  <c r="N911" i="1"/>
  <c r="Q910" i="1"/>
  <c r="M911" i="1" s="1"/>
  <c r="V912" i="1"/>
  <c r="W911" i="1"/>
  <c r="L911" i="1"/>
  <c r="O911" i="1" s="1"/>
  <c r="AC912" i="1" l="1"/>
  <c r="Y913" i="1" s="1"/>
  <c r="AE913" i="1"/>
  <c r="AD913" i="1" s="1"/>
  <c r="AB912" i="1"/>
  <c r="X913" i="1" s="1"/>
  <c r="R911" i="1"/>
  <c r="N912" i="1"/>
  <c r="Q911" i="1"/>
  <c r="M912" i="1" s="1"/>
  <c r="R912" i="1" s="1"/>
  <c r="S469" i="1"/>
  <c r="V913" i="1"/>
  <c r="W912" i="1"/>
  <c r="L912" i="1"/>
  <c r="O912" i="1" s="1"/>
  <c r="AE914" i="1" l="1"/>
  <c r="AD914" i="1" s="1"/>
  <c r="AC913" i="1"/>
  <c r="Y914" i="1" s="1"/>
  <c r="N913" i="1"/>
  <c r="Q912" i="1"/>
  <c r="M913" i="1" s="1"/>
  <c r="R913" i="1" s="1"/>
  <c r="V914" i="1"/>
  <c r="W913" i="1"/>
  <c r="L913" i="1"/>
  <c r="O913" i="1" s="1"/>
  <c r="AB913" i="1" s="1"/>
  <c r="X914" i="1" s="1"/>
  <c r="AE915" i="1" s="1"/>
  <c r="AD915" i="1" s="1"/>
  <c r="AC914" i="1" l="1"/>
  <c r="Y915" i="1" s="1"/>
  <c r="N914" i="1"/>
  <c r="Q913" i="1"/>
  <c r="M914" i="1" s="1"/>
  <c r="R914" i="1" s="1"/>
  <c r="S470" i="1"/>
  <c r="V915" i="1"/>
  <c r="W914" i="1"/>
  <c r="L914" i="1"/>
  <c r="O914" i="1" s="1"/>
  <c r="AB914" i="1" s="1"/>
  <c r="X915" i="1" s="1"/>
  <c r="AE916" i="1" l="1"/>
  <c r="AD916" i="1" s="1"/>
  <c r="AC915" i="1"/>
  <c r="Y916" i="1" s="1"/>
  <c r="N915" i="1"/>
  <c r="Q914" i="1"/>
  <c r="M915" i="1" s="1"/>
  <c r="V916" i="1"/>
  <c r="W915" i="1"/>
  <c r="L915" i="1"/>
  <c r="O915" i="1" s="1"/>
  <c r="AB915" i="1" s="1"/>
  <c r="X916" i="1" s="1"/>
  <c r="AE917" i="1" l="1"/>
  <c r="AD917" i="1" s="1"/>
  <c r="AC916" i="1"/>
  <c r="Y917" i="1" s="1"/>
  <c r="R915" i="1"/>
  <c r="N916" i="1"/>
  <c r="Q915" i="1"/>
  <c r="M916" i="1" s="1"/>
  <c r="S471" i="1"/>
  <c r="V917" i="1"/>
  <c r="W916" i="1"/>
  <c r="L916" i="1"/>
  <c r="O916" i="1" s="1"/>
  <c r="AB916" i="1" s="1"/>
  <c r="X917" i="1" s="1"/>
  <c r="AE918" i="1" l="1"/>
  <c r="AD918" i="1" s="1"/>
  <c r="AC917" i="1"/>
  <c r="Y918" i="1" s="1"/>
  <c r="Q916" i="1"/>
  <c r="M917" i="1" s="1"/>
  <c r="R916" i="1"/>
  <c r="N917" i="1" s="1"/>
  <c r="Q917" i="1" s="1"/>
  <c r="M918" i="1" s="1"/>
  <c r="V918" i="1"/>
  <c r="W917" i="1"/>
  <c r="L917" i="1"/>
  <c r="O917" i="1" s="1"/>
  <c r="AB917" i="1" s="1"/>
  <c r="X918" i="1" s="1"/>
  <c r="AE919" i="1" l="1"/>
  <c r="AD919" i="1" s="1"/>
  <c r="AC918" i="1"/>
  <c r="Y919" i="1" s="1"/>
  <c r="R918" i="1"/>
  <c r="R917" i="1"/>
  <c r="N918" i="1" s="1"/>
  <c r="S472" i="1"/>
  <c r="V919" i="1"/>
  <c r="W918" i="1"/>
  <c r="L918" i="1"/>
  <c r="O918" i="1" s="1"/>
  <c r="AB918" i="1" s="1"/>
  <c r="X919" i="1" s="1"/>
  <c r="AE920" i="1" l="1"/>
  <c r="AD920" i="1" s="1"/>
  <c r="AC919" i="1"/>
  <c r="Y920" i="1" s="1"/>
  <c r="N919" i="1"/>
  <c r="Q918" i="1"/>
  <c r="M919" i="1" s="1"/>
  <c r="V920" i="1"/>
  <c r="W919" i="1"/>
  <c r="L919" i="1"/>
  <c r="O919" i="1" s="1"/>
  <c r="AB919" i="1" s="1"/>
  <c r="X920" i="1" s="1"/>
  <c r="AE921" i="1" l="1"/>
  <c r="AD921" i="1" s="1"/>
  <c r="AC920" i="1"/>
  <c r="Y921" i="1" s="1"/>
  <c r="R919" i="1"/>
  <c r="N920" i="1" s="1"/>
  <c r="Q919" i="1"/>
  <c r="M920" i="1" s="1"/>
  <c r="R920" i="1" s="1"/>
  <c r="S473" i="1"/>
  <c r="V921" i="1"/>
  <c r="W920" i="1"/>
  <c r="L920" i="1"/>
  <c r="O920" i="1" s="1"/>
  <c r="AB920" i="1" s="1"/>
  <c r="X921" i="1" s="1"/>
  <c r="AE922" i="1" s="1"/>
  <c r="AD922" i="1" s="1"/>
  <c r="AC921" i="1" l="1"/>
  <c r="Y922" i="1" s="1"/>
  <c r="N921" i="1"/>
  <c r="Q920" i="1"/>
  <c r="M921" i="1" s="1"/>
  <c r="V922" i="1"/>
  <c r="W921" i="1"/>
  <c r="L921" i="1"/>
  <c r="O921" i="1" s="1"/>
  <c r="AB921" i="1" s="1"/>
  <c r="X922" i="1" s="1"/>
  <c r="AE923" i="1" s="1"/>
  <c r="AD923" i="1" s="1"/>
  <c r="AC922" i="1" l="1"/>
  <c r="Y923" i="1" s="1"/>
  <c r="AB922" i="1"/>
  <c r="X923" i="1" s="1"/>
  <c r="AE924" i="1" s="1"/>
  <c r="AD924" i="1" s="1"/>
  <c r="R921" i="1"/>
  <c r="N922" i="1" s="1"/>
  <c r="Q921" i="1"/>
  <c r="M922" i="1" s="1"/>
  <c r="S474" i="1"/>
  <c r="V923" i="1"/>
  <c r="W922" i="1"/>
  <c r="L922" i="1"/>
  <c r="O922" i="1" s="1"/>
  <c r="AC923" i="1" l="1"/>
  <c r="Y924" i="1" s="1"/>
  <c r="Q922" i="1"/>
  <c r="M923" i="1"/>
  <c r="R922" i="1"/>
  <c r="N923" i="1" s="1"/>
  <c r="Q923" i="1" s="1"/>
  <c r="M924" i="1" s="1"/>
  <c r="V924" i="1"/>
  <c r="W923" i="1"/>
  <c r="L923" i="1"/>
  <c r="O923" i="1" s="1"/>
  <c r="AB923" i="1" s="1"/>
  <c r="X924" i="1" s="1"/>
  <c r="AE925" i="1" s="1"/>
  <c r="AD925" i="1" s="1"/>
  <c r="AB924" i="1" l="1"/>
  <c r="X925" i="1" s="1"/>
  <c r="AC924" i="1"/>
  <c r="Y925" i="1" s="1"/>
  <c r="AC925" i="1" s="1"/>
  <c r="Y926" i="1" s="1"/>
  <c r="R923" i="1"/>
  <c r="N924" i="1" s="1"/>
  <c r="Q924" i="1" s="1"/>
  <c r="M925" i="1" s="1"/>
  <c r="S475" i="1"/>
  <c r="V925" i="1"/>
  <c r="W924" i="1"/>
  <c r="L924" i="1"/>
  <c r="O924" i="1" s="1"/>
  <c r="AE926" i="1" l="1"/>
  <c r="AD926" i="1" s="1"/>
  <c r="R924" i="1"/>
  <c r="N925" i="1" s="1"/>
  <c r="V926" i="1"/>
  <c r="W925" i="1"/>
  <c r="L925" i="1"/>
  <c r="O925" i="1" s="1"/>
  <c r="AB925" i="1" s="1"/>
  <c r="X926" i="1" s="1"/>
  <c r="AE927" i="1" l="1"/>
  <c r="AD927" i="1" s="1"/>
  <c r="AC926" i="1"/>
  <c r="Y927" i="1" s="1"/>
  <c r="R925" i="1"/>
  <c r="N926" i="1"/>
  <c r="Q925" i="1"/>
  <c r="M926" i="1" s="1"/>
  <c r="S476" i="1"/>
  <c r="V927" i="1"/>
  <c r="W926" i="1"/>
  <c r="L926" i="1"/>
  <c r="O926" i="1" s="1"/>
  <c r="AB926" i="1" s="1"/>
  <c r="X927" i="1" s="1"/>
  <c r="AE928" i="1" l="1"/>
  <c r="AD928" i="1" s="1"/>
  <c r="AC927" i="1"/>
  <c r="Y928" i="1" s="1"/>
  <c r="R926" i="1"/>
  <c r="N927" i="1" s="1"/>
  <c r="M927" i="1"/>
  <c r="Q926" i="1"/>
  <c r="V928" i="1"/>
  <c r="W927" i="1"/>
  <c r="L927" i="1"/>
  <c r="O927" i="1" s="1"/>
  <c r="AB927" i="1" s="1"/>
  <c r="X928" i="1" s="1"/>
  <c r="AE929" i="1" l="1"/>
  <c r="AD929" i="1" s="1"/>
  <c r="AC928" i="1"/>
  <c r="Y929" i="1" s="1"/>
  <c r="N928" i="1"/>
  <c r="Q927" i="1"/>
  <c r="M928" i="1" s="1"/>
  <c r="R927" i="1"/>
  <c r="S477" i="1"/>
  <c r="V929" i="1"/>
  <c r="W928" i="1"/>
  <c r="L928" i="1"/>
  <c r="O928" i="1" s="1"/>
  <c r="AB928" i="1" s="1"/>
  <c r="X929" i="1" s="1"/>
  <c r="AE930" i="1" l="1"/>
  <c r="AD930" i="1" s="1"/>
  <c r="AC929" i="1"/>
  <c r="Y930" i="1" s="1"/>
  <c r="AB929" i="1"/>
  <c r="X930" i="1" s="1"/>
  <c r="Q928" i="1"/>
  <c r="M929" i="1" s="1"/>
  <c r="R928" i="1"/>
  <c r="N929" i="1" s="1"/>
  <c r="Q929" i="1" s="1"/>
  <c r="V930" i="1"/>
  <c r="W929" i="1"/>
  <c r="L929" i="1"/>
  <c r="O929" i="1" s="1"/>
  <c r="AE931" i="1" l="1"/>
  <c r="AD931" i="1" s="1"/>
  <c r="AC930" i="1"/>
  <c r="Y931" i="1" s="1"/>
  <c r="M930" i="1"/>
  <c r="R929" i="1"/>
  <c r="N930" i="1" s="1"/>
  <c r="AB930" i="1"/>
  <c r="X931" i="1" s="1"/>
  <c r="S478" i="1"/>
  <c r="V931" i="1"/>
  <c r="W930" i="1"/>
  <c r="L930" i="1"/>
  <c r="O930" i="1" s="1"/>
  <c r="AE932" i="1" l="1"/>
  <c r="AD932" i="1" s="1"/>
  <c r="AB931" i="1"/>
  <c r="X932" i="1" s="1"/>
  <c r="Q930" i="1"/>
  <c r="M931" i="1" s="1"/>
  <c r="R930" i="1"/>
  <c r="N931" i="1" s="1"/>
  <c r="Q931" i="1" s="1"/>
  <c r="AC931" i="1"/>
  <c r="Y932" i="1" s="1"/>
  <c r="V932" i="1"/>
  <c r="W931" i="1"/>
  <c r="L931" i="1"/>
  <c r="O931" i="1" s="1"/>
  <c r="AC932" i="1" l="1"/>
  <c r="Y933" i="1" s="1"/>
  <c r="AE933" i="1"/>
  <c r="AD933" i="1" s="1"/>
  <c r="AB932" i="1"/>
  <c r="X933" i="1" s="1"/>
  <c r="R931" i="1"/>
  <c r="N932" i="1" s="1"/>
  <c r="M932" i="1"/>
  <c r="R932" i="1" s="1"/>
  <c r="S479" i="1"/>
  <c r="V933" i="1"/>
  <c r="W932" i="1"/>
  <c r="L932" i="1"/>
  <c r="O932" i="1" s="1"/>
  <c r="AC933" i="1" l="1"/>
  <c r="Y934" i="1" s="1"/>
  <c r="AE934" i="1"/>
  <c r="AD934" i="1" s="1"/>
  <c r="Q932" i="1"/>
  <c r="M933" i="1" s="1"/>
  <c r="N933" i="1"/>
  <c r="V934" i="1"/>
  <c r="W933" i="1"/>
  <c r="L933" i="1"/>
  <c r="O933" i="1" s="1"/>
  <c r="AB933" i="1" s="1"/>
  <c r="X934" i="1" s="1"/>
  <c r="AE935" i="1" l="1"/>
  <c r="AD935" i="1" s="1"/>
  <c r="AC934" i="1"/>
  <c r="Y935" i="1" s="1"/>
  <c r="Q933" i="1"/>
  <c r="M934" i="1" s="1"/>
  <c r="R934" i="1" s="1"/>
  <c r="R933" i="1"/>
  <c r="N934" i="1" s="1"/>
  <c r="S480" i="1"/>
  <c r="V935" i="1"/>
  <c r="W934" i="1"/>
  <c r="L934" i="1"/>
  <c r="O934" i="1" s="1"/>
  <c r="AB934" i="1" s="1"/>
  <c r="X935" i="1" s="1"/>
  <c r="AE936" i="1" l="1"/>
  <c r="AD936" i="1" s="1"/>
  <c r="AC935" i="1"/>
  <c r="Y936" i="1" s="1"/>
  <c r="N935" i="1"/>
  <c r="Q935" i="1" s="1"/>
  <c r="Q934" i="1"/>
  <c r="M935" i="1" s="1"/>
  <c r="V936" i="1"/>
  <c r="W935" i="1"/>
  <c r="L935" i="1"/>
  <c r="O935" i="1" s="1"/>
  <c r="AB935" i="1" s="1"/>
  <c r="X936" i="1" s="1"/>
  <c r="AE937" i="1" l="1"/>
  <c r="AD937" i="1" s="1"/>
  <c r="AB936" i="1"/>
  <c r="X937" i="1" s="1"/>
  <c r="AC936" i="1"/>
  <c r="Y937" i="1" s="1"/>
  <c r="AC937" i="1" s="1"/>
  <c r="Y938" i="1" s="1"/>
  <c r="R935" i="1"/>
  <c r="N936" i="1" s="1"/>
  <c r="M936" i="1"/>
  <c r="S481" i="1"/>
  <c r="V937" i="1"/>
  <c r="W936" i="1"/>
  <c r="L936" i="1"/>
  <c r="O936" i="1" s="1"/>
  <c r="AE938" i="1" l="1"/>
  <c r="AD938" i="1" s="1"/>
  <c r="AB937" i="1"/>
  <c r="X938" i="1" s="1"/>
  <c r="Q936" i="1"/>
  <c r="M937" i="1" s="1"/>
  <c r="R936" i="1"/>
  <c r="N937" i="1" s="1"/>
  <c r="V938" i="1"/>
  <c r="W937" i="1"/>
  <c r="L937" i="1"/>
  <c r="O937" i="1" s="1"/>
  <c r="AC938" i="1" l="1"/>
  <c r="Y939" i="1" s="1"/>
  <c r="AE939" i="1"/>
  <c r="Q937" i="1"/>
  <c r="M938" i="1"/>
  <c r="R937" i="1"/>
  <c r="N938" i="1" s="1"/>
  <c r="S482" i="1"/>
  <c r="V939" i="1"/>
  <c r="W938" i="1"/>
  <c r="L938" i="1"/>
  <c r="O938" i="1" s="1"/>
  <c r="AB938" i="1" s="1"/>
  <c r="X939" i="1" s="1"/>
  <c r="AD939" i="1" l="1"/>
  <c r="AE940" i="1" s="1"/>
  <c r="AD940" i="1" s="1"/>
  <c r="AC939" i="1"/>
  <c r="Y940" i="1" s="1"/>
  <c r="Q938" i="1"/>
  <c r="M939" i="1" s="1"/>
  <c r="AB939" i="1"/>
  <c r="X940" i="1" s="1"/>
  <c r="R938" i="1"/>
  <c r="N939" i="1" s="1"/>
  <c r="V940" i="1"/>
  <c r="W939" i="1"/>
  <c r="L939" i="1"/>
  <c r="O939" i="1" s="1"/>
  <c r="AC940" i="1" l="1"/>
  <c r="Y941" i="1" s="1"/>
  <c r="AE941" i="1"/>
  <c r="N940" i="1"/>
  <c r="Q939" i="1"/>
  <c r="M940" i="1" s="1"/>
  <c r="R940" i="1" s="1"/>
  <c r="R939" i="1"/>
  <c r="S483" i="1"/>
  <c r="V941" i="1"/>
  <c r="W940" i="1"/>
  <c r="L940" i="1"/>
  <c r="O940" i="1" s="1"/>
  <c r="AB940" i="1" s="1"/>
  <c r="X941" i="1" s="1"/>
  <c r="AD941" i="1" l="1"/>
  <c r="AE942" i="1" s="1"/>
  <c r="AD942" i="1" s="1"/>
  <c r="AB941" i="1"/>
  <c r="X942" i="1" s="1"/>
  <c r="AC941" i="1"/>
  <c r="Y942" i="1" s="1"/>
  <c r="N941" i="1"/>
  <c r="Q940" i="1"/>
  <c r="M941" i="1" s="1"/>
  <c r="V942" i="1"/>
  <c r="W941" i="1"/>
  <c r="L941" i="1"/>
  <c r="O941" i="1" s="1"/>
  <c r="AC942" i="1" l="1"/>
  <c r="Y943" i="1" s="1"/>
  <c r="AE943" i="1"/>
  <c r="AD943" i="1" s="1"/>
  <c r="R941" i="1"/>
  <c r="N942" i="1" s="1"/>
  <c r="M942" i="1"/>
  <c r="Q941" i="1"/>
  <c r="S484" i="1"/>
  <c r="V943" i="1"/>
  <c r="W942" i="1"/>
  <c r="L942" i="1"/>
  <c r="O942" i="1" s="1"/>
  <c r="AB942" i="1" s="1"/>
  <c r="X943" i="1" s="1"/>
  <c r="AE944" i="1" l="1"/>
  <c r="AD944" i="1" s="1"/>
  <c r="AC943" i="1"/>
  <c r="Y944" i="1" s="1"/>
  <c r="M943" i="1"/>
  <c r="R942" i="1"/>
  <c r="Q942" i="1"/>
  <c r="N943" i="1"/>
  <c r="V944" i="1"/>
  <c r="W943" i="1"/>
  <c r="L943" i="1"/>
  <c r="O943" i="1" s="1"/>
  <c r="AB943" i="1" s="1"/>
  <c r="X944" i="1" s="1"/>
  <c r="AE945" i="1" l="1"/>
  <c r="AD945" i="1" s="1"/>
  <c r="AB944" i="1"/>
  <c r="X945" i="1" s="1"/>
  <c r="AC944" i="1"/>
  <c r="Y945" i="1" s="1"/>
  <c r="AC945" i="1" s="1"/>
  <c r="Y946" i="1" s="1"/>
  <c r="R943" i="1"/>
  <c r="N944" i="1" s="1"/>
  <c r="Q943" i="1"/>
  <c r="M944" i="1" s="1"/>
  <c r="R944" i="1" s="1"/>
  <c r="S485" i="1"/>
  <c r="V945" i="1"/>
  <c r="W944" i="1"/>
  <c r="L944" i="1"/>
  <c r="O944" i="1" s="1"/>
  <c r="AE946" i="1" l="1"/>
  <c r="AD946" i="1" s="1"/>
  <c r="Q944" i="1"/>
  <c r="M945" i="1" s="1"/>
  <c r="N945" i="1"/>
  <c r="V946" i="1"/>
  <c r="W945" i="1"/>
  <c r="L945" i="1"/>
  <c r="O945" i="1" s="1"/>
  <c r="AB945" i="1" s="1"/>
  <c r="X946" i="1" s="1"/>
  <c r="AE947" i="1" l="1"/>
  <c r="AD947" i="1" s="1"/>
  <c r="AC946" i="1"/>
  <c r="Y947" i="1" s="1"/>
  <c r="N946" i="1"/>
  <c r="Q946" i="1" s="1"/>
  <c r="M947" i="1" s="1"/>
  <c r="Q945" i="1"/>
  <c r="M946" i="1"/>
  <c r="R945" i="1"/>
  <c r="S486" i="1"/>
  <c r="V947" i="1"/>
  <c r="W946" i="1"/>
  <c r="L946" i="1"/>
  <c r="O946" i="1" s="1"/>
  <c r="AB946" i="1" s="1"/>
  <c r="X947" i="1" s="1"/>
  <c r="AE948" i="1" l="1"/>
  <c r="AD948" i="1" s="1"/>
  <c r="AC947" i="1"/>
  <c r="Y948" i="1" s="1"/>
  <c r="AB947" i="1"/>
  <c r="X948" i="1" s="1"/>
  <c r="R946" i="1"/>
  <c r="N947" i="1" s="1"/>
  <c r="R947" i="1" s="1"/>
  <c r="V948" i="1"/>
  <c r="W947" i="1"/>
  <c r="L947" i="1"/>
  <c r="O947" i="1" s="1"/>
  <c r="AE949" i="1" l="1"/>
  <c r="AD949" i="1" s="1"/>
  <c r="AC948" i="1"/>
  <c r="Y949" i="1" s="1"/>
  <c r="Q947" i="1"/>
  <c r="M948" i="1" s="1"/>
  <c r="N948" i="1"/>
  <c r="Q948" i="1" s="1"/>
  <c r="S487" i="1"/>
  <c r="V949" i="1"/>
  <c r="W948" i="1"/>
  <c r="L948" i="1"/>
  <c r="O948" i="1" s="1"/>
  <c r="AB948" i="1" s="1"/>
  <c r="X949" i="1" s="1"/>
  <c r="AE950" i="1" l="1"/>
  <c r="AD950" i="1" s="1"/>
  <c r="AC949" i="1"/>
  <c r="Y950" i="1" s="1"/>
  <c r="M949" i="1"/>
  <c r="R948" i="1"/>
  <c r="N949" i="1" s="1"/>
  <c r="V950" i="1"/>
  <c r="W949" i="1"/>
  <c r="L949" i="1"/>
  <c r="O949" i="1" s="1"/>
  <c r="AB949" i="1" s="1"/>
  <c r="X950" i="1" s="1"/>
  <c r="AE951" i="1" l="1"/>
  <c r="AD951" i="1" s="1"/>
  <c r="AC950" i="1"/>
  <c r="Y951" i="1" s="1"/>
  <c r="R949" i="1"/>
  <c r="N950" i="1"/>
  <c r="Q949" i="1"/>
  <c r="M950" i="1" s="1"/>
  <c r="S488" i="1"/>
  <c r="V951" i="1"/>
  <c r="W950" i="1"/>
  <c r="L950" i="1"/>
  <c r="O950" i="1" s="1"/>
  <c r="AB950" i="1" s="1"/>
  <c r="X951" i="1" s="1"/>
  <c r="AE952" i="1" l="1"/>
  <c r="AD952" i="1" s="1"/>
  <c r="AC951" i="1"/>
  <c r="Y952" i="1" s="1"/>
  <c r="Q950" i="1"/>
  <c r="M951" i="1"/>
  <c r="R950" i="1"/>
  <c r="N951" i="1" s="1"/>
  <c r="V952" i="1"/>
  <c r="W951" i="1"/>
  <c r="L951" i="1"/>
  <c r="O951" i="1" s="1"/>
  <c r="AB951" i="1" s="1"/>
  <c r="X952" i="1" s="1"/>
  <c r="AE953" i="1" l="1"/>
  <c r="AD953" i="1" s="1"/>
  <c r="AC952" i="1"/>
  <c r="Y953" i="1" s="1"/>
  <c r="AB952" i="1"/>
  <c r="X953" i="1" s="1"/>
  <c r="Q951" i="1"/>
  <c r="M952" i="1" s="1"/>
  <c r="R951" i="1"/>
  <c r="N952" i="1" s="1"/>
  <c r="Q952" i="1" s="1"/>
  <c r="M953" i="1" s="1"/>
  <c r="S489" i="1"/>
  <c r="V953" i="1"/>
  <c r="W952" i="1"/>
  <c r="L952" i="1"/>
  <c r="O952" i="1" s="1"/>
  <c r="AE954" i="1" l="1"/>
  <c r="AD954" i="1" s="1"/>
  <c r="AC953" i="1"/>
  <c r="Y954" i="1" s="1"/>
  <c r="R952" i="1"/>
  <c r="N953" i="1" s="1"/>
  <c r="V954" i="1"/>
  <c r="W953" i="1"/>
  <c r="L953" i="1"/>
  <c r="O953" i="1" s="1"/>
  <c r="AB953" i="1" s="1"/>
  <c r="X954" i="1" s="1"/>
  <c r="AE955" i="1" l="1"/>
  <c r="AD955" i="1" s="1"/>
  <c r="AC954" i="1"/>
  <c r="Y955" i="1" s="1"/>
  <c r="N954" i="1"/>
  <c r="Q953" i="1"/>
  <c r="M954" i="1" s="1"/>
  <c r="R954" i="1" s="1"/>
  <c r="R953" i="1"/>
  <c r="S490" i="1"/>
  <c r="V955" i="1"/>
  <c r="W954" i="1"/>
  <c r="L954" i="1"/>
  <c r="O954" i="1" s="1"/>
  <c r="AB954" i="1" s="1"/>
  <c r="X955" i="1" s="1"/>
  <c r="AE956" i="1" l="1"/>
  <c r="AD956" i="1" s="1"/>
  <c r="AC955" i="1"/>
  <c r="Y956" i="1" s="1"/>
  <c r="N955" i="1"/>
  <c r="Q954" i="1"/>
  <c r="M955" i="1" s="1"/>
  <c r="R955" i="1" s="1"/>
  <c r="V956" i="1"/>
  <c r="W955" i="1"/>
  <c r="L955" i="1"/>
  <c r="O955" i="1" s="1"/>
  <c r="AB955" i="1" s="1"/>
  <c r="X956" i="1" s="1"/>
  <c r="AE957" i="1" l="1"/>
  <c r="AD957" i="1" s="1"/>
  <c r="AC956" i="1"/>
  <c r="Y957" i="1" s="1"/>
  <c r="N956" i="1"/>
  <c r="Q955" i="1"/>
  <c r="M956" i="1" s="1"/>
  <c r="S491" i="1"/>
  <c r="V957" i="1"/>
  <c r="W956" i="1"/>
  <c r="L956" i="1"/>
  <c r="O956" i="1" s="1"/>
  <c r="AB956" i="1" s="1"/>
  <c r="X957" i="1" s="1"/>
  <c r="AE958" i="1" l="1"/>
  <c r="AD958" i="1" s="1"/>
  <c r="AC957" i="1"/>
  <c r="Y958" i="1" s="1"/>
  <c r="R956" i="1"/>
  <c r="N957" i="1" s="1"/>
  <c r="Q956" i="1"/>
  <c r="M957" i="1" s="1"/>
  <c r="R957" i="1" s="1"/>
  <c r="V958" i="1"/>
  <c r="W957" i="1"/>
  <c r="L957" i="1"/>
  <c r="O957" i="1" s="1"/>
  <c r="AB957" i="1" s="1"/>
  <c r="X958" i="1" s="1"/>
  <c r="AE959" i="1" l="1"/>
  <c r="AD959" i="1" s="1"/>
  <c r="AB958" i="1"/>
  <c r="X959" i="1" s="1"/>
  <c r="AC958" i="1"/>
  <c r="Y959" i="1" s="1"/>
  <c r="AC959" i="1" s="1"/>
  <c r="Y960" i="1" s="1"/>
  <c r="N958" i="1"/>
  <c r="Q957" i="1"/>
  <c r="M958" i="1" s="1"/>
  <c r="S492" i="1"/>
  <c r="V959" i="1"/>
  <c r="W958" i="1"/>
  <c r="L958" i="1"/>
  <c r="O958" i="1" s="1"/>
  <c r="AE960" i="1" l="1"/>
  <c r="AD960" i="1" s="1"/>
  <c r="AB959" i="1"/>
  <c r="X960" i="1" s="1"/>
  <c r="R958" i="1"/>
  <c r="N959" i="1" s="1"/>
  <c r="Q958" i="1"/>
  <c r="M959" i="1" s="1"/>
  <c r="R959" i="1" s="1"/>
  <c r="V960" i="1"/>
  <c r="W959" i="1"/>
  <c r="L959" i="1"/>
  <c r="O959" i="1" s="1"/>
  <c r="AE961" i="1" l="1"/>
  <c r="AD961" i="1" s="1"/>
  <c r="N960" i="1"/>
  <c r="Q959" i="1"/>
  <c r="M960" i="1" s="1"/>
  <c r="AC960" i="1"/>
  <c r="Y961" i="1" s="1"/>
  <c r="S493" i="1"/>
  <c r="V961" i="1"/>
  <c r="W960" i="1"/>
  <c r="L960" i="1"/>
  <c r="O960" i="1" s="1"/>
  <c r="AB960" i="1" s="1"/>
  <c r="X961" i="1" s="1"/>
  <c r="AE962" i="1" l="1"/>
  <c r="AD962" i="1" s="1"/>
  <c r="AB961" i="1"/>
  <c r="X962" i="1" s="1"/>
  <c r="AC961" i="1"/>
  <c r="Y962" i="1" s="1"/>
  <c r="R960" i="1"/>
  <c r="N961" i="1" s="1"/>
  <c r="M961" i="1"/>
  <c r="R961" i="1" s="1"/>
  <c r="Q960" i="1"/>
  <c r="V962" i="1"/>
  <c r="W961" i="1"/>
  <c r="L961" i="1"/>
  <c r="O961" i="1" s="1"/>
  <c r="AC962" i="1" l="1"/>
  <c r="Y963" i="1" s="1"/>
  <c r="AE963" i="1"/>
  <c r="AD963" i="1" s="1"/>
  <c r="Q961" i="1"/>
  <c r="M962" i="1" s="1"/>
  <c r="N962" i="1"/>
  <c r="Q962" i="1" s="1"/>
  <c r="M963" i="1" s="1"/>
  <c r="AB962" i="1"/>
  <c r="X963" i="1" s="1"/>
  <c r="S494" i="1"/>
  <c r="V963" i="1"/>
  <c r="W962" i="1"/>
  <c r="L962" i="1"/>
  <c r="O962" i="1" s="1"/>
  <c r="AC963" i="1" l="1"/>
  <c r="Y964" i="1" s="1"/>
  <c r="AE964" i="1"/>
  <c r="AD964" i="1" s="1"/>
  <c r="R962" i="1"/>
  <c r="N963" i="1" s="1"/>
  <c r="V964" i="1"/>
  <c r="W963" i="1"/>
  <c r="L963" i="1"/>
  <c r="O963" i="1" s="1"/>
  <c r="AB963" i="1" s="1"/>
  <c r="X964" i="1" s="1"/>
  <c r="AE965" i="1" l="1"/>
  <c r="AD965" i="1" s="1"/>
  <c r="AC964" i="1"/>
  <c r="Y965" i="1" s="1"/>
  <c r="AB964" i="1"/>
  <c r="X965" i="1" s="1"/>
  <c r="R963" i="1"/>
  <c r="N964" i="1" s="1"/>
  <c r="Q963" i="1"/>
  <c r="M964" i="1" s="1"/>
  <c r="S495" i="1"/>
  <c r="V965" i="1"/>
  <c r="W964" i="1"/>
  <c r="L964" i="1"/>
  <c r="O964" i="1" s="1"/>
  <c r="AE966" i="1" l="1"/>
  <c r="AD966" i="1" s="1"/>
  <c r="AC965" i="1"/>
  <c r="Y966" i="1" s="1"/>
  <c r="AB965" i="1"/>
  <c r="X966" i="1" s="1"/>
  <c r="Q964" i="1"/>
  <c r="M965" i="1" s="1"/>
  <c r="N965" i="1"/>
  <c r="R964" i="1"/>
  <c r="V966" i="1"/>
  <c r="W965" i="1"/>
  <c r="L965" i="1"/>
  <c r="O965" i="1" s="1"/>
  <c r="AC966" i="1" l="1"/>
  <c r="Y967" i="1" s="1"/>
  <c r="AE967" i="1"/>
  <c r="AD967" i="1" s="1"/>
  <c r="R965" i="1"/>
  <c r="N966" i="1" s="1"/>
  <c r="Q965" i="1"/>
  <c r="M966" i="1" s="1"/>
  <c r="S496" i="1"/>
  <c r="V967" i="1"/>
  <c r="W966" i="1"/>
  <c r="L966" i="1"/>
  <c r="O966" i="1" s="1"/>
  <c r="AB966" i="1" s="1"/>
  <c r="X967" i="1" s="1"/>
  <c r="AC967" i="1" l="1"/>
  <c r="Y968" i="1" s="1"/>
  <c r="AE968" i="1"/>
  <c r="AD968" i="1" s="1"/>
  <c r="R966" i="1"/>
  <c r="N967" i="1" s="1"/>
  <c r="Q966" i="1"/>
  <c r="M967" i="1" s="1"/>
  <c r="V968" i="1"/>
  <c r="W967" i="1"/>
  <c r="L967" i="1"/>
  <c r="O967" i="1" s="1"/>
  <c r="AB967" i="1" s="1"/>
  <c r="X968" i="1" s="1"/>
  <c r="AE969" i="1" l="1"/>
  <c r="AD969" i="1" s="1"/>
  <c r="R967" i="1"/>
  <c r="N968" i="1" s="1"/>
  <c r="M968" i="1"/>
  <c r="Q967" i="1"/>
  <c r="AC968" i="1"/>
  <c r="Y969" i="1" s="1"/>
  <c r="S497" i="1"/>
  <c r="V969" i="1"/>
  <c r="W968" i="1"/>
  <c r="L968" i="1"/>
  <c r="O968" i="1" s="1"/>
  <c r="AB968" i="1" s="1"/>
  <c r="X969" i="1" s="1"/>
  <c r="AE970" i="1" l="1"/>
  <c r="AD970" i="1" s="1"/>
  <c r="AC969" i="1"/>
  <c r="Y970" i="1" s="1"/>
  <c r="AB969" i="1"/>
  <c r="X970" i="1" s="1"/>
  <c r="R968" i="1"/>
  <c r="N969" i="1"/>
  <c r="Q968" i="1"/>
  <c r="M969" i="1" s="1"/>
  <c r="V970" i="1"/>
  <c r="W969" i="1"/>
  <c r="L969" i="1"/>
  <c r="O969" i="1" s="1"/>
  <c r="AE971" i="1" l="1"/>
  <c r="AD971" i="1" s="1"/>
  <c r="AC970" i="1"/>
  <c r="Y971" i="1" s="1"/>
  <c r="R969" i="1"/>
  <c r="N970" i="1" s="1"/>
  <c r="Q969" i="1"/>
  <c r="M970" i="1" s="1"/>
  <c r="R970" i="1" s="1"/>
  <c r="S498" i="1"/>
  <c r="V971" i="1"/>
  <c r="W970" i="1"/>
  <c r="L970" i="1"/>
  <c r="O970" i="1" s="1"/>
  <c r="AB970" i="1" s="1"/>
  <c r="X971" i="1" s="1"/>
  <c r="AE972" i="1" l="1"/>
  <c r="AD972" i="1" s="1"/>
  <c r="AC971" i="1"/>
  <c r="Y972" i="1" s="1"/>
  <c r="AB971" i="1"/>
  <c r="X972" i="1" s="1"/>
  <c r="Q970" i="1"/>
  <c r="M971" i="1" s="1"/>
  <c r="N971" i="1"/>
  <c r="Q971" i="1" s="1"/>
  <c r="V972" i="1"/>
  <c r="W971" i="1"/>
  <c r="L971" i="1"/>
  <c r="O971" i="1" s="1"/>
  <c r="AE973" i="1" l="1"/>
  <c r="AD973" i="1" s="1"/>
  <c r="AC972" i="1"/>
  <c r="Y973" i="1" s="1"/>
  <c r="M972" i="1"/>
  <c r="R972" i="1" s="1"/>
  <c r="R971" i="1"/>
  <c r="N972" i="1" s="1"/>
  <c r="S499" i="1"/>
  <c r="V973" i="1"/>
  <c r="W972" i="1"/>
  <c r="L972" i="1"/>
  <c r="O972" i="1" s="1"/>
  <c r="AB972" i="1" s="1"/>
  <c r="X973" i="1" s="1"/>
  <c r="AE974" i="1" l="1"/>
  <c r="AD974" i="1" s="1"/>
  <c r="AB973" i="1"/>
  <c r="X974" i="1" s="1"/>
  <c r="AC973" i="1"/>
  <c r="Y974" i="1" s="1"/>
  <c r="N973" i="1"/>
  <c r="Q972" i="1"/>
  <c r="M973" i="1" s="1"/>
  <c r="V974" i="1"/>
  <c r="W973" i="1"/>
  <c r="L973" i="1"/>
  <c r="O973" i="1" s="1"/>
  <c r="AC974" i="1" l="1"/>
  <c r="Y975" i="1" s="1"/>
  <c r="AE975" i="1"/>
  <c r="AD975" i="1" s="1"/>
  <c r="R973" i="1"/>
  <c r="N974" i="1" s="1"/>
  <c r="Q973" i="1"/>
  <c r="M974" i="1" s="1"/>
  <c r="S500" i="1"/>
  <c r="V975" i="1"/>
  <c r="W974" i="1"/>
  <c r="L974" i="1"/>
  <c r="O974" i="1" s="1"/>
  <c r="AB974" i="1" s="1"/>
  <c r="X975" i="1" s="1"/>
  <c r="AC975" i="1" l="1"/>
  <c r="Y976" i="1" s="1"/>
  <c r="AE976" i="1"/>
  <c r="AD976" i="1" s="1"/>
  <c r="R974" i="1"/>
  <c r="N975" i="1"/>
  <c r="Q974" i="1"/>
  <c r="M975" i="1" s="1"/>
  <c r="R975" i="1" s="1"/>
  <c r="V976" i="1"/>
  <c r="W975" i="1"/>
  <c r="L975" i="1"/>
  <c r="O975" i="1" s="1"/>
  <c r="AB975" i="1" s="1"/>
  <c r="X976" i="1" s="1"/>
  <c r="AE977" i="1" l="1"/>
  <c r="AD977" i="1" s="1"/>
  <c r="AC976" i="1"/>
  <c r="Y977" i="1" s="1"/>
  <c r="Q975" i="1"/>
  <c r="M976" i="1" s="1"/>
  <c r="N976" i="1"/>
  <c r="Q976" i="1" s="1"/>
  <c r="S501" i="1"/>
  <c r="V977" i="1"/>
  <c r="W976" i="1"/>
  <c r="L976" i="1"/>
  <c r="O976" i="1" s="1"/>
  <c r="AB976" i="1" s="1"/>
  <c r="X977" i="1" s="1"/>
  <c r="AE978" i="1" l="1"/>
  <c r="AD978" i="1" s="1"/>
  <c r="AC977" i="1"/>
  <c r="Y978" i="1" s="1"/>
  <c r="AB977" i="1"/>
  <c r="X978" i="1" s="1"/>
  <c r="R976" i="1"/>
  <c r="N977" i="1" s="1"/>
  <c r="M977" i="1"/>
  <c r="R977" i="1" s="1"/>
  <c r="V978" i="1"/>
  <c r="W977" i="1"/>
  <c r="L977" i="1"/>
  <c r="O977" i="1" s="1"/>
  <c r="AE979" i="1" l="1"/>
  <c r="AD979" i="1" s="1"/>
  <c r="AB978" i="1"/>
  <c r="X979" i="1" s="1"/>
  <c r="Q977" i="1"/>
  <c r="M978" i="1" s="1"/>
  <c r="N978" i="1"/>
  <c r="AC978" i="1"/>
  <c r="Y979" i="1" s="1"/>
  <c r="AC979" i="1" s="1"/>
  <c r="Y980" i="1" s="1"/>
  <c r="S502" i="1"/>
  <c r="V979" i="1"/>
  <c r="W978" i="1"/>
  <c r="L978" i="1"/>
  <c r="O978" i="1" s="1"/>
  <c r="AE980" i="1" l="1"/>
  <c r="AD980" i="1" s="1"/>
  <c r="R978" i="1"/>
  <c r="N979" i="1" s="1"/>
  <c r="M979" i="1"/>
  <c r="Q978" i="1"/>
  <c r="V980" i="1"/>
  <c r="W979" i="1"/>
  <c r="L979" i="1"/>
  <c r="O979" i="1" s="1"/>
  <c r="AB979" i="1" s="1"/>
  <c r="X980" i="1" s="1"/>
  <c r="AE981" i="1" l="1"/>
  <c r="AD981" i="1" s="1"/>
  <c r="AC980" i="1"/>
  <c r="Y981" i="1" s="1"/>
  <c r="AB980" i="1"/>
  <c r="X981" i="1" s="1"/>
  <c r="N980" i="1"/>
  <c r="Q979" i="1"/>
  <c r="M980" i="1" s="1"/>
  <c r="R979" i="1"/>
  <c r="S503" i="1"/>
  <c r="V981" i="1"/>
  <c r="W980" i="1"/>
  <c r="L980" i="1"/>
  <c r="O980" i="1" s="1"/>
  <c r="AE982" i="1" l="1"/>
  <c r="AD982" i="1" s="1"/>
  <c r="R980" i="1"/>
  <c r="N981" i="1" s="1"/>
  <c r="M981" i="1"/>
  <c r="R981" i="1" s="1"/>
  <c r="AB981" i="1"/>
  <c r="X982" i="1" s="1"/>
  <c r="Q980" i="1"/>
  <c r="AC981" i="1"/>
  <c r="Y982" i="1" s="1"/>
  <c r="AC982" i="1" s="1"/>
  <c r="Y983" i="1" s="1"/>
  <c r="V982" i="1"/>
  <c r="W981" i="1"/>
  <c r="L981" i="1"/>
  <c r="O981" i="1" s="1"/>
  <c r="AE983" i="1" l="1"/>
  <c r="AD983" i="1" s="1"/>
  <c r="Q981" i="1"/>
  <c r="M982" i="1" s="1"/>
  <c r="N982" i="1"/>
  <c r="Q982" i="1" s="1"/>
  <c r="M983" i="1" s="1"/>
  <c r="S504" i="1"/>
  <c r="V983" i="1"/>
  <c r="W982" i="1"/>
  <c r="L982" i="1"/>
  <c r="O982" i="1" s="1"/>
  <c r="AB982" i="1" s="1"/>
  <c r="X983" i="1" s="1"/>
  <c r="AE984" i="1" l="1"/>
  <c r="AD984" i="1" s="1"/>
  <c r="AC983" i="1"/>
  <c r="Y984" i="1" s="1"/>
  <c r="R982" i="1"/>
  <c r="N983" i="1" s="1"/>
  <c r="V984" i="1"/>
  <c r="W983" i="1"/>
  <c r="L983" i="1"/>
  <c r="O983" i="1" s="1"/>
  <c r="AB983" i="1" s="1"/>
  <c r="X984" i="1" s="1"/>
  <c r="AE985" i="1" l="1"/>
  <c r="AD985" i="1" s="1"/>
  <c r="AC984" i="1"/>
  <c r="Y985" i="1" s="1"/>
  <c r="R983" i="1"/>
  <c r="N984" i="1" s="1"/>
  <c r="Q983" i="1"/>
  <c r="M984" i="1" s="1"/>
  <c r="S505" i="1"/>
  <c r="V985" i="1"/>
  <c r="W984" i="1"/>
  <c r="L984" i="1"/>
  <c r="O984" i="1" s="1"/>
  <c r="AB984" i="1" s="1"/>
  <c r="X985" i="1" s="1"/>
  <c r="AE986" i="1" l="1"/>
  <c r="AD986" i="1" s="1"/>
  <c r="AC985" i="1"/>
  <c r="Y986" i="1" s="1"/>
  <c r="AB985" i="1"/>
  <c r="X986" i="1" s="1"/>
  <c r="Q984" i="1"/>
  <c r="N985" i="1"/>
  <c r="Q985" i="1" s="1"/>
  <c r="M986" i="1" s="1"/>
  <c r="M985" i="1"/>
  <c r="R984" i="1"/>
  <c r="V986" i="1"/>
  <c r="W985" i="1"/>
  <c r="L985" i="1"/>
  <c r="O985" i="1" s="1"/>
  <c r="AC986" i="1" l="1"/>
  <c r="Y987" i="1" s="1"/>
  <c r="AE987" i="1"/>
  <c r="AD987" i="1" s="1"/>
  <c r="AB986" i="1"/>
  <c r="X987" i="1" s="1"/>
  <c r="R986" i="1"/>
  <c r="N987" i="1" s="1"/>
  <c r="R985" i="1"/>
  <c r="N986" i="1" s="1"/>
  <c r="S506" i="1"/>
  <c r="V987" i="1"/>
  <c r="W986" i="1"/>
  <c r="L986" i="1"/>
  <c r="O986" i="1" s="1"/>
  <c r="AE988" i="1" l="1"/>
  <c r="AD988" i="1" s="1"/>
  <c r="AB987" i="1"/>
  <c r="X988" i="1" s="1"/>
  <c r="AC987" i="1"/>
  <c r="Y988" i="1" s="1"/>
  <c r="AC988" i="1" s="1"/>
  <c r="Y989" i="1" s="1"/>
  <c r="Q987" i="1"/>
  <c r="M988" i="1" s="1"/>
  <c r="Q986" i="1"/>
  <c r="M987" i="1" s="1"/>
  <c r="R987" i="1" s="1"/>
  <c r="N988" i="1" s="1"/>
  <c r="V988" i="1"/>
  <c r="W987" i="1"/>
  <c r="L987" i="1"/>
  <c r="O987" i="1" s="1"/>
  <c r="AE989" i="1" l="1"/>
  <c r="AD989" i="1" s="1"/>
  <c r="AB988" i="1"/>
  <c r="X989" i="1" s="1"/>
  <c r="R988" i="1"/>
  <c r="N989" i="1" s="1"/>
  <c r="S507" i="1"/>
  <c r="V989" i="1"/>
  <c r="W988" i="1"/>
  <c r="L988" i="1"/>
  <c r="O988" i="1" s="1"/>
  <c r="AE990" i="1" l="1"/>
  <c r="AD990" i="1" s="1"/>
  <c r="Q989" i="1"/>
  <c r="AC989" i="1"/>
  <c r="Y990" i="1" s="1"/>
  <c r="Q988" i="1"/>
  <c r="M989" i="1" s="1"/>
  <c r="V990" i="1"/>
  <c r="W989" i="1"/>
  <c r="L989" i="1"/>
  <c r="O989" i="1" s="1"/>
  <c r="AB989" i="1" s="1"/>
  <c r="X990" i="1" s="1"/>
  <c r="AE991" i="1" l="1"/>
  <c r="AD991" i="1" s="1"/>
  <c r="AC990" i="1"/>
  <c r="Y991" i="1" s="1"/>
  <c r="AB990" i="1"/>
  <c r="X991" i="1" s="1"/>
  <c r="R989" i="1"/>
  <c r="N990" i="1" s="1"/>
  <c r="M990" i="1"/>
  <c r="R990" i="1" s="1"/>
  <c r="N991" i="1" s="1"/>
  <c r="S508" i="1"/>
  <c r="V991" i="1"/>
  <c r="W990" i="1"/>
  <c r="L990" i="1"/>
  <c r="O990" i="1" s="1"/>
  <c r="AE992" i="1" l="1"/>
  <c r="AD992" i="1" s="1"/>
  <c r="AC991" i="1"/>
  <c r="Y992" i="1" s="1"/>
  <c r="Q991" i="1"/>
  <c r="M992" i="1" s="1"/>
  <c r="Q990" i="1"/>
  <c r="M991" i="1" s="1"/>
  <c r="V992" i="1"/>
  <c r="W991" i="1"/>
  <c r="L991" i="1"/>
  <c r="O991" i="1" s="1"/>
  <c r="AB991" i="1" s="1"/>
  <c r="X992" i="1" s="1"/>
  <c r="AE993" i="1" l="1"/>
  <c r="AD993" i="1" s="1"/>
  <c r="AC992" i="1"/>
  <c r="Y993" i="1" s="1"/>
  <c r="R992" i="1"/>
  <c r="R991" i="1"/>
  <c r="N992" i="1" s="1"/>
  <c r="S509" i="1"/>
  <c r="V993" i="1"/>
  <c r="W992" i="1"/>
  <c r="L992" i="1"/>
  <c r="O992" i="1" s="1"/>
  <c r="AB992" i="1" s="1"/>
  <c r="X993" i="1" s="1"/>
  <c r="AE994" i="1" l="1"/>
  <c r="AD994" i="1" s="1"/>
  <c r="AC993" i="1"/>
  <c r="Y994" i="1" s="1"/>
  <c r="AB993" i="1"/>
  <c r="X994" i="1" s="1"/>
  <c r="N993" i="1"/>
  <c r="Q992" i="1"/>
  <c r="M993" i="1" s="1"/>
  <c r="V994" i="1"/>
  <c r="W993" i="1"/>
  <c r="L993" i="1"/>
  <c r="O993" i="1" s="1"/>
  <c r="AE995" i="1" l="1"/>
  <c r="AD995" i="1" s="1"/>
  <c r="AC994" i="1"/>
  <c r="Y995" i="1" s="1"/>
  <c r="Q993" i="1"/>
  <c r="M994" i="1" s="1"/>
  <c r="R994" i="1" s="1"/>
  <c r="R993" i="1"/>
  <c r="N994" i="1" s="1"/>
  <c r="S510" i="1"/>
  <c r="V995" i="1"/>
  <c r="W994" i="1"/>
  <c r="L994" i="1"/>
  <c r="O994" i="1" s="1"/>
  <c r="AB994" i="1" s="1"/>
  <c r="X995" i="1" s="1"/>
  <c r="AE996" i="1" l="1"/>
  <c r="AD996" i="1" s="1"/>
  <c r="AC995" i="1"/>
  <c r="Y996" i="1" s="1"/>
  <c r="AB995" i="1"/>
  <c r="X996" i="1" s="1"/>
  <c r="Q994" i="1"/>
  <c r="M995" i="1" s="1"/>
  <c r="N995" i="1"/>
  <c r="V996" i="1"/>
  <c r="W995" i="1"/>
  <c r="L995" i="1"/>
  <c r="O995" i="1" s="1"/>
  <c r="AE997" i="1" l="1"/>
  <c r="AD997" i="1" s="1"/>
  <c r="AC996" i="1"/>
  <c r="Y997" i="1" s="1"/>
  <c r="R995" i="1"/>
  <c r="N996" i="1"/>
  <c r="Q995" i="1"/>
  <c r="M996" i="1" s="1"/>
  <c r="S511" i="1"/>
  <c r="V997" i="1"/>
  <c r="W996" i="1"/>
  <c r="L996" i="1"/>
  <c r="O996" i="1" s="1"/>
  <c r="AB996" i="1" s="1"/>
  <c r="X997" i="1" s="1"/>
  <c r="AE998" i="1" l="1"/>
  <c r="AD998" i="1" s="1"/>
  <c r="R996" i="1"/>
  <c r="AC997" i="1"/>
  <c r="Y998" i="1" s="1"/>
  <c r="N997" i="1"/>
  <c r="Q996" i="1"/>
  <c r="M997" i="1" s="1"/>
  <c r="V998" i="1"/>
  <c r="W997" i="1"/>
  <c r="L997" i="1"/>
  <c r="O997" i="1" s="1"/>
  <c r="AB997" i="1" s="1"/>
  <c r="X998" i="1" s="1"/>
  <c r="AE999" i="1" l="1"/>
  <c r="AD999" i="1" s="1"/>
  <c r="AC998" i="1"/>
  <c r="Y999" i="1" s="1"/>
  <c r="R997" i="1"/>
  <c r="N998" i="1" s="1"/>
  <c r="AB998" i="1"/>
  <c r="X999" i="1" s="1"/>
  <c r="Q997" i="1"/>
  <c r="M998" i="1" s="1"/>
  <c r="S512" i="1"/>
  <c r="V999" i="1"/>
  <c r="W998" i="1"/>
  <c r="L998" i="1"/>
  <c r="O998" i="1" s="1"/>
  <c r="AE1000" i="1" l="1"/>
  <c r="AD1000" i="1" s="1"/>
  <c r="R998" i="1"/>
  <c r="N999" i="1" s="1"/>
  <c r="M999" i="1"/>
  <c r="AC999" i="1"/>
  <c r="Y1000" i="1" s="1"/>
  <c r="AB999" i="1"/>
  <c r="X1000" i="1" s="1"/>
  <c r="Q998" i="1"/>
  <c r="V1000" i="1"/>
  <c r="W999" i="1"/>
  <c r="L999" i="1"/>
  <c r="O999" i="1" s="1"/>
  <c r="AE1001" i="1" l="1"/>
  <c r="AD1001" i="1" s="1"/>
  <c r="AC1000" i="1"/>
  <c r="Y1001" i="1" s="1"/>
  <c r="Q999" i="1"/>
  <c r="M1000" i="1" s="1"/>
  <c r="R1000" i="1" s="1"/>
  <c r="R999" i="1"/>
  <c r="N1000" i="1" s="1"/>
  <c r="S513" i="1"/>
  <c r="V1001" i="1"/>
  <c r="W1000" i="1"/>
  <c r="L1000" i="1"/>
  <c r="O1000" i="1" s="1"/>
  <c r="AB1000" i="1" s="1"/>
  <c r="X1001" i="1" s="1"/>
  <c r="AE1002" i="1" l="1"/>
  <c r="AD1002" i="1" s="1"/>
  <c r="AB1001" i="1"/>
  <c r="X1002" i="1" s="1"/>
  <c r="AC1001" i="1"/>
  <c r="Y1002" i="1" s="1"/>
  <c r="AC1002" i="1" s="1"/>
  <c r="Y1003" i="1" s="1"/>
  <c r="N1001" i="1"/>
  <c r="Q1000" i="1"/>
  <c r="M1001" i="1" s="1"/>
  <c r="V1002" i="1"/>
  <c r="W1001" i="1"/>
  <c r="L1001" i="1"/>
  <c r="O1001" i="1" s="1"/>
  <c r="AE1003" i="1" l="1"/>
  <c r="AD1003" i="1" s="1"/>
  <c r="R1001" i="1"/>
  <c r="N1002" i="1" s="1"/>
  <c r="Q1001" i="1"/>
  <c r="M1002" i="1" s="1"/>
  <c r="R1002" i="1" s="1"/>
  <c r="S514" i="1"/>
  <c r="V1003" i="1"/>
  <c r="W1002" i="1"/>
  <c r="L1002" i="1"/>
  <c r="O1002" i="1" s="1"/>
  <c r="AB1002" i="1" s="1"/>
  <c r="X1003" i="1" s="1"/>
  <c r="AE1004" i="1" l="1"/>
  <c r="AD1004" i="1" s="1"/>
  <c r="AC1003" i="1"/>
  <c r="Y1004" i="1" s="1"/>
  <c r="Q1002" i="1"/>
  <c r="M1003" i="1" s="1"/>
  <c r="N1003" i="1"/>
  <c r="V1004" i="1"/>
  <c r="W1003" i="1"/>
  <c r="L1003" i="1"/>
  <c r="O1003" i="1" s="1"/>
  <c r="AB1003" i="1" s="1"/>
  <c r="X1004" i="1" s="1"/>
  <c r="AE1005" i="1" l="1"/>
  <c r="AD1005" i="1" s="1"/>
  <c r="AC1004" i="1"/>
  <c r="Y1005" i="1" s="1"/>
  <c r="Q1003" i="1"/>
  <c r="M1004" i="1"/>
  <c r="R1003" i="1"/>
  <c r="N1004" i="1" s="1"/>
  <c r="S515" i="1"/>
  <c r="V1005" i="1"/>
  <c r="W1004" i="1"/>
  <c r="L1004" i="1"/>
  <c r="O1004" i="1" s="1"/>
  <c r="AB1004" i="1" s="1"/>
  <c r="X1005" i="1" s="1"/>
  <c r="AE1006" i="1" l="1"/>
  <c r="AD1006" i="1" s="1"/>
  <c r="Q1004" i="1"/>
  <c r="M1005" i="1" s="1"/>
  <c r="AC1005" i="1"/>
  <c r="Y1006" i="1" s="1"/>
  <c r="R1004" i="1"/>
  <c r="N1005" i="1" s="1"/>
  <c r="Q1005" i="1" s="1"/>
  <c r="V1006" i="1"/>
  <c r="W1005" i="1"/>
  <c r="L1005" i="1"/>
  <c r="O1005" i="1" s="1"/>
  <c r="AB1005" i="1" s="1"/>
  <c r="X1006" i="1" s="1"/>
  <c r="AE1007" i="1" l="1"/>
  <c r="AD1007" i="1" s="1"/>
  <c r="AC1006" i="1"/>
  <c r="Y1007" i="1" s="1"/>
  <c r="R1005" i="1"/>
  <c r="N1006" i="1" s="1"/>
  <c r="M1006" i="1"/>
  <c r="R1006" i="1" s="1"/>
  <c r="S516" i="1"/>
  <c r="V1007" i="1"/>
  <c r="W1006" i="1"/>
  <c r="L1006" i="1"/>
  <c r="O1006" i="1" s="1"/>
  <c r="AB1006" i="1" s="1"/>
  <c r="X1007" i="1" s="1"/>
  <c r="AE1008" i="1" s="1"/>
  <c r="AD1008" i="1" s="1"/>
  <c r="AB1007" i="1" l="1"/>
  <c r="X1008" i="1" s="1"/>
  <c r="AC1007" i="1"/>
  <c r="Y1008" i="1" s="1"/>
  <c r="Q1006" i="1"/>
  <c r="M1007" i="1" s="1"/>
  <c r="N1007" i="1"/>
  <c r="V1008" i="1"/>
  <c r="W1007" i="1"/>
  <c r="L1007" i="1"/>
  <c r="O1007" i="1" s="1"/>
  <c r="AC1008" i="1" l="1"/>
  <c r="Y1009" i="1" s="1"/>
  <c r="AE1009" i="1"/>
  <c r="AD1009" i="1" s="1"/>
  <c r="AB1008" i="1"/>
  <c r="X1009" i="1" s="1"/>
  <c r="Q1007" i="1"/>
  <c r="M1008" i="1"/>
  <c r="R1008" i="1" s="1"/>
  <c r="R1007" i="1"/>
  <c r="N1008" i="1" s="1"/>
  <c r="S517" i="1"/>
  <c r="V1009" i="1"/>
  <c r="W1008" i="1"/>
  <c r="L1008" i="1"/>
  <c r="O1008" i="1" s="1"/>
  <c r="AC1009" i="1" l="1"/>
  <c r="Y1010" i="1" s="1"/>
  <c r="AE1010" i="1"/>
  <c r="AD1010" i="1" s="1"/>
  <c r="N1009" i="1"/>
  <c r="Q1008" i="1"/>
  <c r="M1009" i="1" s="1"/>
  <c r="V1010" i="1"/>
  <c r="W1009" i="1"/>
  <c r="L1009" i="1"/>
  <c r="O1009" i="1" s="1"/>
  <c r="AB1009" i="1" s="1"/>
  <c r="X1010" i="1" s="1"/>
  <c r="AE1011" i="1" l="1"/>
  <c r="AD1011" i="1" s="1"/>
  <c r="AC1010" i="1"/>
  <c r="Y1011" i="1" s="1"/>
  <c r="R1009" i="1"/>
  <c r="N1010" i="1" s="1"/>
  <c r="Q1009" i="1"/>
  <c r="M1010" i="1" s="1"/>
  <c r="R1010" i="1" s="1"/>
  <c r="N1011" i="1" s="1"/>
  <c r="S518" i="1"/>
  <c r="V1011" i="1"/>
  <c r="W1010" i="1"/>
  <c r="L1010" i="1"/>
  <c r="O1010" i="1" s="1"/>
  <c r="AB1010" i="1" s="1"/>
  <c r="X1011" i="1" s="1"/>
  <c r="AE1012" i="1" l="1"/>
  <c r="AD1012" i="1" s="1"/>
  <c r="AC1011" i="1"/>
  <c r="Y1012" i="1" s="1"/>
  <c r="Q1010" i="1"/>
  <c r="M1011" i="1" s="1"/>
  <c r="V1012" i="1"/>
  <c r="W1011" i="1"/>
  <c r="L1011" i="1"/>
  <c r="O1011" i="1" s="1"/>
  <c r="AB1011" i="1" s="1"/>
  <c r="X1012" i="1" s="1"/>
  <c r="AE1013" i="1" l="1"/>
  <c r="AD1013" i="1" s="1"/>
  <c r="AC1012" i="1"/>
  <c r="Y1013" i="1" s="1"/>
  <c r="R1011" i="1"/>
  <c r="N1012" i="1" s="1"/>
  <c r="Q1011" i="1"/>
  <c r="M1012" i="1" s="1"/>
  <c r="R1012" i="1" s="1"/>
  <c r="S519" i="1"/>
  <c r="V1013" i="1"/>
  <c r="W1012" i="1"/>
  <c r="L1012" i="1"/>
  <c r="O1012" i="1" s="1"/>
  <c r="AB1012" i="1" s="1"/>
  <c r="X1013" i="1" s="1"/>
  <c r="AE1014" i="1" l="1"/>
  <c r="AD1014" i="1" s="1"/>
  <c r="AB1013" i="1"/>
  <c r="X1014" i="1" s="1"/>
  <c r="AC1013" i="1"/>
  <c r="Y1014" i="1" s="1"/>
  <c r="Q1012" i="1"/>
  <c r="M1013" i="1" s="1"/>
  <c r="R1013" i="1" s="1"/>
  <c r="N1014" i="1" s="1"/>
  <c r="N1013" i="1"/>
  <c r="V1014" i="1"/>
  <c r="W1013" i="1"/>
  <c r="L1013" i="1"/>
  <c r="O1013" i="1" s="1"/>
  <c r="AC1014" i="1" l="1"/>
  <c r="Y1015" i="1" s="1"/>
  <c r="AE1015" i="1"/>
  <c r="AD1015" i="1" s="1"/>
  <c r="Q1013" i="1"/>
  <c r="M1014" i="1" s="1"/>
  <c r="Q1014" i="1" s="1"/>
  <c r="M1015" i="1" s="1"/>
  <c r="S520" i="1"/>
  <c r="V1015" i="1"/>
  <c r="W1014" i="1"/>
  <c r="L1014" i="1"/>
  <c r="O1014" i="1" s="1"/>
  <c r="AB1014" i="1" s="1"/>
  <c r="X1015" i="1" s="1"/>
  <c r="AE1016" i="1" l="1"/>
  <c r="AD1016" i="1" s="1"/>
  <c r="AC1015" i="1"/>
  <c r="Y1016" i="1" s="1"/>
  <c r="R1014" i="1"/>
  <c r="N1015" i="1" s="1"/>
  <c r="Q1015" i="1" s="1"/>
  <c r="M1016" i="1" s="1"/>
  <c r="V1016" i="1"/>
  <c r="W1015" i="1"/>
  <c r="L1015" i="1"/>
  <c r="O1015" i="1" s="1"/>
  <c r="AB1015" i="1" s="1"/>
  <c r="X1016" i="1" s="1"/>
  <c r="AE1017" i="1" l="1"/>
  <c r="AD1017" i="1" s="1"/>
  <c r="AC1016" i="1"/>
  <c r="Y1017" i="1" s="1"/>
  <c r="R1016" i="1"/>
  <c r="N1017" i="1" s="1"/>
  <c r="R1015" i="1"/>
  <c r="N1016" i="1" s="1"/>
  <c r="Q1016" i="1" s="1"/>
  <c r="M1017" i="1" s="1"/>
  <c r="S521" i="1"/>
  <c r="V1017" i="1"/>
  <c r="W1016" i="1"/>
  <c r="L1016" i="1"/>
  <c r="O1016" i="1" s="1"/>
  <c r="AB1016" i="1" s="1"/>
  <c r="X1017" i="1" s="1"/>
  <c r="AE1018" i="1" l="1"/>
  <c r="AD1018" i="1" s="1"/>
  <c r="AC1017" i="1"/>
  <c r="Y1018" i="1" s="1"/>
  <c r="V1018" i="1"/>
  <c r="W1017" i="1"/>
  <c r="L1017" i="1"/>
  <c r="O1017" i="1" s="1"/>
  <c r="AB1017" i="1" s="1"/>
  <c r="X1018" i="1" s="1"/>
  <c r="AE1019" i="1" l="1"/>
  <c r="AD1019" i="1" s="1"/>
  <c r="AC1018" i="1"/>
  <c r="Y1019" i="1" s="1"/>
  <c r="Q1017" i="1"/>
  <c r="M1018" i="1" s="1"/>
  <c r="R1017" i="1"/>
  <c r="N1018" i="1" s="1"/>
  <c r="S522" i="1"/>
  <c r="V1019" i="1"/>
  <c r="W1018" i="1"/>
  <c r="L1018" i="1"/>
  <c r="O1018" i="1" s="1"/>
  <c r="AB1018" i="1" s="1"/>
  <c r="X1019" i="1" s="1"/>
  <c r="AE1020" i="1" l="1"/>
  <c r="AD1020" i="1" s="1"/>
  <c r="AC1019" i="1"/>
  <c r="Y1020" i="1" s="1"/>
  <c r="R1018" i="1"/>
  <c r="N1019" i="1" s="1"/>
  <c r="Q1018" i="1"/>
  <c r="M1019" i="1" s="1"/>
  <c r="V1020" i="1"/>
  <c r="W1019" i="1"/>
  <c r="L1019" i="1"/>
  <c r="O1019" i="1" s="1"/>
  <c r="AB1019" i="1" s="1"/>
  <c r="X1020" i="1" s="1"/>
  <c r="AE1021" i="1" l="1"/>
  <c r="AD1021" i="1" s="1"/>
  <c r="AC1020" i="1"/>
  <c r="Y1021" i="1" s="1"/>
  <c r="M1020" i="1"/>
  <c r="R1020" i="1" s="1"/>
  <c r="R1019" i="1"/>
  <c r="N1020" i="1" s="1"/>
  <c r="Q1019" i="1"/>
  <c r="S523" i="1"/>
  <c r="V1021" i="1"/>
  <c r="W1020" i="1"/>
  <c r="L1020" i="1"/>
  <c r="O1020" i="1" s="1"/>
  <c r="AB1020" i="1" s="1"/>
  <c r="X1021" i="1" s="1"/>
  <c r="AE1022" i="1" l="1"/>
  <c r="AD1022" i="1" s="1"/>
  <c r="AC1021" i="1"/>
  <c r="Y1022" i="1" s="1"/>
  <c r="Q1020" i="1"/>
  <c r="M1021" i="1" s="1"/>
  <c r="N1021" i="1"/>
  <c r="V1022" i="1"/>
  <c r="W1021" i="1"/>
  <c r="L1021" i="1"/>
  <c r="O1021" i="1" s="1"/>
  <c r="AB1021" i="1" s="1"/>
  <c r="X1022" i="1" s="1"/>
  <c r="AE1023" i="1" l="1"/>
  <c r="AD1023" i="1" s="1"/>
  <c r="AC1022" i="1"/>
  <c r="Y1023" i="1" s="1"/>
  <c r="AB1022" i="1"/>
  <c r="X1023" i="1" s="1"/>
  <c r="Q1021" i="1"/>
  <c r="M1022" i="1"/>
  <c r="R1021" i="1"/>
  <c r="N1022" i="1" s="1"/>
  <c r="S524" i="1"/>
  <c r="V1023" i="1"/>
  <c r="W1022" i="1"/>
  <c r="L1022" i="1"/>
  <c r="O1022" i="1" s="1"/>
  <c r="AE1024" i="1" l="1"/>
  <c r="AD1024" i="1" s="1"/>
  <c r="AC1023" i="1"/>
  <c r="Y1024" i="1" s="1"/>
  <c r="Q1022" i="1"/>
  <c r="R1022" i="1"/>
  <c r="N1023" i="1" s="1"/>
  <c r="M1023" i="1"/>
  <c r="V1024" i="1"/>
  <c r="W1023" i="1"/>
  <c r="L1023" i="1"/>
  <c r="O1023" i="1" s="1"/>
  <c r="AB1023" i="1" s="1"/>
  <c r="X1024" i="1" s="1"/>
  <c r="AE1025" i="1" l="1"/>
  <c r="AC1024" i="1"/>
  <c r="Y1025" i="1" s="1"/>
  <c r="Q1023" i="1"/>
  <c r="AB1024" i="1"/>
  <c r="X1025" i="1" s="1"/>
  <c r="M1024" i="1"/>
  <c r="R1023" i="1"/>
  <c r="N1024" i="1" s="1"/>
  <c r="S525" i="1"/>
  <c r="V1025" i="1"/>
  <c r="W1025" i="1" s="1"/>
  <c r="W1024" i="1"/>
  <c r="L1025" i="1"/>
  <c r="O1025" i="1" s="1"/>
  <c r="L1024" i="1"/>
  <c r="O1024" i="1" s="1"/>
  <c r="AC14" i="1" l="1"/>
  <c r="AD1025" i="1"/>
  <c r="AC1025" i="1"/>
  <c r="N1025" i="1"/>
  <c r="Q1024" i="1"/>
  <c r="M1025" i="1" s="1"/>
  <c r="R1025" i="1" s="1"/>
  <c r="R1024" i="1"/>
  <c r="AB1025" i="1"/>
  <c r="S526" i="1"/>
  <c r="AC16" i="1" l="1"/>
  <c r="Q1025" i="1"/>
  <c r="S527" i="1"/>
  <c r="S528" i="1" l="1"/>
  <c r="S529" i="1" l="1"/>
  <c r="S530" i="1" l="1"/>
  <c r="S531" i="1" l="1"/>
  <c r="S532" i="1" l="1"/>
  <c r="S533" i="1" l="1"/>
  <c r="S534" i="1" l="1"/>
  <c r="S535" i="1" l="1"/>
  <c r="S536" i="1" l="1"/>
  <c r="S537" i="1" l="1"/>
  <c r="S538" i="1" l="1"/>
  <c r="S539" i="1" l="1"/>
  <c r="S540" i="1" l="1"/>
  <c r="S541" i="1" l="1"/>
  <c r="S542" i="1" l="1"/>
  <c r="S543" i="1" l="1"/>
  <c r="S544" i="1" l="1"/>
  <c r="S545" i="1" l="1"/>
  <c r="S546" i="1" l="1"/>
  <c r="S547" i="1" l="1"/>
  <c r="S548" i="1" l="1"/>
  <c r="S549" i="1" l="1"/>
  <c r="S550" i="1" l="1"/>
  <c r="S551" i="1" l="1"/>
  <c r="S552" i="1" l="1"/>
  <c r="S553" i="1" l="1"/>
  <c r="S554" i="1" l="1"/>
  <c r="S555" i="1" l="1"/>
  <c r="S556" i="1" l="1"/>
  <c r="S557" i="1" l="1"/>
  <c r="S558" i="1" l="1"/>
  <c r="S559" i="1" l="1"/>
  <c r="S560" i="1" l="1"/>
  <c r="S561" i="1" l="1"/>
  <c r="S562" i="1" l="1"/>
  <c r="S563" i="1" l="1"/>
  <c r="S564" i="1" l="1"/>
  <c r="S565" i="1" l="1"/>
  <c r="S566" i="1" l="1"/>
  <c r="S567" i="1" l="1"/>
  <c r="S568" i="1" l="1"/>
  <c r="S569" i="1" l="1"/>
  <c r="S570" i="1" l="1"/>
  <c r="S571" i="1" l="1"/>
  <c r="S572" i="1" l="1"/>
  <c r="S573" i="1" l="1"/>
  <c r="S574" i="1" l="1"/>
  <c r="S575" i="1" l="1"/>
  <c r="S576" i="1" l="1"/>
  <c r="S577" i="1" l="1"/>
  <c r="S578" i="1" l="1"/>
  <c r="S579" i="1" l="1"/>
  <c r="S580" i="1" l="1"/>
  <c r="S581" i="1" l="1"/>
  <c r="S582" i="1" l="1"/>
  <c r="S583" i="1" l="1"/>
  <c r="S584" i="1" l="1"/>
  <c r="S585" i="1" l="1"/>
  <c r="S586" i="1" l="1"/>
  <c r="S587" i="1" l="1"/>
  <c r="S588" i="1" l="1"/>
  <c r="S589" i="1" l="1"/>
  <c r="S590" i="1" l="1"/>
  <c r="S591" i="1" l="1"/>
  <c r="S592" i="1" l="1"/>
  <c r="S593" i="1" l="1"/>
  <c r="S594" i="1" l="1"/>
  <c r="S595" i="1" l="1"/>
  <c r="S596" i="1" l="1"/>
  <c r="S597" i="1" l="1"/>
  <c r="S598" i="1" l="1"/>
  <c r="S599" i="1" l="1"/>
  <c r="S600" i="1" l="1"/>
  <c r="S601" i="1" l="1"/>
  <c r="S602" i="1" l="1"/>
  <c r="S603" i="1" l="1"/>
  <c r="S604" i="1" l="1"/>
  <c r="S605" i="1" l="1"/>
  <c r="S606" i="1" l="1"/>
  <c r="S607" i="1" l="1"/>
  <c r="S608" i="1" l="1"/>
  <c r="S609" i="1" l="1"/>
  <c r="S610" i="1" l="1"/>
  <c r="S611" i="1" l="1"/>
  <c r="S612" i="1" l="1"/>
  <c r="S613" i="1" l="1"/>
  <c r="S614" i="1" l="1"/>
  <c r="S615" i="1" l="1"/>
  <c r="S616" i="1" l="1"/>
  <c r="S617" i="1" l="1"/>
  <c r="S618" i="1" l="1"/>
  <c r="S619" i="1" l="1"/>
  <c r="S620" i="1" l="1"/>
  <c r="S621" i="1" l="1"/>
  <c r="S622" i="1" l="1"/>
  <c r="S623" i="1" l="1"/>
  <c r="S624" i="1" l="1"/>
  <c r="S625" i="1" l="1"/>
  <c r="S626" i="1" l="1"/>
  <c r="S627" i="1" l="1"/>
  <c r="S628" i="1" l="1"/>
  <c r="S629" i="1" l="1"/>
  <c r="S630" i="1" l="1"/>
  <c r="S631" i="1" l="1"/>
  <c r="S632" i="1" l="1"/>
  <c r="S633" i="1" l="1"/>
  <c r="S634" i="1" l="1"/>
  <c r="S635" i="1" l="1"/>
  <c r="S636" i="1" l="1"/>
  <c r="S637" i="1" l="1"/>
  <c r="S638" i="1" l="1"/>
  <c r="S639" i="1" l="1"/>
  <c r="S640" i="1" l="1"/>
  <c r="S641" i="1" l="1"/>
  <c r="S642" i="1" l="1"/>
  <c r="S643" i="1" l="1"/>
  <c r="S644" i="1" l="1"/>
  <c r="S645" i="1" l="1"/>
  <c r="S646" i="1" l="1"/>
  <c r="S647" i="1" l="1"/>
  <c r="S648" i="1" l="1"/>
  <c r="S649" i="1" l="1"/>
  <c r="S650" i="1" l="1"/>
  <c r="S651" i="1" l="1"/>
  <c r="S652" i="1" l="1"/>
  <c r="S653" i="1" l="1"/>
  <c r="S654" i="1" l="1"/>
  <c r="S655" i="1" l="1"/>
  <c r="S656" i="1" l="1"/>
  <c r="S657" i="1" l="1"/>
  <c r="S658" i="1" l="1"/>
  <c r="S659" i="1" l="1"/>
  <c r="S660" i="1" l="1"/>
  <c r="S661" i="1" l="1"/>
  <c r="S662" i="1" l="1"/>
  <c r="S663" i="1" l="1"/>
  <c r="S664" i="1" l="1"/>
  <c r="S665" i="1" l="1"/>
  <c r="S666" i="1" l="1"/>
  <c r="S667" i="1" l="1"/>
  <c r="S668" i="1" l="1"/>
  <c r="S669" i="1" l="1"/>
  <c r="S670" i="1" l="1"/>
  <c r="S671" i="1" l="1"/>
  <c r="S672" i="1" l="1"/>
  <c r="S673" i="1" l="1"/>
  <c r="S674" i="1" l="1"/>
  <c r="S675" i="1" l="1"/>
  <c r="S676" i="1" l="1"/>
  <c r="S677" i="1" l="1"/>
  <c r="S678" i="1" l="1"/>
  <c r="S679" i="1" l="1"/>
  <c r="S680" i="1" l="1"/>
  <c r="S681" i="1" l="1"/>
  <c r="S682" i="1" l="1"/>
  <c r="S683" i="1" l="1"/>
  <c r="S684" i="1" l="1"/>
  <c r="S685" i="1" l="1"/>
  <c r="S686" i="1" l="1"/>
  <c r="S687" i="1" l="1"/>
  <c r="S688" i="1" l="1"/>
  <c r="S689" i="1" l="1"/>
  <c r="S690" i="1" l="1"/>
  <c r="S691" i="1" l="1"/>
  <c r="S692" i="1" l="1"/>
  <c r="S693" i="1" l="1"/>
  <c r="S694" i="1" l="1"/>
  <c r="S695" i="1" l="1"/>
  <c r="S696" i="1" l="1"/>
  <c r="S697" i="1" l="1"/>
  <c r="S698" i="1" l="1"/>
  <c r="S699" i="1" l="1"/>
  <c r="S700" i="1" l="1"/>
  <c r="S701" i="1" l="1"/>
  <c r="S702" i="1" l="1"/>
  <c r="S703" i="1" l="1"/>
  <c r="S704" i="1" l="1"/>
  <c r="S705" i="1" l="1"/>
  <c r="S706" i="1" l="1"/>
  <c r="S707" i="1" l="1"/>
  <c r="S708" i="1" l="1"/>
  <c r="S709" i="1" l="1"/>
  <c r="S710" i="1" l="1"/>
  <c r="S711" i="1" l="1"/>
  <c r="S712" i="1" l="1"/>
  <c r="S713" i="1" l="1"/>
  <c r="S714" i="1" l="1"/>
  <c r="S715" i="1" l="1"/>
  <c r="S716" i="1" l="1"/>
  <c r="S717" i="1" l="1"/>
  <c r="S718" i="1" l="1"/>
  <c r="S719" i="1" l="1"/>
  <c r="S720" i="1" l="1"/>
  <c r="S721" i="1" l="1"/>
  <c r="S722" i="1" l="1"/>
  <c r="S723" i="1" l="1"/>
  <c r="S724" i="1" l="1"/>
  <c r="S725" i="1" l="1"/>
  <c r="S726" i="1" l="1"/>
  <c r="S727" i="1" l="1"/>
  <c r="S728" i="1" l="1"/>
  <c r="S729" i="1" l="1"/>
  <c r="S730" i="1" l="1"/>
  <c r="S731" i="1" l="1"/>
  <c r="S732" i="1" l="1"/>
  <c r="S733" i="1" l="1"/>
  <c r="S734" i="1" l="1"/>
  <c r="S735" i="1" l="1"/>
  <c r="S736" i="1" l="1"/>
  <c r="S737" i="1" l="1"/>
  <c r="S738" i="1" l="1"/>
  <c r="S739" i="1" l="1"/>
  <c r="S740" i="1" l="1"/>
  <c r="S741" i="1" l="1"/>
  <c r="S742" i="1" l="1"/>
  <c r="S743" i="1" l="1"/>
  <c r="S744" i="1" l="1"/>
  <c r="S745" i="1" l="1"/>
  <c r="S746" i="1" l="1"/>
  <c r="S747" i="1" l="1"/>
  <c r="S748" i="1" l="1"/>
  <c r="S749" i="1" l="1"/>
  <c r="S750" i="1" l="1"/>
  <c r="S751" i="1" l="1"/>
  <c r="S752" i="1" l="1"/>
  <c r="S753" i="1" l="1"/>
  <c r="S754" i="1" l="1"/>
  <c r="S755" i="1" l="1"/>
  <c r="S756" i="1" l="1"/>
  <c r="S757" i="1" l="1"/>
  <c r="S758" i="1" l="1"/>
  <c r="S759" i="1" l="1"/>
  <c r="S760" i="1" l="1"/>
  <c r="S761" i="1" l="1"/>
  <c r="S762" i="1" l="1"/>
  <c r="S763" i="1" l="1"/>
  <c r="S764" i="1" l="1"/>
  <c r="S765" i="1" l="1"/>
  <c r="S766" i="1" l="1"/>
  <c r="S767" i="1" l="1"/>
  <c r="S768" i="1" l="1"/>
  <c r="S769" i="1" l="1"/>
  <c r="S770" i="1" l="1"/>
  <c r="S771" i="1" l="1"/>
  <c r="S772" i="1" l="1"/>
  <c r="S773" i="1" l="1"/>
  <c r="S774" i="1" l="1"/>
  <c r="S775" i="1" l="1"/>
  <c r="S776" i="1" l="1"/>
  <c r="S777" i="1" l="1"/>
  <c r="S778" i="1" l="1"/>
  <c r="S779" i="1" l="1"/>
  <c r="S780" i="1" l="1"/>
  <c r="S781" i="1" l="1"/>
  <c r="S782" i="1" l="1"/>
  <c r="S783" i="1" l="1"/>
  <c r="S784" i="1" l="1"/>
  <c r="S785" i="1" l="1"/>
  <c r="S786" i="1" l="1"/>
  <c r="S787" i="1" l="1"/>
  <c r="S788" i="1" l="1"/>
  <c r="S789" i="1" l="1"/>
  <c r="S790" i="1" l="1"/>
  <c r="S791" i="1" l="1"/>
  <c r="S792" i="1" l="1"/>
  <c r="S793" i="1" l="1"/>
  <c r="S794" i="1" l="1"/>
  <c r="S795" i="1" l="1"/>
  <c r="S796" i="1" l="1"/>
  <c r="S797" i="1" l="1"/>
  <c r="S798" i="1" l="1"/>
  <c r="S799" i="1" l="1"/>
  <c r="S800" i="1" l="1"/>
  <c r="S801" i="1" l="1"/>
  <c r="S802" i="1" l="1"/>
  <c r="S803" i="1" l="1"/>
  <c r="S804" i="1" l="1"/>
  <c r="S805" i="1" l="1"/>
  <c r="S806" i="1" l="1"/>
  <c r="S807" i="1" l="1"/>
  <c r="S808" i="1" l="1"/>
  <c r="S809" i="1" l="1"/>
  <c r="S810" i="1" l="1"/>
  <c r="S811" i="1" l="1"/>
  <c r="S812" i="1" l="1"/>
  <c r="S813" i="1" l="1"/>
  <c r="S814" i="1" l="1"/>
  <c r="S815" i="1" l="1"/>
  <c r="S816" i="1" l="1"/>
  <c r="S817" i="1" l="1"/>
  <c r="S818" i="1" l="1"/>
  <c r="S819" i="1" l="1"/>
  <c r="S820" i="1" l="1"/>
  <c r="S821" i="1" l="1"/>
  <c r="S822" i="1" l="1"/>
  <c r="S823" i="1" l="1"/>
  <c r="S824" i="1" l="1"/>
  <c r="S825" i="1" l="1"/>
  <c r="S826" i="1" l="1"/>
  <c r="S827" i="1" l="1"/>
  <c r="S828" i="1" l="1"/>
  <c r="S829" i="1" l="1"/>
  <c r="S830" i="1" l="1"/>
  <c r="S831" i="1" l="1"/>
  <c r="S832" i="1" l="1"/>
  <c r="S833" i="1" l="1"/>
  <c r="S834" i="1" l="1"/>
  <c r="S835" i="1" l="1"/>
  <c r="S836" i="1" l="1"/>
  <c r="S837" i="1" l="1"/>
  <c r="S838" i="1" l="1"/>
  <c r="S839" i="1" l="1"/>
  <c r="S840" i="1" l="1"/>
  <c r="S841" i="1" l="1"/>
  <c r="S842" i="1" l="1"/>
  <c r="S843" i="1" l="1"/>
  <c r="S844" i="1" l="1"/>
  <c r="S845" i="1" l="1"/>
  <c r="S846" i="1" l="1"/>
  <c r="S847" i="1" l="1"/>
  <c r="S848" i="1" l="1"/>
  <c r="S849" i="1" l="1"/>
  <c r="S850" i="1" l="1"/>
  <c r="S851" i="1" l="1"/>
  <c r="S852" i="1" l="1"/>
  <c r="S853" i="1" l="1"/>
  <c r="S854" i="1" l="1"/>
  <c r="S855" i="1" l="1"/>
  <c r="S856" i="1" l="1"/>
  <c r="S857" i="1" l="1"/>
  <c r="S858" i="1" l="1"/>
  <c r="S859" i="1" l="1"/>
  <c r="S860" i="1" l="1"/>
  <c r="S861" i="1" l="1"/>
  <c r="S862" i="1" l="1"/>
  <c r="S863" i="1" l="1"/>
  <c r="S864" i="1" l="1"/>
  <c r="S865" i="1" l="1"/>
  <c r="S866" i="1" l="1"/>
  <c r="S867" i="1" l="1"/>
  <c r="S868" i="1" l="1"/>
  <c r="S869" i="1" l="1"/>
  <c r="S870" i="1" l="1"/>
  <c r="S871" i="1" l="1"/>
  <c r="S872" i="1" l="1"/>
  <c r="S873" i="1" l="1"/>
  <c r="S874" i="1" l="1"/>
  <c r="S875" i="1" l="1"/>
  <c r="S876" i="1" l="1"/>
  <c r="S877" i="1" l="1"/>
  <c r="S878" i="1" l="1"/>
  <c r="S879" i="1" l="1"/>
  <c r="S880" i="1" l="1"/>
  <c r="S881" i="1" l="1"/>
  <c r="S882" i="1" l="1"/>
  <c r="S883" i="1" l="1"/>
  <c r="S884" i="1" l="1"/>
  <c r="S885" i="1" l="1"/>
  <c r="S886" i="1" l="1"/>
  <c r="S887" i="1" l="1"/>
  <c r="S888" i="1" l="1"/>
  <c r="S889" i="1" l="1"/>
  <c r="S890" i="1" l="1"/>
  <c r="S891" i="1" l="1"/>
  <c r="S892" i="1" l="1"/>
  <c r="S893" i="1" l="1"/>
  <c r="S894" i="1" l="1"/>
  <c r="S895" i="1" l="1"/>
  <c r="S896" i="1" l="1"/>
  <c r="S897" i="1" l="1"/>
  <c r="S898" i="1" l="1"/>
  <c r="S899" i="1" l="1"/>
  <c r="S900" i="1" l="1"/>
  <c r="S901" i="1" l="1"/>
  <c r="S902" i="1" l="1"/>
  <c r="S903" i="1" l="1"/>
  <c r="S904" i="1" l="1"/>
  <c r="S905" i="1" l="1"/>
  <c r="S906" i="1" l="1"/>
  <c r="S907" i="1" l="1"/>
  <c r="S908" i="1" l="1"/>
  <c r="S909" i="1" l="1"/>
  <c r="S910" i="1" l="1"/>
  <c r="S911" i="1" l="1"/>
  <c r="S912" i="1" l="1"/>
  <c r="S913" i="1" l="1"/>
  <c r="S914" i="1" l="1"/>
  <c r="S915" i="1" l="1"/>
  <c r="S916" i="1" l="1"/>
  <c r="S917" i="1" l="1"/>
  <c r="S918" i="1" l="1"/>
  <c r="S919" i="1" l="1"/>
  <c r="S920" i="1" l="1"/>
  <c r="S921" i="1" l="1"/>
  <c r="S922" i="1" l="1"/>
  <c r="S923" i="1" l="1"/>
  <c r="S924" i="1" l="1"/>
  <c r="S925" i="1" l="1"/>
  <c r="S926" i="1" l="1"/>
  <c r="S927" i="1" l="1"/>
  <c r="S928" i="1" l="1"/>
  <c r="S929" i="1" l="1"/>
  <c r="S930" i="1" l="1"/>
  <c r="S931" i="1" l="1"/>
  <c r="S932" i="1" l="1"/>
  <c r="S933" i="1" l="1"/>
  <c r="S934" i="1" l="1"/>
  <c r="S935" i="1" l="1"/>
  <c r="S936" i="1" l="1"/>
  <c r="S937" i="1" l="1"/>
  <c r="S938" i="1" l="1"/>
  <c r="S939" i="1" l="1"/>
  <c r="S940" i="1" l="1"/>
  <c r="S941" i="1" l="1"/>
  <c r="S942" i="1" l="1"/>
  <c r="S943" i="1" l="1"/>
  <c r="S944" i="1" l="1"/>
  <c r="S945" i="1" l="1"/>
  <c r="S946" i="1" l="1"/>
  <c r="S947" i="1" l="1"/>
  <c r="S948" i="1" l="1"/>
  <c r="S949" i="1" l="1"/>
  <c r="S950" i="1" l="1"/>
  <c r="S951" i="1" l="1"/>
  <c r="S952" i="1" l="1"/>
  <c r="S953" i="1" l="1"/>
  <c r="S954" i="1" l="1"/>
  <c r="S955" i="1" l="1"/>
  <c r="S956" i="1" l="1"/>
  <c r="S957" i="1" l="1"/>
  <c r="S958" i="1" l="1"/>
  <c r="S959" i="1" l="1"/>
  <c r="S960" i="1" l="1"/>
  <c r="S961" i="1" l="1"/>
  <c r="S962" i="1" l="1"/>
  <c r="S963" i="1" l="1"/>
  <c r="S964" i="1" l="1"/>
  <c r="S965" i="1" l="1"/>
  <c r="S966" i="1" l="1"/>
  <c r="S967" i="1" l="1"/>
  <c r="S968" i="1" l="1"/>
  <c r="S969" i="1" l="1"/>
  <c r="S970" i="1" l="1"/>
  <c r="S971" i="1" l="1"/>
  <c r="S972" i="1" l="1"/>
  <c r="S973" i="1" l="1"/>
  <c r="S974" i="1" l="1"/>
  <c r="S975" i="1" l="1"/>
  <c r="S976" i="1" l="1"/>
  <c r="S977" i="1" l="1"/>
  <c r="S978" i="1" l="1"/>
  <c r="S979" i="1" l="1"/>
  <c r="S980" i="1" l="1"/>
  <c r="S981" i="1" l="1"/>
  <c r="S982" i="1" l="1"/>
  <c r="S983" i="1" l="1"/>
  <c r="S984" i="1" l="1"/>
  <c r="S985" i="1" l="1"/>
  <c r="S986" i="1" l="1"/>
  <c r="S987" i="1" l="1"/>
  <c r="S988" i="1" l="1"/>
  <c r="S989" i="1" l="1"/>
  <c r="S990" i="1" l="1"/>
  <c r="S991" i="1" l="1"/>
  <c r="S992" i="1" l="1"/>
  <c r="S993" i="1" l="1"/>
  <c r="S994" i="1" l="1"/>
  <c r="S995" i="1" l="1"/>
  <c r="S996" i="1" l="1"/>
  <c r="S997" i="1" l="1"/>
  <c r="S998" i="1" l="1"/>
  <c r="S999" i="1" l="1"/>
  <c r="S1000" i="1" l="1"/>
  <c r="S1001" i="1" l="1"/>
  <c r="S1002" i="1" l="1"/>
  <c r="S1003" i="1" l="1"/>
  <c r="S1004" i="1" l="1"/>
  <c r="S1005" i="1" l="1"/>
  <c r="S1006" i="1" l="1"/>
  <c r="S1007" i="1" l="1"/>
  <c r="S1008" i="1" l="1"/>
  <c r="S1009" i="1" l="1"/>
  <c r="S1010" i="1" l="1"/>
  <c r="S1011" i="1" l="1"/>
  <c r="S1012" i="1" l="1"/>
  <c r="S1013" i="1" l="1"/>
  <c r="S1014" i="1" l="1"/>
  <c r="S1015" i="1" l="1"/>
  <c r="S1016" i="1" l="1"/>
  <c r="S1017" i="1" l="1"/>
  <c r="S1018" i="1" l="1"/>
  <c r="S1019" i="1" l="1"/>
  <c r="S1020" i="1" l="1"/>
  <c r="S1021" i="1" l="1"/>
  <c r="S1022" i="1" l="1"/>
  <c r="S1023" i="1" l="1"/>
  <c r="L15" i="1" l="1"/>
  <c r="S1024" i="1"/>
  <c r="L16" i="1" l="1"/>
  <c r="L17" i="1" s="1"/>
  <c r="S1025" i="1"/>
  <c r="W15" i="1" l="1"/>
  <c r="W14" i="1" l="1"/>
  <c r="W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Ian Sharpe</author>
  </authors>
  <commentList>
    <comment ref="P3" authorId="0" shapeId="0" xr:uid="{F908C6C5-84B2-47E0-8822-E79C9DCCF5AB}">
      <text>
        <r>
          <rPr>
            <b/>
            <sz val="9"/>
            <color indexed="81"/>
            <rFont val="Tahoma"/>
            <family val="2"/>
          </rPr>
          <t>Ian Sharpe:</t>
        </r>
        <r>
          <rPr>
            <sz val="9"/>
            <color indexed="81"/>
            <rFont val="Tahoma"/>
            <family val="2"/>
          </rPr>
          <t xml:space="preserve">
Set to a dummy value initially then goalseek 
</t>
        </r>
      </text>
    </comment>
    <comment ref="P4" authorId="0" shapeId="0" xr:uid="{80FB8719-A632-4165-B132-6412671921FF}">
      <text>
        <r>
          <rPr>
            <b/>
            <sz val="9"/>
            <color indexed="81"/>
            <rFont val="Tahoma"/>
            <family val="2"/>
          </rPr>
          <t>Ian Sharpe:</t>
        </r>
        <r>
          <rPr>
            <sz val="9"/>
            <color indexed="81"/>
            <rFont val="Tahoma"/>
            <family val="2"/>
          </rPr>
          <t xml:space="preserve">
Set to a dummy value initially then goalseek
</t>
        </r>
      </text>
    </comment>
    <comment ref="R6" authorId="0" shapeId="0" xr:uid="{8C29F07E-137B-45FB-BE25-D9A9E8FE83CD}">
      <text>
        <r>
          <rPr>
            <b/>
            <sz val="9"/>
            <color indexed="81"/>
            <rFont val="Tahoma"/>
            <family val="2"/>
          </rPr>
          <t>Ian Sharpe: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  <comment ref="M25" authorId="0" shapeId="0" xr:uid="{72DFDF72-D013-45DE-AA89-D8486B860089}">
      <text>
        <r>
          <rPr>
            <b/>
            <sz val="9"/>
            <color indexed="81"/>
            <rFont val="Tahoma"/>
            <family val="2"/>
          </rPr>
          <t>Ian Sharpe: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  <comment ref="N25" authorId="0" shapeId="0" xr:uid="{9099A1C2-6858-4487-A41B-4A682623CAC7}">
      <text>
        <r>
          <rPr>
            <b/>
            <sz val="9"/>
            <color indexed="81"/>
            <rFont val="Tahoma"/>
            <family val="2"/>
          </rPr>
          <t>Ian Sharpe: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  <comment ref="X25" authorId="0" shapeId="0" xr:uid="{61F344E4-C66B-4B04-8E6C-063475F0F4D7}">
      <text>
        <r>
          <rPr>
            <b/>
            <sz val="9"/>
            <color indexed="81"/>
            <rFont val="Tahoma"/>
            <family val="2"/>
          </rPr>
          <t>Ian Sharpe: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  <comment ref="Y25" authorId="0" shapeId="0" xr:uid="{6CE35CDD-7B72-4E23-BC8E-B1CF3627A63E}">
      <text>
        <r>
          <rPr>
            <b/>
            <sz val="9"/>
            <color indexed="81"/>
            <rFont val="Tahoma"/>
            <family val="2"/>
          </rPr>
          <t>Ian Sharpe: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</commentList>
</comments>
</file>

<file path=xl/sharedStrings.xml><?xml version="1.0" encoding="utf-8"?>
<sst xmlns="http://schemas.openxmlformats.org/spreadsheetml/2006/main" count="60" uniqueCount="53">
  <si>
    <t>x</t>
  </si>
  <si>
    <t>Premium</t>
  </si>
  <si>
    <t>step h</t>
  </si>
  <si>
    <t>delta</t>
  </si>
  <si>
    <t>time</t>
  </si>
  <si>
    <t>age</t>
  </si>
  <si>
    <t>Parameters</t>
  </si>
  <si>
    <t>Use</t>
  </si>
  <si>
    <t>mu10(x+t)</t>
  </si>
  <si>
    <t>mu10 (constant)</t>
  </si>
  <si>
    <t>(t)p00(x)</t>
  </si>
  <si>
    <t>(t)p01(x)</t>
  </si>
  <si>
    <t>(d/dt)(tp00x)</t>
  </si>
  <si>
    <t>(d/dt)(tp01x)</t>
  </si>
  <si>
    <t>and</t>
  </si>
  <si>
    <t>(d/dt)(tp01x)= (tp00x)mu01(x+t) - (tp01x)mu10(x+t)</t>
  </si>
  <si>
    <t>mu01(x+t)</t>
  </si>
  <si>
    <t>mu01Parameter_B</t>
  </si>
  <si>
    <t>mu01Parameter_c</t>
  </si>
  <si>
    <t>(d/dt)(tp00x)= (tp01x)mu10(x+t) - (tp00x)mu01(x+t)</t>
  </si>
  <si>
    <t>10(p00)20 (approx)</t>
  </si>
  <si>
    <t>10(p01)20 (approx)</t>
  </si>
  <si>
    <t>Check (Want=1)</t>
  </si>
  <si>
    <t>check</t>
  </si>
  <si>
    <t>(d/dt)(V(0)(t)) = V(0)(t)delta + P -mu(01)*(V(1)(t) - V(0)(t))</t>
  </si>
  <si>
    <t>And</t>
  </si>
  <si>
    <t>(d/dt)(V(1)(t)) = V(1)(t)delta - 1 - mu(10)*(V(0)(t) - V(1)(t))</t>
  </si>
  <si>
    <t>V(0)(t)</t>
  </si>
  <si>
    <t>V(1)(t)</t>
  </si>
  <si>
    <t>(d/dt)(V(0)(t))</t>
  </si>
  <si>
    <t>(d/dt)(V(1)(t))</t>
  </si>
  <si>
    <t>Annuity while sick</t>
  </si>
  <si>
    <t>V(0)(0)</t>
  </si>
  <si>
    <t>V(1)(0)</t>
  </si>
  <si>
    <t>Kolmogorov calculation (part (b))</t>
  </si>
  <si>
    <t>Kolmogorov results (part (b))</t>
  </si>
  <si>
    <t>Thiele results (part (c) and (e))</t>
  </si>
  <si>
    <t>Thiele calculation (part (c) and (e))</t>
  </si>
  <si>
    <t>Minimum value of V(0)(t)</t>
  </si>
  <si>
    <t>(Part (e))</t>
  </si>
  <si>
    <t>PremiumRevisedForLimitedTerm</t>
  </si>
  <si>
    <t>FinalAgeForPremium (Part(f) only)</t>
  </si>
  <si>
    <t>Colour key</t>
  </si>
  <si>
    <t>Data/values</t>
  </si>
  <si>
    <t>Calculations</t>
  </si>
  <si>
    <t>Discontinuous formulas</t>
  </si>
  <si>
    <t>Value looked up from data</t>
  </si>
  <si>
    <t>revised (d/dt)(V(0)(t))</t>
  </si>
  <si>
    <t>Minimum value of revised V(0)(t)</t>
  </si>
  <si>
    <t>revised V(0)(0)</t>
  </si>
  <si>
    <t>Thiele results (part (f))</t>
  </si>
  <si>
    <t>V(0)(t) revised</t>
  </si>
  <si>
    <t>not gonna do this again, but yea gotta redo the entire thing but for V(0)(t)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</si>
</sst>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"/>
  </numFmts>
  <fonts count="12" x14ac:knownFonts="1">
    <font>
      <sz val="11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 tint="-0.3499862666707357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0" fillId="0" borderId="7" xfId="0" applyBorder="1"/>
    <xf numFmtId="0" fontId="1" fillId="0" borderId="8" xfId="0" applyFont="1" applyBorder="1"/>
    <xf numFmtId="0" fontId="0" fillId="0" borderId="8" xfId="0" applyBorder="1"/>
    <xf numFmtId="0" fontId="1" fillId="2" borderId="0" xfId="0" applyFont="1" applyFill="1"/>
    <xf numFmtId="0" fontId="0" fillId="0" borderId="1" xfId="0" applyBorder="1"/>
    <xf numFmtId="4" fontId="0" fillId="0" borderId="0" xfId="0" applyNumberFormat="1"/>
    <xf numFmtId="165" fontId="0" fillId="0" borderId="0" xfId="0" applyNumberFormat="1"/>
    <xf numFmtId="0" fontId="6" fillId="0" borderId="0" xfId="0" applyFont="1"/>
    <xf numFmtId="165" fontId="6" fillId="0" borderId="0" xfId="0" applyNumberFormat="1" applyFont="1"/>
    <xf numFmtId="4" fontId="6" fillId="0" borderId="7" xfId="0" applyNumberFormat="1" applyFont="1" applyBorder="1"/>
    <xf numFmtId="0" fontId="6" fillId="0" borderId="6" xfId="0" applyFont="1" applyBorder="1"/>
    <xf numFmtId="0" fontId="7" fillId="0" borderId="0" xfId="0" applyFont="1"/>
    <xf numFmtId="0" fontId="1" fillId="0" borderId="0" xfId="0" applyFont="1"/>
    <xf numFmtId="4" fontId="6" fillId="0" borderId="0" xfId="0" applyNumberFormat="1" applyFont="1"/>
    <xf numFmtId="0" fontId="7" fillId="0" borderId="1" xfId="0" applyFont="1" applyBorder="1"/>
    <xf numFmtId="0" fontId="8" fillId="0" borderId="0" xfId="0" applyFont="1"/>
    <xf numFmtId="164" fontId="1" fillId="0" borderId="5" xfId="0" applyNumberFormat="1" applyFont="1" applyBorder="1"/>
    <xf numFmtId="0" fontId="10" fillId="0" borderId="6" xfId="0" applyFont="1" applyBorder="1"/>
    <xf numFmtId="0" fontId="1" fillId="0" borderId="4" xfId="0" applyFont="1" applyBorder="1"/>
    <xf numFmtId="0" fontId="11" fillId="0" borderId="4" xfId="0" applyFont="1" applyBorder="1" applyProtection="1">
      <protection locked="0"/>
    </xf>
    <xf numFmtId="0" fontId="3" fillId="0" borderId="4" xfId="0" applyFont="1" applyBorder="1"/>
    <xf numFmtId="0" fontId="3" fillId="2" borderId="4" xfId="0" applyFont="1" applyFill="1" applyBorder="1"/>
    <xf numFmtId="0" fontId="9" fillId="0" borderId="4" xfId="0" applyFont="1" applyBorder="1"/>
    <xf numFmtId="0" fontId="3" fillId="0" borderId="0" xfId="0" applyFont="1"/>
    <xf numFmtId="0" fontId="0" fillId="3" borderId="12" xfId="0" applyFill="1" applyBorder="1"/>
    <xf numFmtId="165" fontId="0" fillId="0" borderId="13" xfId="0" applyNumberFormat="1" applyBorder="1"/>
    <xf numFmtId="165" fontId="0" fillId="0" borderId="14" xfId="0" applyNumberFormat="1" applyBorder="1"/>
    <xf numFmtId="0" fontId="0" fillId="4" borderId="9" xfId="0" applyFill="1" applyBorder="1"/>
    <xf numFmtId="0" fontId="0" fillId="4" borderId="11" xfId="0" applyFill="1" applyBorder="1"/>
    <xf numFmtId="0" fontId="0" fillId="4" borderId="10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8" xfId="0" applyFill="1" applyBorder="1"/>
    <xf numFmtId="164" fontId="0" fillId="4" borderId="10" xfId="0" applyNumberFormat="1" applyFill="1" applyBorder="1"/>
    <xf numFmtId="0" fontId="3" fillId="0" borderId="7" xfId="0" applyFont="1" applyBorder="1"/>
    <xf numFmtId="164" fontId="0" fillId="0" borderId="8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9</xdr:col>
      <xdr:colOff>396603</xdr:colOff>
      <xdr:row>31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549358-AF33-C604-79BD-2A8EA664E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"/>
          <a:ext cx="5883003" cy="59245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4DF4-61C5-4C7B-BA6F-9F154C1DB824}">
  <dimension ref="J1:AF1025"/>
  <sheetViews>
    <sheetView tabSelected="1" topLeftCell="V2" zoomScale="87" zoomScaleNormal="100" workbookViewId="0">
      <selection activeCell="AF19" sqref="AF19"/>
    </sheetView>
  </sheetViews>
  <sheetFormatPr defaultRowHeight="14.25" x14ac:dyDescent="0.45"/>
  <cols>
    <col min="11" max="11" width="19.3984375" customWidth="1"/>
    <col min="15" max="15" width="32.265625" bestFit="1" customWidth="1"/>
    <col min="16" max="17" width="13" customWidth="1"/>
    <col min="18" max="18" width="12.73046875" bestFit="1" customWidth="1"/>
    <col min="19" max="19" width="15.59765625" customWidth="1"/>
    <col min="20" max="20" width="12.73046875" customWidth="1"/>
    <col min="21" max="21" width="12" bestFit="1" customWidth="1"/>
    <col min="22" max="22" width="26.3984375" customWidth="1"/>
    <col min="24" max="24" width="12" bestFit="1" customWidth="1"/>
    <col min="25" max="25" width="14.3984375" customWidth="1"/>
    <col min="26" max="26" width="12" bestFit="1" customWidth="1"/>
    <col min="27" max="27" width="10" bestFit="1" customWidth="1"/>
    <col min="28" max="28" width="27.3984375" customWidth="1"/>
    <col min="29" max="29" width="13.73046875" bestFit="1" customWidth="1"/>
    <col min="30" max="30" width="18.3984375" customWidth="1"/>
    <col min="31" max="31" width="13.33203125" customWidth="1"/>
    <col min="40" max="41" width="13.73046875" bestFit="1" customWidth="1"/>
  </cols>
  <sheetData>
    <row r="1" spans="11:30" x14ac:dyDescent="0.45">
      <c r="K1" s="24" t="s">
        <v>6</v>
      </c>
      <c r="L1" s="3"/>
      <c r="M1" s="3"/>
      <c r="N1" s="3"/>
      <c r="O1" s="3"/>
      <c r="P1" s="4"/>
      <c r="R1" s="2" t="s">
        <v>42</v>
      </c>
      <c r="S1" s="3"/>
      <c r="T1" s="4"/>
    </row>
    <row r="2" spans="11:30" x14ac:dyDescent="0.45">
      <c r="K2" s="5" t="s">
        <v>17</v>
      </c>
      <c r="L2" s="22">
        <v>0.01</v>
      </c>
      <c r="O2" t="s">
        <v>31</v>
      </c>
      <c r="P2" s="7">
        <v>1</v>
      </c>
      <c r="R2" s="5"/>
      <c r="T2" s="6"/>
    </row>
    <row r="3" spans="11:30" x14ac:dyDescent="0.45">
      <c r="K3" s="5" t="s">
        <v>18</v>
      </c>
      <c r="L3" s="22">
        <v>1.0900000000000001</v>
      </c>
      <c r="O3" t="s">
        <v>1</v>
      </c>
      <c r="P3" s="26">
        <v>0.12437919369734766</v>
      </c>
      <c r="R3" s="28" t="s">
        <v>6</v>
      </c>
      <c r="T3" s="6"/>
    </row>
    <row r="4" spans="11:30" x14ac:dyDescent="0.45">
      <c r="K4" s="5" t="s">
        <v>9</v>
      </c>
      <c r="L4" s="22">
        <v>0.5</v>
      </c>
      <c r="O4" t="s">
        <v>40</v>
      </c>
      <c r="P4" s="26">
        <v>0.13835282947424654</v>
      </c>
      <c r="R4" s="29" t="s">
        <v>43</v>
      </c>
      <c r="T4" s="6"/>
    </row>
    <row r="5" spans="11:30" x14ac:dyDescent="0.45">
      <c r="K5" s="5" t="s">
        <v>0</v>
      </c>
      <c r="L5" s="22">
        <v>20</v>
      </c>
      <c r="O5" t="s">
        <v>41</v>
      </c>
      <c r="P5" s="7">
        <v>29</v>
      </c>
      <c r="R5" s="30" t="s">
        <v>44</v>
      </c>
      <c r="T5" s="6"/>
    </row>
    <row r="6" spans="11:30" ht="14.65" thickBot="1" x14ac:dyDescent="0.5">
      <c r="K6" s="8" t="s">
        <v>2</v>
      </c>
      <c r="L6" s="9">
        <v>0.01</v>
      </c>
      <c r="M6" s="10"/>
      <c r="N6" s="10"/>
      <c r="O6" s="10" t="s">
        <v>3</v>
      </c>
      <c r="P6" s="11">
        <v>0.05</v>
      </c>
      <c r="R6" s="31" t="s">
        <v>45</v>
      </c>
      <c r="T6" s="6"/>
    </row>
    <row r="7" spans="11:30" x14ac:dyDescent="0.45">
      <c r="R7" s="32" t="s">
        <v>46</v>
      </c>
      <c r="T7" s="6"/>
    </row>
    <row r="8" spans="11:30" x14ac:dyDescent="0.45">
      <c r="R8" s="5"/>
      <c r="T8" s="6"/>
    </row>
    <row r="9" spans="11:30" ht="14.65" thickBot="1" x14ac:dyDescent="0.5">
      <c r="R9" s="8"/>
      <c r="S9" s="10"/>
      <c r="T9" s="12"/>
    </row>
    <row r="10" spans="11:30" x14ac:dyDescent="0.45">
      <c r="AC10" s="1"/>
    </row>
    <row r="12" spans="11:30" ht="14.65" thickBot="1" x14ac:dyDescent="0.5">
      <c r="L12" s="22"/>
      <c r="P12" s="22"/>
    </row>
    <row r="13" spans="11:30" x14ac:dyDescent="0.45">
      <c r="K13" s="24" t="s">
        <v>35</v>
      </c>
      <c r="L13" s="3"/>
      <c r="M13" s="4"/>
      <c r="P13" s="22"/>
      <c r="V13" s="24" t="s">
        <v>36</v>
      </c>
      <c r="W13" s="3"/>
      <c r="X13" s="4"/>
      <c r="AB13" s="24" t="s">
        <v>50</v>
      </c>
      <c r="AC13" s="3"/>
      <c r="AD13" s="4"/>
    </row>
    <row r="14" spans="11:30" x14ac:dyDescent="0.45">
      <c r="K14" s="5"/>
      <c r="M14" s="6"/>
      <c r="P14" s="22"/>
      <c r="V14" s="5" t="s">
        <v>32</v>
      </c>
      <c r="W14" s="16">
        <f>X1025</f>
        <v>-5.9089018400459992E-17</v>
      </c>
      <c r="X14" s="6"/>
      <c r="AB14" s="5" t="s">
        <v>49</v>
      </c>
      <c r="AC14" s="16">
        <f>AE1025</f>
        <v>-4.2069362255134655E-2</v>
      </c>
      <c r="AD14" s="6"/>
    </row>
    <row r="15" spans="11:30" x14ac:dyDescent="0.45">
      <c r="K15" s="5" t="s">
        <v>20</v>
      </c>
      <c r="L15">
        <f>M1025</f>
        <v>0.81182830368140213</v>
      </c>
      <c r="M15" s="6"/>
      <c r="P15" s="22"/>
      <c r="V15" s="5" t="s">
        <v>33</v>
      </c>
      <c r="W15" s="16">
        <f>Y1025</f>
        <v>1.8256855028097561</v>
      </c>
      <c r="X15" s="6"/>
      <c r="AB15" s="5"/>
      <c r="AD15" s="6"/>
    </row>
    <row r="16" spans="11:30" x14ac:dyDescent="0.45">
      <c r="K16" s="5" t="s">
        <v>21</v>
      </c>
      <c r="L16">
        <f>N1025</f>
        <v>0.1881716963185954</v>
      </c>
      <c r="M16" s="6"/>
      <c r="V16" s="5" t="s">
        <v>38</v>
      </c>
      <c r="W16">
        <f>MIN(X25:X1025)</f>
        <v>-6.9921359261390398E-2</v>
      </c>
      <c r="X16" s="6" t="s">
        <v>39</v>
      </c>
      <c r="AB16" s="5" t="s">
        <v>48</v>
      </c>
      <c r="AC16">
        <f>MIN(AD25:AD1025)</f>
        <v>-8.3429757245607403E-2</v>
      </c>
      <c r="AD16" s="6" t="s">
        <v>39</v>
      </c>
    </row>
    <row r="17" spans="10:32" ht="14.65" thickBot="1" x14ac:dyDescent="0.5">
      <c r="K17" s="20" t="s">
        <v>23</v>
      </c>
      <c r="L17" s="19">
        <f>L15+L16</f>
        <v>0.99999999999999756</v>
      </c>
      <c r="M17" s="12"/>
      <c r="V17" s="27"/>
      <c r="W17" s="19"/>
      <c r="X17" s="12"/>
      <c r="AB17" s="8"/>
      <c r="AC17" s="10"/>
      <c r="AD17" s="12"/>
    </row>
    <row r="18" spans="10:32" x14ac:dyDescent="0.45">
      <c r="J18" s="17"/>
      <c r="K18" s="23"/>
    </row>
    <row r="19" spans="10:32" ht="14.65" thickBot="1" x14ac:dyDescent="0.5">
      <c r="K19" s="21" t="s">
        <v>34</v>
      </c>
      <c r="V19" s="21" t="s">
        <v>37</v>
      </c>
      <c r="AF19" s="1"/>
    </row>
    <row r="20" spans="10:32" x14ac:dyDescent="0.45">
      <c r="K20" s="14" t="s">
        <v>7</v>
      </c>
      <c r="L20" s="3" t="s">
        <v>19</v>
      </c>
      <c r="M20" s="3"/>
      <c r="N20" s="3"/>
      <c r="O20" s="3"/>
      <c r="P20" s="4"/>
      <c r="V20" t="s">
        <v>7</v>
      </c>
      <c r="W20" t="s">
        <v>24</v>
      </c>
      <c r="AF20" s="1"/>
    </row>
    <row r="21" spans="10:32" ht="14.65" thickBot="1" x14ac:dyDescent="0.5">
      <c r="K21" s="8" t="s">
        <v>14</v>
      </c>
      <c r="L21" s="10" t="s">
        <v>15</v>
      </c>
      <c r="M21" s="10"/>
      <c r="N21" s="10"/>
      <c r="O21" s="10"/>
      <c r="P21" s="12"/>
      <c r="V21" t="s">
        <v>25</v>
      </c>
      <c r="W21" t="s">
        <v>26</v>
      </c>
      <c r="AE21" s="47" t="s">
        <v>52</v>
      </c>
      <c r="AF21" s="1"/>
    </row>
    <row r="22" spans="10:32" x14ac:dyDescent="0.45">
      <c r="V22" s="25"/>
      <c r="AC22" s="1"/>
      <c r="AF22" s="1"/>
    </row>
    <row r="23" spans="10:32" ht="14.65" thickBot="1" x14ac:dyDescent="0.5">
      <c r="V23" s="25"/>
      <c r="AC23" s="1"/>
      <c r="AF23" s="1"/>
    </row>
    <row r="24" spans="10:32" ht="14.65" thickBot="1" x14ac:dyDescent="0.5">
      <c r="K24" s="37" t="s">
        <v>4</v>
      </c>
      <c r="L24" s="38" t="s">
        <v>5</v>
      </c>
      <c r="M24" s="39" t="s">
        <v>10</v>
      </c>
      <c r="N24" s="39" t="s">
        <v>11</v>
      </c>
      <c r="O24" s="39" t="s">
        <v>16</v>
      </c>
      <c r="P24" s="39" t="s">
        <v>8</v>
      </c>
      <c r="Q24" s="38" t="s">
        <v>12</v>
      </c>
      <c r="R24" s="38" t="s">
        <v>13</v>
      </c>
      <c r="S24" s="17" t="s">
        <v>22</v>
      </c>
      <c r="V24" s="37" t="s">
        <v>4</v>
      </c>
      <c r="W24" s="38" t="s">
        <v>5</v>
      </c>
      <c r="X24" s="39" t="s">
        <v>27</v>
      </c>
      <c r="Y24" s="39" t="s">
        <v>28</v>
      </c>
      <c r="Z24" s="39" t="s">
        <v>16</v>
      </c>
      <c r="AA24" s="39" t="s">
        <v>8</v>
      </c>
      <c r="AB24" s="39" t="s">
        <v>29</v>
      </c>
      <c r="AC24" s="44" t="s">
        <v>30</v>
      </c>
      <c r="AD24" s="34" t="s">
        <v>47</v>
      </c>
      <c r="AE24" s="34" t="s">
        <v>51</v>
      </c>
      <c r="AF24" s="1"/>
    </row>
    <row r="25" spans="10:32" x14ac:dyDescent="0.45">
      <c r="K25" s="40">
        <v>0</v>
      </c>
      <c r="L25" s="41">
        <f t="shared" ref="L25:L88" si="0">$L$5+K25</f>
        <v>20</v>
      </c>
      <c r="M25" s="13">
        <v>1</v>
      </c>
      <c r="N25" s="13">
        <v>0</v>
      </c>
      <c r="O25">
        <f t="shared" ref="O25:O88" si="1">mu01Parameter_B*mu01Parameter_c^L25</f>
        <v>5.6044107677782978E-2</v>
      </c>
      <c r="P25">
        <f t="shared" ref="P25:P88" si="2">mu10Constant</f>
        <v>0.5</v>
      </c>
      <c r="Q25">
        <f>N25*P25-M25*O25</f>
        <v>-5.6044107677782978E-2</v>
      </c>
      <c r="R25" s="6">
        <f>M25*O25-N25*P25</f>
        <v>5.6044107677782978E-2</v>
      </c>
      <c r="S25" s="18">
        <f>M25+N25</f>
        <v>1</v>
      </c>
      <c r="T25" s="15"/>
      <c r="U25" s="15"/>
      <c r="V25" s="40">
        <v>10</v>
      </c>
      <c r="W25" s="41">
        <f t="shared" ref="W25:W88" si="3">$L$5+V25</f>
        <v>30</v>
      </c>
      <c r="X25" s="13">
        <v>0</v>
      </c>
      <c r="Y25" s="13">
        <v>0</v>
      </c>
      <c r="Z25" s="33">
        <f t="shared" ref="Z25:Z88" si="4">mu01Parameter_B*mu01Parameter_c^W25</f>
        <v>0.13267678469131269</v>
      </c>
      <c r="AA25" s="33">
        <f t="shared" ref="AA25:AA88" si="5">mu10Constant</f>
        <v>0.5</v>
      </c>
      <c r="AB25">
        <f t="shared" ref="AB25:AB88" si="6">X25*Delta+Premium-Z25*(Y25-X25)</f>
        <v>0.12437919369734766</v>
      </c>
      <c r="AC25" s="1">
        <f t="shared" ref="AC25:AC88" si="7">Y25*Delta-AnnuityWhileSIck-AA25*(X25-Y25)</f>
        <v>-1</v>
      </c>
      <c r="AD25" s="35">
        <f>IF(W25&gt;=FinalAgeForPremium, AE25*Delta-Z25*(Y25-AE25),AE25*Delta+PremiumRevisedForLimitedTerm-Z25*(Y25-AE25))</f>
        <v>0</v>
      </c>
      <c r="AE25" s="35">
        <f>0</f>
        <v>0</v>
      </c>
      <c r="AF25" s="1"/>
    </row>
    <row r="26" spans="10:32" x14ac:dyDescent="0.45">
      <c r="K26" s="40">
        <f t="shared" ref="K26:K89" si="8">ROUND(K25+StepSize,2)</f>
        <v>0.01</v>
      </c>
      <c r="L26" s="41">
        <f t="shared" si="0"/>
        <v>20.010000000000002</v>
      </c>
      <c r="M26">
        <f t="shared" ref="M26:M89" si="9">M25+StepSize*Q25</f>
        <v>0.99943955892322212</v>
      </c>
      <c r="N26">
        <f t="shared" ref="N26:N89" si="10">N25+StepSize*R25</f>
        <v>5.6044107677782982E-4</v>
      </c>
      <c r="O26">
        <f t="shared" si="1"/>
        <v>5.6092426015483393E-2</v>
      </c>
      <c r="P26">
        <f t="shared" si="2"/>
        <v>0.5</v>
      </c>
      <c r="Q26">
        <f t="shared" ref="Q26:Q89" si="11">N26*P26-M26*O26</f>
        <v>-5.5780768977459275E-2</v>
      </c>
      <c r="R26" s="6">
        <f t="shared" ref="R26:R89" si="12">M26*O26-N26*P26</f>
        <v>5.5780768977459275E-2</v>
      </c>
      <c r="S26" s="18">
        <f t="shared" ref="S26:S89" si="13">M26+N26</f>
        <v>1</v>
      </c>
      <c r="T26" s="15"/>
      <c r="U26" s="15"/>
      <c r="V26" s="40">
        <f t="shared" ref="V26:V89" si="14">ROUND(V25-StepSize,2)</f>
        <v>9.99</v>
      </c>
      <c r="W26" s="41">
        <f t="shared" si="3"/>
        <v>29.990000000000002</v>
      </c>
      <c r="X26">
        <f t="shared" ref="X26:X89" si="15">X25-StepSize*AB25</f>
        <v>-1.2437919369734766E-3</v>
      </c>
      <c r="Y26">
        <f t="shared" ref="Y26:Y89" si="16">Y25-StepSize*AC25</f>
        <v>0.01</v>
      </c>
      <c r="Z26" s="33">
        <f t="shared" si="4"/>
        <v>0.13256249614750934</v>
      </c>
      <c r="AA26" s="33">
        <f t="shared" si="5"/>
        <v>0.5</v>
      </c>
      <c r="AB26">
        <f t="shared" si="6"/>
        <v>0.12282649897517055</v>
      </c>
      <c r="AC26" s="1">
        <f t="shared" si="7"/>
        <v>-0.99387810403151333</v>
      </c>
      <c r="AD26" s="35">
        <f>IF(W26&gt;=FinalAgeForPremium, AE26*Delta-Z26*(Y26-AE26),AE26*Delta+PremiumRevisedForLimitedTerm-Z26*(Y26-AE26))</f>
        <v>-1.3256249614750934E-3</v>
      </c>
      <c r="AE26" s="35">
        <f>AE25-StepSize*AD25</f>
        <v>0</v>
      </c>
      <c r="AF26" s="1"/>
    </row>
    <row r="27" spans="10:32" x14ac:dyDescent="0.45">
      <c r="K27" s="40">
        <f t="shared" si="8"/>
        <v>0.02</v>
      </c>
      <c r="L27" s="41">
        <f t="shared" si="0"/>
        <v>20.02</v>
      </c>
      <c r="M27">
        <f t="shared" si="9"/>
        <v>0.99888175123344747</v>
      </c>
      <c r="N27">
        <f t="shared" si="10"/>
        <v>1.1182487665524227E-3</v>
      </c>
      <c r="O27">
        <f t="shared" si="1"/>
        <v>5.6140786010761251E-2</v>
      </c>
      <c r="P27">
        <f t="shared" si="2"/>
        <v>0.5</v>
      </c>
      <c r="Q27">
        <f t="shared" si="11"/>
        <v>-5.5518882262775217E-2</v>
      </c>
      <c r="R27" s="6">
        <f t="shared" si="12"/>
        <v>5.5518882262775217E-2</v>
      </c>
      <c r="S27" s="18">
        <f t="shared" si="13"/>
        <v>0.99999999999999989</v>
      </c>
      <c r="T27" s="15"/>
      <c r="U27" s="15"/>
      <c r="V27" s="40">
        <f t="shared" si="14"/>
        <v>9.98</v>
      </c>
      <c r="W27" s="41">
        <f t="shared" si="3"/>
        <v>29.98</v>
      </c>
      <c r="X27">
        <f t="shared" si="15"/>
        <v>-2.4720569267251821E-3</v>
      </c>
      <c r="Y27">
        <f t="shared" si="16"/>
        <v>1.9938781040315136E-2</v>
      </c>
      <c r="Z27" s="33">
        <f t="shared" si="4"/>
        <v>0.13244830605251337</v>
      </c>
      <c r="AA27" s="33">
        <f t="shared" si="5"/>
        <v>0.5</v>
      </c>
      <c r="AB27">
        <f t="shared" si="6"/>
        <v>0.12128731332505956</v>
      </c>
      <c r="AC27" s="1">
        <f t="shared" si="7"/>
        <v>-0.98779764196446407</v>
      </c>
      <c r="AD27" s="35">
        <f>IF(W27&gt;=FinalAgeForPremium, AE27*Delta-Z27*(Y27-AE27),AE27*Delta+PremiumRevisedForLimitedTerm-Z27*(Y27-AE27))</f>
        <v>-2.6384391932548893E-3</v>
      </c>
      <c r="AE27" s="35">
        <f>AE26-StepSize*AD26</f>
        <v>1.3256249614750934E-5</v>
      </c>
      <c r="AF27" s="1"/>
    </row>
    <row r="28" spans="10:32" x14ac:dyDescent="0.45">
      <c r="K28" s="40">
        <f t="shared" si="8"/>
        <v>0.03</v>
      </c>
      <c r="L28" s="41">
        <f t="shared" si="0"/>
        <v>20.03</v>
      </c>
      <c r="M28">
        <f t="shared" si="9"/>
        <v>0.99832656241081974</v>
      </c>
      <c r="N28">
        <f t="shared" si="10"/>
        <v>1.673437589180175E-3</v>
      </c>
      <c r="O28">
        <f t="shared" si="1"/>
        <v>5.6189187699531608E-2</v>
      </c>
      <c r="P28">
        <f t="shared" si="2"/>
        <v>0.5</v>
      </c>
      <c r="Q28">
        <f t="shared" si="11"/>
        <v>-5.525843980613962E-2</v>
      </c>
      <c r="R28" s="6">
        <f t="shared" si="12"/>
        <v>5.525843980613962E-2</v>
      </c>
      <c r="S28" s="18">
        <f t="shared" si="13"/>
        <v>0.99999999999999989</v>
      </c>
      <c r="T28" s="15"/>
      <c r="U28" s="15"/>
      <c r="V28" s="40">
        <f t="shared" si="14"/>
        <v>9.9700000000000006</v>
      </c>
      <c r="W28" s="41">
        <f t="shared" si="3"/>
        <v>29.97</v>
      </c>
      <c r="X28">
        <f t="shared" si="15"/>
        <v>-3.6849300599757777E-3</v>
      </c>
      <c r="Y28">
        <f t="shared" si="16"/>
        <v>2.9816757459959778E-2</v>
      </c>
      <c r="Z28" s="33">
        <f t="shared" si="4"/>
        <v>0.13233421432152065</v>
      </c>
      <c r="AA28" s="33">
        <f t="shared" si="5"/>
        <v>0.5</v>
      </c>
      <c r="AB28">
        <f t="shared" si="6"/>
        <v>0.1197615276979531</v>
      </c>
      <c r="AC28" s="1">
        <f t="shared" si="7"/>
        <v>-0.9817583183670342</v>
      </c>
      <c r="AD28" s="35">
        <f>IF(W28&gt;=FinalAgeForPremium, AE28*Delta-Z28*(Y28-AE28),AE28*Delta+PremiumRevisedForLimitedTerm-Z28*(Y28-AE28))</f>
        <v>-3.938549326847389E-3</v>
      </c>
      <c r="AE28" s="35">
        <f>AE27-StepSize*AD27</f>
        <v>3.9640641547299829E-5</v>
      </c>
      <c r="AF28" s="1"/>
    </row>
    <row r="29" spans="10:32" x14ac:dyDescent="0.45">
      <c r="K29" s="40">
        <f t="shared" si="8"/>
        <v>0.04</v>
      </c>
      <c r="L29" s="41">
        <f t="shared" si="0"/>
        <v>20.04</v>
      </c>
      <c r="M29">
        <f t="shared" si="9"/>
        <v>0.99777397801275836</v>
      </c>
      <c r="N29">
        <f t="shared" si="10"/>
        <v>2.2260219872415714E-3</v>
      </c>
      <c r="O29">
        <f t="shared" si="1"/>
        <v>5.6237631117740418E-2</v>
      </c>
      <c r="P29">
        <f t="shared" si="2"/>
        <v>0.5</v>
      </c>
      <c r="Q29">
        <f t="shared" si="11"/>
        <v>-5.4999433920741157E-2</v>
      </c>
      <c r="R29" s="6">
        <f t="shared" si="12"/>
        <v>5.4999433920741157E-2</v>
      </c>
      <c r="S29" s="18">
        <f t="shared" si="13"/>
        <v>0.99999999999999989</v>
      </c>
      <c r="T29" s="15"/>
      <c r="U29" s="15"/>
      <c r="V29" s="40">
        <f t="shared" si="14"/>
        <v>9.9600000000000009</v>
      </c>
      <c r="W29" s="41">
        <f t="shared" si="3"/>
        <v>29.96</v>
      </c>
      <c r="X29">
        <f t="shared" si="15"/>
        <v>-4.8825453369553086E-3</v>
      </c>
      <c r="Y29">
        <f t="shared" si="16"/>
        <v>3.9634340643630118E-2</v>
      </c>
      <c r="Z29" s="33">
        <f t="shared" si="4"/>
        <v>0.13222022086979981</v>
      </c>
      <c r="AA29" s="33">
        <f t="shared" si="5"/>
        <v>0.5</v>
      </c>
      <c r="AB29">
        <f t="shared" si="6"/>
        <v>0.1182490339337112</v>
      </c>
      <c r="AC29" s="1">
        <f t="shared" si="7"/>
        <v>-0.9757598399775258</v>
      </c>
      <c r="AD29" s="35">
        <f>IF(W29&gt;=FinalAgeForPremium, AE29*Delta-Z29*(Y29-AE29),AE29*Delta+PremiumRevisedForLimitedTerm-Z29*(Y29-AE29))</f>
        <v>-5.2260611141890416E-3</v>
      </c>
      <c r="AE29" s="35">
        <f>AE28-StepSize*AD28</f>
        <v>7.9026134815773723E-5</v>
      </c>
      <c r="AF29" s="1"/>
    </row>
    <row r="30" spans="10:32" x14ac:dyDescent="0.45">
      <c r="K30" s="40">
        <f t="shared" si="8"/>
        <v>0.05</v>
      </c>
      <c r="L30" s="41">
        <f t="shared" si="0"/>
        <v>20.05</v>
      </c>
      <c r="M30">
        <f t="shared" si="9"/>
        <v>0.99722398367355092</v>
      </c>
      <c r="N30">
        <f t="shared" si="10"/>
        <v>2.7760163264489829E-3</v>
      </c>
      <c r="O30">
        <f t="shared" si="1"/>
        <v>5.6286116301364722E-2</v>
      </c>
      <c r="P30">
        <f t="shared" si="2"/>
        <v>0.5</v>
      </c>
      <c r="Q30">
        <f t="shared" si="11"/>
        <v>-5.4741856960335226E-2</v>
      </c>
      <c r="R30" s="6">
        <f t="shared" si="12"/>
        <v>5.4741856960335226E-2</v>
      </c>
      <c r="S30" s="18">
        <f t="shared" si="13"/>
        <v>0.99999999999999989</v>
      </c>
      <c r="T30" s="15"/>
      <c r="U30" s="15"/>
      <c r="V30" s="40">
        <f t="shared" si="14"/>
        <v>9.9499999999999993</v>
      </c>
      <c r="W30" s="41">
        <f t="shared" si="3"/>
        <v>29.95</v>
      </c>
      <c r="X30">
        <f t="shared" si="15"/>
        <v>-6.0650356762924204E-3</v>
      </c>
      <c r="Y30">
        <f t="shared" si="16"/>
        <v>4.9391939043405379E-2</v>
      </c>
      <c r="Z30" s="33">
        <f t="shared" si="4"/>
        <v>0.13210632561269248</v>
      </c>
      <c r="AA30" s="33">
        <f t="shared" si="5"/>
        <v>0.5</v>
      </c>
      <c r="AB30">
        <f t="shared" si="6"/>
        <v>0.1167497247537178</v>
      </c>
      <c r="AC30" s="1">
        <f t="shared" si="7"/>
        <v>-0.9698019156879808</v>
      </c>
      <c r="AD30" s="35">
        <f>IF(W30&gt;=FinalAgeForPremium, AE30*Delta-Z30*(Y30-AE30),AE30*Delta+PremiumRevisedForLimitedTerm-Z30*(Y30-AE30))</f>
        <v>-6.5010794350023726E-3</v>
      </c>
      <c r="AE30" s="35">
        <f>AE29-StepSize*AD29</f>
        <v>1.3128674595766415E-4</v>
      </c>
      <c r="AF30" s="1"/>
    </row>
    <row r="31" spans="10:32" x14ac:dyDescent="0.45">
      <c r="K31" s="40">
        <f t="shared" si="8"/>
        <v>0.06</v>
      </c>
      <c r="L31" s="41">
        <f t="shared" si="0"/>
        <v>20.059999999999999</v>
      </c>
      <c r="M31">
        <f t="shared" si="9"/>
        <v>0.99667656510394753</v>
      </c>
      <c r="N31">
        <f t="shared" si="10"/>
        <v>3.3234348960523353E-3</v>
      </c>
      <c r="O31">
        <f t="shared" si="1"/>
        <v>5.6334643286412404E-2</v>
      </c>
      <c r="P31">
        <f t="shared" si="2"/>
        <v>0.5</v>
      </c>
      <c r="Q31">
        <f t="shared" si="11"/>
        <v>-5.4485701319031507E-2</v>
      </c>
      <c r="R31" s="6">
        <f t="shared" si="12"/>
        <v>5.4485701319031507E-2</v>
      </c>
      <c r="S31" s="18">
        <f t="shared" si="13"/>
        <v>0.99999999999999989</v>
      </c>
      <c r="T31" s="15"/>
      <c r="U31" s="15"/>
      <c r="V31" s="40">
        <f t="shared" si="14"/>
        <v>9.94</v>
      </c>
      <c r="W31" s="41">
        <f t="shared" si="3"/>
        <v>29.939999999999998</v>
      </c>
      <c r="X31">
        <f t="shared" si="15"/>
        <v>-7.2325329238295986E-3</v>
      </c>
      <c r="Y31">
        <f t="shared" si="16"/>
        <v>5.9089958200285189E-2</v>
      </c>
      <c r="Z31" s="33">
        <f t="shared" si="4"/>
        <v>0.13199252846561335</v>
      </c>
      <c r="AA31" s="33">
        <f t="shared" si="5"/>
        <v>0.5</v>
      </c>
      <c r="AB31">
        <f t="shared" si="6"/>
        <v>0.11526349375354608</v>
      </c>
      <c r="AC31" s="1">
        <f t="shared" si="7"/>
        <v>-0.96388425652792842</v>
      </c>
      <c r="AD31" s="35">
        <f>IF(W31&gt;=FinalAgeForPremium, AE31*Delta-Z31*(Y31-AE31),AE31*Delta+PremiumRevisedForLimitedTerm-Z31*(Y31-AE31))</f>
        <v>-7.7637083040908699E-3</v>
      </c>
      <c r="AE31" s="35">
        <f>AE30-StepSize*AD30</f>
        <v>1.9629754030768787E-4</v>
      </c>
      <c r="AF31" s="1"/>
    </row>
    <row r="32" spans="10:32" x14ac:dyDescent="0.45">
      <c r="K32" s="40">
        <f t="shared" si="8"/>
        <v>7.0000000000000007E-2</v>
      </c>
      <c r="L32" s="41">
        <f t="shared" si="0"/>
        <v>20.07</v>
      </c>
      <c r="M32">
        <f t="shared" si="9"/>
        <v>0.99613170809075724</v>
      </c>
      <c r="N32">
        <f t="shared" si="10"/>
        <v>3.8682919092426502E-3</v>
      </c>
      <c r="O32">
        <f t="shared" si="1"/>
        <v>5.6383212108922588E-2</v>
      </c>
      <c r="P32">
        <f t="shared" si="2"/>
        <v>0.5</v>
      </c>
      <c r="Q32">
        <f t="shared" si="11"/>
        <v>-5.4230959431083199E-2</v>
      </c>
      <c r="R32" s="6">
        <f t="shared" si="12"/>
        <v>5.4230959431083199E-2</v>
      </c>
      <c r="S32" s="18">
        <f t="shared" si="13"/>
        <v>0.99999999999999989</v>
      </c>
      <c r="T32" s="15"/>
      <c r="U32" s="15"/>
      <c r="V32" s="40">
        <f t="shared" si="14"/>
        <v>9.93</v>
      </c>
      <c r="W32" s="41">
        <f t="shared" si="3"/>
        <v>29.93</v>
      </c>
      <c r="X32">
        <f t="shared" si="15"/>
        <v>-8.3851678613650598E-3</v>
      </c>
      <c r="Y32">
        <f t="shared" si="16"/>
        <v>6.8728800765564479E-2</v>
      </c>
      <c r="Z32" s="33">
        <f t="shared" si="4"/>
        <v>0.13187882934404985</v>
      </c>
      <c r="AA32" s="33">
        <f t="shared" si="5"/>
        <v>0.5</v>
      </c>
      <c r="AB32">
        <f t="shared" si="6"/>
        <v>0.11379023539568615</v>
      </c>
      <c r="AC32" s="1">
        <f t="shared" si="7"/>
        <v>-0.95800657564825697</v>
      </c>
      <c r="AD32" s="35">
        <f>IF(W32&gt;=FinalAgeForPremium, AE32*Delta-Z32*(Y32-AE32),AE32*Delta+PremiumRevisedForLimitedTerm-Z32*(Y32-AE32))</f>
        <v>-9.0140508785716347E-3</v>
      </c>
      <c r="AE32" s="35">
        <f>AE31-StepSize*AD31</f>
        <v>2.7393462334859657E-4</v>
      </c>
      <c r="AF32" s="1"/>
    </row>
    <row r="33" spans="11:32" x14ac:dyDescent="0.45">
      <c r="K33" s="40">
        <f t="shared" si="8"/>
        <v>0.08</v>
      </c>
      <c r="L33" s="41">
        <f t="shared" si="0"/>
        <v>20.079999999999998</v>
      </c>
      <c r="M33">
        <f t="shared" si="9"/>
        <v>0.99558939849644645</v>
      </c>
      <c r="N33">
        <f t="shared" si="10"/>
        <v>4.410601503553482E-3</v>
      </c>
      <c r="O33">
        <f t="shared" si="1"/>
        <v>5.6431822804965302E-2</v>
      </c>
      <c r="P33">
        <f t="shared" si="2"/>
        <v>0.5</v>
      </c>
      <c r="Q33">
        <f t="shared" si="11"/>
        <v>-5.3977623770676719E-2</v>
      </c>
      <c r="R33" s="6">
        <f t="shared" si="12"/>
        <v>5.3977623770676719E-2</v>
      </c>
      <c r="S33" s="18">
        <f t="shared" si="13"/>
        <v>0.99999999999999989</v>
      </c>
      <c r="T33" s="15"/>
      <c r="U33" s="15"/>
      <c r="V33" s="40">
        <f t="shared" si="14"/>
        <v>9.92</v>
      </c>
      <c r="W33" s="41">
        <f t="shared" si="3"/>
        <v>29.92</v>
      </c>
      <c r="X33">
        <f t="shared" si="15"/>
        <v>-9.5230702153219216E-3</v>
      </c>
      <c r="Y33">
        <f t="shared" si="16"/>
        <v>7.8308866522047049E-2</v>
      </c>
      <c r="Z33" s="33">
        <f t="shared" si="4"/>
        <v>0.1317652281635622</v>
      </c>
      <c r="AA33" s="33">
        <f t="shared" si="5"/>
        <v>0.5</v>
      </c>
      <c r="AB33">
        <f t="shared" si="6"/>
        <v>0.11232984500233459</v>
      </c>
      <c r="AC33" s="1">
        <f t="shared" si="7"/>
        <v>-0.95216858830521311</v>
      </c>
      <c r="AD33" s="35">
        <f>IF(W33&gt;=FinalAgeForPremium, AE33*Delta-Z33*(Y33-AE33),AE33*Delta+PremiumRevisedForLimitedTerm-Z33*(Y33-AE33))</f>
        <v>-1.0252209465046395E-2</v>
      </c>
      <c r="AE33" s="35">
        <f>AE32-StepSize*AD32</f>
        <v>3.6407513213431293E-4</v>
      </c>
      <c r="AF33" s="1"/>
    </row>
    <row r="34" spans="11:32" x14ac:dyDescent="0.45">
      <c r="K34" s="40">
        <f t="shared" si="8"/>
        <v>0.09</v>
      </c>
      <c r="L34" s="41">
        <f t="shared" si="0"/>
        <v>20.09</v>
      </c>
      <c r="M34">
        <f t="shared" si="9"/>
        <v>0.99504962225873972</v>
      </c>
      <c r="N34">
        <f t="shared" si="10"/>
        <v>4.9503777412602491E-3</v>
      </c>
      <c r="O34">
        <f t="shared" si="1"/>
        <v>5.6480475410641801E-2</v>
      </c>
      <c r="P34">
        <f t="shared" si="2"/>
        <v>0.5</v>
      </c>
      <c r="Q34">
        <f t="shared" si="11"/>
        <v>-5.3725686851723034E-2</v>
      </c>
      <c r="R34" s="6">
        <f t="shared" si="12"/>
        <v>5.3725686851723034E-2</v>
      </c>
      <c r="S34" s="18">
        <f t="shared" si="13"/>
        <v>1</v>
      </c>
      <c r="T34" s="15"/>
      <c r="U34" s="15"/>
      <c r="V34" s="40">
        <f t="shared" si="14"/>
        <v>9.91</v>
      </c>
      <c r="W34" s="41">
        <f t="shared" si="3"/>
        <v>29.91</v>
      </c>
      <c r="X34">
        <f t="shared" si="15"/>
        <v>-1.0646368665345268E-2</v>
      </c>
      <c r="Y34">
        <f t="shared" si="16"/>
        <v>8.7830552405099183E-2</v>
      </c>
      <c r="Z34" s="33">
        <f t="shared" si="4"/>
        <v>0.13165172483978335</v>
      </c>
      <c r="AA34" s="33">
        <f t="shared" si="5"/>
        <v>0.5</v>
      </c>
      <c r="AB34">
        <f t="shared" si="6"/>
        <v>0.11088221874824519</v>
      </c>
      <c r="AC34" s="1">
        <f t="shared" si="7"/>
        <v>-0.94637001184452285</v>
      </c>
      <c r="AD34" s="35">
        <f>IF(W34&gt;=FinalAgeForPremium, AE34*Delta-Z34*(Y34-AE34),AE34*Delta+PremiumRevisedForLimitedTerm-Z34*(Y34-AE34))</f>
        <v>-1.1478285526711377E-2</v>
      </c>
      <c r="AE34" s="35">
        <f>AE33-StepSize*AD33</f>
        <v>4.665972267847769E-4</v>
      </c>
      <c r="AF34" s="1"/>
    </row>
    <row r="35" spans="11:32" x14ac:dyDescent="0.45">
      <c r="K35" s="40">
        <f t="shared" si="8"/>
        <v>0.1</v>
      </c>
      <c r="L35" s="41">
        <f t="shared" si="0"/>
        <v>20.100000000000001</v>
      </c>
      <c r="M35">
        <f t="shared" si="9"/>
        <v>0.99451236539022247</v>
      </c>
      <c r="N35">
        <f t="shared" si="10"/>
        <v>5.4876346097774793E-3</v>
      </c>
      <c r="O35">
        <f t="shared" si="1"/>
        <v>5.6529169962084388E-2</v>
      </c>
      <c r="P35">
        <f t="shared" si="2"/>
        <v>0.5</v>
      </c>
      <c r="Q35">
        <f t="shared" si="11"/>
        <v>-5.3475141227649715E-2</v>
      </c>
      <c r="R35" s="6">
        <f t="shared" si="12"/>
        <v>5.3475141227649715E-2</v>
      </c>
      <c r="S35" s="18">
        <f t="shared" si="13"/>
        <v>1</v>
      </c>
      <c r="T35" s="15"/>
      <c r="U35" s="15"/>
      <c r="V35" s="40">
        <f t="shared" si="14"/>
        <v>9.9</v>
      </c>
      <c r="W35" s="41">
        <f t="shared" si="3"/>
        <v>29.9</v>
      </c>
      <c r="X35">
        <f t="shared" si="15"/>
        <v>-1.175519085282772E-2</v>
      </c>
      <c r="Y35">
        <f t="shared" si="16"/>
        <v>9.7294252523544414E-2</v>
      </c>
      <c r="Z35" s="33">
        <f t="shared" si="4"/>
        <v>0.13153831928841908</v>
      </c>
      <c r="AA35" s="33">
        <f t="shared" si="5"/>
        <v>0.5</v>
      </c>
      <c r="AB35">
        <f t="shared" si="6"/>
        <v>0.10944725365364066</v>
      </c>
      <c r="AC35" s="1">
        <f t="shared" si="7"/>
        <v>-0.94061056568563661</v>
      </c>
      <c r="AD35" s="35">
        <f>IF(W35&gt;=FinalAgeForPremium, AE35*Delta-Z35*(Y35-AE35),AE35*Delta+PremiumRevisedForLimitedTerm-Z35*(Y35-AE35))</f>
        <v>-1.2692379690406597E-2</v>
      </c>
      <c r="AE35" s="35">
        <f>AE34-StepSize*AD34</f>
        <v>5.8138008205189072E-4</v>
      </c>
      <c r="AF35" s="1"/>
    </row>
    <row r="36" spans="11:32" x14ac:dyDescent="0.45">
      <c r="K36" s="40">
        <f t="shared" si="8"/>
        <v>0.11</v>
      </c>
      <c r="L36" s="41">
        <f t="shared" si="0"/>
        <v>20.11</v>
      </c>
      <c r="M36">
        <f t="shared" si="9"/>
        <v>0.99397761397794593</v>
      </c>
      <c r="N36">
        <f t="shared" si="10"/>
        <v>6.0223860220539761E-3</v>
      </c>
      <c r="O36">
        <f t="shared" si="1"/>
        <v>5.6577906495456513E-2</v>
      </c>
      <c r="P36">
        <f t="shared" si="2"/>
        <v>0.5</v>
      </c>
      <c r="Q36">
        <f t="shared" si="11"/>
        <v>-5.322597949119421E-2</v>
      </c>
      <c r="R36" s="6">
        <f t="shared" si="12"/>
        <v>5.322597949119421E-2</v>
      </c>
      <c r="S36" s="18">
        <f t="shared" si="13"/>
        <v>0.99999999999999989</v>
      </c>
      <c r="T36" s="15"/>
      <c r="U36" s="15"/>
      <c r="V36" s="40">
        <f t="shared" si="14"/>
        <v>9.89</v>
      </c>
      <c r="W36" s="41">
        <f t="shared" si="3"/>
        <v>29.89</v>
      </c>
      <c r="X36">
        <f t="shared" si="15"/>
        <v>-1.2849663389364127E-2</v>
      </c>
      <c r="Y36">
        <f t="shared" si="16"/>
        <v>0.10670035818040077</v>
      </c>
      <c r="Z36" s="33">
        <f t="shared" si="4"/>
        <v>0.13142501142524765</v>
      </c>
      <c r="AA36" s="33">
        <f t="shared" si="5"/>
        <v>0.5</v>
      </c>
      <c r="AB36">
        <f t="shared" si="6"/>
        <v>0.1080248475771845</v>
      </c>
      <c r="AC36" s="1">
        <f t="shared" si="7"/>
        <v>-0.93488997130609752</v>
      </c>
      <c r="AD36" s="35">
        <f>IF(W36&gt;=FinalAgeForPremium, AE36*Delta-Z36*(Y36-AE36),AE36*Delta+PremiumRevisedForLimitedTerm-Z36*(Y36-AE36))</f>
        <v>-1.3894591753605056E-2</v>
      </c>
      <c r="AE36" s="35">
        <f>AE35-StepSize*AD35</f>
        <v>7.0830387895595671E-4</v>
      </c>
      <c r="AF36" s="1"/>
    </row>
    <row r="37" spans="11:32" x14ac:dyDescent="0.45">
      <c r="K37" s="40">
        <f t="shared" si="8"/>
        <v>0.12</v>
      </c>
      <c r="L37" s="41">
        <f t="shared" si="0"/>
        <v>20.12</v>
      </c>
      <c r="M37">
        <f t="shared" si="9"/>
        <v>0.99344535418303404</v>
      </c>
      <c r="N37">
        <f t="shared" si="10"/>
        <v>6.5546458169659181E-3</v>
      </c>
      <c r="O37">
        <f t="shared" si="1"/>
        <v>5.6626685046952875E-2</v>
      </c>
      <c r="P37">
        <f t="shared" si="2"/>
        <v>0.5</v>
      </c>
      <c r="Q37">
        <f t="shared" si="11"/>
        <v>-5.2978194274198254E-2</v>
      </c>
      <c r="R37" s="6">
        <f t="shared" si="12"/>
        <v>5.2978194274198254E-2</v>
      </c>
      <c r="S37" s="18">
        <f t="shared" si="13"/>
        <v>1</v>
      </c>
      <c r="T37" s="15"/>
      <c r="U37" s="15"/>
      <c r="V37" s="40">
        <f t="shared" si="14"/>
        <v>9.8800000000000008</v>
      </c>
      <c r="W37" s="41">
        <f t="shared" si="3"/>
        <v>29.880000000000003</v>
      </c>
      <c r="X37">
        <f t="shared" si="15"/>
        <v>-1.3929911865135971E-2</v>
      </c>
      <c r="Y37">
        <f t="shared" si="16"/>
        <v>0.11604925789346175</v>
      </c>
      <c r="Z37" s="33">
        <f t="shared" si="4"/>
        <v>0.13131180116611985</v>
      </c>
      <c r="AA37" s="33">
        <f t="shared" si="5"/>
        <v>0.5</v>
      </c>
      <c r="AB37">
        <f t="shared" si="6"/>
        <v>0.10661489920901254</v>
      </c>
      <c r="AC37" s="1">
        <f t="shared" si="7"/>
        <v>-0.92920795222602803</v>
      </c>
      <c r="AD37" s="35">
        <f>IF(W37&gt;=FinalAgeForPremium, AE37*Delta-Z37*(Y37-AE37),AE37*Delta+PremiumRevisedForLimitedTerm-Z37*(Y37-AE37))</f>
        <v>-1.508502069134242E-2</v>
      </c>
      <c r="AE37" s="35">
        <f>AE36-StepSize*AD36</f>
        <v>8.4724979649200734E-4</v>
      </c>
      <c r="AF37" s="1"/>
    </row>
    <row r="38" spans="11:32" x14ac:dyDescent="0.45">
      <c r="K38" s="40">
        <f t="shared" si="8"/>
        <v>0.13</v>
      </c>
      <c r="L38" s="41">
        <f t="shared" si="0"/>
        <v>20.13</v>
      </c>
      <c r="M38">
        <f t="shared" si="9"/>
        <v>0.99291557224029203</v>
      </c>
      <c r="N38">
        <f t="shared" si="10"/>
        <v>7.0844277597079007E-3</v>
      </c>
      <c r="O38">
        <f t="shared" si="1"/>
        <v>5.6675505652799288E-2</v>
      </c>
      <c r="P38">
        <f t="shared" si="2"/>
        <v>0.5</v>
      </c>
      <c r="Q38">
        <f t="shared" si="11"/>
        <v>-5.273177824740316E-2</v>
      </c>
      <c r="R38" s="6">
        <f t="shared" si="12"/>
        <v>5.273177824740316E-2</v>
      </c>
      <c r="S38" s="18">
        <f t="shared" si="13"/>
        <v>0.99999999999999989</v>
      </c>
      <c r="T38" s="15"/>
      <c r="U38" s="15"/>
      <c r="V38" s="40">
        <f t="shared" si="14"/>
        <v>9.8699999999999992</v>
      </c>
      <c r="W38" s="41">
        <f t="shared" si="3"/>
        <v>29.869999999999997</v>
      </c>
      <c r="X38">
        <f t="shared" si="15"/>
        <v>-1.4996060857226096E-2</v>
      </c>
      <c r="Y38">
        <f t="shared" si="16"/>
        <v>0.12534133741572204</v>
      </c>
      <c r="Z38" s="33">
        <f t="shared" si="4"/>
        <v>0.13119868842695895</v>
      </c>
      <c r="AA38" s="33">
        <f t="shared" si="5"/>
        <v>0.5</v>
      </c>
      <c r="AB38">
        <f t="shared" si="6"/>
        <v>0.10521730806382379</v>
      </c>
      <c r="AC38" s="1">
        <f t="shared" si="7"/>
        <v>-0.92356423399273979</v>
      </c>
      <c r="AD38" s="35">
        <f>IF(W38&gt;=FinalAgeForPremium, AE38*Delta-Z38*(Y38-AE38),AE38*Delta+PremiumRevisedForLimitedTerm-Z38*(Y38-AE38))</f>
        <v>-1.626376466308764E-2</v>
      </c>
      <c r="AE38" s="35">
        <f>AE37-StepSize*AD37</f>
        <v>9.9810000340543156E-4</v>
      </c>
      <c r="AF38" s="1"/>
    </row>
    <row r="39" spans="11:32" x14ac:dyDescent="0.45">
      <c r="K39" s="40">
        <f t="shared" si="8"/>
        <v>0.14000000000000001</v>
      </c>
      <c r="L39" s="41">
        <f t="shared" si="0"/>
        <v>20.14</v>
      </c>
      <c r="M39">
        <f t="shared" si="9"/>
        <v>0.99238825445781798</v>
      </c>
      <c r="N39">
        <f t="shared" si="10"/>
        <v>7.6117455421819327E-3</v>
      </c>
      <c r="O39">
        <f t="shared" si="1"/>
        <v>5.6724368349252874E-2</v>
      </c>
      <c r="P39">
        <f t="shared" si="2"/>
        <v>0.5</v>
      </c>
      <c r="Q39">
        <f t="shared" si="11"/>
        <v>-5.2486724120246395E-2</v>
      </c>
      <c r="R39" s="6">
        <f t="shared" si="12"/>
        <v>5.2486724120246395E-2</v>
      </c>
      <c r="S39" s="18">
        <f t="shared" si="13"/>
        <v>0.99999999999999989</v>
      </c>
      <c r="T39" s="15"/>
      <c r="U39" s="15"/>
      <c r="V39" s="40">
        <f t="shared" si="14"/>
        <v>9.86</v>
      </c>
      <c r="W39" s="41">
        <f t="shared" si="3"/>
        <v>29.86</v>
      </c>
      <c r="X39">
        <f t="shared" si="15"/>
        <v>-1.6048233937864333E-2</v>
      </c>
      <c r="Y39">
        <f t="shared" si="16"/>
        <v>0.13457697975564945</v>
      </c>
      <c r="Z39" s="33">
        <f t="shared" si="4"/>
        <v>0.13108567312376082</v>
      </c>
      <c r="AA39" s="33">
        <f t="shared" si="5"/>
        <v>0.5</v>
      </c>
      <c r="AB39">
        <f t="shared" si="6"/>
        <v>0.10383197447402988</v>
      </c>
      <c r="AC39" s="1">
        <f t="shared" si="7"/>
        <v>-0.91795854416546063</v>
      </c>
      <c r="AD39" s="35">
        <f>IF(W39&gt;=FinalAgeForPremium, AE39*Delta-Z39*(Y39-AE39),AE39*Delta+PremiumRevisedForLimitedTerm-Z39*(Y39-AE39))</f>
        <v>-1.7430921019555123E-2</v>
      </c>
      <c r="AE39" s="35">
        <f>AE38-StepSize*AD38</f>
        <v>1.160737650036308E-3</v>
      </c>
      <c r="AF39" s="1"/>
    </row>
    <row r="40" spans="11:32" x14ac:dyDescent="0.45">
      <c r="K40" s="40">
        <f t="shared" si="8"/>
        <v>0.15</v>
      </c>
      <c r="L40" s="41">
        <f t="shared" si="0"/>
        <v>20.149999999999999</v>
      </c>
      <c r="M40">
        <f t="shared" si="9"/>
        <v>0.99186338721661549</v>
      </c>
      <c r="N40">
        <f t="shared" si="10"/>
        <v>8.1366127833843969E-3</v>
      </c>
      <c r="O40">
        <f t="shared" si="1"/>
        <v>5.6773273172601967E-2</v>
      </c>
      <c r="P40">
        <f t="shared" si="2"/>
        <v>0.5</v>
      </c>
      <c r="Q40">
        <f t="shared" si="11"/>
        <v>-5.224302464065899E-2</v>
      </c>
      <c r="R40" s="6">
        <f t="shared" si="12"/>
        <v>5.224302464065899E-2</v>
      </c>
      <c r="S40" s="18">
        <f t="shared" si="13"/>
        <v>0.99999999999999989</v>
      </c>
      <c r="T40" s="15"/>
      <c r="U40" s="15"/>
      <c r="V40" s="40">
        <f t="shared" si="14"/>
        <v>9.85</v>
      </c>
      <c r="W40" s="41">
        <f t="shared" si="3"/>
        <v>29.85</v>
      </c>
      <c r="X40">
        <f t="shared" si="15"/>
        <v>-1.7086553682604633E-2</v>
      </c>
      <c r="Y40">
        <f t="shared" si="16"/>
        <v>0.14375656519730406</v>
      </c>
      <c r="Z40" s="33">
        <f t="shared" si="4"/>
        <v>0.13097275517259346</v>
      </c>
      <c r="AA40" s="33">
        <f t="shared" si="5"/>
        <v>0.5</v>
      </c>
      <c r="AB40">
        <f t="shared" si="6"/>
        <v>0.10245879958296281</v>
      </c>
      <c r="AC40" s="1">
        <f t="shared" si="7"/>
        <v>-0.91239061230018048</v>
      </c>
      <c r="AD40" s="35">
        <f>IF(W40&gt;=FinalAgeForPremium, AE40*Delta-Z40*(Y40-AE40),AE40*Delta+PremiumRevisedForLimitedTerm-Z40*(Y40-AE40))</f>
        <v>-1.8586586309458794E-2</v>
      </c>
      <c r="AE40" s="35">
        <f>AE39-StepSize*AD39</f>
        <v>1.3350468602318592E-3</v>
      </c>
      <c r="AF40" s="1"/>
    </row>
    <row r="41" spans="11:32" x14ac:dyDescent="0.45">
      <c r="K41" s="40">
        <f t="shared" si="8"/>
        <v>0.16</v>
      </c>
      <c r="L41" s="41">
        <f t="shared" si="0"/>
        <v>20.16</v>
      </c>
      <c r="M41">
        <f t="shared" si="9"/>
        <v>0.99134095697020885</v>
      </c>
      <c r="N41">
        <f t="shared" si="10"/>
        <v>8.6590430297909873E-3</v>
      </c>
      <c r="O41">
        <f t="shared" si="1"/>
        <v>5.6822220159166215E-2</v>
      </c>
      <c r="P41">
        <f t="shared" si="2"/>
        <v>0.5</v>
      </c>
      <c r="Q41">
        <f t="shared" si="11"/>
        <v>-5.2000672594864239E-2</v>
      </c>
      <c r="R41" s="6">
        <f t="shared" si="12"/>
        <v>5.2000672594864239E-2</v>
      </c>
      <c r="S41" s="18">
        <f t="shared" si="13"/>
        <v>0.99999999999999989</v>
      </c>
      <c r="T41" s="15"/>
      <c r="U41" s="15"/>
      <c r="V41" s="40">
        <f t="shared" si="14"/>
        <v>9.84</v>
      </c>
      <c r="W41" s="41">
        <f t="shared" si="3"/>
        <v>29.84</v>
      </c>
      <c r="X41">
        <f t="shared" si="15"/>
        <v>-1.8111141678434261E-2</v>
      </c>
      <c r="Y41">
        <f t="shared" si="16"/>
        <v>0.15288047132030586</v>
      </c>
      <c r="Z41" s="33">
        <f t="shared" si="4"/>
        <v>0.13085993448959726</v>
      </c>
      <c r="AA41" s="33">
        <f t="shared" si="5"/>
        <v>0.5</v>
      </c>
      <c r="AB41">
        <f t="shared" si="6"/>
        <v>0.10109768533814024</v>
      </c>
      <c r="AC41" s="1">
        <f t="shared" si="7"/>
        <v>-0.9068601699346146</v>
      </c>
      <c r="AD41" s="35">
        <f>IF(W41&gt;=FinalAgeForPremium, AE41*Delta-Z41*(Y41-AE41),AE41*Delta+PremiumRevisedForLimitedTerm-Z41*(Y41-AE41))</f>
        <v>-1.9730856286208763E-2</v>
      </c>
      <c r="AE41" s="35">
        <f>AE40-StepSize*AD40</f>
        <v>1.520912723326447E-3</v>
      </c>
      <c r="AF41" s="1"/>
    </row>
    <row r="42" spans="11:32" x14ac:dyDescent="0.45">
      <c r="K42" s="40">
        <f t="shared" si="8"/>
        <v>0.17</v>
      </c>
      <c r="L42" s="41">
        <f t="shared" si="0"/>
        <v>20.170000000000002</v>
      </c>
      <c r="M42">
        <f t="shared" si="9"/>
        <v>0.9908209502442602</v>
      </c>
      <c r="N42">
        <f t="shared" si="10"/>
        <v>9.1790497557396305E-3</v>
      </c>
      <c r="O42">
        <f t="shared" si="1"/>
        <v>5.6871209345296554E-2</v>
      </c>
      <c r="P42">
        <f t="shared" si="2"/>
        <v>0.5</v>
      </c>
      <c r="Q42">
        <f t="shared" si="11"/>
        <v>-5.1759660807177164E-2</v>
      </c>
      <c r="R42" s="6">
        <f t="shared" si="12"/>
        <v>5.1759660807177164E-2</v>
      </c>
      <c r="S42" s="18">
        <f t="shared" si="13"/>
        <v>0.99999999999999978</v>
      </c>
      <c r="T42" s="15"/>
      <c r="U42" s="15"/>
      <c r="V42" s="40">
        <f t="shared" si="14"/>
        <v>9.83</v>
      </c>
      <c r="W42" s="41">
        <f t="shared" si="3"/>
        <v>29.83</v>
      </c>
      <c r="X42">
        <f t="shared" si="15"/>
        <v>-1.9122118531815665E-2</v>
      </c>
      <c r="Y42">
        <f t="shared" si="16"/>
        <v>0.161949073019652</v>
      </c>
      <c r="Z42" s="33">
        <f t="shared" si="4"/>
        <v>0.13074721099098499</v>
      </c>
      <c r="AA42" s="33">
        <f t="shared" si="5"/>
        <v>0.5</v>
      </c>
      <c r="AB42">
        <f t="shared" si="6"/>
        <v>9.9748534484588078E-2</v>
      </c>
      <c r="AC42" s="1">
        <f t="shared" si="7"/>
        <v>-0.90136695057328353</v>
      </c>
      <c r="AD42" s="35">
        <f>IF(W42&gt;=FinalAgeForPremium, AE42*Delta-Z42*(Y42-AE42),AE42*Delta+PremiumRevisedForLimitedTerm-Z42*(Y42-AE42))</f>
        <v>-2.0863825914550955E-2</v>
      </c>
      <c r="AE42" s="35">
        <f>AE41-StepSize*AD41</f>
        <v>1.7182212861885347E-3</v>
      </c>
      <c r="AF42" s="1"/>
    </row>
    <row r="43" spans="11:32" x14ac:dyDescent="0.45">
      <c r="K43" s="40">
        <f t="shared" si="8"/>
        <v>0.18</v>
      </c>
      <c r="L43" s="41">
        <f t="shared" si="0"/>
        <v>20.18</v>
      </c>
      <c r="M43">
        <f t="shared" si="9"/>
        <v>0.99030335363618838</v>
      </c>
      <c r="N43">
        <f t="shared" si="10"/>
        <v>9.6966463638114026E-3</v>
      </c>
      <c r="O43">
        <f t="shared" si="1"/>
        <v>5.6920240767375278E-2</v>
      </c>
      <c r="P43">
        <f t="shared" si="2"/>
        <v>0.5</v>
      </c>
      <c r="Q43">
        <f t="shared" si="11"/>
        <v>-5.1519982139805326E-2</v>
      </c>
      <c r="R43" s="6">
        <f t="shared" si="12"/>
        <v>5.1519982139805326E-2</v>
      </c>
      <c r="S43" s="18">
        <f t="shared" si="13"/>
        <v>0.99999999999999978</v>
      </c>
      <c r="T43" s="15"/>
      <c r="U43" s="15"/>
      <c r="V43" s="40">
        <f t="shared" si="14"/>
        <v>9.82</v>
      </c>
      <c r="W43" s="41">
        <f t="shared" si="3"/>
        <v>29.82</v>
      </c>
      <c r="X43">
        <f t="shared" si="15"/>
        <v>-2.0119603876661545E-2</v>
      </c>
      <c r="Y43">
        <f t="shared" si="16"/>
        <v>0.17096274252538485</v>
      </c>
      <c r="Z43" s="33">
        <f t="shared" si="4"/>
        <v>0.13063458459304136</v>
      </c>
      <c r="AA43" s="33">
        <f t="shared" si="5"/>
        <v>0.5</v>
      </c>
      <c r="AB43">
        <f t="shared" si="6"/>
        <v>9.8411250558219629E-2</v>
      </c>
      <c r="AC43" s="1">
        <f t="shared" si="7"/>
        <v>-0.89591068967270759</v>
      </c>
      <c r="AD43" s="35">
        <f>IF(W43&gt;=FinalAgeForPremium, AE43*Delta-Z43*(Y43-AE43),AE43*Delta+PremiumRevisedForLimitedTerm-Z43*(Y43-AE43))</f>
        <v>-2.1985589377150189E-2</v>
      </c>
      <c r="AE43" s="35">
        <f>AE42-StepSize*AD42</f>
        <v>1.9268595453340444E-3</v>
      </c>
      <c r="AF43" s="1"/>
    </row>
    <row r="44" spans="11:32" x14ac:dyDescent="0.45">
      <c r="K44" s="40">
        <f t="shared" si="8"/>
        <v>0.19</v>
      </c>
      <c r="L44" s="41">
        <f t="shared" si="0"/>
        <v>20.190000000000001</v>
      </c>
      <c r="M44">
        <f t="shared" si="9"/>
        <v>0.98978815381479035</v>
      </c>
      <c r="N44">
        <f t="shared" si="10"/>
        <v>1.0211846185209456E-2</v>
      </c>
      <c r="O44">
        <f t="shared" si="1"/>
        <v>5.6969314461816051E-2</v>
      </c>
      <c r="P44">
        <f t="shared" si="2"/>
        <v>0.5</v>
      </c>
      <c r="Q44">
        <f t="shared" si="11"/>
        <v>-5.1281629492650416E-2</v>
      </c>
      <c r="R44" s="6">
        <f t="shared" si="12"/>
        <v>5.1281629492650416E-2</v>
      </c>
      <c r="S44" s="18">
        <f t="shared" si="13"/>
        <v>0.99999999999999978</v>
      </c>
      <c r="T44" s="15"/>
      <c r="U44" s="15"/>
      <c r="V44" s="40">
        <f t="shared" si="14"/>
        <v>9.81</v>
      </c>
      <c r="W44" s="41">
        <f t="shared" si="3"/>
        <v>29.810000000000002</v>
      </c>
      <c r="X44">
        <f t="shared" si="15"/>
        <v>-2.1103716382243742E-2</v>
      </c>
      <c r="Y44">
        <f t="shared" si="16"/>
        <v>0.17992184942211192</v>
      </c>
      <c r="Z44" s="33">
        <f t="shared" si="4"/>
        <v>0.13052205521212329</v>
      </c>
      <c r="AA44" s="33">
        <f t="shared" si="5"/>
        <v>0.5</v>
      </c>
      <c r="AB44">
        <f t="shared" si="6"/>
        <v>9.708573787927105E-2</v>
      </c>
      <c r="AC44" s="1">
        <f t="shared" si="7"/>
        <v>-0.89049112462671665</v>
      </c>
      <c r="AD44" s="35">
        <f>IF(W44&gt;=FinalAgeForPremium, AE44*Delta-Z44*(Y44-AE44),AE44*Delta+PremiumRevisedForLimitedTerm-Z44*(Y44-AE44))</f>
        <v>-2.3096240081117294E-2</v>
      </c>
      <c r="AE44" s="35">
        <f>AE43-StepSize*AD43</f>
        <v>2.1467154391055462E-3</v>
      </c>
      <c r="AF44" s="1"/>
    </row>
    <row r="45" spans="11:32" x14ac:dyDescent="0.45">
      <c r="K45" s="40">
        <f t="shared" si="8"/>
        <v>0.2</v>
      </c>
      <c r="L45" s="41">
        <f t="shared" si="0"/>
        <v>20.2</v>
      </c>
      <c r="M45">
        <f t="shared" si="9"/>
        <v>0.98927533751986385</v>
      </c>
      <c r="N45">
        <f t="shared" si="10"/>
        <v>1.072466248013596E-2</v>
      </c>
      <c r="O45">
        <f t="shared" si="1"/>
        <v>5.7018430465063885E-2</v>
      </c>
      <c r="P45">
        <f t="shared" si="2"/>
        <v>0.5</v>
      </c>
      <c r="Q45">
        <f t="shared" si="11"/>
        <v>-5.1044595803110986E-2</v>
      </c>
      <c r="R45" s="6">
        <f t="shared" si="12"/>
        <v>5.1044595803110986E-2</v>
      </c>
      <c r="S45" s="18">
        <f t="shared" si="13"/>
        <v>0.99999999999999978</v>
      </c>
      <c r="T45" s="15"/>
      <c r="U45" s="15"/>
      <c r="V45" s="40">
        <f t="shared" si="14"/>
        <v>9.8000000000000007</v>
      </c>
      <c r="W45" s="41">
        <f t="shared" si="3"/>
        <v>29.8</v>
      </c>
      <c r="X45">
        <f t="shared" si="15"/>
        <v>-2.2074573761036453E-2</v>
      </c>
      <c r="Y45">
        <f t="shared" si="16"/>
        <v>0.18882676066837908</v>
      </c>
      <c r="Z45" s="33">
        <f t="shared" si="4"/>
        <v>0.13040962276465981</v>
      </c>
      <c r="AA45" s="33">
        <f t="shared" si="5"/>
        <v>0.5</v>
      </c>
      <c r="AB45">
        <f t="shared" si="6"/>
        <v>9.5771901545792404E-2</v>
      </c>
      <c r="AC45" s="1">
        <f t="shared" si="7"/>
        <v>-0.88510799475187329</v>
      </c>
      <c r="AD45" s="35">
        <f>IF(W45&gt;=FinalAgeForPremium, AE45*Delta-Z45*(Y45-AE45),AE45*Delta+PremiumRevisedForLimitedTerm-Z45*(Y45-AE45))</f>
        <v>-2.4195870664480753E-2</v>
      </c>
      <c r="AE45" s="35">
        <f>AE44-StepSize*AD44</f>
        <v>2.377677839916719E-3</v>
      </c>
      <c r="AF45" s="1"/>
    </row>
    <row r="46" spans="11:32" x14ac:dyDescent="0.45">
      <c r="K46" s="40">
        <f t="shared" si="8"/>
        <v>0.21</v>
      </c>
      <c r="L46" s="41">
        <f t="shared" si="0"/>
        <v>20.21</v>
      </c>
      <c r="M46">
        <f t="shared" si="9"/>
        <v>0.98876489156183278</v>
      </c>
      <c r="N46">
        <f t="shared" si="10"/>
        <v>1.1235108438167069E-2</v>
      </c>
      <c r="O46">
        <f t="shared" si="1"/>
        <v>5.7067588813595305E-2</v>
      </c>
      <c r="P46">
        <f t="shared" si="2"/>
        <v>0.5</v>
      </c>
      <c r="Q46">
        <f t="shared" si="11"/>
        <v>-5.0808874045886292E-2</v>
      </c>
      <c r="R46" s="6">
        <f t="shared" si="12"/>
        <v>5.0808874045886292E-2</v>
      </c>
      <c r="S46" s="18">
        <f t="shared" si="13"/>
        <v>0.99999999999999989</v>
      </c>
      <c r="T46" s="15"/>
      <c r="U46" s="15"/>
      <c r="V46" s="40">
        <f t="shared" si="14"/>
        <v>9.7899999999999991</v>
      </c>
      <c r="W46" s="41">
        <f t="shared" si="3"/>
        <v>29.79</v>
      </c>
      <c r="X46">
        <f t="shared" si="15"/>
        <v>-2.3032292776494379E-2</v>
      </c>
      <c r="Y46">
        <f t="shared" si="16"/>
        <v>0.19767784061589783</v>
      </c>
      <c r="Z46" s="33">
        <f t="shared" si="4"/>
        <v>0.13029728716715178</v>
      </c>
      <c r="AA46" s="33">
        <f t="shared" si="5"/>
        <v>0.5</v>
      </c>
      <c r="AB46">
        <f t="shared" si="6"/>
        <v>9.4469647427194034E-2</v>
      </c>
      <c r="AC46" s="1">
        <f t="shared" si="7"/>
        <v>-0.87976104127300903</v>
      </c>
      <c r="AD46" s="35">
        <f>IF(W46&gt;=FinalAgeForPremium, AE46*Delta-Z46*(Y46-AE46),AE46*Delta+PremiumRevisedForLimitedTerm-Z46*(Y46-AE46))</f>
        <v>-2.5284573002603127E-2</v>
      </c>
      <c r="AE46" s="35">
        <f>AE45-StepSize*AD45</f>
        <v>2.6196365465615263E-3</v>
      </c>
      <c r="AF46" s="1"/>
    </row>
    <row r="47" spans="11:32" x14ac:dyDescent="0.45">
      <c r="K47" s="40">
        <f t="shared" si="8"/>
        <v>0.22</v>
      </c>
      <c r="L47" s="41">
        <f t="shared" si="0"/>
        <v>20.22</v>
      </c>
      <c r="M47">
        <f t="shared" si="9"/>
        <v>0.98825680282137396</v>
      </c>
      <c r="N47">
        <f t="shared" si="10"/>
        <v>1.1743197178625932E-2</v>
      </c>
      <c r="O47">
        <f t="shared" si="1"/>
        <v>5.7116789543918182E-2</v>
      </c>
      <c r="P47">
        <f t="shared" si="2"/>
        <v>0.5</v>
      </c>
      <c r="Q47">
        <f t="shared" si="11"/>
        <v>-5.0574457232780902E-2</v>
      </c>
      <c r="R47" s="6">
        <f t="shared" si="12"/>
        <v>5.0574457232780902E-2</v>
      </c>
      <c r="S47" s="18">
        <f t="shared" si="13"/>
        <v>0.99999999999999989</v>
      </c>
      <c r="T47" s="15"/>
      <c r="U47" s="15"/>
      <c r="V47" s="40">
        <f t="shared" si="14"/>
        <v>9.7799999999999994</v>
      </c>
      <c r="W47" s="41">
        <f t="shared" si="3"/>
        <v>29.78</v>
      </c>
      <c r="X47">
        <f t="shared" si="15"/>
        <v>-2.3976989250766318E-2</v>
      </c>
      <c r="Y47">
        <f t="shared" si="16"/>
        <v>0.20647545102862791</v>
      </c>
      <c r="Z47" s="33">
        <f t="shared" si="4"/>
        <v>0.13018504833617223</v>
      </c>
      <c r="AA47" s="33">
        <f t="shared" si="5"/>
        <v>0.5</v>
      </c>
      <c r="AB47">
        <f t="shared" si="6"/>
        <v>9.3178882157847559E-2</v>
      </c>
      <c r="AC47" s="1">
        <f t="shared" si="7"/>
        <v>-0.87445000730887157</v>
      </c>
      <c r="AD47" s="35">
        <f>IF(W47&gt;=FinalAgeForPremium, AE47*Delta-Z47*(Y47-AE47),AE47*Delta+PremiumRevisedForLimitedTerm-Z47*(Y47-AE47))</f>
        <v>-2.6362438214543156E-2</v>
      </c>
      <c r="AE47" s="35">
        <f>AE46-StepSize*AD46</f>
        <v>2.8724822765875575E-3</v>
      </c>
      <c r="AF47" s="1"/>
    </row>
    <row r="48" spans="11:32" x14ac:dyDescent="0.45">
      <c r="K48" s="40">
        <f t="shared" si="8"/>
        <v>0.23</v>
      </c>
      <c r="L48" s="41">
        <f t="shared" si="0"/>
        <v>20.23</v>
      </c>
      <c r="M48">
        <f t="shared" si="9"/>
        <v>0.98775105824904619</v>
      </c>
      <c r="N48">
        <f t="shared" si="10"/>
        <v>1.2248941750953741E-2</v>
      </c>
      <c r="O48">
        <f t="shared" si="1"/>
        <v>5.7166032692571943E-2</v>
      </c>
      <c r="P48">
        <f t="shared" si="2"/>
        <v>0.5</v>
      </c>
      <c r="Q48">
        <f t="shared" si="11"/>
        <v>-5.0341338412510636E-2</v>
      </c>
      <c r="R48" s="6">
        <f t="shared" si="12"/>
        <v>5.0341338412510636E-2</v>
      </c>
      <c r="S48" s="18">
        <f t="shared" si="13"/>
        <v>0.99999999999999989</v>
      </c>
      <c r="T48" s="15"/>
      <c r="U48" s="15"/>
      <c r="V48" s="40">
        <f t="shared" si="14"/>
        <v>9.77</v>
      </c>
      <c r="W48" s="41">
        <f t="shared" si="3"/>
        <v>29.77</v>
      </c>
      <c r="X48">
        <f t="shared" si="15"/>
        <v>-2.4908778072344793E-2</v>
      </c>
      <c r="Y48">
        <f t="shared" si="16"/>
        <v>0.21521995110171663</v>
      </c>
      <c r="Z48" s="33">
        <f t="shared" si="4"/>
        <v>0.13007290618836589</v>
      </c>
      <c r="AA48" s="33">
        <f t="shared" si="5"/>
        <v>0.5</v>
      </c>
      <c r="AB48">
        <f t="shared" si="6"/>
        <v>9.1899513130741212E-2</v>
      </c>
      <c r="AC48" s="1">
        <f t="shared" si="7"/>
        <v>-0.8691746378578834</v>
      </c>
      <c r="AD48" s="35">
        <f>IF(W48&gt;=FinalAgeForPremium, AE48*Delta-Z48*(Y48-AE48),AE48*Delta+PremiumRevisedForLimitedTerm-Z48*(Y48-AE48))</f>
        <v>-2.7429556669363548E-2</v>
      </c>
      <c r="AE48" s="35">
        <f>AE47-StepSize*AD47</f>
        <v>3.1361066587329892E-3</v>
      </c>
      <c r="AF48" s="1"/>
    </row>
    <row r="49" spans="11:32" x14ac:dyDescent="0.45">
      <c r="K49" s="40">
        <f t="shared" si="8"/>
        <v>0.24</v>
      </c>
      <c r="L49" s="41">
        <f t="shared" si="0"/>
        <v>20.239999999999998</v>
      </c>
      <c r="M49">
        <f t="shared" si="9"/>
        <v>0.98724764486492111</v>
      </c>
      <c r="N49">
        <f t="shared" si="10"/>
        <v>1.2752355135078847E-2</v>
      </c>
      <c r="O49">
        <f t="shared" si="1"/>
        <v>5.7215318296127457E-2</v>
      </c>
      <c r="P49">
        <f t="shared" si="2"/>
        <v>0.5</v>
      </c>
      <c r="Q49">
        <f t="shared" si="11"/>
        <v>-5.0109510670509241E-2</v>
      </c>
      <c r="R49" s="6">
        <f t="shared" si="12"/>
        <v>5.0109510670509241E-2</v>
      </c>
      <c r="S49" s="18">
        <f t="shared" si="13"/>
        <v>1</v>
      </c>
      <c r="T49" s="15"/>
      <c r="U49" s="15"/>
      <c r="V49" s="40">
        <f t="shared" si="14"/>
        <v>9.76</v>
      </c>
      <c r="W49" s="41">
        <f t="shared" si="3"/>
        <v>29.759999999999998</v>
      </c>
      <c r="X49">
        <f t="shared" si="15"/>
        <v>-2.5827773203652205E-2</v>
      </c>
      <c r="Y49">
        <f t="shared" si="16"/>
        <v>0.22391169748029546</v>
      </c>
      <c r="Z49" s="33">
        <f t="shared" si="4"/>
        <v>0.12996086064044918</v>
      </c>
      <c r="AA49" s="33">
        <f t="shared" si="5"/>
        <v>0.5</v>
      </c>
      <c r="AB49">
        <f t="shared" si="6"/>
        <v>9.0631448491188982E-2</v>
      </c>
      <c r="AC49" s="1">
        <f t="shared" si="7"/>
        <v>-0.86393467978401139</v>
      </c>
      <c r="AD49" s="35">
        <f>IF(W49&gt;=FinalAgeForPremium, AE49*Delta-Z49*(Y49-AE49),AE49*Delta+PremiumRevisedForLimitedTerm-Z49*(Y49-AE49))</f>
        <v>-2.8486017992385215E-2</v>
      </c>
      <c r="AE49" s="35">
        <f>AE48-StepSize*AD48</f>
        <v>3.4104022254266247E-3</v>
      </c>
      <c r="AF49" s="1"/>
    </row>
    <row r="50" spans="11:32" x14ac:dyDescent="0.45">
      <c r="K50" s="40">
        <f t="shared" si="8"/>
        <v>0.25</v>
      </c>
      <c r="L50" s="41">
        <f t="shared" si="0"/>
        <v>20.25</v>
      </c>
      <c r="M50">
        <f t="shared" si="9"/>
        <v>0.98674654975821607</v>
      </c>
      <c r="N50">
        <f t="shared" si="10"/>
        <v>1.325345024178394E-2</v>
      </c>
      <c r="O50">
        <f t="shared" si="1"/>
        <v>5.7264646391187189E-2</v>
      </c>
      <c r="P50">
        <f t="shared" si="2"/>
        <v>0.5</v>
      </c>
      <c r="Q50">
        <f t="shared" si="11"/>
        <v>-4.9878967128736268E-2</v>
      </c>
      <c r="R50" s="6">
        <f t="shared" si="12"/>
        <v>4.9878967128736268E-2</v>
      </c>
      <c r="S50" s="18">
        <f t="shared" si="13"/>
        <v>1</v>
      </c>
      <c r="T50" s="15"/>
      <c r="U50" s="15"/>
      <c r="V50" s="40">
        <f t="shared" si="14"/>
        <v>9.75</v>
      </c>
      <c r="W50" s="41">
        <f t="shared" si="3"/>
        <v>29.75</v>
      </c>
      <c r="X50">
        <f t="shared" si="15"/>
        <v>-2.6734087688564095E-2</v>
      </c>
      <c r="Y50">
        <f t="shared" si="16"/>
        <v>0.23255104427813558</v>
      </c>
      <c r="Z50" s="33">
        <f t="shared" si="4"/>
        <v>0.12984891160921061</v>
      </c>
      <c r="AA50" s="33">
        <f t="shared" si="5"/>
        <v>0.5</v>
      </c>
      <c r="AB50">
        <f t="shared" si="6"/>
        <v>8.9374597130592967E-2</v>
      </c>
      <c r="AC50" s="1">
        <f t="shared" si="7"/>
        <v>-0.85872988180274334</v>
      </c>
      <c r="AD50" s="35">
        <f>IF(W50&gt;=FinalAgeForPremium, AE50*Delta-Z50*(Y50-AE50),AE50*Delta+PremiumRevisedForLimitedTerm-Z50*(Y50-AE50))</f>
        <v>-2.9531911071388535E-2</v>
      </c>
      <c r="AE50" s="35">
        <f>AE49-StepSize*AD49</f>
        <v>3.6952624053504766E-3</v>
      </c>
      <c r="AF50" s="1"/>
    </row>
    <row r="51" spans="11:32" x14ac:dyDescent="0.45">
      <c r="K51" s="40">
        <f t="shared" si="8"/>
        <v>0.26</v>
      </c>
      <c r="L51" s="41">
        <f t="shared" si="0"/>
        <v>20.260000000000002</v>
      </c>
      <c r="M51">
        <f t="shared" si="9"/>
        <v>0.98624776008692872</v>
      </c>
      <c r="N51">
        <f t="shared" si="10"/>
        <v>1.3752239913071302E-2</v>
      </c>
      <c r="O51">
        <f t="shared" si="1"/>
        <v>5.7314017014385092E-2</v>
      </c>
      <c r="P51">
        <f t="shared" si="2"/>
        <v>0.5</v>
      </c>
      <c r="Q51">
        <f t="shared" si="11"/>
        <v>-4.9649700945485771E-2</v>
      </c>
      <c r="R51" s="6">
        <f t="shared" si="12"/>
        <v>4.9649700945485771E-2</v>
      </c>
      <c r="S51" s="18">
        <f t="shared" si="13"/>
        <v>1</v>
      </c>
      <c r="T51" s="15"/>
      <c r="U51" s="15"/>
      <c r="V51" s="40">
        <f t="shared" si="14"/>
        <v>9.74</v>
      </c>
      <c r="W51" s="41">
        <f t="shared" si="3"/>
        <v>29.740000000000002</v>
      </c>
      <c r="X51">
        <f t="shared" si="15"/>
        <v>-2.7627833659870024E-2</v>
      </c>
      <c r="Y51">
        <f t="shared" si="16"/>
        <v>0.24113834309616303</v>
      </c>
      <c r="Z51" s="33">
        <f t="shared" si="4"/>
        <v>0.12973705901151003</v>
      </c>
      <c r="AA51" s="33">
        <f t="shared" si="5"/>
        <v>0.5</v>
      </c>
      <c r="AB51">
        <f t="shared" si="6"/>
        <v>8.8128868680258765E-2</v>
      </c>
      <c r="AC51" s="1">
        <f t="shared" si="7"/>
        <v>-0.85355999446717534</v>
      </c>
      <c r="AD51" s="35">
        <f>IF(W51&gt;=FinalAgeForPremium, AE51*Delta-Z51*(Y51-AE51),AE51*Delta+PremiumRevisedForLimitedTerm-Z51*(Y51-AE51))</f>
        <v>-3.0567324062761556E-2</v>
      </c>
      <c r="AE51" s="35">
        <f>AE50-StepSize*AD50</f>
        <v>3.9905815160643622E-3</v>
      </c>
      <c r="AF51" s="1"/>
    </row>
    <row r="52" spans="11:32" x14ac:dyDescent="0.45">
      <c r="K52" s="40">
        <f t="shared" si="8"/>
        <v>0.27</v>
      </c>
      <c r="L52" s="41">
        <f t="shared" si="0"/>
        <v>20.27</v>
      </c>
      <c r="M52">
        <f t="shared" si="9"/>
        <v>0.98575126307747385</v>
      </c>
      <c r="N52">
        <f t="shared" si="10"/>
        <v>1.4248736922526159E-2</v>
      </c>
      <c r="O52">
        <f t="shared" si="1"/>
        <v>5.7363430202386705E-2</v>
      </c>
      <c r="P52">
        <f t="shared" si="2"/>
        <v>0.5</v>
      </c>
      <c r="Q52">
        <f t="shared" si="11"/>
        <v>-4.9421705315196122E-2</v>
      </c>
      <c r="R52" s="6">
        <f t="shared" si="12"/>
        <v>4.9421705315196122E-2</v>
      </c>
      <c r="S52" s="18">
        <f t="shared" si="13"/>
        <v>1</v>
      </c>
      <c r="T52" s="15"/>
      <c r="U52" s="15"/>
      <c r="V52" s="40">
        <f t="shared" si="14"/>
        <v>9.73</v>
      </c>
      <c r="W52" s="41">
        <f t="shared" si="3"/>
        <v>29.73</v>
      </c>
      <c r="X52">
        <f t="shared" si="15"/>
        <v>-2.8509122346672612E-2</v>
      </c>
      <c r="Y52">
        <f t="shared" si="16"/>
        <v>0.24967394304083479</v>
      </c>
      <c r="Z52" s="33">
        <f t="shared" si="4"/>
        <v>0.12962530276427905</v>
      </c>
      <c r="AA52" s="33">
        <f t="shared" si="5"/>
        <v>0.5</v>
      </c>
      <c r="AB52">
        <f t="shared" si="6"/>
        <v>8.6894173505263142E-2</v>
      </c>
      <c r="AC52" s="1">
        <f t="shared" si="7"/>
        <v>-0.84842477015420448</v>
      </c>
      <c r="AD52" s="35">
        <f>IF(W52&gt;=FinalAgeForPremium, AE52*Delta-Z52*(Y52-AE52),AE52*Delta+PremiumRevisedForLimitedTerm-Z52*(Y52-AE52))</f>
        <v>-3.1592344397596298E-2</v>
      </c>
      <c r="AE52" s="35">
        <f>AE51-StepSize*AD51</f>
        <v>4.2962547566919775E-3</v>
      </c>
      <c r="AF52" s="1"/>
    </row>
    <row r="53" spans="11:32" x14ac:dyDescent="0.45">
      <c r="K53" s="40">
        <f t="shared" si="8"/>
        <v>0.28000000000000003</v>
      </c>
      <c r="L53" s="41">
        <f t="shared" si="0"/>
        <v>20.28</v>
      </c>
      <c r="M53">
        <f t="shared" si="9"/>
        <v>0.98525704602432185</v>
      </c>
      <c r="N53">
        <f t="shared" si="10"/>
        <v>1.4742953975678121E-2</v>
      </c>
      <c r="O53">
        <f t="shared" si="1"/>
        <v>5.7412885991889269E-2</v>
      </c>
      <c r="P53">
        <f t="shared" si="2"/>
        <v>0.5</v>
      </c>
      <c r="Q53">
        <f t="shared" si="11"/>
        <v>-4.9194973468260926E-2</v>
      </c>
      <c r="R53" s="6">
        <f t="shared" si="12"/>
        <v>4.9194973468260926E-2</v>
      </c>
      <c r="S53" s="18">
        <f t="shared" si="13"/>
        <v>1</v>
      </c>
      <c r="T53" s="15"/>
      <c r="U53" s="15"/>
      <c r="V53" s="40">
        <f t="shared" si="14"/>
        <v>9.7200000000000006</v>
      </c>
      <c r="W53" s="41">
        <f t="shared" si="3"/>
        <v>29.72</v>
      </c>
      <c r="X53">
        <f t="shared" si="15"/>
        <v>-2.9378064081725244E-2</v>
      </c>
      <c r="Y53">
        <f t="shared" si="16"/>
        <v>0.25815819074237684</v>
      </c>
      <c r="Z53" s="33">
        <f t="shared" si="4"/>
        <v>0.12951364278452082</v>
      </c>
      <c r="AA53" s="33">
        <f t="shared" si="5"/>
        <v>0.5</v>
      </c>
      <c r="AB53">
        <f t="shared" si="6"/>
        <v>8.5670422698373702E-2</v>
      </c>
      <c r="AC53" s="1">
        <f t="shared" si="7"/>
        <v>-0.84332396305083013</v>
      </c>
      <c r="AD53" s="35">
        <f>IF(W53&gt;=FinalAgeForPremium, AE53*Delta-Z53*(Y53-AE53),AE53*Delta+PremiumRevisedForLimitedTerm-Z53*(Y53-AE53))</f>
        <v>-3.2607058787733123E-2</v>
      </c>
      <c r="AE53" s="35">
        <f>AE52-StepSize*AD52</f>
        <v>4.6121782006679404E-3</v>
      </c>
      <c r="AF53" s="1"/>
    </row>
    <row r="54" spans="11:32" x14ac:dyDescent="0.45">
      <c r="K54" s="40">
        <f t="shared" si="8"/>
        <v>0.28999999999999998</v>
      </c>
      <c r="L54" s="41">
        <f t="shared" si="0"/>
        <v>20.29</v>
      </c>
      <c r="M54">
        <f t="shared" si="9"/>
        <v>0.98476509628963926</v>
      </c>
      <c r="N54">
        <f t="shared" si="10"/>
        <v>1.523490371036073E-2</v>
      </c>
      <c r="O54">
        <f t="shared" si="1"/>
        <v>5.7462384419621537E-2</v>
      </c>
      <c r="P54">
        <f t="shared" si="2"/>
        <v>0.5</v>
      </c>
      <c r="Q54">
        <f t="shared" si="11"/>
        <v>-4.8969498670840508E-2</v>
      </c>
      <c r="R54" s="6">
        <f t="shared" si="12"/>
        <v>4.8969498670840508E-2</v>
      </c>
      <c r="S54" s="18">
        <f t="shared" si="13"/>
        <v>1</v>
      </c>
      <c r="T54" s="15"/>
      <c r="U54" s="15"/>
      <c r="V54" s="40">
        <f t="shared" si="14"/>
        <v>9.7100000000000009</v>
      </c>
      <c r="W54" s="41">
        <f t="shared" si="3"/>
        <v>29.71</v>
      </c>
      <c r="X54">
        <f t="shared" si="15"/>
        <v>-3.0234768308708981E-2</v>
      </c>
      <c r="Y54">
        <f t="shared" si="16"/>
        <v>0.26659143037288513</v>
      </c>
      <c r="Z54" s="33">
        <f t="shared" si="4"/>
        <v>0.12940207898931003</v>
      </c>
      <c r="AA54" s="33">
        <f t="shared" si="5"/>
        <v>0.5</v>
      </c>
      <c r="AB54">
        <f t="shared" si="6"/>
        <v>8.4457528074019947E-2</v>
      </c>
      <c r="AC54" s="1">
        <f t="shared" si="7"/>
        <v>-0.83825732914055873</v>
      </c>
      <c r="AD54" s="35">
        <f>IF(W54&gt;=FinalAgeForPremium, AE54*Delta-Z54*(Y54-AE54),AE54*Delta+PremiumRevisedForLimitedTerm-Z54*(Y54-AE54))</f>
        <v>-3.3611553231753764E-2</v>
      </c>
      <c r="AE54" s="35">
        <f>AE53-StepSize*AD53</f>
        <v>4.9382487885452717E-3</v>
      </c>
      <c r="AF54" s="1"/>
    </row>
    <row r="55" spans="11:32" x14ac:dyDescent="0.45">
      <c r="K55" s="40">
        <f t="shared" si="8"/>
        <v>0.3</v>
      </c>
      <c r="L55" s="41">
        <f t="shared" si="0"/>
        <v>20.3</v>
      </c>
      <c r="M55">
        <f t="shared" si="9"/>
        <v>0.9842754013029309</v>
      </c>
      <c r="N55">
        <f t="shared" si="10"/>
        <v>1.5724598697069134E-2</v>
      </c>
      <c r="O55">
        <f t="shared" si="1"/>
        <v>5.7511925522344048E-2</v>
      </c>
      <c r="P55">
        <f t="shared" si="2"/>
        <v>0.5</v>
      </c>
      <c r="Q55">
        <f t="shared" si="11"/>
        <v>-4.8745274224674895E-2</v>
      </c>
      <c r="R55" s="6">
        <f t="shared" si="12"/>
        <v>4.8745274224674895E-2</v>
      </c>
      <c r="S55" s="18">
        <f t="shared" si="13"/>
        <v>1</v>
      </c>
      <c r="T55" s="15"/>
      <c r="U55" s="15"/>
      <c r="V55" s="40">
        <f t="shared" si="14"/>
        <v>9.6999999999999993</v>
      </c>
      <c r="W55" s="41">
        <f t="shared" si="3"/>
        <v>29.7</v>
      </c>
      <c r="X55">
        <f t="shared" si="15"/>
        <v>-3.1079343589449179E-2</v>
      </c>
      <c r="Y55">
        <f t="shared" si="16"/>
        <v>0.2749740036642907</v>
      </c>
      <c r="Z55" s="33">
        <f t="shared" si="4"/>
        <v>0.12929061129579275</v>
      </c>
      <c r="AA55" s="33">
        <f t="shared" si="5"/>
        <v>0.5</v>
      </c>
      <c r="AB55">
        <f t="shared" si="6"/>
        <v>8.3255402162315639E-2</v>
      </c>
      <c r="AC55" s="1">
        <f t="shared" si="7"/>
        <v>-0.83322462618991555</v>
      </c>
      <c r="AD55" s="35">
        <f>IF(W55&gt;=FinalAgeForPremium, AE55*Delta-Z55*(Y55-AE55),AE55*Delta+PremiumRevisedForLimitedTerm-Z55*(Y55-AE55))</f>
        <v>-3.4605913020923494E-2</v>
      </c>
      <c r="AE55" s="35">
        <f>AE54-StepSize*AD54</f>
        <v>5.2743643208628095E-3</v>
      </c>
      <c r="AF55" s="1"/>
    </row>
    <row r="56" spans="11:32" x14ac:dyDescent="0.45">
      <c r="K56" s="40">
        <f t="shared" si="8"/>
        <v>0.31</v>
      </c>
      <c r="L56" s="41">
        <f t="shared" si="0"/>
        <v>20.309999999999999</v>
      </c>
      <c r="M56">
        <f t="shared" si="9"/>
        <v>0.98378794856068419</v>
      </c>
      <c r="N56">
        <f t="shared" si="10"/>
        <v>1.6212051439315884E-2</v>
      </c>
      <c r="O56">
        <f t="shared" si="1"/>
        <v>5.7561509336848941E-2</v>
      </c>
      <c r="P56">
        <f t="shared" si="2"/>
        <v>0.5</v>
      </c>
      <c r="Q56">
        <f t="shared" si="11"/>
        <v>-4.8522293466897348E-2</v>
      </c>
      <c r="R56" s="6">
        <f t="shared" si="12"/>
        <v>4.8522293466897348E-2</v>
      </c>
      <c r="S56" s="18">
        <f t="shared" si="13"/>
        <v>1</v>
      </c>
      <c r="T56" s="15"/>
      <c r="U56" s="15"/>
      <c r="V56" s="40">
        <f t="shared" si="14"/>
        <v>9.69</v>
      </c>
      <c r="W56" s="41">
        <f t="shared" si="3"/>
        <v>29.689999999999998</v>
      </c>
      <c r="X56">
        <f t="shared" si="15"/>
        <v>-3.1911897611072333E-2</v>
      </c>
      <c r="Y56">
        <f t="shared" si="16"/>
        <v>0.28330624992618986</v>
      </c>
      <c r="Z56" s="33">
        <f t="shared" si="4"/>
        <v>0.12917923962118633</v>
      </c>
      <c r="AA56" s="33">
        <f t="shared" si="5"/>
        <v>0.5</v>
      </c>
      <c r="AB56">
        <f t="shared" si="6"/>
        <v>8.2063958203131587E-2</v>
      </c>
      <c r="AC56" s="1">
        <f t="shared" si="7"/>
        <v>-0.82822561373505943</v>
      </c>
      <c r="AD56" s="35">
        <f>IF(W56&gt;=FinalAgeForPremium, AE56*Delta-Z56*(Y56-AE56),AE56*Delta+PremiumRevisedForLimitedTerm-Z56*(Y56-AE56))</f>
        <v>-3.5590222745082806E-2</v>
      </c>
      <c r="AE56" s="35">
        <f>AE55-StepSize*AD55</f>
        <v>5.6204234510720446E-3</v>
      </c>
      <c r="AF56" s="1"/>
    </row>
    <row r="57" spans="11:32" x14ac:dyDescent="0.45">
      <c r="K57" s="40">
        <f t="shared" si="8"/>
        <v>0.32</v>
      </c>
      <c r="L57" s="41">
        <f t="shared" si="0"/>
        <v>20.32</v>
      </c>
      <c r="M57">
        <f t="shared" si="9"/>
        <v>0.98330272562601517</v>
      </c>
      <c r="N57">
        <f t="shared" si="10"/>
        <v>1.6697274373984859E-2</v>
      </c>
      <c r="O57">
        <f t="shared" si="1"/>
        <v>5.7611135899960121E-2</v>
      </c>
      <c r="P57">
        <f t="shared" si="2"/>
        <v>0.5</v>
      </c>
      <c r="Q57">
        <f t="shared" si="11"/>
        <v>-4.8300549769849134E-2</v>
      </c>
      <c r="R57" s="6">
        <f t="shared" si="12"/>
        <v>4.8300549769849134E-2</v>
      </c>
      <c r="S57" s="18">
        <f t="shared" si="13"/>
        <v>1</v>
      </c>
      <c r="T57" s="15"/>
      <c r="U57" s="15"/>
      <c r="V57" s="40">
        <f t="shared" si="14"/>
        <v>9.68</v>
      </c>
      <c r="W57" s="41">
        <f t="shared" si="3"/>
        <v>29.68</v>
      </c>
      <c r="X57">
        <f t="shared" si="15"/>
        <v>-3.273253719310365E-2</v>
      </c>
      <c r="Y57">
        <f t="shared" si="16"/>
        <v>0.29158850606354048</v>
      </c>
      <c r="Z57" s="33">
        <f t="shared" si="4"/>
        <v>0.12906796388277969</v>
      </c>
      <c r="AA57" s="33">
        <f t="shared" si="5"/>
        <v>0.5</v>
      </c>
      <c r="AB57">
        <f t="shared" si="6"/>
        <v>8.0883110140218512E-2</v>
      </c>
      <c r="AC57" s="1">
        <f t="shared" si="7"/>
        <v>-0.82326005306850092</v>
      </c>
      <c r="AD57" s="35">
        <f>IF(W57&gt;=FinalAgeForPremium, AE57*Delta-Z57*(Y57-AE57),AE57*Delta+PremiumRevisedForLimitedTerm-Z57*(Y57-AE57))</f>
        <v>-3.6564566298489268E-2</v>
      </c>
      <c r="AE57" s="35">
        <f>AE56-StepSize*AD56</f>
        <v>5.9763256785228727E-3</v>
      </c>
      <c r="AF57" s="1"/>
    </row>
    <row r="58" spans="11:32" x14ac:dyDescent="0.45">
      <c r="K58" s="40">
        <f t="shared" si="8"/>
        <v>0.33</v>
      </c>
      <c r="L58" s="41">
        <f t="shared" si="0"/>
        <v>20.329999999999998</v>
      </c>
      <c r="M58">
        <f t="shared" si="9"/>
        <v>0.98281972012831664</v>
      </c>
      <c r="N58">
        <f t="shared" si="10"/>
        <v>1.718027987168335E-2</v>
      </c>
      <c r="O58">
        <f t="shared" si="1"/>
        <v>5.7660805248533217E-2</v>
      </c>
      <c r="P58">
        <f t="shared" si="2"/>
        <v>0.5</v>
      </c>
      <c r="Q58">
        <f t="shared" si="11"/>
        <v>-4.8080036540895113E-2</v>
      </c>
      <c r="R58" s="6">
        <f t="shared" si="12"/>
        <v>4.8080036540895113E-2</v>
      </c>
      <c r="S58" s="18">
        <f t="shared" si="13"/>
        <v>1</v>
      </c>
      <c r="T58" s="15"/>
      <c r="U58" s="15"/>
      <c r="V58" s="40">
        <f t="shared" si="14"/>
        <v>9.67</v>
      </c>
      <c r="W58" s="41">
        <f t="shared" si="3"/>
        <v>29.67</v>
      </c>
      <c r="X58">
        <f t="shared" si="15"/>
        <v>-3.3541368294505838E-2</v>
      </c>
      <c r="Y58">
        <f t="shared" si="16"/>
        <v>0.29982110659422551</v>
      </c>
      <c r="Z58" s="33">
        <f t="shared" si="4"/>
        <v>0.12895678399793276</v>
      </c>
      <c r="AA58" s="33">
        <f t="shared" si="5"/>
        <v>0.5</v>
      </c>
      <c r="AB58">
        <f t="shared" si="6"/>
        <v>7.971277261537997E-2</v>
      </c>
      <c r="AC58" s="1">
        <f t="shared" si="7"/>
        <v>-0.81832770722592307</v>
      </c>
      <c r="AD58" s="35">
        <f>IF(W58&gt;=FinalAgeForPremium, AE58*Delta-Z58*(Y58-AE58),AE58*Delta+PremiumRevisedForLimitedTerm-Z58*(Y58-AE58))</f>
        <v>-3.7529026885609426E-2</v>
      </c>
      <c r="AE58" s="35">
        <f>AE57-StepSize*AD57</f>
        <v>6.3419713415077657E-3</v>
      </c>
      <c r="AF58" s="1"/>
    </row>
    <row r="59" spans="11:32" x14ac:dyDescent="0.45">
      <c r="K59" s="40">
        <f t="shared" si="8"/>
        <v>0.34</v>
      </c>
      <c r="L59" s="41">
        <f t="shared" si="0"/>
        <v>20.34</v>
      </c>
      <c r="M59">
        <f t="shared" si="9"/>
        <v>0.98233891976290766</v>
      </c>
      <c r="N59">
        <f t="shared" si="10"/>
        <v>1.76610802370923E-2</v>
      </c>
      <c r="O59">
        <f t="shared" si="1"/>
        <v>5.7710517419455674E-2</v>
      </c>
      <c r="P59">
        <f t="shared" si="2"/>
        <v>0.5</v>
      </c>
      <c r="Q59">
        <f t="shared" si="11"/>
        <v>-4.7860747222240402E-2</v>
      </c>
      <c r="R59" s="6">
        <f t="shared" si="12"/>
        <v>4.7860747222240402E-2</v>
      </c>
      <c r="S59" s="18">
        <f t="shared" si="13"/>
        <v>1</v>
      </c>
      <c r="T59" s="15"/>
      <c r="U59" s="15"/>
      <c r="V59" s="40">
        <f t="shared" si="14"/>
        <v>9.66</v>
      </c>
      <c r="W59" s="41">
        <f t="shared" si="3"/>
        <v>29.66</v>
      </c>
      <c r="X59">
        <f t="shared" si="15"/>
        <v>-3.4338496020659637E-2</v>
      </c>
      <c r="Y59">
        <f t="shared" si="16"/>
        <v>0.30800438366648475</v>
      </c>
      <c r="Z59" s="33">
        <f t="shared" si="4"/>
        <v>0.12884569988407671</v>
      </c>
      <c r="AA59" s="33">
        <f t="shared" si="5"/>
        <v>0.5</v>
      </c>
      <c r="AB59">
        <f t="shared" si="6"/>
        <v>7.8552860962694288E-2</v>
      </c>
      <c r="AC59" s="1">
        <f t="shared" si="7"/>
        <v>-0.81342834097310357</v>
      </c>
      <c r="AD59" s="35">
        <f>IF(W59&gt;=FinalAgeForPremium, AE59*Delta-Z59*(Y59-AE59),AE59*Delta+PremiumRevisedForLimitedTerm-Z59*(Y59-AE59))</f>
        <v>-3.8483687026861946E-2</v>
      </c>
      <c r="AE59" s="35">
        <f>AE58-StepSize*AD58</f>
        <v>6.7172616103638597E-3</v>
      </c>
      <c r="AF59" s="1"/>
    </row>
    <row r="60" spans="11:32" x14ac:dyDescent="0.45">
      <c r="K60" s="40">
        <f t="shared" si="8"/>
        <v>0.35</v>
      </c>
      <c r="L60" s="41">
        <f t="shared" si="0"/>
        <v>20.350000000000001</v>
      </c>
      <c r="M60">
        <f t="shared" si="9"/>
        <v>0.98186031229068527</v>
      </c>
      <c r="N60">
        <f t="shared" si="10"/>
        <v>1.8139687709314702E-2</v>
      </c>
      <c r="O60">
        <f t="shared" si="1"/>
        <v>5.7760272449646703E-2</v>
      </c>
      <c r="P60">
        <f t="shared" si="2"/>
        <v>0.5</v>
      </c>
      <c r="Q60">
        <f t="shared" si="11"/>
        <v>-4.7642675290747824E-2</v>
      </c>
      <c r="R60" s="6">
        <f t="shared" si="12"/>
        <v>4.7642675290747824E-2</v>
      </c>
      <c r="S60" s="18">
        <f t="shared" si="13"/>
        <v>1</v>
      </c>
      <c r="T60" s="15"/>
      <c r="U60" s="15"/>
      <c r="V60" s="40">
        <f t="shared" si="14"/>
        <v>9.65</v>
      </c>
      <c r="W60" s="41">
        <f t="shared" si="3"/>
        <v>29.65</v>
      </c>
      <c r="X60">
        <f t="shared" si="15"/>
        <v>-3.5124024630286577E-2</v>
      </c>
      <c r="Y60">
        <f t="shared" si="16"/>
        <v>0.3161386670762158</v>
      </c>
      <c r="Z60" s="33">
        <f t="shared" si="4"/>
        <v>0.12873471145871382</v>
      </c>
      <c r="AA60" s="33">
        <f t="shared" si="5"/>
        <v>0.5</v>
      </c>
      <c r="AB60">
        <f t="shared" si="6"/>
        <v>7.7403291202785607E-2</v>
      </c>
      <c r="AC60" s="1">
        <f t="shared" si="7"/>
        <v>-0.80856172079293809</v>
      </c>
      <c r="AD60" s="35">
        <f>IF(W60&gt;=FinalAgeForPremium, AE60*Delta-Z60*(Y60-AE60),AE60*Delta+PremiumRevisedForLimitedTerm-Z60*(Y60-AE60))</f>
        <v>-3.9428628564311813E-2</v>
      </c>
      <c r="AE60" s="35">
        <f>AE59-StepSize*AD59</f>
        <v>7.1020984806324794E-3</v>
      </c>
      <c r="AF60" s="1"/>
    </row>
    <row r="61" spans="11:32" x14ac:dyDescent="0.45">
      <c r="K61" s="40">
        <f t="shared" si="8"/>
        <v>0.36</v>
      </c>
      <c r="L61" s="41">
        <f t="shared" si="0"/>
        <v>20.36</v>
      </c>
      <c r="M61">
        <f t="shared" si="9"/>
        <v>0.98138388553777778</v>
      </c>
      <c r="N61">
        <f t="shared" si="10"/>
        <v>1.861611446222218E-2</v>
      </c>
      <c r="O61">
        <f t="shared" si="1"/>
        <v>5.7810070376057315E-2</v>
      </c>
      <c r="P61">
        <f t="shared" si="2"/>
        <v>0.5</v>
      </c>
      <c r="Q61">
        <f t="shared" si="11"/>
        <v>-4.7425814257756417E-2</v>
      </c>
      <c r="R61" s="6">
        <f t="shared" si="12"/>
        <v>4.7425814257756417E-2</v>
      </c>
      <c r="S61" s="18">
        <f t="shared" si="13"/>
        <v>1</v>
      </c>
      <c r="T61" s="15"/>
      <c r="U61" s="15"/>
      <c r="V61" s="40">
        <f t="shared" si="14"/>
        <v>9.64</v>
      </c>
      <c r="W61" s="41">
        <f t="shared" si="3"/>
        <v>29.64</v>
      </c>
      <c r="X61">
        <f t="shared" si="15"/>
        <v>-3.5898057542314434E-2</v>
      </c>
      <c r="Y61">
        <f t="shared" si="16"/>
        <v>0.32422428428414518</v>
      </c>
      <c r="Z61" s="33">
        <f t="shared" si="4"/>
        <v>0.1286238186394176</v>
      </c>
      <c r="AA61" s="33">
        <f t="shared" si="5"/>
        <v>0.5</v>
      </c>
      <c r="AB61">
        <f t="shared" si="6"/>
        <v>7.6263980037143048E-2</v>
      </c>
      <c r="AC61" s="1">
        <f t="shared" si="7"/>
        <v>-0.80372761487256295</v>
      </c>
      <c r="AD61" s="35">
        <f>IF(W61&gt;=FinalAgeForPremium, AE61*Delta-Z61*(Y61-AE61),AE61*Delta+PremiumRevisedForLimitedTerm-Z61*(Y61-AE61))</f>
        <v>-4.036393266731636E-2</v>
      </c>
      <c r="AE61" s="35">
        <f>AE60-StepSize*AD60</f>
        <v>7.4963847662755977E-3</v>
      </c>
      <c r="AF61" s="1"/>
    </row>
    <row r="62" spans="11:32" x14ac:dyDescent="0.45">
      <c r="K62" s="40">
        <f t="shared" si="8"/>
        <v>0.37</v>
      </c>
      <c r="L62" s="41">
        <f t="shared" si="0"/>
        <v>20.37</v>
      </c>
      <c r="M62">
        <f t="shared" si="9"/>
        <v>0.98090962739520027</v>
      </c>
      <c r="N62">
        <f t="shared" si="10"/>
        <v>1.9090372604799743E-2</v>
      </c>
      <c r="O62">
        <f t="shared" si="1"/>
        <v>5.7859911235670476E-2</v>
      </c>
      <c r="P62">
        <f t="shared" si="2"/>
        <v>0.5</v>
      </c>
      <c r="Q62">
        <f t="shared" si="11"/>
        <v>-4.7210157668901014E-2</v>
      </c>
      <c r="R62" s="6">
        <f t="shared" si="12"/>
        <v>4.7210157668901014E-2</v>
      </c>
      <c r="S62" s="18">
        <f t="shared" si="13"/>
        <v>1</v>
      </c>
      <c r="T62" s="15"/>
      <c r="U62" s="15"/>
      <c r="V62" s="40">
        <f t="shared" si="14"/>
        <v>9.6300000000000008</v>
      </c>
      <c r="W62" s="41">
        <f t="shared" si="3"/>
        <v>29.630000000000003</v>
      </c>
      <c r="X62">
        <f t="shared" si="15"/>
        <v>-3.6660697342685865E-2</v>
      </c>
      <c r="Y62">
        <f t="shared" si="16"/>
        <v>0.33226156043287081</v>
      </c>
      <c r="Z62" s="33">
        <f t="shared" si="4"/>
        <v>0.12851302134383241</v>
      </c>
      <c r="AA62" s="33">
        <f t="shared" si="5"/>
        <v>0.5</v>
      </c>
      <c r="AB62">
        <f t="shared" si="6"/>
        <v>7.5134844842488419E-2</v>
      </c>
      <c r="AC62" s="1">
        <f t="shared" si="7"/>
        <v>-0.7989257930905781</v>
      </c>
      <c r="AD62" s="35">
        <f>IF(W62&gt;=FinalAgeForPremium, AE62*Delta-Z62*(Y62-AE62),AE62*Delta+PremiumRevisedForLimitedTerm-Z62*(Y62-AE62))</f>
        <v>-4.128967983812324E-2</v>
      </c>
      <c r="AE62" s="35">
        <f>AE61-StepSize*AD61</f>
        <v>7.9000240929487618E-3</v>
      </c>
      <c r="AF62" s="1"/>
    </row>
    <row r="63" spans="11:32" x14ac:dyDescent="0.45">
      <c r="K63" s="40">
        <f t="shared" si="8"/>
        <v>0.38</v>
      </c>
      <c r="L63" s="41">
        <f t="shared" si="0"/>
        <v>20.38</v>
      </c>
      <c r="M63">
        <f t="shared" si="9"/>
        <v>0.98043752581851129</v>
      </c>
      <c r="N63">
        <f t="shared" si="10"/>
        <v>1.9562474181488754E-2</v>
      </c>
      <c r="O63">
        <f t="shared" si="1"/>
        <v>5.7909795065500938E-2</v>
      </c>
      <c r="P63">
        <f t="shared" si="2"/>
        <v>0.5</v>
      </c>
      <c r="Q63">
        <f t="shared" si="11"/>
        <v>-4.6995699103932399E-2</v>
      </c>
      <c r="R63" s="6">
        <f t="shared" si="12"/>
        <v>4.6995699103932399E-2</v>
      </c>
      <c r="S63" s="18">
        <f t="shared" si="13"/>
        <v>1</v>
      </c>
      <c r="T63" s="15"/>
      <c r="U63" s="15"/>
      <c r="V63" s="40">
        <f t="shared" si="14"/>
        <v>9.6199999999999992</v>
      </c>
      <c r="W63" s="41">
        <f t="shared" si="3"/>
        <v>29.619999999999997</v>
      </c>
      <c r="X63">
        <f t="shared" si="15"/>
        <v>-3.7412045791110751E-2</v>
      </c>
      <c r="Y63">
        <f t="shared" si="16"/>
        <v>0.34025081836377657</v>
      </c>
      <c r="Z63" s="33">
        <f t="shared" si="4"/>
        <v>0.12840231948967337</v>
      </c>
      <c r="AA63" s="33">
        <f t="shared" si="5"/>
        <v>0.5</v>
      </c>
      <c r="AB63">
        <f t="shared" si="6"/>
        <v>7.4015803665191171E-2</v>
      </c>
      <c r="AC63" s="1">
        <f t="shared" si="7"/>
        <v>-0.79415602700436749</v>
      </c>
      <c r="AD63" s="35">
        <f>IF(W63&gt;=FinalAgeForPremium, AE63*Delta-Z63*(Y63-AE63),AE63*Delta+PremiumRevisedForLimitedTerm-Z63*(Y63-AE63))</f>
        <v>-4.2205949917421028E-2</v>
      </c>
      <c r="AE63" s="35">
        <f>AE62-StepSize*AD62</f>
        <v>8.3129208913299939E-3</v>
      </c>
      <c r="AF63" s="1"/>
    </row>
    <row r="64" spans="11:32" x14ac:dyDescent="0.45">
      <c r="K64" s="40">
        <f t="shared" si="8"/>
        <v>0.39</v>
      </c>
      <c r="L64" s="41">
        <f t="shared" si="0"/>
        <v>20.39</v>
      </c>
      <c r="M64">
        <f t="shared" si="9"/>
        <v>0.97996756882747194</v>
      </c>
      <c r="N64">
        <f t="shared" si="10"/>
        <v>2.0032431172528078E-2</v>
      </c>
      <c r="O64">
        <f t="shared" si="1"/>
        <v>5.7959721902595435E-2</v>
      </c>
      <c r="P64">
        <f t="shared" si="2"/>
        <v>0.5</v>
      </c>
      <c r="Q64">
        <f t="shared" si="11"/>
        <v>-4.6782432176538782E-2</v>
      </c>
      <c r="R64" s="6">
        <f t="shared" si="12"/>
        <v>4.6782432176538782E-2</v>
      </c>
      <c r="S64" s="18">
        <f t="shared" si="13"/>
        <v>1</v>
      </c>
      <c r="T64" s="15"/>
      <c r="U64" s="15"/>
      <c r="V64" s="40">
        <f t="shared" si="14"/>
        <v>9.61</v>
      </c>
      <c r="W64" s="41">
        <f t="shared" si="3"/>
        <v>29.61</v>
      </c>
      <c r="X64">
        <f t="shared" si="15"/>
        <v>-3.815220382776266E-2</v>
      </c>
      <c r="Y64">
        <f t="shared" si="16"/>
        <v>0.34819237863382024</v>
      </c>
      <c r="Z64" s="33">
        <f t="shared" si="4"/>
        <v>0.128291712994727</v>
      </c>
      <c r="AA64" s="33">
        <f t="shared" si="5"/>
        <v>0.5</v>
      </c>
      <c r="AB64">
        <f t="shared" si="6"/>
        <v>7.2906775215730496E-2</v>
      </c>
      <c r="AC64" s="1">
        <f t="shared" si="7"/>
        <v>-0.7894180898375176</v>
      </c>
      <c r="AD64" s="35">
        <f>IF(W64&gt;=FinalAgeForPremium, AE64*Delta-Z64*(Y64-AE64),AE64*Delta+PremiumRevisedForLimitedTerm-Z64*(Y64-AE64))</f>
        <v>-4.3112822089843038E-2</v>
      </c>
      <c r="AE64" s="35">
        <f>AE63-StepSize*AD63</f>
        <v>8.7349803905042035E-3</v>
      </c>
      <c r="AF64" s="1"/>
    </row>
    <row r="65" spans="11:32" x14ac:dyDescent="0.45">
      <c r="K65" s="40">
        <f t="shared" si="8"/>
        <v>0.4</v>
      </c>
      <c r="L65" s="41">
        <f t="shared" si="0"/>
        <v>20.399999999999999</v>
      </c>
      <c r="M65">
        <f t="shared" si="9"/>
        <v>0.97949974450570654</v>
      </c>
      <c r="N65">
        <f t="shared" si="10"/>
        <v>2.0500255494293466E-2</v>
      </c>
      <c r="O65">
        <f t="shared" si="1"/>
        <v>5.800969178403257E-2</v>
      </c>
      <c r="P65">
        <f t="shared" si="2"/>
        <v>0.5</v>
      </c>
      <c r="Q65">
        <f t="shared" si="11"/>
        <v>-4.6570350534167956E-2</v>
      </c>
      <c r="R65" s="6">
        <f t="shared" si="12"/>
        <v>4.6570350534167956E-2</v>
      </c>
      <c r="S65" s="18">
        <f t="shared" si="13"/>
        <v>1</v>
      </c>
      <c r="T65" s="15"/>
      <c r="U65" s="15"/>
      <c r="V65" s="40">
        <f t="shared" si="14"/>
        <v>9.6</v>
      </c>
      <c r="W65" s="41">
        <f t="shared" si="3"/>
        <v>29.6</v>
      </c>
      <c r="X65">
        <f t="shared" si="15"/>
        <v>-3.8881271579919961E-2</v>
      </c>
      <c r="Y65">
        <f t="shared" si="16"/>
        <v>0.35608655953219542</v>
      </c>
      <c r="Z65" s="33">
        <f t="shared" si="4"/>
        <v>0.12818120177685022</v>
      </c>
      <c r="AA65" s="33">
        <f t="shared" si="5"/>
        <v>0.5</v>
      </c>
      <c r="AB65">
        <f t="shared" si="6"/>
        <v>7.1807678863204716E-2</v>
      </c>
      <c r="AC65" s="1">
        <f t="shared" si="7"/>
        <v>-0.78471175646733249</v>
      </c>
      <c r="AD65" s="35">
        <f>IF(W65&gt;=FinalAgeForPremium, AE65*Delta-Z65*(Y65-AE65),AE65*Delta+PremiumRevisedForLimitedTerm-Z65*(Y65-AE65))</f>
        <v>-4.4010374889423866E-2</v>
      </c>
      <c r="AE65" s="35">
        <f>AE64-StepSize*AD64</f>
        <v>9.1661086114026343E-3</v>
      </c>
      <c r="AF65" s="1"/>
    </row>
    <row r="66" spans="11:32" x14ac:dyDescent="0.45">
      <c r="K66" s="40">
        <f t="shared" si="8"/>
        <v>0.41</v>
      </c>
      <c r="L66" s="41">
        <f t="shared" si="0"/>
        <v>20.41</v>
      </c>
      <c r="M66">
        <f t="shared" si="9"/>
        <v>0.97903404100036484</v>
      </c>
      <c r="N66">
        <f t="shared" si="10"/>
        <v>2.0965958999635145E-2</v>
      </c>
      <c r="O66">
        <f t="shared" si="1"/>
        <v>5.8059704746922992E-2</v>
      </c>
      <c r="P66">
        <f t="shared" si="2"/>
        <v>0.5</v>
      </c>
      <c r="Q66">
        <f t="shared" si="11"/>
        <v>-4.6359447857850511E-2</v>
      </c>
      <c r="R66" s="6">
        <f t="shared" si="12"/>
        <v>4.6359447857850511E-2</v>
      </c>
      <c r="S66" s="18">
        <f t="shared" si="13"/>
        <v>1</v>
      </c>
      <c r="T66" s="15"/>
      <c r="U66" s="15"/>
      <c r="V66" s="40">
        <f t="shared" si="14"/>
        <v>9.59</v>
      </c>
      <c r="W66" s="41">
        <f t="shared" si="3"/>
        <v>29.59</v>
      </c>
      <c r="X66">
        <f t="shared" si="15"/>
        <v>-3.9599348368552008E-2</v>
      </c>
      <c r="Y66">
        <f t="shared" si="16"/>
        <v>0.36393367709686875</v>
      </c>
      <c r="Z66" s="33">
        <f t="shared" si="4"/>
        <v>0.12807078575397063</v>
      </c>
      <c r="AA66" s="33">
        <f t="shared" si="5"/>
        <v>0.5</v>
      </c>
      <c r="AB66">
        <f t="shared" si="6"/>
        <v>7.0718434629886584E-2</v>
      </c>
      <c r="AC66" s="1">
        <f t="shared" si="7"/>
        <v>-0.78003680341244619</v>
      </c>
      <c r="AD66" s="35">
        <f>IF(W66&gt;=FinalAgeForPremium, AE66*Delta-Z66*(Y66-AE66),AE66*Delta+PremiumRevisedForLimitedTerm-Z66*(Y66-AE66))</f>
        <v>-4.4898686205010238E-2</v>
      </c>
      <c r="AE66" s="35">
        <f>AE65-StepSize*AD65</f>
        <v>9.6062123602968733E-3</v>
      </c>
      <c r="AF66" s="1"/>
    </row>
    <row r="67" spans="11:32" x14ac:dyDescent="0.45">
      <c r="K67" s="40">
        <f t="shared" si="8"/>
        <v>0.42</v>
      </c>
      <c r="L67" s="41">
        <f t="shared" si="0"/>
        <v>20.420000000000002</v>
      </c>
      <c r="M67">
        <f t="shared" si="9"/>
        <v>0.97857044652178637</v>
      </c>
      <c r="N67">
        <f t="shared" si="10"/>
        <v>2.142955347821365E-2</v>
      </c>
      <c r="O67">
        <f t="shared" si="1"/>
        <v>5.8109760828409289E-2</v>
      </c>
      <c r="P67">
        <f t="shared" si="2"/>
        <v>0.5</v>
      </c>
      <c r="Q67">
        <f t="shared" si="11"/>
        <v>-4.6149717862023862E-2</v>
      </c>
      <c r="R67" s="6">
        <f t="shared" si="12"/>
        <v>4.6149717862023862E-2</v>
      </c>
      <c r="S67" s="18">
        <f t="shared" si="13"/>
        <v>1</v>
      </c>
      <c r="T67" s="15"/>
      <c r="U67" s="15"/>
      <c r="V67" s="40">
        <f t="shared" si="14"/>
        <v>9.58</v>
      </c>
      <c r="W67" s="41">
        <f t="shared" si="3"/>
        <v>29.58</v>
      </c>
      <c r="X67">
        <f t="shared" si="15"/>
        <v>-4.0306532714850872E-2</v>
      </c>
      <c r="Y67">
        <f t="shared" si="16"/>
        <v>0.37173404513099323</v>
      </c>
      <c r="Z67" s="33">
        <f t="shared" si="4"/>
        <v>0.12796046484408688</v>
      </c>
      <c r="AA67" s="33">
        <f t="shared" si="5"/>
        <v>0.5</v>
      </c>
      <c r="AB67">
        <f t="shared" si="6"/>
        <v>6.9638963185824743E-2</v>
      </c>
      <c r="AC67" s="1">
        <f t="shared" si="7"/>
        <v>-0.77539300882052831</v>
      </c>
      <c r="AD67" s="35">
        <f>IF(W67&gt;=FinalAgeForPremium, AE67*Delta-Z67*(Y67-AE67),AE67*Delta+PremiumRevisedForLimitedTerm-Z67*(Y67-AE67))</f>
        <v>-4.5777833285625895E-2</v>
      </c>
      <c r="AE67" s="35">
        <f>AE66-StepSize*AD66</f>
        <v>1.0055199222346975E-2</v>
      </c>
      <c r="AF67" s="1"/>
    </row>
    <row r="68" spans="11:32" x14ac:dyDescent="0.45">
      <c r="K68" s="40">
        <f t="shared" si="8"/>
        <v>0.43</v>
      </c>
      <c r="L68" s="41">
        <f t="shared" si="0"/>
        <v>20.43</v>
      </c>
      <c r="M68">
        <f t="shared" si="9"/>
        <v>0.97810894934316617</v>
      </c>
      <c r="N68">
        <f t="shared" si="10"/>
        <v>2.1891050656833888E-2</v>
      </c>
      <c r="O68">
        <f t="shared" si="1"/>
        <v>5.8159860065666091E-2</v>
      </c>
      <c r="P68">
        <f t="shared" si="2"/>
        <v>0.5</v>
      </c>
      <c r="Q68">
        <f t="shared" si="11"/>
        <v>-4.5941154294357286E-2</v>
      </c>
      <c r="R68" s="6">
        <f t="shared" si="12"/>
        <v>4.5941154294357286E-2</v>
      </c>
      <c r="S68" s="18">
        <f t="shared" si="13"/>
        <v>1</v>
      </c>
      <c r="T68" s="15"/>
      <c r="U68" s="15"/>
      <c r="V68" s="40">
        <f t="shared" si="14"/>
        <v>9.57</v>
      </c>
      <c r="W68" s="41">
        <f t="shared" si="3"/>
        <v>29.57</v>
      </c>
      <c r="X68">
        <f t="shared" si="15"/>
        <v>-4.1002922346709117E-2</v>
      </c>
      <c r="Y68">
        <f t="shared" si="16"/>
        <v>0.37948797521919853</v>
      </c>
      <c r="Z68" s="33">
        <f t="shared" si="4"/>
        <v>0.12785023896526818</v>
      </c>
      <c r="AA68" s="33">
        <f t="shared" si="5"/>
        <v>0.5</v>
      </c>
      <c r="AB68">
        <f t="shared" si="6"/>
        <v>6.8569185843490824E-2</v>
      </c>
      <c r="AC68" s="1">
        <f t="shared" si="7"/>
        <v>-0.77078015245608622</v>
      </c>
      <c r="AD68" s="35">
        <f>IF(W68&gt;=FinalAgeForPremium, AE68*Delta-Z68*(Y68-AE68),AE68*Delta+PremiumRevisedForLimitedTerm-Z68*(Y68-AE68))</f>
        <v>-4.6647892745790905E-2</v>
      </c>
      <c r="AE68" s="35">
        <f>AE67-StepSize*AD67</f>
        <v>1.0512977555203234E-2</v>
      </c>
      <c r="AF68" s="1"/>
    </row>
    <row r="69" spans="11:32" x14ac:dyDescent="0.45">
      <c r="K69" s="40">
        <f t="shared" si="8"/>
        <v>0.44</v>
      </c>
      <c r="L69" s="41">
        <f t="shared" si="0"/>
        <v>20.440000000000001</v>
      </c>
      <c r="M69">
        <f t="shared" si="9"/>
        <v>0.97764953780022257</v>
      </c>
      <c r="N69">
        <f t="shared" si="10"/>
        <v>2.235046219977746E-2</v>
      </c>
      <c r="O69">
        <f t="shared" si="1"/>
        <v>5.8210002495900089E-2</v>
      </c>
      <c r="P69">
        <f t="shared" si="2"/>
        <v>0.5</v>
      </c>
      <c r="Q69">
        <f t="shared" si="11"/>
        <v>-4.5733750935577792E-2</v>
      </c>
      <c r="R69" s="6">
        <f t="shared" si="12"/>
        <v>4.5733750935577792E-2</v>
      </c>
      <c r="S69" s="18">
        <f t="shared" si="13"/>
        <v>1</v>
      </c>
      <c r="T69" s="15"/>
      <c r="U69" s="15"/>
      <c r="V69" s="40">
        <f t="shared" si="14"/>
        <v>9.56</v>
      </c>
      <c r="W69" s="41">
        <f t="shared" si="3"/>
        <v>29.560000000000002</v>
      </c>
      <c r="X69">
        <f t="shared" si="15"/>
        <v>-4.1688614205144026E-2</v>
      </c>
      <c r="Y69">
        <f t="shared" si="16"/>
        <v>0.38719577674375938</v>
      </c>
      <c r="Z69" s="33">
        <f t="shared" si="4"/>
        <v>0.12774010803565408</v>
      </c>
      <c r="AA69" s="33">
        <f t="shared" si="5"/>
        <v>0.5</v>
      </c>
      <c r="AB69">
        <f t="shared" si="6"/>
        <v>6.7509024552471847E-2</v>
      </c>
      <c r="AC69" s="1">
        <f t="shared" si="7"/>
        <v>-0.76619801568836032</v>
      </c>
      <c r="AD69" s="35">
        <f>IF(W69&gt;=FinalAgeForPremium, AE69*Delta-Z69*(Y69-AE69),AE69*Delta+PremiumRevisedForLimitedTerm-Z69*(Y69-AE69))</f>
        <v>-4.7508940570795868E-2</v>
      </c>
      <c r="AE69" s="35">
        <f>AE68-StepSize*AD68</f>
        <v>1.0979456482661142E-2</v>
      </c>
      <c r="AF69" s="1"/>
    </row>
    <row r="70" spans="11:32" x14ac:dyDescent="0.45">
      <c r="K70" s="40">
        <f t="shared" si="8"/>
        <v>0.45</v>
      </c>
      <c r="L70" s="41">
        <f t="shared" si="0"/>
        <v>20.45</v>
      </c>
      <c r="M70">
        <f t="shared" si="9"/>
        <v>0.97719220029086684</v>
      </c>
      <c r="N70">
        <f t="shared" si="10"/>
        <v>2.2807799709133238E-2</v>
      </c>
      <c r="O70">
        <f t="shared" si="1"/>
        <v>5.8260188156350007E-2</v>
      </c>
      <c r="P70">
        <f t="shared" si="2"/>
        <v>0.5</v>
      </c>
      <c r="Q70">
        <f t="shared" si="11"/>
        <v>-4.5527501599296943E-2</v>
      </c>
      <c r="R70" s="6">
        <f t="shared" si="12"/>
        <v>4.5527501599296943E-2</v>
      </c>
      <c r="S70" s="18">
        <f t="shared" si="13"/>
        <v>1</v>
      </c>
      <c r="T70" s="15"/>
      <c r="U70" s="15"/>
      <c r="V70" s="40">
        <f t="shared" si="14"/>
        <v>9.5500000000000007</v>
      </c>
      <c r="W70" s="41">
        <f t="shared" si="3"/>
        <v>29.55</v>
      </c>
      <c r="X70">
        <f t="shared" si="15"/>
        <v>-4.2363704450668747E-2</v>
      </c>
      <c r="Y70">
        <f t="shared" si="16"/>
        <v>0.39485775690064301</v>
      </c>
      <c r="Z70" s="33">
        <f t="shared" si="4"/>
        <v>0.12763007197345472</v>
      </c>
      <c r="AA70" s="33">
        <f t="shared" si="5"/>
        <v>0.5</v>
      </c>
      <c r="AB70">
        <f t="shared" si="6"/>
        <v>6.6458401894207264E-2</v>
      </c>
      <c r="AC70" s="1">
        <f t="shared" si="7"/>
        <v>-0.76164638147931196</v>
      </c>
      <c r="AD70" s="35">
        <f>IF(W70&gt;=FinalAgeForPremium, AE70*Delta-Z70*(Y70-AE70),AE70*Delta+PremiumRevisedForLimitedTerm-Z70*(Y70-AE70))</f>
        <v>-4.8361052121931709E-2</v>
      </c>
      <c r="AE70" s="35">
        <f>AE69-StepSize*AD69</f>
        <v>1.1454545888369101E-2</v>
      </c>
      <c r="AF70" s="1"/>
    </row>
    <row r="71" spans="11:32" x14ac:dyDescent="0.45">
      <c r="K71" s="40">
        <f t="shared" si="8"/>
        <v>0.46</v>
      </c>
      <c r="L71" s="41">
        <f t="shared" si="0"/>
        <v>20.46</v>
      </c>
      <c r="M71">
        <f t="shared" si="9"/>
        <v>0.97673692527487388</v>
      </c>
      <c r="N71">
        <f t="shared" si="10"/>
        <v>2.3263074725126207E-2</v>
      </c>
      <c r="O71">
        <f t="shared" si="1"/>
        <v>5.8310417084286748E-2</v>
      </c>
      <c r="P71">
        <f t="shared" si="2"/>
        <v>0.5</v>
      </c>
      <c r="Q71">
        <f t="shared" si="11"/>
        <v>-4.5322400131838615E-2</v>
      </c>
      <c r="R71" s="6">
        <f t="shared" si="12"/>
        <v>4.5322400131838615E-2</v>
      </c>
      <c r="S71" s="18">
        <f t="shared" si="13"/>
        <v>1</v>
      </c>
      <c r="T71" s="15"/>
      <c r="U71" s="15"/>
      <c r="V71" s="40">
        <f t="shared" si="14"/>
        <v>9.5399999999999991</v>
      </c>
      <c r="W71" s="41">
        <f t="shared" si="3"/>
        <v>29.54</v>
      </c>
      <c r="X71">
        <f t="shared" si="15"/>
        <v>-4.302828846961082E-2</v>
      </c>
      <c r="Y71">
        <f t="shared" si="16"/>
        <v>0.40247422071543615</v>
      </c>
      <c r="Z71" s="33">
        <f t="shared" si="4"/>
        <v>0.12752013069695095</v>
      </c>
      <c r="AA71" s="33">
        <f t="shared" si="5"/>
        <v>0.5</v>
      </c>
      <c r="AB71">
        <f t="shared" si="6"/>
        <v>6.5417241076770327E-2</v>
      </c>
      <c r="AC71" s="1">
        <f t="shared" si="7"/>
        <v>-0.75712503437170464</v>
      </c>
      <c r="AD71" s="35">
        <f>IF(W71&gt;=FinalAgeForPremium, AE71*Delta-Z71*(Y71-AE71),AE71*Delta+PremiumRevisedForLimitedTerm-Z71*(Y71-AE71))</f>
        <v>-4.9204302141675128E-2</v>
      </c>
      <c r="AE71" s="35">
        <f>AE70-StepSize*AD70</f>
        <v>1.1938156409588417E-2</v>
      </c>
      <c r="AF71" s="1"/>
    </row>
    <row r="72" spans="11:32" x14ac:dyDescent="0.45">
      <c r="K72" s="40">
        <f t="shared" si="8"/>
        <v>0.47</v>
      </c>
      <c r="L72" s="41">
        <f t="shared" si="0"/>
        <v>20.47</v>
      </c>
      <c r="M72">
        <f t="shared" si="9"/>
        <v>0.97628370127355546</v>
      </c>
      <c r="N72">
        <f t="shared" si="10"/>
        <v>2.3716298726444592E-2</v>
      </c>
      <c r="O72">
        <f t="shared" si="1"/>
        <v>5.8360689317013263E-2</v>
      </c>
      <c r="P72">
        <f t="shared" si="2"/>
        <v>0.5</v>
      </c>
      <c r="Q72">
        <f t="shared" si="11"/>
        <v>-4.5118440412067459E-2</v>
      </c>
      <c r="R72" s="6">
        <f t="shared" si="12"/>
        <v>4.5118440412067459E-2</v>
      </c>
      <c r="S72" s="18">
        <f t="shared" si="13"/>
        <v>1</v>
      </c>
      <c r="T72" s="15"/>
      <c r="U72" s="15"/>
      <c r="V72" s="40">
        <f t="shared" si="14"/>
        <v>9.5299999999999994</v>
      </c>
      <c r="W72" s="41">
        <f t="shared" si="3"/>
        <v>29.53</v>
      </c>
      <c r="X72">
        <f t="shared" si="15"/>
        <v>-4.3682460880378526E-2</v>
      </c>
      <c r="Y72">
        <f t="shared" si="16"/>
        <v>0.41004547105915318</v>
      </c>
      <c r="Z72" s="33">
        <f t="shared" si="4"/>
        <v>0.12741028412449373</v>
      </c>
      <c r="AA72" s="33">
        <f t="shared" si="5"/>
        <v>0.5</v>
      </c>
      <c r="AB72">
        <f t="shared" si="6"/>
        <v>6.4385465929694047E-2</v>
      </c>
      <c r="AC72" s="1">
        <f t="shared" si="7"/>
        <v>-0.75263376047727648</v>
      </c>
      <c r="AD72" s="35">
        <f>IF(W72&gt;=FinalAgeForPremium, AE72*Delta-Z72*(Y72-AE72),AE72*Delta+PremiumRevisedForLimitedTerm-Z72*(Y72-AE72))</f>
        <v>-5.0038764758829839E-2</v>
      </c>
      <c r="AE72" s="35">
        <f>AE71-StepSize*AD71</f>
        <v>1.2430199431005168E-2</v>
      </c>
      <c r="AF72" s="1"/>
    </row>
    <row r="73" spans="11:32" x14ac:dyDescent="0.45">
      <c r="K73" s="40">
        <f t="shared" si="8"/>
        <v>0.48</v>
      </c>
      <c r="L73" s="41">
        <f t="shared" si="0"/>
        <v>20.48</v>
      </c>
      <c r="M73">
        <f t="shared" si="9"/>
        <v>0.97583251686943484</v>
      </c>
      <c r="N73">
        <f t="shared" si="10"/>
        <v>2.4167483130565267E-2</v>
      </c>
      <c r="O73">
        <f t="shared" si="1"/>
        <v>5.8411004891864765E-2</v>
      </c>
      <c r="P73">
        <f t="shared" si="2"/>
        <v>0.5</v>
      </c>
      <c r="Q73">
        <f t="shared" si="11"/>
        <v>-4.4915616351218629E-2</v>
      </c>
      <c r="R73" s="6">
        <f t="shared" si="12"/>
        <v>4.4915616351218629E-2</v>
      </c>
      <c r="S73" s="18">
        <f t="shared" si="13"/>
        <v>1</v>
      </c>
      <c r="T73" s="15"/>
      <c r="U73" s="15"/>
      <c r="V73" s="40">
        <f t="shared" si="14"/>
        <v>9.52</v>
      </c>
      <c r="W73" s="41">
        <f t="shared" si="3"/>
        <v>29.52</v>
      </c>
      <c r="X73">
        <f t="shared" si="15"/>
        <v>-4.4326315539675469E-2</v>
      </c>
      <c r="Y73">
        <f t="shared" si="16"/>
        <v>0.41757180866392596</v>
      </c>
      <c r="Z73" s="33">
        <f t="shared" si="4"/>
        <v>0.12730053217450443</v>
      </c>
      <c r="AA73" s="33">
        <f t="shared" si="5"/>
        <v>0.5</v>
      </c>
      <c r="AB73">
        <f t="shared" si="6"/>
        <v>6.3363000898840074E-2</v>
      </c>
      <c r="AC73" s="1">
        <f t="shared" si="7"/>
        <v>-0.74817234746500305</v>
      </c>
      <c r="AD73" s="35">
        <f>IF(W73&gt;=FinalAgeForPremium, AE73*Delta-Z73*(Y73-AE73),AE73*Delta+PremiumRevisedForLimitedTerm-Z73*(Y73-AE73))</f>
        <v>-5.0864513493624725E-2</v>
      </c>
      <c r="AE73" s="35">
        <f>AE72-StepSize*AD72</f>
        <v>1.2930587078593467E-2</v>
      </c>
      <c r="AF73" s="1"/>
    </row>
    <row r="74" spans="11:32" x14ac:dyDescent="0.45">
      <c r="K74" s="40">
        <f t="shared" si="8"/>
        <v>0.49</v>
      </c>
      <c r="L74" s="41">
        <f t="shared" si="0"/>
        <v>20.49</v>
      </c>
      <c r="M74">
        <f t="shared" si="9"/>
        <v>0.97538336070592269</v>
      </c>
      <c r="N74">
        <f t="shared" si="10"/>
        <v>2.4616639294077453E-2</v>
      </c>
      <c r="O74">
        <f t="shared" si="1"/>
        <v>5.8461363846208522E-2</v>
      </c>
      <c r="P74">
        <f t="shared" si="2"/>
        <v>0.5</v>
      </c>
      <c r="Q74">
        <f t="shared" si="11"/>
        <v>-4.4713921892727868E-2</v>
      </c>
      <c r="R74" s="6">
        <f t="shared" si="12"/>
        <v>4.4713921892727868E-2</v>
      </c>
      <c r="S74" s="18">
        <f t="shared" si="13"/>
        <v>1.0000000000000002</v>
      </c>
      <c r="T74" s="15"/>
      <c r="U74" s="15"/>
      <c r="V74" s="40">
        <f t="shared" si="14"/>
        <v>9.51</v>
      </c>
      <c r="W74" s="41">
        <f t="shared" si="3"/>
        <v>29.509999999999998</v>
      </c>
      <c r="X74">
        <f t="shared" si="15"/>
        <v>-4.4959945548663872E-2</v>
      </c>
      <c r="Y74">
        <f t="shared" si="16"/>
        <v>0.425053532138576</v>
      </c>
      <c r="Z74" s="33">
        <f t="shared" si="4"/>
        <v>0.1271908747654748</v>
      </c>
      <c r="AA74" s="33">
        <f t="shared" si="5"/>
        <v>0.5</v>
      </c>
      <c r="AB74">
        <f t="shared" si="6"/>
        <v>6.2349771041311459E-2</v>
      </c>
      <c r="AC74" s="1">
        <f t="shared" si="7"/>
        <v>-0.74374058454945136</v>
      </c>
      <c r="AD74" s="35">
        <f>IF(W74&gt;=FinalAgeForPremium, AE74*Delta-Z74*(Y74-AE74),AE74*Delta+PremiumRevisedForLimitedTerm-Z74*(Y74-AE74))</f>
        <v>-5.1681621262768658E-2</v>
      </c>
      <c r="AE74" s="35">
        <f>AE73-StepSize*AD73</f>
        <v>1.3439232213529714E-2</v>
      </c>
      <c r="AF74" s="1"/>
    </row>
    <row r="75" spans="11:32" x14ac:dyDescent="0.45">
      <c r="K75" s="40">
        <f t="shared" si="8"/>
        <v>0.5</v>
      </c>
      <c r="L75" s="41">
        <f t="shared" si="0"/>
        <v>20.5</v>
      </c>
      <c r="M75">
        <f t="shared" si="9"/>
        <v>0.97493622148699544</v>
      </c>
      <c r="N75">
        <f t="shared" si="10"/>
        <v>2.5063778513004731E-2</v>
      </c>
      <c r="O75">
        <f t="shared" si="1"/>
        <v>5.8511766217444167E-2</v>
      </c>
      <c r="P75">
        <f t="shared" si="2"/>
        <v>0.5</v>
      </c>
      <c r="Q75">
        <f t="shared" si="11"/>
        <v>-4.4513351012063079E-2</v>
      </c>
      <c r="R75" s="6">
        <f t="shared" si="12"/>
        <v>4.4513351012063079E-2</v>
      </c>
      <c r="S75" s="18">
        <f t="shared" si="13"/>
        <v>1.0000000000000002</v>
      </c>
      <c r="T75" s="15"/>
      <c r="U75" s="15"/>
      <c r="V75" s="40">
        <f t="shared" si="14"/>
        <v>9.5</v>
      </c>
      <c r="W75" s="41">
        <f t="shared" si="3"/>
        <v>29.5</v>
      </c>
      <c r="X75">
        <f t="shared" si="15"/>
        <v>-4.558344325907699E-2</v>
      </c>
      <c r="Y75">
        <f t="shared" si="16"/>
        <v>0.43249093798407051</v>
      </c>
      <c r="Z75" s="33">
        <f t="shared" si="4"/>
        <v>0.12708131181596666</v>
      </c>
      <c r="AA75" s="33">
        <f t="shared" si="5"/>
        <v>0.5</v>
      </c>
      <c r="AB75">
        <f t="shared" si="6"/>
        <v>6.1345702020408059E-2</v>
      </c>
      <c r="AC75" s="1">
        <f t="shared" si="7"/>
        <v>-0.73933826247922263</v>
      </c>
      <c r="AD75" s="35">
        <f>IF(W75&gt;=FinalAgeForPremium, AE75*Delta-Z75*(Y75-AE75),AE75*Delta+PremiumRevisedForLimitedTerm-Z75*(Y75-AE75))</f>
        <v>-5.2490160384462456E-2</v>
      </c>
      <c r="AE75" s="35">
        <f>AE74-StepSize*AD74</f>
        <v>1.39560484261574E-2</v>
      </c>
      <c r="AF75" s="1"/>
    </row>
    <row r="76" spans="11:32" x14ac:dyDescent="0.45">
      <c r="K76" s="40">
        <f t="shared" si="8"/>
        <v>0.51</v>
      </c>
      <c r="L76" s="41">
        <f t="shared" si="0"/>
        <v>20.51</v>
      </c>
      <c r="M76">
        <f t="shared" si="9"/>
        <v>0.97449108797687478</v>
      </c>
      <c r="N76">
        <f t="shared" si="10"/>
        <v>2.5508912023125361E-2</v>
      </c>
      <c r="O76">
        <f t="shared" si="1"/>
        <v>5.8562212043003478E-2</v>
      </c>
      <c r="P76">
        <f t="shared" si="2"/>
        <v>0.5</v>
      </c>
      <c r="Q76">
        <f t="shared" si="11"/>
        <v>-4.4313897716556222E-2</v>
      </c>
      <c r="R76" s="6">
        <f t="shared" si="12"/>
        <v>4.4313897716556222E-2</v>
      </c>
      <c r="S76" s="18">
        <f t="shared" si="13"/>
        <v>1.0000000000000002</v>
      </c>
      <c r="T76" s="15"/>
      <c r="U76" s="15"/>
      <c r="V76" s="40">
        <f t="shared" si="14"/>
        <v>9.49</v>
      </c>
      <c r="W76" s="41">
        <f t="shared" si="3"/>
        <v>29.490000000000002</v>
      </c>
      <c r="X76">
        <f t="shared" si="15"/>
        <v>-4.619690027928107E-2</v>
      </c>
      <c r="Y76">
        <f t="shared" si="16"/>
        <v>0.43988432060886273</v>
      </c>
      <c r="Z76" s="33">
        <f t="shared" si="4"/>
        <v>0.12697184324461205</v>
      </c>
      <c r="AA76" s="33">
        <f t="shared" si="5"/>
        <v>0.5</v>
      </c>
      <c r="AB76">
        <f t="shared" si="6"/>
        <v>6.0350720100624568E-2</v>
      </c>
      <c r="AC76" s="1">
        <f t="shared" si="7"/>
        <v>-0.73496517352548496</v>
      </c>
      <c r="AD76" s="35">
        <f>IF(W76&gt;=FinalAgeForPremium, AE76*Delta-Z76*(Y76-AE76),AE76*Delta+PremiumRevisedForLimitedTerm-Z76*(Y76-AE76))</f>
        <v>-5.3290202583368605E-2</v>
      </c>
      <c r="AE76" s="35">
        <f>AE75-StepSize*AD75</f>
        <v>1.4480950030002025E-2</v>
      </c>
      <c r="AF76" s="1"/>
    </row>
    <row r="77" spans="11:32" x14ac:dyDescent="0.45">
      <c r="K77" s="40">
        <f t="shared" si="8"/>
        <v>0.52</v>
      </c>
      <c r="L77" s="41">
        <f t="shared" si="0"/>
        <v>20.52</v>
      </c>
      <c r="M77">
        <f t="shared" si="9"/>
        <v>0.97404794899970926</v>
      </c>
      <c r="N77">
        <f t="shared" si="10"/>
        <v>2.5952051000290924E-2</v>
      </c>
      <c r="O77">
        <f t="shared" si="1"/>
        <v>5.8612701360350496E-2</v>
      </c>
      <c r="P77">
        <f t="shared" si="2"/>
        <v>0.5</v>
      </c>
      <c r="Q77">
        <f t="shared" si="11"/>
        <v>-4.4115556045236405E-2</v>
      </c>
      <c r="R77" s="6">
        <f t="shared" si="12"/>
        <v>4.4115556045236405E-2</v>
      </c>
      <c r="S77" s="18">
        <f t="shared" si="13"/>
        <v>1.0000000000000002</v>
      </c>
      <c r="T77" s="15"/>
      <c r="U77" s="15"/>
      <c r="V77" s="40">
        <f t="shared" si="14"/>
        <v>9.48</v>
      </c>
      <c r="W77" s="41">
        <f t="shared" si="3"/>
        <v>29.48</v>
      </c>
      <c r="X77">
        <f t="shared" si="15"/>
        <v>-4.6800407480287312E-2</v>
      </c>
      <c r="Y77">
        <f t="shared" si="16"/>
        <v>0.4472339723441176</v>
      </c>
      <c r="Z77" s="33">
        <f t="shared" si="4"/>
        <v>0.126862468970113</v>
      </c>
      <c r="AA77" s="33">
        <f t="shared" si="5"/>
        <v>0.5</v>
      </c>
      <c r="AB77">
        <f t="shared" si="6"/>
        <v>5.9364752142690727E-2</v>
      </c>
      <c r="AC77" s="1">
        <f t="shared" si="7"/>
        <v>-0.73062111147059161</v>
      </c>
      <c r="AD77" s="35">
        <f>IF(W77&gt;=FinalAgeForPremium, AE77*Delta-Z77*(Y77-AE77),AE77*Delta+PremiumRevisedForLimitedTerm-Z77*(Y77-AE77))</f>
        <v>-5.4081818995538884E-2</v>
      </c>
      <c r="AE77" s="35">
        <f>AE76-StepSize*AD76</f>
        <v>1.501385205583571E-2</v>
      </c>
      <c r="AF77" s="1"/>
    </row>
    <row r="78" spans="11:32" x14ac:dyDescent="0.45">
      <c r="K78" s="40">
        <f t="shared" si="8"/>
        <v>0.53</v>
      </c>
      <c r="L78" s="41">
        <f t="shared" si="0"/>
        <v>20.53</v>
      </c>
      <c r="M78">
        <f t="shared" si="9"/>
        <v>0.97360679343925693</v>
      </c>
      <c r="N78">
        <f t="shared" si="10"/>
        <v>2.6393206560743288E-2</v>
      </c>
      <c r="O78">
        <f t="shared" si="1"/>
        <v>5.8663234206981642E-2</v>
      </c>
      <c r="P78">
        <f t="shared" si="2"/>
        <v>0.5</v>
      </c>
      <c r="Q78">
        <f t="shared" si="11"/>
        <v>-4.3918320068663884E-2</v>
      </c>
      <c r="R78" s="6">
        <f t="shared" si="12"/>
        <v>4.3918320068663884E-2</v>
      </c>
      <c r="S78" s="18">
        <f t="shared" si="13"/>
        <v>1.0000000000000002</v>
      </c>
      <c r="T78" s="15"/>
      <c r="U78" s="15"/>
      <c r="V78" s="40">
        <f t="shared" si="14"/>
        <v>9.4700000000000006</v>
      </c>
      <c r="W78" s="41">
        <f t="shared" si="3"/>
        <v>29.47</v>
      </c>
      <c r="X78">
        <f t="shared" si="15"/>
        <v>-4.7394055001714216E-2</v>
      </c>
      <c r="Y78">
        <f t="shared" si="16"/>
        <v>0.45454018345882352</v>
      </c>
      <c r="Z78" s="33">
        <f t="shared" si="4"/>
        <v>0.12675318891124179</v>
      </c>
      <c r="AA78" s="33">
        <f t="shared" si="5"/>
        <v>0.5</v>
      </c>
      <c r="AB78">
        <f t="shared" si="6"/>
        <v>5.8387725598653115E-2</v>
      </c>
      <c r="AC78" s="1">
        <f t="shared" si="7"/>
        <v>-0.72630587159679005</v>
      </c>
      <c r="AD78" s="35">
        <f>IF(W78&gt;=FinalAgeForPremium, AE78*Delta-Z78*(Y78-AE78),AE78*Delta+PremiumRevisedForLimitedTerm-Z78*(Y78-AE78))</f>
        <v>-5.4865080173300378E-2</v>
      </c>
      <c r="AE78" s="35">
        <f>AE77-StepSize*AD77</f>
        <v>1.5554670245791099E-2</v>
      </c>
      <c r="AF78" s="1"/>
    </row>
    <row r="79" spans="11:32" x14ac:dyDescent="0.45">
      <c r="K79" s="40">
        <f t="shared" si="8"/>
        <v>0.54</v>
      </c>
      <c r="L79" s="41">
        <f t="shared" si="0"/>
        <v>20.54</v>
      </c>
      <c r="M79">
        <f t="shared" si="9"/>
        <v>0.97316761023857035</v>
      </c>
      <c r="N79">
        <f t="shared" si="10"/>
        <v>2.6832389761429928E-2</v>
      </c>
      <c r="O79">
        <f t="shared" si="1"/>
        <v>5.8713810620425591E-2</v>
      </c>
      <c r="P79">
        <f t="shared" si="2"/>
        <v>0.5</v>
      </c>
      <c r="Q79">
        <f t="shared" si="11"/>
        <v>-4.3722183888764601E-2</v>
      </c>
      <c r="R79" s="6">
        <f t="shared" si="12"/>
        <v>4.3722183888764601E-2</v>
      </c>
      <c r="S79" s="18">
        <f t="shared" si="13"/>
        <v>1.0000000000000002</v>
      </c>
      <c r="T79" s="15"/>
      <c r="U79" s="15"/>
      <c r="V79" s="40">
        <f t="shared" si="14"/>
        <v>9.4600000000000009</v>
      </c>
      <c r="W79" s="41">
        <f t="shared" si="3"/>
        <v>29.46</v>
      </c>
      <c r="X79">
        <f t="shared" si="15"/>
        <v>-4.7977932257700751E-2</v>
      </c>
      <c r="Y79">
        <f t="shared" si="16"/>
        <v>0.46180324217479141</v>
      </c>
      <c r="Z79" s="33">
        <f t="shared" si="4"/>
        <v>0.1266440029868405</v>
      </c>
      <c r="AA79" s="33">
        <f t="shared" si="5"/>
        <v>0.5</v>
      </c>
      <c r="AB79">
        <f t="shared" si="6"/>
        <v>5.741956850699903E-2</v>
      </c>
      <c r="AC79" s="1">
        <f t="shared" si="7"/>
        <v>-0.72201925067501427</v>
      </c>
      <c r="AD79" s="35">
        <f>IF(W79&gt;=FinalAgeForPremium, AE79*Delta-Z79*(Y79-AE79),AE79*Delta+PremiumRevisedForLimitedTerm-Z79*(Y79-AE79))</f>
        <v>-5.5640056090100011E-2</v>
      </c>
      <c r="AE79" s="35">
        <f>AE78-StepSize*AD78</f>
        <v>1.6103321047524103E-2</v>
      </c>
      <c r="AF79" s="1"/>
    </row>
    <row r="80" spans="11:32" x14ac:dyDescent="0.45">
      <c r="K80" s="40">
        <f t="shared" si="8"/>
        <v>0.55000000000000004</v>
      </c>
      <c r="L80" s="41">
        <f t="shared" si="0"/>
        <v>20.55</v>
      </c>
      <c r="M80">
        <f t="shared" si="9"/>
        <v>0.97273038839968273</v>
      </c>
      <c r="N80">
        <f t="shared" si="10"/>
        <v>2.7269611600317573E-2</v>
      </c>
      <c r="O80">
        <f t="shared" si="1"/>
        <v>5.8764430638243423E-2</v>
      </c>
      <c r="P80">
        <f t="shared" si="2"/>
        <v>0.5</v>
      </c>
      <c r="Q80">
        <f t="shared" si="11"/>
        <v>-4.3527141638665952E-2</v>
      </c>
      <c r="R80" s="6">
        <f t="shared" si="12"/>
        <v>4.3527141638665952E-2</v>
      </c>
      <c r="S80" s="18">
        <f t="shared" si="13"/>
        <v>1.0000000000000002</v>
      </c>
      <c r="T80" s="15"/>
      <c r="U80" s="15"/>
      <c r="V80" s="40">
        <f t="shared" si="14"/>
        <v>9.4499999999999993</v>
      </c>
      <c r="W80" s="41">
        <f t="shared" si="3"/>
        <v>29.45</v>
      </c>
      <c r="X80">
        <f t="shared" si="15"/>
        <v>-4.8552127942770744E-2</v>
      </c>
      <c r="Y80">
        <f t="shared" si="16"/>
        <v>0.46902343468154156</v>
      </c>
      <c r="Z80" s="33">
        <f t="shared" si="4"/>
        <v>0.12653491111582107</v>
      </c>
      <c r="AA80" s="33">
        <f t="shared" si="5"/>
        <v>0.5</v>
      </c>
      <c r="AB80">
        <f t="shared" si="6"/>
        <v>5.6460209487820684E-2</v>
      </c>
      <c r="AC80" s="1">
        <f t="shared" si="7"/>
        <v>-0.71776104695376675</v>
      </c>
      <c r="AD80" s="35">
        <f>IF(W80&gt;=FinalAgeForPremium, AE80*Delta-Z80*(Y80-AE80),AE80*Delta+PremiumRevisedForLimitedTerm-Z80*(Y80-AE80))</f>
        <v>-5.6406816145308326E-2</v>
      </c>
      <c r="AE80" s="35">
        <f>AE79-StepSize*AD79</f>
        <v>1.6659721608425104E-2</v>
      </c>
      <c r="AF80" s="1"/>
    </row>
    <row r="81" spans="11:32" x14ac:dyDescent="0.45">
      <c r="K81" s="40">
        <f t="shared" si="8"/>
        <v>0.56000000000000005</v>
      </c>
      <c r="L81" s="41">
        <f t="shared" si="0"/>
        <v>20.56</v>
      </c>
      <c r="M81">
        <f t="shared" si="9"/>
        <v>0.97229511698329607</v>
      </c>
      <c r="N81">
        <f t="shared" si="10"/>
        <v>2.7704883016704231E-2</v>
      </c>
      <c r="O81">
        <f t="shared" si="1"/>
        <v>5.8815094298028558E-2</v>
      </c>
      <c r="P81">
        <f t="shared" si="2"/>
        <v>0.5</v>
      </c>
      <c r="Q81">
        <f t="shared" si="11"/>
        <v>-4.3333187482533148E-2</v>
      </c>
      <c r="R81" s="6">
        <f t="shared" si="12"/>
        <v>4.3333187482533148E-2</v>
      </c>
      <c r="S81" s="18">
        <f t="shared" si="13"/>
        <v>1.0000000000000002</v>
      </c>
      <c r="T81" s="15"/>
      <c r="U81" s="15"/>
      <c r="V81" s="40">
        <f t="shared" si="14"/>
        <v>9.44</v>
      </c>
      <c r="W81" s="41">
        <f t="shared" si="3"/>
        <v>29.439999999999998</v>
      </c>
      <c r="X81">
        <f t="shared" si="15"/>
        <v>-4.9116730037648951E-2</v>
      </c>
      <c r="Y81">
        <f t="shared" si="16"/>
        <v>0.47620104515107925</v>
      </c>
      <c r="Z81" s="33">
        <f t="shared" si="4"/>
        <v>0.12642591321716551</v>
      </c>
      <c r="AA81" s="33">
        <f t="shared" si="5"/>
        <v>0.5</v>
      </c>
      <c r="AB81">
        <f t="shared" si="6"/>
        <v>5.5509577738020607E-2</v>
      </c>
      <c r="AC81" s="1">
        <f t="shared" si="7"/>
        <v>-0.71353106014808199</v>
      </c>
      <c r="AD81" s="35">
        <f>IF(W81&gt;=FinalAgeForPremium, AE81*Delta-Z81*(Y81-AE81),AE81*Delta+PremiumRevisedForLimitedTerm-Z81*(Y81-AE81))</f>
        <v>-5.7165429168982623E-2</v>
      </c>
      <c r="AE81" s="35">
        <f>AE80-StepSize*AD80</f>
        <v>1.7223789769878189E-2</v>
      </c>
      <c r="AF81" s="1"/>
    </row>
    <row r="82" spans="11:32" x14ac:dyDescent="0.45">
      <c r="K82" s="40">
        <f t="shared" si="8"/>
        <v>0.56999999999999995</v>
      </c>
      <c r="L82" s="41">
        <f t="shared" si="0"/>
        <v>20.57</v>
      </c>
      <c r="M82">
        <f t="shared" si="9"/>
        <v>0.97186178510847077</v>
      </c>
      <c r="N82">
        <f t="shared" si="10"/>
        <v>2.8138214891529564E-2</v>
      </c>
      <c r="O82">
        <f t="shared" si="1"/>
        <v>5.8865801637406866E-2</v>
      </c>
      <c r="P82">
        <f t="shared" si="2"/>
        <v>0.5</v>
      </c>
      <c r="Q82">
        <f t="shared" si="11"/>
        <v>-4.3140315615406592E-2</v>
      </c>
      <c r="R82" s="6">
        <f t="shared" si="12"/>
        <v>4.3140315615406592E-2</v>
      </c>
      <c r="S82" s="18">
        <f t="shared" si="13"/>
        <v>1.0000000000000002</v>
      </c>
      <c r="T82" s="15"/>
      <c r="U82" s="15"/>
      <c r="V82" s="40">
        <f t="shared" si="14"/>
        <v>9.43</v>
      </c>
      <c r="W82" s="41">
        <f t="shared" si="3"/>
        <v>29.43</v>
      </c>
      <c r="X82">
        <f t="shared" si="15"/>
        <v>-4.9671825815029158E-2</v>
      </c>
      <c r="Y82">
        <f t="shared" si="16"/>
        <v>0.48333635575256007</v>
      </c>
      <c r="Z82" s="33">
        <f t="shared" si="4"/>
        <v>0.12631700920992545</v>
      </c>
      <c r="AA82" s="33">
        <f t="shared" si="5"/>
        <v>0.5</v>
      </c>
      <c r="AB82">
        <f t="shared" si="6"/>
        <v>5.4567603026557429E-2</v>
      </c>
      <c r="AC82" s="1">
        <f t="shared" si="7"/>
        <v>-0.70932909142857747</v>
      </c>
      <c r="AD82" s="35">
        <f>IF(W82&gt;=FinalAgeForPremium, AE82*Delta-Z82*(Y82-AE82),AE82*Delta+PremiumRevisedForLimitedTerm-Z82*(Y82-AE82))</f>
        <v>-5.791596342658973E-2</v>
      </c>
      <c r="AE82" s="35">
        <f>AE81-StepSize*AD81</f>
        <v>1.7795444061568015E-2</v>
      </c>
      <c r="AF82" s="1"/>
    </row>
    <row r="83" spans="11:32" x14ac:dyDescent="0.45">
      <c r="K83" s="40">
        <f t="shared" si="8"/>
        <v>0.57999999999999996</v>
      </c>
      <c r="L83" s="41">
        <f t="shared" si="0"/>
        <v>20.58</v>
      </c>
      <c r="M83">
        <f t="shared" si="9"/>
        <v>0.97143038195231668</v>
      </c>
      <c r="N83">
        <f t="shared" si="10"/>
        <v>2.8569618047683629E-2</v>
      </c>
      <c r="O83">
        <f t="shared" si="1"/>
        <v>5.8916552694036624E-2</v>
      </c>
      <c r="P83">
        <f t="shared" si="2"/>
        <v>0.5</v>
      </c>
      <c r="Q83">
        <f t="shared" si="11"/>
        <v>-4.2948520263039976E-2</v>
      </c>
      <c r="R83" s="6">
        <f t="shared" si="12"/>
        <v>4.2948520263039976E-2</v>
      </c>
      <c r="S83" s="18">
        <f t="shared" si="13"/>
        <v>1.0000000000000002</v>
      </c>
      <c r="T83" s="15"/>
      <c r="U83" s="15"/>
      <c r="V83" s="40">
        <f t="shared" si="14"/>
        <v>9.42</v>
      </c>
      <c r="W83" s="41">
        <f t="shared" si="3"/>
        <v>29.42</v>
      </c>
      <c r="X83">
        <f t="shared" si="15"/>
        <v>-5.0217501845294735E-2</v>
      </c>
      <c r="Y83">
        <f t="shared" si="16"/>
        <v>0.49042964666684585</v>
      </c>
      <c r="Z83" s="33">
        <f t="shared" si="4"/>
        <v>0.12620819901322219</v>
      </c>
      <c r="AA83" s="33">
        <f t="shared" si="5"/>
        <v>0.5</v>
      </c>
      <c r="AB83">
        <f t="shared" si="6"/>
        <v>5.3634215689731604E-2</v>
      </c>
      <c r="AC83" s="1">
        <f t="shared" si="7"/>
        <v>-0.70515494341058749</v>
      </c>
      <c r="AD83" s="35">
        <f>IF(W83&gt;=FinalAgeForPremium, AE83*Delta-Z83*(Y83-AE83),AE83*Delta+PremiumRevisedForLimitedTerm-Z83*(Y83-AE83))</f>
        <v>-5.865848662368893E-2</v>
      </c>
      <c r="AE83" s="35">
        <f>AE82-StepSize*AD82</f>
        <v>1.8374603695833911E-2</v>
      </c>
      <c r="AF83" s="1"/>
    </row>
    <row r="84" spans="11:32" x14ac:dyDescent="0.45">
      <c r="K84" s="40">
        <f t="shared" si="8"/>
        <v>0.59</v>
      </c>
      <c r="L84" s="41">
        <f t="shared" si="0"/>
        <v>20.59</v>
      </c>
      <c r="M84">
        <f t="shared" si="9"/>
        <v>0.97100089674968626</v>
      </c>
      <c r="N84">
        <f t="shared" si="10"/>
        <v>2.8999103250314028E-2</v>
      </c>
      <c r="O84">
        <f t="shared" si="1"/>
        <v>5.89673475056086E-2</v>
      </c>
      <c r="P84">
        <f t="shared" si="2"/>
        <v>0.5</v>
      </c>
      <c r="Q84">
        <f t="shared" si="11"/>
        <v>-4.2757795681739312E-2</v>
      </c>
      <c r="R84" s="6">
        <f t="shared" si="12"/>
        <v>4.2757795681739312E-2</v>
      </c>
      <c r="S84" s="18">
        <f t="shared" si="13"/>
        <v>1.0000000000000002</v>
      </c>
      <c r="T84" s="15"/>
      <c r="U84" s="15"/>
      <c r="V84" s="40">
        <f t="shared" si="14"/>
        <v>9.41</v>
      </c>
      <c r="W84" s="41">
        <f t="shared" si="3"/>
        <v>29.41</v>
      </c>
      <c r="X84">
        <f t="shared" si="15"/>
        <v>-5.0753844002192051E-2</v>
      </c>
      <c r="Y84">
        <f t="shared" si="16"/>
        <v>0.49748119610095171</v>
      </c>
      <c r="Z84" s="33">
        <f t="shared" si="4"/>
        <v>0.12609948254624687</v>
      </c>
      <c r="AA84" s="33">
        <f t="shared" si="5"/>
        <v>0.5</v>
      </c>
      <c r="AB84">
        <f t="shared" si="6"/>
        <v>5.2709346626510736E-2</v>
      </c>
      <c r="AC84" s="1">
        <f t="shared" si="7"/>
        <v>-0.7010084201433805</v>
      </c>
      <c r="AD84" s="35">
        <f>IF(W84&gt;=FinalAgeForPremium, AE84*Delta-Z84*(Y84-AE84),AE84*Delta+PremiumRevisedForLimitedTerm-Z84*(Y84-AE84))</f>
        <v>-5.9393065910575492E-2</v>
      </c>
      <c r="AE84" s="35">
        <f>AE83-StepSize*AD83</f>
        <v>1.89611885620708E-2</v>
      </c>
      <c r="AF84" s="1"/>
    </row>
    <row r="85" spans="11:32" x14ac:dyDescent="0.45">
      <c r="K85" s="40">
        <f t="shared" si="8"/>
        <v>0.6</v>
      </c>
      <c r="L85" s="41">
        <f t="shared" si="0"/>
        <v>20.6</v>
      </c>
      <c r="M85">
        <f t="shared" si="9"/>
        <v>0.9705733187928689</v>
      </c>
      <c r="N85">
        <f t="shared" si="10"/>
        <v>2.9426681207131423E-2</v>
      </c>
      <c r="O85">
        <f t="shared" si="1"/>
        <v>5.9018186109846049E-2</v>
      </c>
      <c r="P85">
        <f t="shared" si="2"/>
        <v>0.5</v>
      </c>
      <c r="Q85">
        <f t="shared" si="11"/>
        <v>-4.256813615820277E-2</v>
      </c>
      <c r="R85" s="6">
        <f t="shared" si="12"/>
        <v>4.256813615820277E-2</v>
      </c>
      <c r="S85" s="18">
        <f t="shared" si="13"/>
        <v>1.0000000000000002</v>
      </c>
      <c r="T85" s="15"/>
      <c r="U85" s="15"/>
      <c r="V85" s="40">
        <f t="shared" si="14"/>
        <v>9.4</v>
      </c>
      <c r="W85" s="41">
        <f t="shared" si="3"/>
        <v>29.4</v>
      </c>
      <c r="X85">
        <f t="shared" si="15"/>
        <v>-5.1280937468457161E-2</v>
      </c>
      <c r="Y85">
        <f t="shared" si="16"/>
        <v>0.50449128030238555</v>
      </c>
      <c r="Z85" s="33">
        <f t="shared" si="4"/>
        <v>0.12599085972826018</v>
      </c>
      <c r="AA85" s="33">
        <f t="shared" si="5"/>
        <v>0.5</v>
      </c>
      <c r="AB85">
        <f t="shared" si="6"/>
        <v>5.1792927293894481E-2</v>
      </c>
      <c r="AC85" s="1">
        <f t="shared" si="7"/>
        <v>-0.69688932709945939</v>
      </c>
      <c r="AD85" s="35">
        <f>IF(W85&gt;=FinalAgeForPremium, AE85*Delta-Z85*(Y85-AE85),AE85*Delta+PremiumRevisedForLimitedTerm-Z85*(Y85-AE85))</f>
        <v>-6.0119767886884765E-2</v>
      </c>
      <c r="AE85" s="35">
        <f>AE84-StepSize*AD84</f>
        <v>1.9555119221176556E-2</v>
      </c>
      <c r="AF85" s="1"/>
    </row>
    <row r="86" spans="11:32" x14ac:dyDescent="0.45">
      <c r="K86" s="40">
        <f t="shared" si="8"/>
        <v>0.61</v>
      </c>
      <c r="L86" s="41">
        <f t="shared" si="0"/>
        <v>20.61</v>
      </c>
      <c r="M86">
        <f t="shared" si="9"/>
        <v>0.97014763743128685</v>
      </c>
      <c r="N86">
        <f t="shared" si="10"/>
        <v>2.9852362568713452E-2</v>
      </c>
      <c r="O86">
        <f t="shared" si="1"/>
        <v>5.9069068544504721E-2</v>
      </c>
      <c r="P86">
        <f t="shared" si="2"/>
        <v>0.5</v>
      </c>
      <c r="Q86">
        <f t="shared" si="11"/>
        <v>-4.2379536009361271E-2</v>
      </c>
      <c r="R86" s="6">
        <f t="shared" si="12"/>
        <v>4.2379536009361271E-2</v>
      </c>
      <c r="S86" s="18">
        <f t="shared" si="13"/>
        <v>1.0000000000000002</v>
      </c>
      <c r="T86" s="15"/>
      <c r="U86" s="15"/>
      <c r="V86" s="40">
        <f t="shared" si="14"/>
        <v>9.39</v>
      </c>
      <c r="W86" s="41">
        <f t="shared" si="3"/>
        <v>29.39</v>
      </c>
      <c r="X86">
        <f t="shared" si="15"/>
        <v>-5.1798866741396103E-2</v>
      </c>
      <c r="Y86">
        <f t="shared" si="16"/>
        <v>0.51146017357338014</v>
      </c>
      <c r="Z86" s="33">
        <f t="shared" si="4"/>
        <v>0.12588233047859232</v>
      </c>
      <c r="AA86" s="33">
        <f t="shared" si="5"/>
        <v>0.5</v>
      </c>
      <c r="AB86">
        <f t="shared" si="6"/>
        <v>5.0884889702318442E-2</v>
      </c>
      <c r="AC86" s="1">
        <f t="shared" si="7"/>
        <v>-0.69279747116394286</v>
      </c>
      <c r="AD86" s="35">
        <f>IF(W86&gt;=FinalAgeForPremium, AE86*Delta-Z86*(Y86-AE86),AE86*Delta+PremiumRevisedForLimitedTerm-Z86*(Y86-AE86))</f>
        <v>-6.0838658606157406E-2</v>
      </c>
      <c r="AE86" s="35">
        <f>AE85-StepSize*AD85</f>
        <v>2.0156316900045403E-2</v>
      </c>
      <c r="AF86" s="1"/>
    </row>
    <row r="87" spans="11:32" x14ac:dyDescent="0.45">
      <c r="K87" s="40">
        <f t="shared" si="8"/>
        <v>0.62</v>
      </c>
      <c r="L87" s="41">
        <f t="shared" si="0"/>
        <v>20.62</v>
      </c>
      <c r="M87">
        <f t="shared" si="9"/>
        <v>0.96972384207119322</v>
      </c>
      <c r="N87">
        <f t="shared" si="10"/>
        <v>3.0276157928807064E-2</v>
      </c>
      <c r="O87">
        <f t="shared" si="1"/>
        <v>5.9119994847372993E-2</v>
      </c>
      <c r="P87">
        <f t="shared" si="2"/>
        <v>0.5</v>
      </c>
      <c r="Q87">
        <f t="shared" si="11"/>
        <v>-4.219198958222016E-2</v>
      </c>
      <c r="R87" s="6">
        <f t="shared" si="12"/>
        <v>4.219198958222016E-2</v>
      </c>
      <c r="S87" s="18">
        <f t="shared" si="13"/>
        <v>1.0000000000000002</v>
      </c>
      <c r="T87" s="15"/>
      <c r="U87" s="15"/>
      <c r="V87" s="40">
        <f t="shared" si="14"/>
        <v>9.3800000000000008</v>
      </c>
      <c r="W87" s="41">
        <f t="shared" si="3"/>
        <v>29.380000000000003</v>
      </c>
      <c r="X87">
        <f t="shared" si="15"/>
        <v>-5.2307715638419287E-2</v>
      </c>
      <c r="Y87">
        <f t="shared" si="16"/>
        <v>0.51838814828501956</v>
      </c>
      <c r="Z87" s="33">
        <f t="shared" si="4"/>
        <v>0.12577389471664302</v>
      </c>
      <c r="AA87" s="33">
        <f t="shared" si="5"/>
        <v>0.5</v>
      </c>
      <c r="AB87">
        <f t="shared" si="6"/>
        <v>4.998516641109646E-2</v>
      </c>
      <c r="AC87" s="1">
        <f t="shared" si="7"/>
        <v>-0.6887326606240296</v>
      </c>
      <c r="AD87" s="35">
        <f>IF(W87&gt;=FinalAgeForPremium, AE87*Delta-Z87*(Y87-AE87),AE87*Delta+PremiumRevisedForLimitedTerm-Z87*(Y87-AE87))</f>
        <v>-6.1549803580366297E-2</v>
      </c>
      <c r="AE87" s="35">
        <f>AE86-StepSize*AD86</f>
        <v>2.0764703486106977E-2</v>
      </c>
      <c r="AF87" s="1"/>
    </row>
    <row r="88" spans="11:32" x14ac:dyDescent="0.45">
      <c r="K88" s="40">
        <f t="shared" si="8"/>
        <v>0.63</v>
      </c>
      <c r="L88" s="41">
        <f t="shared" si="0"/>
        <v>20.63</v>
      </c>
      <c r="M88">
        <f t="shared" si="9"/>
        <v>0.96930192217537103</v>
      </c>
      <c r="N88">
        <f t="shared" si="10"/>
        <v>3.0698077824629265E-2</v>
      </c>
      <c r="O88">
        <f t="shared" si="1"/>
        <v>5.9170965056271715E-2</v>
      </c>
      <c r="P88">
        <f t="shared" si="2"/>
        <v>0.5</v>
      </c>
      <c r="Q88">
        <f t="shared" si="11"/>
        <v>-4.2005491253701246E-2</v>
      </c>
      <c r="R88" s="6">
        <f t="shared" si="12"/>
        <v>4.2005491253701246E-2</v>
      </c>
      <c r="S88" s="18">
        <f t="shared" si="13"/>
        <v>1.0000000000000002</v>
      </c>
      <c r="T88" s="15"/>
      <c r="U88" s="15"/>
      <c r="V88" s="40">
        <f t="shared" si="14"/>
        <v>9.3699999999999992</v>
      </c>
      <c r="W88" s="41">
        <f t="shared" si="3"/>
        <v>29.369999999999997</v>
      </c>
      <c r="X88">
        <f t="shared" si="15"/>
        <v>-5.2807567302530251E-2</v>
      </c>
      <c r="Y88">
        <f t="shared" si="16"/>
        <v>0.52527547489125981</v>
      </c>
      <c r="Z88" s="33">
        <f t="shared" si="4"/>
        <v>0.12566555236188134</v>
      </c>
      <c r="AA88" s="33">
        <f t="shared" si="5"/>
        <v>0.5</v>
      </c>
      <c r="AB88">
        <f t="shared" si="6"/>
        <v>4.9093690523901765E-2</v>
      </c>
      <c r="AC88" s="1">
        <f t="shared" si="7"/>
        <v>-0.68469470515854192</v>
      </c>
      <c r="AD88" s="35">
        <f>IF(W88&gt;=FinalAgeForPremium, AE88*Delta-Z88*(Y88-AE88),AE88*Delta+PremiumRevisedForLimitedTerm-Z88*(Y88-AE88))</f>
        <v>-6.2253267784404924E-2</v>
      </c>
      <c r="AE88" s="35">
        <f>AE87-StepSize*AD87</f>
        <v>2.1380201521910641E-2</v>
      </c>
      <c r="AF88" s="1"/>
    </row>
    <row r="89" spans="11:32" x14ac:dyDescent="0.45">
      <c r="K89" s="40">
        <f t="shared" si="8"/>
        <v>0.64</v>
      </c>
      <c r="L89" s="41">
        <f t="shared" ref="L89:L152" si="17">$L$5+K89</f>
        <v>20.64</v>
      </c>
      <c r="M89">
        <f t="shared" si="9"/>
        <v>0.96888186726283398</v>
      </c>
      <c r="N89">
        <f t="shared" si="10"/>
        <v>3.1118132737166276E-2</v>
      </c>
      <c r="O89">
        <f t="shared" ref="O89:O152" si="18">mu01Parameter_B*mu01Parameter_c^L89</f>
        <v>5.9221979209054448E-2</v>
      </c>
      <c r="P89">
        <f t="shared" ref="P89:P152" si="19">mu10Constant</f>
        <v>0.5</v>
      </c>
      <c r="Q89">
        <f t="shared" si="11"/>
        <v>-4.1820035430486263E-2</v>
      </c>
      <c r="R89" s="6">
        <f t="shared" si="12"/>
        <v>4.1820035430486263E-2</v>
      </c>
      <c r="S89" s="18">
        <f t="shared" si="13"/>
        <v>1.0000000000000002</v>
      </c>
      <c r="T89" s="15"/>
      <c r="U89" s="15"/>
      <c r="V89" s="40">
        <f t="shared" si="14"/>
        <v>9.36</v>
      </c>
      <c r="W89" s="41">
        <f t="shared" ref="W89:W152" si="20">$L$5+V89</f>
        <v>29.36</v>
      </c>
      <c r="X89">
        <f t="shared" si="15"/>
        <v>-5.3298504207769271E-2</v>
      </c>
      <c r="Y89">
        <f t="shared" si="16"/>
        <v>0.5321224219428452</v>
      </c>
      <c r="Z89" s="33">
        <f t="shared" ref="Z89:Z152" si="21">mu01Parameter_B*mu01Parameter_c^W89</f>
        <v>0.1255573033338459</v>
      </c>
      <c r="AA89" s="33">
        <f t="shared" ref="AA89:AA152" si="22">mu10Constant</f>
        <v>0.5</v>
      </c>
      <c r="AB89">
        <f t="shared" ref="AB89:AB152" si="23">X89*Delta+Premium-Z89*(Y89-X89)</f>
        <v>4.8210395684285492E-2</v>
      </c>
      <c r="AC89" s="1">
        <f t="shared" ref="AC89:AC152" si="24">Y89*Delta-AnnuityWhileSIck-AA89*(X89-Y89)</f>
        <v>-0.68068341582755054</v>
      </c>
      <c r="AD89" s="35">
        <f>IF(W89&gt;=FinalAgeForPremium, AE89*Delta-Z89*(Y89-AE89),AE89*Delta+PremiumRevisedForLimitedTerm-Z89*(Y89-AE89))</f>
        <v>-6.2949115660538221E-2</v>
      </c>
      <c r="AE89" s="35">
        <f>AE88-StepSize*AD88</f>
        <v>2.2002734199754691E-2</v>
      </c>
      <c r="AF89" s="1"/>
    </row>
    <row r="90" spans="11:32" x14ac:dyDescent="0.45">
      <c r="K90" s="40">
        <f t="shared" ref="K90:K153" si="25">ROUND(K89+StepSize,2)</f>
        <v>0.65</v>
      </c>
      <c r="L90" s="41">
        <f t="shared" si="17"/>
        <v>20.65</v>
      </c>
      <c r="M90">
        <f t="shared" ref="M90:M153" si="26">M89+StepSize*Q89</f>
        <v>0.96846366690852914</v>
      </c>
      <c r="N90">
        <f t="shared" ref="N90:N153" si="27">N89+StepSize*R89</f>
        <v>3.1536333091471136E-2</v>
      </c>
      <c r="O90">
        <f t="shared" si="18"/>
        <v>5.927303734360731E-2</v>
      </c>
      <c r="P90">
        <f t="shared" si="19"/>
        <v>0.5</v>
      </c>
      <c r="Q90">
        <f t="shared" ref="Q90:Q153" si="28">N90*P90-M90*O90</f>
        <v>-4.1635616548860548E-2</v>
      </c>
      <c r="R90" s="6">
        <f t="shared" ref="R90:R153" si="29">M90*O90-N90*P90</f>
        <v>4.1635616548860548E-2</v>
      </c>
      <c r="S90" s="18">
        <f t="shared" ref="S90:S153" si="30">M90+N90</f>
        <v>1.0000000000000002</v>
      </c>
      <c r="T90" s="15"/>
      <c r="U90" s="15"/>
      <c r="V90" s="40">
        <f t="shared" ref="V90:V153" si="31">ROUND(V89-StepSize,2)</f>
        <v>9.35</v>
      </c>
      <c r="W90" s="41">
        <f t="shared" si="20"/>
        <v>29.35</v>
      </c>
      <c r="X90">
        <f t="shared" ref="X90:X153" si="32">X89-StepSize*AB89</f>
        <v>-5.3780608164612123E-2</v>
      </c>
      <c r="Y90">
        <f t="shared" ref="Y90:Y153" si="33">Y89-StepSize*AC89</f>
        <v>0.53892925610112075</v>
      </c>
      <c r="Z90" s="33">
        <f t="shared" si="21"/>
        <v>0.12544914755214454</v>
      </c>
      <c r="AA90" s="33">
        <f t="shared" si="22"/>
        <v>0.5</v>
      </c>
      <c r="AB90">
        <f t="shared" si="23"/>
        <v>4.733521607123356E-2</v>
      </c>
      <c r="AC90" s="1">
        <f t="shared" si="24"/>
        <v>-0.67669860506207746</v>
      </c>
      <c r="AD90" s="35">
        <f>IF(W90&gt;=FinalAgeForPremium, AE90*Delta-Z90*(Y90-AE90),AE90*Delta+PremiumRevisedForLimitedTerm-Z90*(Y90-AE90))</f>
        <v>-6.3637411122815568E-2</v>
      </c>
      <c r="AE90" s="35">
        <f>AE89-StepSize*AD89</f>
        <v>2.2632225356360072E-2</v>
      </c>
      <c r="AF90" s="1"/>
    </row>
    <row r="91" spans="11:32" x14ac:dyDescent="0.45">
      <c r="K91" s="40">
        <f t="shared" si="25"/>
        <v>0.66</v>
      </c>
      <c r="L91" s="41">
        <f t="shared" si="17"/>
        <v>20.66</v>
      </c>
      <c r="M91">
        <f t="shared" si="26"/>
        <v>0.96804731074304051</v>
      </c>
      <c r="N91">
        <f t="shared" si="27"/>
        <v>3.1952689256959745E-2</v>
      </c>
      <c r="O91">
        <f t="shared" si="18"/>
        <v>5.9324139497849135E-2</v>
      </c>
      <c r="P91">
        <f t="shared" si="19"/>
        <v>0.5</v>
      </c>
      <c r="Q91">
        <f t="shared" si="28"/>
        <v>-4.1452229074557978E-2</v>
      </c>
      <c r="R91" s="6">
        <f t="shared" si="29"/>
        <v>4.1452229074557978E-2</v>
      </c>
      <c r="S91" s="18">
        <f t="shared" si="30"/>
        <v>1.0000000000000002</v>
      </c>
      <c r="T91" s="15"/>
      <c r="U91" s="15"/>
      <c r="V91" s="40">
        <f t="shared" si="31"/>
        <v>9.34</v>
      </c>
      <c r="W91" s="41">
        <f t="shared" si="20"/>
        <v>29.34</v>
      </c>
      <c r="X91">
        <f t="shared" si="32"/>
        <v>-5.4253960325324459E-2</v>
      </c>
      <c r="Y91">
        <f t="shared" si="33"/>
        <v>0.54569624215174151</v>
      </c>
      <c r="Z91" s="33">
        <f t="shared" si="21"/>
        <v>0.12534108493645424</v>
      </c>
      <c r="AA91" s="33">
        <f t="shared" si="22"/>
        <v>0.5</v>
      </c>
      <c r="AB91">
        <f t="shared" si="23"/>
        <v>4.6468086394760591E-2</v>
      </c>
      <c r="AC91" s="1">
        <f t="shared" si="24"/>
        <v>-0.67274008665387997</v>
      </c>
      <c r="AD91" s="35">
        <f>IF(W91&gt;=FinalAgeForPremium, AE91*Delta-Z91*(Y91-AE91),AE91*Delta+PremiumRevisedForLimitedTerm-Z91*(Y91-AE91))</f>
        <v>-6.4318217561446608E-2</v>
      </c>
      <c r="AE91" s="35">
        <f>AE90-StepSize*AD90</f>
        <v>2.3268599467588229E-2</v>
      </c>
      <c r="AF91" s="1"/>
    </row>
    <row r="92" spans="11:32" x14ac:dyDescent="0.45">
      <c r="K92" s="40">
        <f t="shared" si="25"/>
        <v>0.67</v>
      </c>
      <c r="L92" s="41">
        <f t="shared" si="17"/>
        <v>20.67</v>
      </c>
      <c r="M92">
        <f t="shared" si="26"/>
        <v>0.96763278845229495</v>
      </c>
      <c r="N92">
        <f t="shared" si="27"/>
        <v>3.2367211547705325E-2</v>
      </c>
      <c r="O92">
        <f t="shared" si="18"/>
        <v>5.9375285709731419E-2</v>
      </c>
      <c r="P92">
        <f t="shared" si="19"/>
        <v>0.5</v>
      </c>
      <c r="Q92">
        <f t="shared" si="28"/>
        <v>-4.1269867502606444E-2</v>
      </c>
      <c r="R92" s="6">
        <f t="shared" si="29"/>
        <v>4.1269867502606444E-2</v>
      </c>
      <c r="S92" s="18">
        <f t="shared" si="30"/>
        <v>1.0000000000000002</v>
      </c>
      <c r="T92" s="15"/>
      <c r="U92" s="15"/>
      <c r="V92" s="40">
        <f t="shared" si="31"/>
        <v>9.33</v>
      </c>
      <c r="W92" s="41">
        <f t="shared" si="20"/>
        <v>29.33</v>
      </c>
      <c r="X92">
        <f t="shared" si="32"/>
        <v>-5.4718641189272062E-2</v>
      </c>
      <c r="Y92">
        <f t="shared" si="33"/>
        <v>0.55242364301828029</v>
      </c>
      <c r="Z92" s="33">
        <f t="shared" si="21"/>
        <v>0.12523311540652121</v>
      </c>
      <c r="AA92" s="33">
        <f t="shared" si="22"/>
        <v>0.5</v>
      </c>
      <c r="AB92">
        <f t="shared" si="23"/>
        <v>4.5608941891540758E-2</v>
      </c>
      <c r="AC92" s="1">
        <f t="shared" si="24"/>
        <v>-0.66880767574530986</v>
      </c>
      <c r="AD92" s="35">
        <f>IF(W92&gt;=FinalAgeForPremium, AE92*Delta-Z92*(Y92-AE92),AE92*Delta+PremiumRevisedForLimitedTerm-Z92*(Y92-AE92))</f>
        <v>-6.4991597847140287E-2</v>
      </c>
      <c r="AE92" s="35">
        <f>AE91-StepSize*AD91</f>
        <v>2.3911781643202696E-2</v>
      </c>
      <c r="AF92" s="1"/>
    </row>
    <row r="93" spans="11:32" x14ac:dyDescent="0.45">
      <c r="K93" s="40">
        <f t="shared" si="25"/>
        <v>0.68</v>
      </c>
      <c r="L93" s="41">
        <f t="shared" si="17"/>
        <v>20.68</v>
      </c>
      <c r="M93">
        <f t="shared" si="26"/>
        <v>0.96722008977726892</v>
      </c>
      <c r="N93">
        <f t="shared" si="27"/>
        <v>3.2779910222731391E-2</v>
      </c>
      <c r="O93">
        <f t="shared" si="18"/>
        <v>5.9426476017238383E-2</v>
      </c>
      <c r="P93">
        <f t="shared" si="19"/>
        <v>0.5</v>
      </c>
      <c r="Q93">
        <f t="shared" si="28"/>
        <v>-4.1088526357174332E-2</v>
      </c>
      <c r="R93" s="6">
        <f t="shared" si="29"/>
        <v>4.1088526357174332E-2</v>
      </c>
      <c r="S93" s="18">
        <f t="shared" si="30"/>
        <v>1.0000000000000002</v>
      </c>
      <c r="T93" s="15"/>
      <c r="U93" s="15"/>
      <c r="V93" s="40">
        <f t="shared" si="31"/>
        <v>9.32</v>
      </c>
      <c r="W93" s="41">
        <f t="shared" si="20"/>
        <v>29.32</v>
      </c>
      <c r="X93">
        <f t="shared" si="32"/>
        <v>-5.5174730608187471E-2</v>
      </c>
      <c r="Y93">
        <f t="shared" si="33"/>
        <v>0.55911171977573337</v>
      </c>
      <c r="Z93" s="33">
        <f t="shared" si="21"/>
        <v>0.12512523888216104</v>
      </c>
      <c r="AA93" s="33">
        <f t="shared" si="22"/>
        <v>0.5</v>
      </c>
      <c r="AB93">
        <f t="shared" si="23"/>
        <v>4.4757718320575429E-2</v>
      </c>
      <c r="AC93" s="1">
        <f t="shared" si="24"/>
        <v>-0.66490118881925286</v>
      </c>
      <c r="AD93" s="35">
        <f>IF(W93&gt;=FinalAgeForPremium, AE93*Delta-Z93*(Y93-AE93),AE93*Delta+PremiumRevisedForLimitedTerm-Z93*(Y93-AE93))</f>
        <v>-6.5657614335407427E-2</v>
      </c>
      <c r="AE93" s="35">
        <f>AE92-StepSize*AD92</f>
        <v>2.4561697621674098E-2</v>
      </c>
      <c r="AF93" s="1"/>
    </row>
    <row r="94" spans="11:32" x14ac:dyDescent="0.45">
      <c r="K94" s="40">
        <f t="shared" si="25"/>
        <v>0.69</v>
      </c>
      <c r="L94" s="41">
        <f t="shared" si="17"/>
        <v>20.69</v>
      </c>
      <c r="M94">
        <f t="shared" si="26"/>
        <v>0.96680920451369723</v>
      </c>
      <c r="N94">
        <f t="shared" si="27"/>
        <v>3.3190795486303132E-2</v>
      </c>
      <c r="O94">
        <f t="shared" si="18"/>
        <v>5.9477710458387005E-2</v>
      </c>
      <c r="P94">
        <f t="shared" si="19"/>
        <v>0.5</v>
      </c>
      <c r="Q94">
        <f t="shared" si="28"/>
        <v>-4.0908200191417582E-2</v>
      </c>
      <c r="R94" s="6">
        <f t="shared" si="29"/>
        <v>4.0908200191417582E-2</v>
      </c>
      <c r="S94" s="18">
        <f t="shared" si="30"/>
        <v>1.0000000000000004</v>
      </c>
      <c r="T94" s="15"/>
      <c r="U94" s="15"/>
      <c r="V94" s="40">
        <f t="shared" si="31"/>
        <v>9.31</v>
      </c>
      <c r="W94" s="41">
        <f t="shared" si="20"/>
        <v>29.310000000000002</v>
      </c>
      <c r="X94">
        <f t="shared" si="32"/>
        <v>-5.5622307791393225E-2</v>
      </c>
      <c r="Y94">
        <f t="shared" si="33"/>
        <v>0.56576073166392593</v>
      </c>
      <c r="Z94" s="33">
        <f t="shared" si="21"/>
        <v>0.12501745528325806</v>
      </c>
      <c r="AA94" s="33">
        <f t="shared" si="22"/>
        <v>0.5</v>
      </c>
      <c r="AB94">
        <f t="shared" si="23"/>
        <v>4.3914351958897674E-2</v>
      </c>
      <c r="AC94" s="1">
        <f t="shared" si="24"/>
        <v>-0.66102044368914403</v>
      </c>
      <c r="AD94" s="35">
        <f>IF(W94&gt;=FinalAgeForPremium, AE94*Delta-Z94*(Y94-AE94),AE94*Delta+PremiumRevisedForLimitedTerm-Z94*(Y94-AE94))</f>
        <v>-6.6316328870826446E-2</v>
      </c>
      <c r="AE94" s="35">
        <f>AE93-StepSize*AD93</f>
        <v>2.5218273765028172E-2</v>
      </c>
      <c r="AF94" s="1"/>
    </row>
    <row r="95" spans="11:32" x14ac:dyDescent="0.45">
      <c r="K95" s="40">
        <f t="shared" si="25"/>
        <v>0.7</v>
      </c>
      <c r="L95" s="41">
        <f t="shared" si="17"/>
        <v>20.7</v>
      </c>
      <c r="M95">
        <f t="shared" si="26"/>
        <v>0.96640012251178309</v>
      </c>
      <c r="N95">
        <f t="shared" si="27"/>
        <v>3.3599877488217307E-2</v>
      </c>
      <c r="O95">
        <f t="shared" si="18"/>
        <v>5.9528989071227008E-2</v>
      </c>
      <c r="P95">
        <f t="shared" si="19"/>
        <v>0.5</v>
      </c>
      <c r="Q95">
        <f t="shared" si="28"/>
        <v>-4.0728883587327722E-2</v>
      </c>
      <c r="R95" s="6">
        <f t="shared" si="29"/>
        <v>4.0728883587327722E-2</v>
      </c>
      <c r="S95" s="18">
        <f t="shared" si="30"/>
        <v>1.0000000000000004</v>
      </c>
      <c r="T95" s="15"/>
      <c r="U95" s="15"/>
      <c r="V95" s="40">
        <f t="shared" si="31"/>
        <v>9.3000000000000007</v>
      </c>
      <c r="W95" s="41">
        <f t="shared" si="20"/>
        <v>29.3</v>
      </c>
      <c r="X95">
        <f t="shared" si="32"/>
        <v>-5.6061451310982204E-2</v>
      </c>
      <c r="Y95">
        <f t="shared" si="33"/>
        <v>0.57237093610081735</v>
      </c>
      <c r="Z95" s="33">
        <f t="shared" si="21"/>
        <v>0.12490976452976579</v>
      </c>
      <c r="AA95" s="33">
        <f t="shared" si="22"/>
        <v>0.5</v>
      </c>
      <c r="AB95">
        <f t="shared" si="23"/>
        <v>4.3078779597312128E-2</v>
      </c>
      <c r="AC95" s="1">
        <f t="shared" si="24"/>
        <v>-0.65716525948905935</v>
      </c>
      <c r="AD95" s="35">
        <f>IF(W95&gt;=FinalAgeForPremium, AE95*Delta-Z95*(Y95-AE95),AE95*Delta+PremiumRevisedForLimitedTerm-Z95*(Y95-AE95))</f>
        <v>-6.696780279127372E-2</v>
      </c>
      <c r="AE95" s="35">
        <f>AE94-StepSize*AD94</f>
        <v>2.5881437053736436E-2</v>
      </c>
      <c r="AF95" s="1"/>
    </row>
    <row r="96" spans="11:32" x14ac:dyDescent="0.45">
      <c r="K96" s="40">
        <f t="shared" si="25"/>
        <v>0.71</v>
      </c>
      <c r="L96" s="41">
        <f t="shared" si="17"/>
        <v>20.71</v>
      </c>
      <c r="M96">
        <f t="shared" si="26"/>
        <v>0.96599283367590982</v>
      </c>
      <c r="N96">
        <f t="shared" si="27"/>
        <v>3.4007166324090586E-2</v>
      </c>
      <c r="O96">
        <f t="shared" si="18"/>
        <v>5.9580311893840998E-2</v>
      </c>
      <c r="P96">
        <f t="shared" si="19"/>
        <v>0.5</v>
      </c>
      <c r="Q96">
        <f t="shared" si="28"/>
        <v>-4.0550571155580681E-2</v>
      </c>
      <c r="R96" s="6">
        <f t="shared" si="29"/>
        <v>4.0550571155580681E-2</v>
      </c>
      <c r="S96" s="18">
        <f t="shared" si="30"/>
        <v>1.0000000000000004</v>
      </c>
      <c r="T96" s="15"/>
      <c r="U96" s="15"/>
      <c r="V96" s="40">
        <f t="shared" si="31"/>
        <v>9.2899999999999991</v>
      </c>
      <c r="W96" s="41">
        <f t="shared" si="20"/>
        <v>29.29</v>
      </c>
      <c r="X96">
        <f t="shared" si="32"/>
        <v>-5.6492239106955326E-2</v>
      </c>
      <c r="Y96">
        <f t="shared" si="33"/>
        <v>0.57894258869570792</v>
      </c>
      <c r="Z96" s="33">
        <f t="shared" si="21"/>
        <v>0.12480216654170657</v>
      </c>
      <c r="AA96" s="33">
        <f t="shared" si="22"/>
        <v>0.5</v>
      </c>
      <c r="AB96">
        <f t="shared" si="23"/>
        <v>4.225093853617129E-2</v>
      </c>
      <c r="AC96" s="1">
        <f t="shared" si="24"/>
        <v>-0.65333545666388293</v>
      </c>
      <c r="AD96" s="35">
        <f>IF(W96&gt;=FinalAgeForPremium, AE96*Delta-Z96*(Y96-AE96),AE96*Delta+PremiumRevisedForLimitedTerm-Z96*(Y96-AE96))</f>
        <v>-6.7612096932118018E-2</v>
      </c>
      <c r="AE96" s="35">
        <f>AE95-StepSize*AD95</f>
        <v>2.6551115081649174E-2</v>
      </c>
      <c r="AF96" s="1"/>
    </row>
    <row r="97" spans="11:32" x14ac:dyDescent="0.45">
      <c r="K97" s="40">
        <f t="shared" si="25"/>
        <v>0.72</v>
      </c>
      <c r="L97" s="41">
        <f t="shared" si="17"/>
        <v>20.72</v>
      </c>
      <c r="M97">
        <f t="shared" si="26"/>
        <v>0.96558732796435398</v>
      </c>
      <c r="N97">
        <f t="shared" si="27"/>
        <v>3.4412672035646394E-2</v>
      </c>
      <c r="O97">
        <f t="shared" si="18"/>
        <v>5.9631678964344299E-2</v>
      </c>
      <c r="P97">
        <f t="shared" si="19"/>
        <v>0.5</v>
      </c>
      <c r="Q97">
        <f t="shared" si="28"/>
        <v>-4.0373257535386189E-2</v>
      </c>
      <c r="R97" s="6">
        <f t="shared" si="29"/>
        <v>4.0373257535386189E-2</v>
      </c>
      <c r="S97" s="18">
        <f t="shared" si="30"/>
        <v>1.0000000000000004</v>
      </c>
      <c r="T97" s="15"/>
      <c r="U97" s="15"/>
      <c r="V97" s="40">
        <f t="shared" si="31"/>
        <v>9.2799999999999994</v>
      </c>
      <c r="W97" s="41">
        <f t="shared" si="20"/>
        <v>29.28</v>
      </c>
      <c r="X97">
        <f t="shared" si="32"/>
        <v>-5.6914748492317042E-2</v>
      </c>
      <c r="Y97">
        <f t="shared" si="33"/>
        <v>0.58547594326234675</v>
      </c>
      <c r="Z97" s="33">
        <f t="shared" si="21"/>
        <v>0.12469466123917189</v>
      </c>
      <c r="AA97" s="33">
        <f t="shared" si="22"/>
        <v>0.5</v>
      </c>
      <c r="AB97">
        <f t="shared" si="23"/>
        <v>4.1430766581186718E-2</v>
      </c>
      <c r="AC97" s="1">
        <f t="shared" si="24"/>
        <v>-0.64953085695955082</v>
      </c>
      <c r="AD97" s="35">
        <f>IF(W97&gt;=FinalAgeForPremium, AE97*Delta-Z97*(Y97-AE97),AE97*Delta+PremiumRevisedForLimitedTerm-Z97*(Y97-AE97))</f>
        <v>-6.8249271630379721E-2</v>
      </c>
      <c r="AE97" s="35">
        <f>AE96-StepSize*AD96</f>
        <v>2.7227236050970355E-2</v>
      </c>
      <c r="AF97" s="1"/>
    </row>
    <row r="98" spans="11:32" x14ac:dyDescent="0.45">
      <c r="K98" s="40">
        <f t="shared" si="25"/>
        <v>0.73</v>
      </c>
      <c r="L98" s="41">
        <f t="shared" si="17"/>
        <v>20.73</v>
      </c>
      <c r="M98">
        <f t="shared" si="26"/>
        <v>0.96518359538900012</v>
      </c>
      <c r="N98">
        <f t="shared" si="27"/>
        <v>3.4816404611000253E-2</v>
      </c>
      <c r="O98">
        <f t="shared" si="18"/>
        <v>5.9683090320885215E-2</v>
      </c>
      <c r="P98">
        <f t="shared" si="19"/>
        <v>0.5</v>
      </c>
      <c r="Q98">
        <f t="shared" si="28"/>
        <v>-4.01969373943383E-2</v>
      </c>
      <c r="R98" s="6">
        <f t="shared" si="29"/>
        <v>4.01969373943383E-2</v>
      </c>
      <c r="S98" s="18">
        <f t="shared" si="30"/>
        <v>1.0000000000000004</v>
      </c>
      <c r="T98" s="15"/>
      <c r="U98" s="15"/>
      <c r="V98" s="40">
        <f t="shared" si="31"/>
        <v>9.27</v>
      </c>
      <c r="W98" s="41">
        <f t="shared" si="20"/>
        <v>29.27</v>
      </c>
      <c r="X98">
        <f t="shared" si="32"/>
        <v>-5.7329056158128909E-2</v>
      </c>
      <c r="Y98">
        <f t="shared" si="33"/>
        <v>0.59197125183194221</v>
      </c>
      <c r="Z98" s="33">
        <f t="shared" si="21"/>
        <v>0.12458724854232178</v>
      </c>
      <c r="AA98" s="33">
        <f t="shared" si="22"/>
        <v>0.5</v>
      </c>
      <c r="AB98">
        <f t="shared" si="23"/>
        <v>4.0618202039276158E-2</v>
      </c>
      <c r="AC98" s="1">
        <f t="shared" si="24"/>
        <v>-0.64575128341336741</v>
      </c>
      <c r="AD98" s="35">
        <f>IF(W98&gt;=FinalAgeForPremium, AE98*Delta-Z98*(Y98-AE98),AE98*Delta+PremiumRevisedForLimitedTerm-Z98*(Y98-AE98))</f>
        <v>-6.8879386728854658E-2</v>
      </c>
      <c r="AE98" s="35">
        <f>AE97-StepSize*AD97</f>
        <v>2.7909728767274152E-2</v>
      </c>
      <c r="AF98" s="1"/>
    </row>
    <row r="99" spans="11:32" x14ac:dyDescent="0.45">
      <c r="K99" s="40">
        <f t="shared" si="25"/>
        <v>0.74</v>
      </c>
      <c r="L99" s="41">
        <f t="shared" si="17"/>
        <v>20.74</v>
      </c>
      <c r="M99">
        <f t="shared" si="26"/>
        <v>0.96478162601505668</v>
      </c>
      <c r="N99">
        <f t="shared" si="27"/>
        <v>3.5218373984943638E-2</v>
      </c>
      <c r="O99">
        <f t="shared" si="18"/>
        <v>5.9734546001644837E-2</v>
      </c>
      <c r="P99">
        <f t="shared" si="19"/>
        <v>0.5</v>
      </c>
      <c r="Q99">
        <f t="shared" si="28"/>
        <v>-4.0021605428266292E-2</v>
      </c>
      <c r="R99" s="6">
        <f t="shared" si="29"/>
        <v>4.0021605428266292E-2</v>
      </c>
      <c r="S99" s="18">
        <f t="shared" si="30"/>
        <v>1.0000000000000002</v>
      </c>
      <c r="T99" s="15"/>
      <c r="U99" s="15"/>
      <c r="V99" s="40">
        <f t="shared" si="31"/>
        <v>9.26</v>
      </c>
      <c r="W99" s="41">
        <f t="shared" si="20"/>
        <v>29.259999999999998</v>
      </c>
      <c r="X99">
        <f t="shared" si="32"/>
        <v>-5.7735238178521671E-2</v>
      </c>
      <c r="Y99">
        <f t="shared" si="33"/>
        <v>0.59842876466607586</v>
      </c>
      <c r="Z99" s="33">
        <f t="shared" si="21"/>
        <v>0.12447992837138518</v>
      </c>
      <c r="AA99" s="33">
        <f t="shared" si="22"/>
        <v>0.5</v>
      </c>
      <c r="AB99">
        <f t="shared" si="23"/>
        <v>3.98131837144447E-2</v>
      </c>
      <c r="AC99" s="1">
        <f t="shared" si="24"/>
        <v>-0.64199656034439734</v>
      </c>
      <c r="AD99" s="35">
        <f>IF(W99&gt;=FinalAgeForPremium, AE99*Delta-Z99*(Y99-AE99),AE99*Delta+PremiumRevisedForLimitedTerm-Z99*(Y99-AE99))</f>
        <v>-6.9502501580203685E-2</v>
      </c>
      <c r="AE99" s="35">
        <f>AE98-StepSize*AD98</f>
        <v>2.8598522634562699E-2</v>
      </c>
      <c r="AF99" s="1"/>
    </row>
    <row r="100" spans="11:32" x14ac:dyDescent="0.45">
      <c r="K100" s="40">
        <f t="shared" si="25"/>
        <v>0.75</v>
      </c>
      <c r="L100" s="41">
        <f t="shared" si="17"/>
        <v>20.75</v>
      </c>
      <c r="M100">
        <f t="shared" si="26"/>
        <v>0.96438140996077404</v>
      </c>
      <c r="N100">
        <f t="shared" si="27"/>
        <v>3.5618590039226301E-2</v>
      </c>
      <c r="O100">
        <f t="shared" si="18"/>
        <v>5.9786046044837261E-2</v>
      </c>
      <c r="P100">
        <f t="shared" si="19"/>
        <v>0.5</v>
      </c>
      <c r="Q100">
        <f t="shared" si="28"/>
        <v>-3.9847256361086769E-2</v>
      </c>
      <c r="R100" s="6">
        <f t="shared" si="29"/>
        <v>3.9847256361086769E-2</v>
      </c>
      <c r="S100" s="18">
        <f t="shared" si="30"/>
        <v>1.0000000000000004</v>
      </c>
      <c r="T100" s="15"/>
      <c r="U100" s="15"/>
      <c r="V100" s="40">
        <f t="shared" si="31"/>
        <v>9.25</v>
      </c>
      <c r="W100" s="41">
        <f t="shared" si="20"/>
        <v>29.25</v>
      </c>
      <c r="X100">
        <f t="shared" si="32"/>
        <v>-5.8133370015666118E-2</v>
      </c>
      <c r="Y100">
        <f t="shared" si="33"/>
        <v>0.6048487302695198</v>
      </c>
      <c r="Z100" s="33">
        <f t="shared" si="21"/>
        <v>0.12437270064665981</v>
      </c>
      <c r="AA100" s="33">
        <f t="shared" si="22"/>
        <v>0.5</v>
      </c>
      <c r="AB100">
        <f t="shared" si="23"/>
        <v>3.9015650903701141E-2</v>
      </c>
      <c r="AC100" s="1">
        <f t="shared" si="24"/>
        <v>-0.63826651334393103</v>
      </c>
      <c r="AD100" s="35">
        <f>IF(W100&gt;=FinalAgeForPremium, AE100*Delta-Z100*(Y100-AE100),AE100*Delta+PremiumRevisedForLimitedTerm-Z100*(Y100-AE100))</f>
        <v>-7.0118675051007551E-2</v>
      </c>
      <c r="AE100" s="35">
        <f>AE99-StepSize*AD99</f>
        <v>2.9293547650364734E-2</v>
      </c>
      <c r="AF100" s="1"/>
    </row>
    <row r="101" spans="11:32" x14ac:dyDescent="0.45">
      <c r="K101" s="40">
        <f t="shared" si="25"/>
        <v>0.76</v>
      </c>
      <c r="L101" s="41">
        <f t="shared" si="17"/>
        <v>20.76</v>
      </c>
      <c r="M101">
        <f t="shared" si="26"/>
        <v>0.96398293739716312</v>
      </c>
      <c r="N101">
        <f t="shared" si="27"/>
        <v>3.6017062602837172E-2</v>
      </c>
      <c r="O101">
        <f t="shared" si="18"/>
        <v>5.9837590488709458E-2</v>
      </c>
      <c r="P101">
        <f t="shared" si="19"/>
        <v>0.5</v>
      </c>
      <c r="Q101">
        <f t="shared" si="28"/>
        <v>-3.967388494465611E-2</v>
      </c>
      <c r="R101" s="6">
        <f t="shared" si="29"/>
        <v>3.967388494465611E-2</v>
      </c>
      <c r="S101" s="18">
        <f t="shared" si="30"/>
        <v>1.0000000000000002</v>
      </c>
      <c r="T101" s="15"/>
      <c r="U101" s="15"/>
      <c r="V101" s="40">
        <f t="shared" si="31"/>
        <v>9.24</v>
      </c>
      <c r="W101" s="41">
        <f t="shared" si="20"/>
        <v>29.240000000000002</v>
      </c>
      <c r="X101">
        <f t="shared" si="32"/>
        <v>-5.8523526524703127E-2</v>
      </c>
      <c r="Y101">
        <f t="shared" si="33"/>
        <v>0.61123139540295912</v>
      </c>
      <c r="Z101" s="33">
        <f t="shared" si="21"/>
        <v>0.12426556528851194</v>
      </c>
      <c r="AA101" s="33">
        <f t="shared" si="22"/>
        <v>0.5</v>
      </c>
      <c r="AB101">
        <f t="shared" si="23"/>
        <v>3.8225543393008377E-2</v>
      </c>
      <c r="AC101" s="1">
        <f t="shared" si="24"/>
        <v>-0.63456096926602079</v>
      </c>
      <c r="AD101" s="35">
        <f>IF(W101&gt;=FinalAgeForPremium, AE101*Delta-Z101*(Y101-AE101),AE101*Delta+PremiumRevisedForLimitedTerm-Z101*(Y101-AE101))</f>
        <v>-7.0727965525787459E-2</v>
      </c>
      <c r="AE101" s="35">
        <f>AE100-StepSize*AD100</f>
        <v>2.9994734400874811E-2</v>
      </c>
      <c r="AF101" s="1"/>
    </row>
    <row r="102" spans="11:32" x14ac:dyDescent="0.45">
      <c r="K102" s="40">
        <f t="shared" si="25"/>
        <v>0.77</v>
      </c>
      <c r="L102" s="41">
        <f t="shared" si="17"/>
        <v>20.77</v>
      </c>
      <c r="M102">
        <f t="shared" si="26"/>
        <v>0.96358619854771654</v>
      </c>
      <c r="N102">
        <f t="shared" si="27"/>
        <v>3.6413801452283734E-2</v>
      </c>
      <c r="O102">
        <f t="shared" si="18"/>
        <v>5.9889179371541403E-2</v>
      </c>
      <c r="P102">
        <f t="shared" si="19"/>
        <v>0.5</v>
      </c>
      <c r="Q102">
        <f t="shared" si="28"/>
        <v>-3.9501485958624037E-2</v>
      </c>
      <c r="R102" s="6">
        <f t="shared" si="29"/>
        <v>3.9501485958624037E-2</v>
      </c>
      <c r="S102" s="18">
        <f t="shared" si="30"/>
        <v>1.0000000000000002</v>
      </c>
      <c r="T102" s="15"/>
      <c r="U102" s="15"/>
      <c r="V102" s="40">
        <f t="shared" si="31"/>
        <v>9.23</v>
      </c>
      <c r="W102" s="41">
        <f t="shared" si="20"/>
        <v>29.23</v>
      </c>
      <c r="X102">
        <f t="shared" si="32"/>
        <v>-5.8905781958633212E-2</v>
      </c>
      <c r="Y102">
        <f t="shared" si="33"/>
        <v>0.6175770050956193</v>
      </c>
      <c r="Z102" s="33">
        <f t="shared" si="21"/>
        <v>0.12415852221737644</v>
      </c>
      <c r="AA102" s="33">
        <f t="shared" si="22"/>
        <v>0.5</v>
      </c>
      <c r="AB102">
        <f t="shared" si="23"/>
        <v>3.7442801453267852E-2</v>
      </c>
      <c r="AC102" s="1">
        <f t="shared" si="24"/>
        <v>-0.63087975621809278</v>
      </c>
      <c r="AD102" s="35">
        <f>IF(W102&gt;=FinalAgeForPremium, AE102*Delta-Z102*(Y102-AE102),AE102*Delta+PremiumRevisedForLimitedTerm-Z102*(Y102-AE102))</f>
        <v>-7.1330430910992074E-2</v>
      </c>
      <c r="AE102" s="35">
        <f>AE101-StepSize*AD101</f>
        <v>3.0702014056132685E-2</v>
      </c>
      <c r="AF102" s="1"/>
    </row>
    <row r="103" spans="11:32" x14ac:dyDescent="0.45">
      <c r="K103" s="40">
        <f t="shared" si="25"/>
        <v>0.78</v>
      </c>
      <c r="L103" s="41">
        <f t="shared" si="17"/>
        <v>20.78</v>
      </c>
      <c r="M103">
        <f t="shared" si="26"/>
        <v>0.96319118368813028</v>
      </c>
      <c r="N103">
        <f t="shared" si="27"/>
        <v>3.6808816311869975E-2</v>
      </c>
      <c r="O103">
        <f t="shared" si="18"/>
        <v>5.9940812731646087E-2</v>
      </c>
      <c r="P103">
        <f t="shared" si="19"/>
        <v>0.5</v>
      </c>
      <c r="Q103">
        <f t="shared" si="28"/>
        <v>-3.9330054210287763E-2</v>
      </c>
      <c r="R103" s="6">
        <f t="shared" si="29"/>
        <v>3.9330054210287763E-2</v>
      </c>
      <c r="S103" s="18">
        <f t="shared" si="30"/>
        <v>1.0000000000000002</v>
      </c>
      <c r="T103" s="15"/>
      <c r="U103" s="15"/>
      <c r="V103" s="40">
        <f t="shared" si="31"/>
        <v>9.2200000000000006</v>
      </c>
      <c r="W103" s="41">
        <f t="shared" si="20"/>
        <v>29.22</v>
      </c>
      <c r="X103">
        <f t="shared" si="32"/>
        <v>-5.9280209973165889E-2</v>
      </c>
      <c r="Y103">
        <f t="shared" si="33"/>
        <v>0.62388580265780025</v>
      </c>
      <c r="Z103" s="33">
        <f t="shared" si="21"/>
        <v>0.12405157135375673</v>
      </c>
      <c r="AA103" s="33">
        <f t="shared" si="22"/>
        <v>0.5</v>
      </c>
      <c r="AB103">
        <f t="shared" si="23"/>
        <v>3.6667365836337604E-2</v>
      </c>
      <c r="AC103" s="1">
        <f t="shared" si="24"/>
        <v>-0.6272227035516269</v>
      </c>
      <c r="AD103" s="35">
        <f>IF(W103&gt;=FinalAgeForPremium, AE103*Delta-Z103*(Y103-AE103),AE103*Delta+PremiumRevisedForLimitedTerm-Z103*(Y103-AE103))</f>
        <v>-7.1926128638950884E-2</v>
      </c>
      <c r="AE103" s="35">
        <f>AE102-StepSize*AD102</f>
        <v>3.1415318365242605E-2</v>
      </c>
      <c r="AF103" s="1"/>
    </row>
    <row r="104" spans="11:32" x14ac:dyDescent="0.45">
      <c r="K104" s="40">
        <f t="shared" si="25"/>
        <v>0.79</v>
      </c>
      <c r="L104" s="41">
        <f t="shared" si="17"/>
        <v>20.79</v>
      </c>
      <c r="M104">
        <f t="shared" si="26"/>
        <v>0.96279788314602743</v>
      </c>
      <c r="N104">
        <f t="shared" si="27"/>
        <v>3.7202116853972851E-2</v>
      </c>
      <c r="O104">
        <f t="shared" si="18"/>
        <v>5.9992490607369504E-2</v>
      </c>
      <c r="P104">
        <f t="shared" si="19"/>
        <v>0.5</v>
      </c>
      <c r="Q104">
        <f t="shared" si="28"/>
        <v>-3.9159584534446873E-2</v>
      </c>
      <c r="R104" s="6">
        <f t="shared" si="29"/>
        <v>3.9159584534446873E-2</v>
      </c>
      <c r="S104" s="18">
        <f t="shared" si="30"/>
        <v>1.0000000000000002</v>
      </c>
      <c r="T104" s="15"/>
      <c r="U104" s="15"/>
      <c r="V104" s="40">
        <f t="shared" si="31"/>
        <v>9.2100000000000009</v>
      </c>
      <c r="W104" s="41">
        <f t="shared" si="20"/>
        <v>29.21</v>
      </c>
      <c r="X104">
        <f t="shared" si="32"/>
        <v>-5.9646883631529264E-2</v>
      </c>
      <c r="Y104">
        <f t="shared" si="33"/>
        <v>0.63015802969331647</v>
      </c>
      <c r="Z104" s="33">
        <f t="shared" si="21"/>
        <v>0.12394471261822482</v>
      </c>
      <c r="AA104" s="33">
        <f t="shared" si="22"/>
        <v>0.5</v>
      </c>
      <c r="AB104">
        <f t="shared" si="23"/>
        <v>3.5899177771083729E-2</v>
      </c>
      <c r="AC104" s="1">
        <f t="shared" si="24"/>
        <v>-0.62358964185291121</v>
      </c>
      <c r="AD104" s="35">
        <f>IF(W104&gt;=FinalAgeForPremium, AE104*Delta-Z104*(Y104-AE104),AE104*Delta+PremiumRevisedForLimitedTerm-Z104*(Y104-AE104))</f>
        <v>-7.2515115671794292E-2</v>
      </c>
      <c r="AE104" s="35">
        <f>AE103-StepSize*AD103</f>
        <v>3.2134579651632113E-2</v>
      </c>
      <c r="AF104" s="1"/>
    </row>
    <row r="105" spans="11:32" x14ac:dyDescent="0.45">
      <c r="K105" s="40">
        <f t="shared" si="25"/>
        <v>0.8</v>
      </c>
      <c r="L105" s="41">
        <f t="shared" si="17"/>
        <v>20.8</v>
      </c>
      <c r="M105">
        <f t="shared" si="26"/>
        <v>0.96240628730068301</v>
      </c>
      <c r="N105">
        <f t="shared" si="27"/>
        <v>3.7593712699317321E-2</v>
      </c>
      <c r="O105">
        <f t="shared" si="18"/>
        <v>6.0044213037090746E-2</v>
      </c>
      <c r="P105">
        <f t="shared" si="19"/>
        <v>0.5</v>
      </c>
      <c r="Q105">
        <f t="shared" si="28"/>
        <v>-3.8990071793259112E-2</v>
      </c>
      <c r="R105" s="6">
        <f t="shared" si="29"/>
        <v>3.8990071793259112E-2</v>
      </c>
      <c r="S105" s="18">
        <f t="shared" si="30"/>
        <v>1.0000000000000002</v>
      </c>
      <c r="T105" s="15"/>
      <c r="U105" s="15"/>
      <c r="V105" s="40">
        <f t="shared" si="31"/>
        <v>9.1999999999999993</v>
      </c>
      <c r="W105" s="41">
        <f t="shared" si="20"/>
        <v>29.2</v>
      </c>
      <c r="X105">
        <f t="shared" si="32"/>
        <v>-6.00058754092401E-2</v>
      </c>
      <c r="Y105">
        <f t="shared" si="33"/>
        <v>0.63639392611184553</v>
      </c>
      <c r="Z105" s="33">
        <f t="shared" si="21"/>
        <v>0.12383794593142097</v>
      </c>
      <c r="AA105" s="33">
        <f t="shared" si="22"/>
        <v>0.5</v>
      </c>
      <c r="AB105">
        <f t="shared" si="23"/>
        <v>3.5138178959465166E-2</v>
      </c>
      <c r="AC105" s="1">
        <f t="shared" si="24"/>
        <v>-0.61998040293386492</v>
      </c>
      <c r="AD105" s="35">
        <f>IF(W105&gt;=FinalAgeForPremium, AE105*Delta-Z105*(Y105-AE105),AE105*Delta+PremiumRevisedForLimitedTerm-Z105*(Y105-AE105))</f>
        <v>-7.3097448505340445E-2</v>
      </c>
      <c r="AE105" s="35">
        <f>AE104-StepSize*AD104</f>
        <v>3.2859730808350057E-2</v>
      </c>
      <c r="AF105" s="1"/>
    </row>
    <row r="106" spans="11:32" x14ac:dyDescent="0.45">
      <c r="K106" s="40">
        <f t="shared" si="25"/>
        <v>0.81</v>
      </c>
      <c r="L106" s="41">
        <f t="shared" si="17"/>
        <v>20.81</v>
      </c>
      <c r="M106">
        <f t="shared" si="26"/>
        <v>0.96201638658275046</v>
      </c>
      <c r="N106">
        <f t="shared" si="27"/>
        <v>3.7983613417249915E-2</v>
      </c>
      <c r="O106">
        <f t="shared" si="18"/>
        <v>6.009598005922194E-2</v>
      </c>
      <c r="P106">
        <f t="shared" si="19"/>
        <v>0.5</v>
      </c>
      <c r="Q106">
        <f t="shared" si="28"/>
        <v>-3.8821510876096761E-2</v>
      </c>
      <c r="R106" s="6">
        <f t="shared" si="29"/>
        <v>3.8821510876096761E-2</v>
      </c>
      <c r="S106" s="18">
        <f t="shared" si="30"/>
        <v>1.0000000000000004</v>
      </c>
      <c r="T106" s="15"/>
      <c r="U106" s="15"/>
      <c r="V106" s="40">
        <f t="shared" si="31"/>
        <v>9.19</v>
      </c>
      <c r="W106" s="41">
        <f t="shared" si="20"/>
        <v>29.189999999999998</v>
      </c>
      <c r="X106">
        <f t="shared" si="32"/>
        <v>-6.0357257198834752E-2</v>
      </c>
      <c r="Y106">
        <f t="shared" si="33"/>
        <v>0.64259373014118415</v>
      </c>
      <c r="Z106" s="33">
        <f t="shared" si="21"/>
        <v>0.12373127121405388</v>
      </c>
      <c r="AA106" s="33">
        <f t="shared" si="22"/>
        <v>0.5</v>
      </c>
      <c r="AB106">
        <f t="shared" si="23"/>
        <v>3.4384311572651094E-2</v>
      </c>
      <c r="AC106" s="1">
        <f t="shared" si="24"/>
        <v>-0.61639481982293143</v>
      </c>
      <c r="AD106" s="35">
        <f>IF(W106&gt;=FinalAgeForPremium, AE106*Delta-Z106*(Y106-AE106),AE106*Delta+PremiumRevisedForLimitedTerm-Z106*(Y106-AE106))</f>
        <v>-7.3673183172949769E-2</v>
      </c>
      <c r="AE106" s="35">
        <f>AE105-StepSize*AD105</f>
        <v>3.359070529340346E-2</v>
      </c>
      <c r="AF106" s="1"/>
    </row>
    <row r="107" spans="11:32" x14ac:dyDescent="0.45">
      <c r="K107" s="40">
        <f t="shared" si="25"/>
        <v>0.82</v>
      </c>
      <c r="L107" s="41">
        <f t="shared" si="17"/>
        <v>20.82</v>
      </c>
      <c r="M107">
        <f t="shared" si="26"/>
        <v>0.96162817147398949</v>
      </c>
      <c r="N107">
        <f t="shared" si="27"/>
        <v>3.8371828526010884E-2</v>
      </c>
      <c r="O107">
        <f t="shared" si="18"/>
        <v>6.0147791712208395E-2</v>
      </c>
      <c r="P107">
        <f t="shared" si="19"/>
        <v>0.5</v>
      </c>
      <c r="Q107">
        <f t="shared" si="28"/>
        <v>-3.8653896699403896E-2</v>
      </c>
      <c r="R107" s="6">
        <f t="shared" si="29"/>
        <v>3.8653896699403896E-2</v>
      </c>
      <c r="S107" s="18">
        <f t="shared" si="30"/>
        <v>1.0000000000000004</v>
      </c>
      <c r="T107" s="15"/>
      <c r="U107" s="15"/>
      <c r="V107" s="40">
        <f t="shared" si="31"/>
        <v>9.18</v>
      </c>
      <c r="W107" s="41">
        <f t="shared" si="20"/>
        <v>29.18</v>
      </c>
      <c r="X107">
        <f t="shared" si="32"/>
        <v>-6.070110031456126E-2</v>
      </c>
      <c r="Y107">
        <f t="shared" si="33"/>
        <v>0.64875767833941345</v>
      </c>
      <c r="Z107" s="33">
        <f t="shared" si="21"/>
        <v>0.12362468838690058</v>
      </c>
      <c r="AA107" s="33">
        <f t="shared" si="22"/>
        <v>0.5</v>
      </c>
      <c r="AB107">
        <f t="shared" si="23"/>
        <v>3.3637518247170914E-2</v>
      </c>
      <c r="AC107" s="1">
        <f t="shared" si="24"/>
        <v>-0.61283272675604206</v>
      </c>
      <c r="AD107" s="35">
        <f>IF(W107&gt;=FinalAgeForPremium, AE107*Delta-Z107*(Y107-AE107),AE107*Delta+PremiumRevisedForLimitedTerm-Z107*(Y107-AE107))</f>
        <v>-7.4242375249346931E-2</v>
      </c>
      <c r="AE107" s="35">
        <f>AE106-StepSize*AD106</f>
        <v>3.4327437125132955E-2</v>
      </c>
      <c r="AF107" s="1"/>
    </row>
    <row r="108" spans="11:32" x14ac:dyDescent="0.45">
      <c r="K108" s="40">
        <f t="shared" si="25"/>
        <v>0.83</v>
      </c>
      <c r="L108" s="41">
        <f t="shared" si="17"/>
        <v>20.83</v>
      </c>
      <c r="M108">
        <f t="shared" si="26"/>
        <v>0.96124163250699546</v>
      </c>
      <c r="N108">
        <f t="shared" si="27"/>
        <v>3.8758367493004924E-2</v>
      </c>
      <c r="O108">
        <f t="shared" si="18"/>
        <v>6.01996480345285E-2</v>
      </c>
      <c r="P108">
        <f t="shared" si="19"/>
        <v>0.5</v>
      </c>
      <c r="Q108">
        <f t="shared" si="28"/>
        <v>-3.848722420655426E-2</v>
      </c>
      <c r="R108" s="6">
        <f t="shared" si="29"/>
        <v>3.848722420655426E-2</v>
      </c>
      <c r="S108" s="18">
        <f t="shared" si="30"/>
        <v>1.0000000000000004</v>
      </c>
      <c r="T108" s="15"/>
      <c r="U108" s="15"/>
      <c r="V108" s="40">
        <f t="shared" si="31"/>
        <v>9.17</v>
      </c>
      <c r="W108" s="41">
        <f t="shared" si="20"/>
        <v>29.17</v>
      </c>
      <c r="X108">
        <f t="shared" si="32"/>
        <v>-6.1037475497032971E-2</v>
      </c>
      <c r="Y108">
        <f t="shared" si="33"/>
        <v>0.65488600560697385</v>
      </c>
      <c r="Z108" s="33">
        <f t="shared" si="21"/>
        <v>0.12351819737080638</v>
      </c>
      <c r="AA108" s="33">
        <f t="shared" si="22"/>
        <v>0.5</v>
      </c>
      <c r="AB108">
        <f t="shared" si="23"/>
        <v>3.2897742081096526E-2</v>
      </c>
      <c r="AC108" s="1">
        <f t="shared" si="24"/>
        <v>-0.60929395916764784</v>
      </c>
      <c r="AD108" s="35">
        <f>IF(W108&gt;=FinalAgeForPremium, AE108*Delta-Z108*(Y108-AE108),AE108*Delta+PremiumRevisedForLimitedTerm-Z108*(Y108-AE108))</f>
        <v>-7.4805079854410511E-2</v>
      </c>
      <c r="AE108" s="35">
        <f>AE107-StepSize*AD107</f>
        <v>3.5069860877626424E-2</v>
      </c>
      <c r="AF108" s="1"/>
    </row>
    <row r="109" spans="11:32" x14ac:dyDescent="0.45">
      <c r="K109" s="40">
        <f t="shared" si="25"/>
        <v>0.84</v>
      </c>
      <c r="L109" s="41">
        <f t="shared" si="17"/>
        <v>20.84</v>
      </c>
      <c r="M109">
        <f t="shared" si="26"/>
        <v>0.96085676026492994</v>
      </c>
      <c r="N109">
        <f t="shared" si="27"/>
        <v>3.9143239735070466E-2</v>
      </c>
      <c r="O109">
        <f t="shared" si="18"/>
        <v>6.0251549064693884E-2</v>
      </c>
      <c r="P109">
        <f t="shared" si="19"/>
        <v>0.5</v>
      </c>
      <c r="Q109">
        <f t="shared" si="28"/>
        <v>-3.8321488367710002E-2</v>
      </c>
      <c r="R109" s="6">
        <f t="shared" si="29"/>
        <v>3.8321488367710002E-2</v>
      </c>
      <c r="S109" s="18">
        <f t="shared" si="30"/>
        <v>1.0000000000000004</v>
      </c>
      <c r="T109" s="15"/>
      <c r="U109" s="15"/>
      <c r="V109" s="40">
        <f t="shared" si="31"/>
        <v>9.16</v>
      </c>
      <c r="W109" s="41">
        <f t="shared" si="20"/>
        <v>29.16</v>
      </c>
      <c r="X109">
        <f t="shared" si="32"/>
        <v>-6.1366452917843935E-2</v>
      </c>
      <c r="Y109">
        <f t="shared" si="33"/>
        <v>0.6609789451986503</v>
      </c>
      <c r="Z109" s="33">
        <f t="shared" si="21"/>
        <v>0.1234117980866845</v>
      </c>
      <c r="AA109" s="33">
        <f t="shared" si="22"/>
        <v>0.5</v>
      </c>
      <c r="AB109">
        <f t="shared" si="23"/>
        <v>3.2164926630256954E-2</v>
      </c>
      <c r="AC109" s="1">
        <f t="shared" si="24"/>
        <v>-0.60577835368182043</v>
      </c>
      <c r="AD109" s="35">
        <f>IF(W109&gt;=FinalAgeForPremium, AE109*Delta-Z109*(Y109-AE109),AE109*Delta+PremiumRevisedForLimitedTerm-Z109*(Y109-AE109))</f>
        <v>-7.5361351656930739E-2</v>
      </c>
      <c r="AE109" s="35">
        <f>AE108-StepSize*AD108</f>
        <v>3.581791167617053E-2</v>
      </c>
      <c r="AF109" s="1"/>
    </row>
    <row r="110" spans="11:32" x14ac:dyDescent="0.45">
      <c r="K110" s="40">
        <f t="shared" si="25"/>
        <v>0.85</v>
      </c>
      <c r="L110" s="41">
        <f t="shared" si="17"/>
        <v>20.85</v>
      </c>
      <c r="M110">
        <f t="shared" si="26"/>
        <v>0.96047354538125285</v>
      </c>
      <c r="N110">
        <f t="shared" si="27"/>
        <v>3.952645461874757E-2</v>
      </c>
      <c r="O110">
        <f t="shared" si="18"/>
        <v>6.0303494841249312E-2</v>
      </c>
      <c r="P110">
        <f t="shared" si="19"/>
        <v>0.5</v>
      </c>
      <c r="Q110">
        <f t="shared" si="28"/>
        <v>-3.815668417968103E-2</v>
      </c>
      <c r="R110" s="6">
        <f t="shared" si="29"/>
        <v>3.815668417968103E-2</v>
      </c>
      <c r="S110" s="18">
        <f t="shared" si="30"/>
        <v>1.0000000000000004</v>
      </c>
      <c r="T110" s="15"/>
      <c r="U110" s="15"/>
      <c r="V110" s="40">
        <f t="shared" si="31"/>
        <v>9.15</v>
      </c>
      <c r="W110" s="41">
        <f t="shared" si="20"/>
        <v>29.15</v>
      </c>
      <c r="X110">
        <f t="shared" si="32"/>
        <v>-6.1688102184146505E-2</v>
      </c>
      <c r="Y110">
        <f t="shared" si="33"/>
        <v>0.66703672873546849</v>
      </c>
      <c r="Z110" s="33">
        <f t="shared" si="21"/>
        <v>0.12330549045551664</v>
      </c>
      <c r="AA110" s="33">
        <f t="shared" si="22"/>
        <v>0.5</v>
      </c>
      <c r="AB110">
        <f t="shared" si="23"/>
        <v>3.1439015904483766E-2</v>
      </c>
      <c r="AC110" s="1">
        <f t="shared" si="24"/>
        <v>-0.60228574810341906</v>
      </c>
      <c r="AD110" s="35">
        <f>IF(W110&gt;=FinalAgeForPremium, AE110*Delta-Z110*(Y110-AE110),AE110*Delta+PremiumRevisedForLimitedTerm-Z110*(Y110-AE110))</f>
        <v>-7.5911244878336295E-2</v>
      </c>
      <c r="AE110" s="35">
        <f>AE109-StepSize*AD109</f>
        <v>3.6571525192739839E-2</v>
      </c>
      <c r="AF110" s="1"/>
    </row>
    <row r="111" spans="11:32" x14ac:dyDescent="0.45">
      <c r="K111" s="40">
        <f t="shared" si="25"/>
        <v>0.86</v>
      </c>
      <c r="L111" s="41">
        <f t="shared" si="17"/>
        <v>20.86</v>
      </c>
      <c r="M111">
        <f t="shared" si="26"/>
        <v>0.96009197853945605</v>
      </c>
      <c r="N111">
        <f t="shared" si="27"/>
        <v>3.9908021460544382E-2</v>
      </c>
      <c r="O111">
        <f t="shared" si="18"/>
        <v>6.0355485402772829E-2</v>
      </c>
      <c r="P111">
        <f t="shared" si="19"/>
        <v>0.5</v>
      </c>
      <c r="Q111">
        <f t="shared" si="28"/>
        <v>-3.799280666578523E-2</v>
      </c>
      <c r="R111" s="6">
        <f t="shared" si="29"/>
        <v>3.799280666578523E-2</v>
      </c>
      <c r="S111" s="18">
        <f t="shared" si="30"/>
        <v>1.0000000000000004</v>
      </c>
      <c r="T111" s="15"/>
      <c r="U111" s="15"/>
      <c r="V111" s="40">
        <f t="shared" si="31"/>
        <v>9.14</v>
      </c>
      <c r="W111" s="41">
        <f t="shared" si="20"/>
        <v>29.14</v>
      </c>
      <c r="X111">
        <f t="shared" si="32"/>
        <v>-6.2002492343191343E-2</v>
      </c>
      <c r="Y111">
        <f t="shared" si="33"/>
        <v>0.67305958621650264</v>
      </c>
      <c r="Z111" s="33">
        <f t="shared" si="21"/>
        <v>0.12319927439835249</v>
      </c>
      <c r="AA111" s="33">
        <f t="shared" si="22"/>
        <v>0.5</v>
      </c>
      <c r="AB111">
        <f t="shared" si="23"/>
        <v>3.0719954363889024E-2</v>
      </c>
      <c r="AC111" s="1">
        <f t="shared" si="24"/>
        <v>-0.5988159814093279</v>
      </c>
      <c r="AD111" s="35">
        <f>IF(W111&gt;=FinalAgeForPremium, AE111*Delta-Z111*(Y111-AE111),AE111*Delta+PremiumRevisedForLimitedTerm-Z111*(Y111-AE111))</f>
        <v>-7.645481329638884E-2</v>
      </c>
      <c r="AE111" s="35">
        <f>AE110-StepSize*AD110</f>
        <v>3.7330637641523202E-2</v>
      </c>
      <c r="AF111" s="1"/>
    </row>
    <row r="112" spans="11:32" x14ac:dyDescent="0.45">
      <c r="K112" s="40">
        <f t="shared" si="25"/>
        <v>0.87</v>
      </c>
      <c r="L112" s="41">
        <f t="shared" si="17"/>
        <v>20.87</v>
      </c>
      <c r="M112">
        <f t="shared" si="26"/>
        <v>0.95971205047279817</v>
      </c>
      <c r="N112">
        <f t="shared" si="27"/>
        <v>4.0287949527202237E-2</v>
      </c>
      <c r="O112">
        <f t="shared" si="18"/>
        <v>6.0407520787875722E-2</v>
      </c>
      <c r="P112">
        <f t="shared" si="19"/>
        <v>0.5</v>
      </c>
      <c r="Q112">
        <f t="shared" si="28"/>
        <v>-3.7829850875709267E-2</v>
      </c>
      <c r="R112" s="6">
        <f t="shared" si="29"/>
        <v>3.7829850875709267E-2</v>
      </c>
      <c r="S112" s="18">
        <f t="shared" si="30"/>
        <v>1.0000000000000004</v>
      </c>
      <c r="T112" s="15"/>
      <c r="U112" s="15"/>
      <c r="V112" s="40">
        <f t="shared" si="31"/>
        <v>9.1300000000000008</v>
      </c>
      <c r="W112" s="41">
        <f t="shared" si="20"/>
        <v>29.130000000000003</v>
      </c>
      <c r="X112">
        <f t="shared" si="32"/>
        <v>-6.2309691886830235E-2</v>
      </c>
      <c r="Y112">
        <f t="shared" si="33"/>
        <v>0.67904774603059592</v>
      </c>
      <c r="Z112" s="33">
        <f t="shared" si="21"/>
        <v>0.12309314983630953</v>
      </c>
      <c r="AA112" s="33">
        <f t="shared" si="22"/>
        <v>0.5</v>
      </c>
      <c r="AB112">
        <f t="shared" si="23"/>
        <v>3.0007686915173873E-2</v>
      </c>
      <c r="AC112" s="1">
        <f t="shared" si="24"/>
        <v>-0.5953688937397571</v>
      </c>
      <c r="AD112" s="35">
        <f>IF(W112&gt;=FinalAgeForPremium, AE112*Delta-Z112*(Y112-AE112),AE112*Delta+PremiumRevisedForLimitedTerm-Z112*(Y112-AE112))</f>
        <v>-7.6992110248847057E-2</v>
      </c>
      <c r="AE112" s="35">
        <f>AE111-StepSize*AD111</f>
        <v>3.8095185774487089E-2</v>
      </c>
      <c r="AF112" s="1"/>
    </row>
    <row r="113" spans="11:32" x14ac:dyDescent="0.45">
      <c r="K113" s="40">
        <f t="shared" si="25"/>
        <v>0.88</v>
      </c>
      <c r="L113" s="41">
        <f t="shared" si="17"/>
        <v>20.88</v>
      </c>
      <c r="M113">
        <f t="shared" si="26"/>
        <v>0.95933375196404103</v>
      </c>
      <c r="N113">
        <f t="shared" si="27"/>
        <v>4.0666248035959328E-2</v>
      </c>
      <c r="O113">
        <f t="shared" si="18"/>
        <v>6.0459601035202558E-2</v>
      </c>
      <c r="P113">
        <f t="shared" si="19"/>
        <v>0.5</v>
      </c>
      <c r="Q113">
        <f t="shared" si="28"/>
        <v>-3.7667811885370231E-2</v>
      </c>
      <c r="R113" s="6">
        <f t="shared" si="29"/>
        <v>3.7667811885370231E-2</v>
      </c>
      <c r="S113" s="18">
        <f t="shared" si="30"/>
        <v>1.0000000000000004</v>
      </c>
      <c r="T113" s="15"/>
      <c r="U113" s="15"/>
      <c r="V113" s="40">
        <f t="shared" si="31"/>
        <v>9.1199999999999992</v>
      </c>
      <c r="W113" s="41">
        <f t="shared" si="20"/>
        <v>29.119999999999997</v>
      </c>
      <c r="X113">
        <f t="shared" si="32"/>
        <v>-6.2609768755981968E-2</v>
      </c>
      <c r="Y113">
        <f t="shared" si="33"/>
        <v>0.68500143496799348</v>
      </c>
      <c r="Z113" s="33">
        <f t="shared" si="21"/>
        <v>0.1229871166905733</v>
      </c>
      <c r="AA113" s="33">
        <f t="shared" si="22"/>
        <v>0.5</v>
      </c>
      <c r="AB113">
        <f t="shared" si="23"/>
        <v>2.9302158907968015E-2</v>
      </c>
      <c r="AC113" s="1">
        <f t="shared" si="24"/>
        <v>-0.59194432638961259</v>
      </c>
      <c r="AD113" s="35">
        <f>IF(W113&gt;=FinalAgeForPremium, AE113*Delta-Z113*(Y113-AE113),AE113*Delta+PremiumRevisedForLimitedTerm-Z113*(Y113-AE113))</f>
        <v>-7.752318863709981E-2</v>
      </c>
      <c r="AE113" s="35">
        <f>AE112-StepSize*AD112</f>
        <v>3.8865106876975558E-2</v>
      </c>
      <c r="AF113" s="1"/>
    </row>
    <row r="114" spans="11:32" x14ac:dyDescent="0.45">
      <c r="K114" s="40">
        <f t="shared" si="25"/>
        <v>0.89</v>
      </c>
      <c r="L114" s="41">
        <f t="shared" si="17"/>
        <v>20.89</v>
      </c>
      <c r="M114">
        <f t="shared" si="26"/>
        <v>0.95895707384518736</v>
      </c>
      <c r="N114">
        <f t="shared" si="27"/>
        <v>4.1042926154813031E-2</v>
      </c>
      <c r="O114">
        <f t="shared" si="18"/>
        <v>6.0511726183431244E-2</v>
      </c>
      <c r="P114">
        <f t="shared" si="19"/>
        <v>0.5</v>
      </c>
      <c r="Q114">
        <f t="shared" si="28"/>
        <v>-3.750668479677792E-2</v>
      </c>
      <c r="R114" s="6">
        <f t="shared" si="29"/>
        <v>3.750668479677792E-2</v>
      </c>
      <c r="S114" s="18">
        <f t="shared" si="30"/>
        <v>1.0000000000000004</v>
      </c>
      <c r="T114" s="15"/>
      <c r="U114" s="15"/>
      <c r="V114" s="40">
        <f t="shared" si="31"/>
        <v>9.11</v>
      </c>
      <c r="W114" s="41">
        <f t="shared" si="20"/>
        <v>29.11</v>
      </c>
      <c r="X114">
        <f t="shared" si="32"/>
        <v>-6.2902790345061646E-2</v>
      </c>
      <c r="Y114">
        <f t="shared" si="33"/>
        <v>0.69092087823188963</v>
      </c>
      <c r="Z114" s="33">
        <f t="shared" si="21"/>
        <v>0.12288117488239751</v>
      </c>
      <c r="AA114" s="33">
        <f t="shared" si="22"/>
        <v>0.5</v>
      </c>
      <c r="AB114">
        <f t="shared" si="23"/>
        <v>2.8603316131199777E-2</v>
      </c>
      <c r="AC114" s="1">
        <f t="shared" si="24"/>
        <v>-0.58854212179992993</v>
      </c>
      <c r="AD114" s="35">
        <f>IF(W114&gt;=FinalAgeForPremium, AE114*Delta-Z114*(Y114-AE114),AE114*Delta+PremiumRevisedForLimitedTerm-Z114*(Y114-AE114))</f>
        <v>-7.804810092976891E-2</v>
      </c>
      <c r="AE114" s="35">
        <f>AE113-StepSize*AD113</f>
        <v>3.9640338763346557E-2</v>
      </c>
      <c r="AF114" s="1"/>
    </row>
    <row r="115" spans="11:32" x14ac:dyDescent="0.45">
      <c r="K115" s="40">
        <f t="shared" si="25"/>
        <v>0.9</v>
      </c>
      <c r="L115" s="41">
        <f t="shared" si="17"/>
        <v>20.9</v>
      </c>
      <c r="M115">
        <f t="shared" si="26"/>
        <v>0.95858200699721963</v>
      </c>
      <c r="N115">
        <f t="shared" si="27"/>
        <v>4.141799300278081E-2</v>
      </c>
      <c r="O115">
        <f t="shared" si="18"/>
        <v>6.0563896271272996E-2</v>
      </c>
      <c r="P115">
        <f t="shared" si="19"/>
        <v>0.5</v>
      </c>
      <c r="Q115">
        <f t="shared" si="28"/>
        <v>-3.7346464737897891E-2</v>
      </c>
      <c r="R115" s="6">
        <f t="shared" si="29"/>
        <v>3.7346464737897891E-2</v>
      </c>
      <c r="S115" s="18">
        <f t="shared" si="30"/>
        <v>1.0000000000000004</v>
      </c>
      <c r="T115" s="15"/>
      <c r="U115" s="15"/>
      <c r="V115" s="40">
        <f t="shared" si="31"/>
        <v>9.1</v>
      </c>
      <c r="W115" s="41">
        <f t="shared" si="20"/>
        <v>29.1</v>
      </c>
      <c r="X115">
        <f t="shared" si="32"/>
        <v>-6.3188823506373643E-2</v>
      </c>
      <c r="Y115">
        <f t="shared" si="33"/>
        <v>0.69680629944988892</v>
      </c>
      <c r="Z115" s="33">
        <f t="shared" si="21"/>
        <v>0.12277532433310327</v>
      </c>
      <c r="AA115" s="33">
        <f t="shared" si="22"/>
        <v>0.5</v>
      </c>
      <c r="AB115">
        <f t="shared" si="23"/>
        <v>2.7911104809497156E-2</v>
      </c>
      <c r="AC115" s="1">
        <f t="shared" si="24"/>
        <v>-0.58516212354937425</v>
      </c>
      <c r="AD115" s="35">
        <f>IF(W115&gt;=FinalAgeForPremium, AE115*Delta-Z115*(Y115-AE115),AE115*Delta+PremiumRevisedForLimitedTerm-Z115*(Y115-AE115))</f>
        <v>-7.8566899166281082E-2</v>
      </c>
      <c r="AE115" s="35">
        <f>AE114-StepSize*AD114</f>
        <v>4.0420819772644244E-2</v>
      </c>
      <c r="AF115" s="1"/>
    </row>
    <row r="116" spans="11:32" x14ac:dyDescent="0.45">
      <c r="K116" s="40">
        <f t="shared" si="25"/>
        <v>0.91</v>
      </c>
      <c r="L116" s="41">
        <f t="shared" si="17"/>
        <v>20.91</v>
      </c>
      <c r="M116">
        <f t="shared" si="26"/>
        <v>0.95820854234984065</v>
      </c>
      <c r="N116">
        <f t="shared" si="27"/>
        <v>4.1791457650159791E-2</v>
      </c>
      <c r="O116">
        <f t="shared" si="18"/>
        <v>6.0616111337472488E-2</v>
      </c>
      <c r="P116">
        <f t="shared" si="19"/>
        <v>0.5</v>
      </c>
      <c r="Q116">
        <f t="shared" si="28"/>
        <v>-3.7187146862515265E-2</v>
      </c>
      <c r="R116" s="6">
        <f t="shared" si="29"/>
        <v>3.7187146862515265E-2</v>
      </c>
      <c r="S116" s="18">
        <f t="shared" si="30"/>
        <v>1.0000000000000004</v>
      </c>
      <c r="T116" s="15"/>
      <c r="U116" s="15"/>
      <c r="V116" s="40">
        <f t="shared" si="31"/>
        <v>9.09</v>
      </c>
      <c r="W116" s="41">
        <f t="shared" si="20"/>
        <v>29.09</v>
      </c>
      <c r="X116">
        <f t="shared" si="32"/>
        <v>-6.3467934554468614E-2</v>
      </c>
      <c r="Y116">
        <f t="shared" si="33"/>
        <v>0.70265792068538269</v>
      </c>
      <c r="Z116" s="33">
        <f t="shared" si="21"/>
        <v>0.12266956496407964</v>
      </c>
      <c r="AA116" s="33">
        <f t="shared" si="22"/>
        <v>0.5</v>
      </c>
      <c r="AB116">
        <f t="shared" si="23"/>
        <v>2.7225471599618217E-2</v>
      </c>
      <c r="AC116" s="1">
        <f t="shared" si="24"/>
        <v>-0.58180417634580517</v>
      </c>
      <c r="AD116" s="35">
        <f>IF(W116&gt;=FinalAgeForPremium, AE116*Delta-Z116*(Y116-AE116),AE116*Delta+PremiumRevisedForLimitedTerm-Z116*(Y116-AE116))</f>
        <v>-7.9079634960410525E-2</v>
      </c>
      <c r="AE116" s="35">
        <f>AE115-StepSize*AD115</f>
        <v>4.1206488764307055E-2</v>
      </c>
      <c r="AF116" s="1"/>
    </row>
    <row r="117" spans="11:32" x14ac:dyDescent="0.45">
      <c r="K117" s="40">
        <f t="shared" si="25"/>
        <v>0.92</v>
      </c>
      <c r="L117" s="41">
        <f t="shared" si="17"/>
        <v>20.92</v>
      </c>
      <c r="M117">
        <f t="shared" si="26"/>
        <v>0.95783667088121549</v>
      </c>
      <c r="N117">
        <f t="shared" si="27"/>
        <v>4.2163329118784947E-2</v>
      </c>
      <c r="O117">
        <f t="shared" si="18"/>
        <v>6.0668371420807693E-2</v>
      </c>
      <c r="P117">
        <f t="shared" si="19"/>
        <v>0.5</v>
      </c>
      <c r="Q117">
        <f t="shared" si="28"/>
        <v>-3.7028726350099045E-2</v>
      </c>
      <c r="R117" s="6">
        <f t="shared" si="29"/>
        <v>3.7028726350099045E-2</v>
      </c>
      <c r="S117" s="18">
        <f t="shared" si="30"/>
        <v>1.0000000000000004</v>
      </c>
      <c r="T117" s="15"/>
      <c r="U117" s="15"/>
      <c r="V117" s="40">
        <f t="shared" si="31"/>
        <v>9.08</v>
      </c>
      <c r="W117" s="41">
        <f t="shared" si="20"/>
        <v>29.08</v>
      </c>
      <c r="X117">
        <f t="shared" si="32"/>
        <v>-6.3740189270464792E-2</v>
      </c>
      <c r="Y117">
        <f t="shared" si="33"/>
        <v>0.7084759624488407</v>
      </c>
      <c r="Z117" s="33">
        <f t="shared" si="21"/>
        <v>0.12256389669678353</v>
      </c>
      <c r="AA117" s="33">
        <f t="shared" si="22"/>
        <v>0.5</v>
      </c>
      <c r="AB117">
        <f t="shared" si="23"/>
        <v>2.6546363586911759E-2</v>
      </c>
      <c r="AC117" s="1">
        <f t="shared" si="24"/>
        <v>-0.5784681260179052</v>
      </c>
      <c r="AD117" s="35">
        <f>IF(W117&gt;=FinalAgeForPremium, AE117*Delta-Z117*(Y117-AE117),AE117*Delta+PremiumRevisedForLimitedTerm-Z117*(Y117-AE117))</f>
        <v>-7.9586359503791657E-2</v>
      </c>
      <c r="AE117" s="35">
        <f>AE116-StepSize*AD116</f>
        <v>4.1997285113911161E-2</v>
      </c>
      <c r="AF117" s="1"/>
    </row>
    <row r="118" spans="11:32" x14ac:dyDescent="0.45">
      <c r="K118" s="40">
        <f t="shared" si="25"/>
        <v>0.93</v>
      </c>
      <c r="L118" s="41">
        <f t="shared" si="17"/>
        <v>20.93</v>
      </c>
      <c r="M118">
        <f t="shared" si="26"/>
        <v>0.95746638361771452</v>
      </c>
      <c r="N118">
        <f t="shared" si="27"/>
        <v>4.2533616382285935E-2</v>
      </c>
      <c r="O118">
        <f t="shared" si="18"/>
        <v>6.0720676560090045E-2</v>
      </c>
      <c r="P118">
        <f t="shared" si="19"/>
        <v>0.5</v>
      </c>
      <c r="Q118">
        <f t="shared" si="28"/>
        <v>-3.6871198405667376E-2</v>
      </c>
      <c r="R118" s="6">
        <f t="shared" si="29"/>
        <v>3.6871198405667376E-2</v>
      </c>
      <c r="S118" s="18">
        <f t="shared" si="30"/>
        <v>1.0000000000000004</v>
      </c>
      <c r="T118" s="15"/>
      <c r="U118" s="15"/>
      <c r="V118" s="40">
        <f t="shared" si="31"/>
        <v>9.07</v>
      </c>
      <c r="W118" s="41">
        <f t="shared" si="20"/>
        <v>29.07</v>
      </c>
      <c r="X118">
        <f t="shared" si="32"/>
        <v>-6.4005652906333907E-2</v>
      </c>
      <c r="Y118">
        <f t="shared" si="33"/>
        <v>0.71426064370901976</v>
      </c>
      <c r="Z118" s="33">
        <f t="shared" si="21"/>
        <v>0.12245831945273931</v>
      </c>
      <c r="AA118" s="33">
        <f t="shared" si="22"/>
        <v>0.5</v>
      </c>
      <c r="AB118">
        <f t="shared" si="23"/>
        <v>2.5873728281807618E-2</v>
      </c>
      <c r="AC118" s="1">
        <f t="shared" si="24"/>
        <v>-0.57515381950687217</v>
      </c>
      <c r="AD118" s="35">
        <f>IF(W118&gt;=FinalAgeForPremium, AE118*Delta-Z118*(Y118-AE118),AE118*Delta+PremiumRevisedForLimitedTerm-Z118*(Y118-AE118))</f>
        <v>-8.0087123569401827E-2</v>
      </c>
      <c r="AE118" s="35">
        <f>AE117-StepSize*AD117</f>
        <v>4.2793148708949076E-2</v>
      </c>
      <c r="AF118" s="1"/>
    </row>
    <row r="119" spans="11:32" x14ac:dyDescent="0.45">
      <c r="K119" s="40">
        <f t="shared" si="25"/>
        <v>0.94</v>
      </c>
      <c r="L119" s="41">
        <f t="shared" si="17"/>
        <v>20.94</v>
      </c>
      <c r="M119">
        <f t="shared" si="26"/>
        <v>0.95709767163365789</v>
      </c>
      <c r="N119">
        <f t="shared" si="27"/>
        <v>4.2902328366342612E-2</v>
      </c>
      <c r="O119">
        <f t="shared" si="18"/>
        <v>6.0773026794164506E-2</v>
      </c>
      <c r="P119">
        <f t="shared" si="19"/>
        <v>0.5</v>
      </c>
      <c r="Q119">
        <f t="shared" si="28"/>
        <v>-3.6714558259653446E-2</v>
      </c>
      <c r="R119" s="6">
        <f t="shared" si="29"/>
        <v>3.6714558259653446E-2</v>
      </c>
      <c r="S119" s="18">
        <f t="shared" si="30"/>
        <v>1.0000000000000004</v>
      </c>
      <c r="T119" s="15"/>
      <c r="U119" s="15"/>
      <c r="V119" s="40">
        <f t="shared" si="31"/>
        <v>9.06</v>
      </c>
      <c r="W119" s="41">
        <f t="shared" si="20"/>
        <v>29.060000000000002</v>
      </c>
      <c r="X119">
        <f t="shared" si="32"/>
        <v>-6.4264390189151976E-2</v>
      </c>
      <c r="Y119">
        <f t="shared" si="33"/>
        <v>0.72001218190408844</v>
      </c>
      <c r="Z119" s="33">
        <f t="shared" si="21"/>
        <v>0.12235283315353908</v>
      </c>
      <c r="AA119" s="33">
        <f t="shared" si="22"/>
        <v>0.5</v>
      </c>
      <c r="AB119">
        <f t="shared" si="23"/>
        <v>2.5207513616336247E-2</v>
      </c>
      <c r="AC119" s="1">
        <f t="shared" si="24"/>
        <v>-0.57186110485817543</v>
      </c>
      <c r="AD119" s="35">
        <f>IF(W119&gt;=FinalAgeForPremium, AE119*Delta-Z119*(Y119-AE119),AE119*Delta+PremiumRevisedForLimitedTerm-Z119*(Y119-AE119))</f>
        <v>-8.0581977515015446E-2</v>
      </c>
      <c r="AE119" s="35">
        <f>AE118-StepSize*AD118</f>
        <v>4.3594019944643098E-2</v>
      </c>
      <c r="AF119" s="1"/>
    </row>
    <row r="120" spans="11:32" x14ac:dyDescent="0.45">
      <c r="K120" s="40">
        <f t="shared" si="25"/>
        <v>0.95</v>
      </c>
      <c r="L120" s="41">
        <f t="shared" si="17"/>
        <v>20.95</v>
      </c>
      <c r="M120">
        <f t="shared" si="26"/>
        <v>0.95673052605106135</v>
      </c>
      <c r="N120">
        <f t="shared" si="27"/>
        <v>4.3269473948939145E-2</v>
      </c>
      <c r="O120">
        <f t="shared" si="18"/>
        <v>6.0825422161909427E-2</v>
      </c>
      <c r="P120">
        <f t="shared" si="19"/>
        <v>0.5</v>
      </c>
      <c r="Q120">
        <f t="shared" si="28"/>
        <v>-3.6558801167771923E-2</v>
      </c>
      <c r="R120" s="6">
        <f t="shared" si="29"/>
        <v>3.6558801167771923E-2</v>
      </c>
      <c r="S120" s="18">
        <f t="shared" si="30"/>
        <v>1.0000000000000004</v>
      </c>
      <c r="T120" s="15"/>
      <c r="U120" s="15"/>
      <c r="V120" s="40">
        <f t="shared" si="31"/>
        <v>9.0500000000000007</v>
      </c>
      <c r="W120" s="41">
        <f t="shared" si="20"/>
        <v>29.05</v>
      </c>
      <c r="X120">
        <f t="shared" si="32"/>
        <v>-6.4516465325315339E-2</v>
      </c>
      <c r="Y120">
        <f t="shared" si="33"/>
        <v>0.72573079295267018</v>
      </c>
      <c r="Z120" s="33">
        <f t="shared" si="21"/>
        <v>0.12224743772084232</v>
      </c>
      <c r="AA120" s="33">
        <f t="shared" si="22"/>
        <v>0.5</v>
      </c>
      <c r="AB120">
        <f t="shared" si="23"/>
        <v>2.4547667940677476E-2</v>
      </c>
      <c r="AC120" s="1">
        <f t="shared" si="24"/>
        <v>-0.5685898312133737</v>
      </c>
      <c r="AD120" s="35">
        <f>IF(W120&gt;=FinalAgeForPremium, AE120*Delta-Z120*(Y120-AE120),AE120*Delta+PremiumRevisedForLimitedTerm-Z120*(Y120-AE120))</f>
        <v>-8.1070971286628601E-2</v>
      </c>
      <c r="AE120" s="35">
        <f>AE119-StepSize*AD119</f>
        <v>4.4399839719793249E-2</v>
      </c>
      <c r="AF120" s="1"/>
    </row>
    <row r="121" spans="11:32" x14ac:dyDescent="0.45">
      <c r="K121" s="40">
        <f t="shared" si="25"/>
        <v>0.96</v>
      </c>
      <c r="L121" s="41">
        <f t="shared" si="17"/>
        <v>20.96</v>
      </c>
      <c r="M121">
        <f t="shared" si="26"/>
        <v>0.95636493803938361</v>
      </c>
      <c r="N121">
        <f t="shared" si="27"/>
        <v>4.3635061960616867E-2</v>
      </c>
      <c r="O121">
        <f t="shared" si="18"/>
        <v>6.0877862702236787E-2</v>
      </c>
      <c r="P121">
        <f t="shared" si="19"/>
        <v>0.5</v>
      </c>
      <c r="Q121">
        <f t="shared" si="28"/>
        <v>-3.6403922410886351E-2</v>
      </c>
      <c r="R121" s="6">
        <f t="shared" si="29"/>
        <v>3.6403922410886351E-2</v>
      </c>
      <c r="S121" s="18">
        <f t="shared" si="30"/>
        <v>1.0000000000000004</v>
      </c>
      <c r="T121" s="15"/>
      <c r="U121" s="15"/>
      <c r="V121" s="40">
        <f t="shared" si="31"/>
        <v>9.0399999999999991</v>
      </c>
      <c r="W121" s="41">
        <f t="shared" si="20"/>
        <v>29.04</v>
      </c>
      <c r="X121">
        <f t="shared" si="32"/>
        <v>-6.4761942004722114E-2</v>
      </c>
      <c r="Y121">
        <f t="shared" si="33"/>
        <v>0.73141669126480391</v>
      </c>
      <c r="Z121" s="33">
        <f t="shared" si="21"/>
        <v>0.12214213307637624</v>
      </c>
      <c r="AA121" s="33">
        <f t="shared" si="22"/>
        <v>0.5</v>
      </c>
      <c r="AB121">
        <f t="shared" si="23"/>
        <v>2.3894140019737761E-2</v>
      </c>
      <c r="AC121" s="1">
        <f t="shared" si="24"/>
        <v>-0.56533984880199684</v>
      </c>
      <c r="AD121" s="35">
        <f>IF(W121&gt;=FinalAgeForPremium, AE121*Delta-Z121*(Y121-AE121),AE121*Delta+PremiumRevisedForLimitedTerm-Z121*(Y121-AE121))</f>
        <v>-8.1554154421855499E-2</v>
      </c>
      <c r="AE121" s="35">
        <f>AE120-StepSize*AD120</f>
        <v>4.5210549432659536E-2</v>
      </c>
      <c r="AF121" s="1"/>
    </row>
    <row r="122" spans="11:32" x14ac:dyDescent="0.45">
      <c r="K122" s="40">
        <f t="shared" si="25"/>
        <v>0.97</v>
      </c>
      <c r="L122" s="41">
        <f t="shared" si="17"/>
        <v>20.97</v>
      </c>
      <c r="M122">
        <f t="shared" si="26"/>
        <v>0.95600089881527472</v>
      </c>
      <c r="N122">
        <f t="shared" si="27"/>
        <v>4.3999101184725734E-2</v>
      </c>
      <c r="O122">
        <f t="shared" si="18"/>
        <v>6.0930348454092002E-2</v>
      </c>
      <c r="P122">
        <f t="shared" si="19"/>
        <v>0.5</v>
      </c>
      <c r="Q122">
        <f t="shared" si="28"/>
        <v>-3.624991729487697E-2</v>
      </c>
      <c r="R122" s="6">
        <f t="shared" si="29"/>
        <v>3.624991729487697E-2</v>
      </c>
      <c r="S122" s="18">
        <f t="shared" si="30"/>
        <v>1.0000000000000004</v>
      </c>
      <c r="T122" s="15"/>
      <c r="U122" s="15"/>
      <c r="V122" s="40">
        <f t="shared" si="31"/>
        <v>9.0299999999999994</v>
      </c>
      <c r="W122" s="41">
        <f t="shared" si="20"/>
        <v>29.03</v>
      </c>
      <c r="X122">
        <f t="shared" si="32"/>
        <v>-6.5000883404919496E-2</v>
      </c>
      <c r="Y122">
        <f t="shared" si="33"/>
        <v>0.73707008975282384</v>
      </c>
      <c r="Z122" s="33">
        <f t="shared" si="21"/>
        <v>0.12203691914193528</v>
      </c>
      <c r="AA122" s="33">
        <f t="shared" si="22"/>
        <v>0.5</v>
      </c>
      <c r="AB122">
        <f t="shared" si="23"/>
        <v>2.324687902975682E-2</v>
      </c>
      <c r="AC122" s="1">
        <f t="shared" si="24"/>
        <v>-0.56211100893348709</v>
      </c>
      <c r="AD122" s="35">
        <f>IF(W122&gt;=FinalAgeForPremium, AE122*Delta-Z122*(Y122-AE122),AE122*Delta+PremiumRevisedForLimitedTerm-Z122*(Y122-AE122))</f>
        <v>-8.2031576053295807E-2</v>
      </c>
      <c r="AE122" s="35">
        <f>AE121-StepSize*AD121</f>
        <v>4.6026090976878091E-2</v>
      </c>
      <c r="AF122" s="1"/>
    </row>
    <row r="123" spans="11:32" x14ac:dyDescent="0.45">
      <c r="K123" s="40">
        <f t="shared" si="25"/>
        <v>0.98</v>
      </c>
      <c r="L123" s="41">
        <f t="shared" si="17"/>
        <v>20.98</v>
      </c>
      <c r="M123">
        <f t="shared" si="26"/>
        <v>0.955638399642326</v>
      </c>
      <c r="N123">
        <f t="shared" si="27"/>
        <v>4.4361600357674502E-2</v>
      </c>
      <c r="O123">
        <f t="shared" si="18"/>
        <v>6.0982879456454163E-2</v>
      </c>
      <c r="P123">
        <f t="shared" si="19"/>
        <v>0.5</v>
      </c>
      <c r="Q123">
        <f t="shared" si="28"/>
        <v>-3.6096781150509481E-2</v>
      </c>
      <c r="R123" s="6">
        <f t="shared" si="29"/>
        <v>3.6096781150509481E-2</v>
      </c>
      <c r="S123" s="18">
        <f t="shared" si="30"/>
        <v>1.0000000000000004</v>
      </c>
      <c r="T123" s="15"/>
      <c r="U123" s="15"/>
      <c r="V123" s="40">
        <f t="shared" si="31"/>
        <v>9.02</v>
      </c>
      <c r="W123" s="41">
        <f t="shared" si="20"/>
        <v>29.02</v>
      </c>
      <c r="X123">
        <f t="shared" si="32"/>
        <v>-6.5233352195217059E-2</v>
      </c>
      <c r="Y123">
        <f t="shared" si="33"/>
        <v>0.7426911998421587</v>
      </c>
      <c r="Z123" s="33">
        <f t="shared" si="21"/>
        <v>0.12193179583938124</v>
      </c>
      <c r="AA123" s="33">
        <f t="shared" si="22"/>
        <v>0.5</v>
      </c>
      <c r="AB123">
        <f t="shared" si="23"/>
        <v>2.2605834554941973E-2</v>
      </c>
      <c r="AC123" s="1">
        <f t="shared" si="24"/>
        <v>-0.55890316398920414</v>
      </c>
      <c r="AD123" s="35">
        <f>IF(W123&gt;=FinalAgeForPremium, AE123*Delta-Z123*(Y123-AE123),AE123*Delta+PremiumRevisedForLimitedTerm-Z123*(Y123-AE123))</f>
        <v>-8.2503284911874017E-2</v>
      </c>
      <c r="AE123" s="35">
        <f>AE122-StepSize*AD122</f>
        <v>4.6846406737411049E-2</v>
      </c>
      <c r="AF123" s="1"/>
    </row>
    <row r="124" spans="11:32" x14ac:dyDescent="0.45">
      <c r="K124" s="40">
        <f t="shared" si="25"/>
        <v>0.99</v>
      </c>
      <c r="L124" s="41">
        <f t="shared" si="17"/>
        <v>20.99</v>
      </c>
      <c r="M124">
        <f t="shared" si="26"/>
        <v>0.95527743183082092</v>
      </c>
      <c r="N124">
        <f t="shared" si="27"/>
        <v>4.4722568169179598E-2</v>
      </c>
      <c r="O124">
        <f t="shared" si="18"/>
        <v>6.1035455748335882E-2</v>
      </c>
      <c r="P124">
        <f t="shared" si="19"/>
        <v>0.5</v>
      </c>
      <c r="Q124">
        <f t="shared" si="28"/>
        <v>-3.5944509333304217E-2</v>
      </c>
      <c r="R124" s="6">
        <f t="shared" si="29"/>
        <v>3.5944509333304217E-2</v>
      </c>
      <c r="S124" s="18">
        <f t="shared" si="30"/>
        <v>1.0000000000000004</v>
      </c>
      <c r="T124" s="15"/>
      <c r="U124" s="15"/>
      <c r="V124" s="40">
        <f t="shared" si="31"/>
        <v>9.01</v>
      </c>
      <c r="W124" s="41">
        <f t="shared" si="20"/>
        <v>29.009999999999998</v>
      </c>
      <c r="X124">
        <f t="shared" si="32"/>
        <v>-6.5459410540766483E-2</v>
      </c>
      <c r="Y124">
        <f t="shared" si="33"/>
        <v>0.7482802314820507</v>
      </c>
      <c r="Z124" s="33">
        <f t="shared" si="21"/>
        <v>0.1218267630906434</v>
      </c>
      <c r="AA124" s="33">
        <f t="shared" si="22"/>
        <v>0.5</v>
      </c>
      <c r="AB124">
        <f t="shared" si="23"/>
        <v>2.1970956584130619E-2</v>
      </c>
      <c r="AC124" s="1">
        <f t="shared" si="24"/>
        <v>-0.55571616741448893</v>
      </c>
      <c r="AD124" s="35">
        <f>IF(W124&gt;=FinalAgeForPremium, AE124*Delta-Z124*(Y124-AE124),AE124*Delta+PremiumRevisedForLimitedTerm-Z124*(Y124-AE124))</f>
        <v>-8.2969329330151012E-2</v>
      </c>
      <c r="AE124" s="35">
        <f>AE123-StepSize*AD123</f>
        <v>4.7671439586529786E-2</v>
      </c>
      <c r="AF124" s="1"/>
    </row>
    <row r="125" spans="11:32" x14ac:dyDescent="0.45">
      <c r="K125" s="40">
        <f t="shared" si="25"/>
        <v>1</v>
      </c>
      <c r="L125" s="41">
        <f t="shared" si="17"/>
        <v>21</v>
      </c>
      <c r="M125">
        <f t="shared" si="26"/>
        <v>0.95491798673748784</v>
      </c>
      <c r="N125">
        <f t="shared" si="27"/>
        <v>4.5082013262512641E-2</v>
      </c>
      <c r="O125">
        <f t="shared" si="18"/>
        <v>6.108807736878346E-2</v>
      </c>
      <c r="P125">
        <f t="shared" si="19"/>
        <v>0.5</v>
      </c>
      <c r="Q125">
        <f t="shared" si="28"/>
        <v>-3.5793097223406276E-2</v>
      </c>
      <c r="R125" s="6">
        <f t="shared" si="29"/>
        <v>3.5793097223406276E-2</v>
      </c>
      <c r="S125" s="18">
        <f t="shared" si="30"/>
        <v>1.0000000000000004</v>
      </c>
      <c r="T125" s="15"/>
      <c r="U125" s="15"/>
      <c r="V125" s="40">
        <f t="shared" si="31"/>
        <v>9</v>
      </c>
      <c r="W125" s="41">
        <f t="shared" si="20"/>
        <v>29</v>
      </c>
      <c r="X125">
        <f t="shared" si="32"/>
        <v>-6.5679120106607786E-2</v>
      </c>
      <c r="Y125">
        <f t="shared" si="33"/>
        <v>0.75383739315619558</v>
      </c>
      <c r="Z125" s="33">
        <f t="shared" si="21"/>
        <v>0.12172182081771805</v>
      </c>
      <c r="AA125" s="33">
        <f t="shared" si="22"/>
        <v>0.5</v>
      </c>
      <c r="AB125">
        <f t="shared" si="23"/>
        <v>2.134219550748126E-2</v>
      </c>
      <c r="AC125" s="1">
        <f t="shared" si="24"/>
        <v>-0.55254987371078856</v>
      </c>
      <c r="AD125" s="35">
        <f>IF(W125&gt;=FinalAgeForPremium, AE125*Delta-Z125*(Y125-AE125),AE125*Delta+PremiumRevisedForLimitedTerm-Z125*(Y125-AE125))</f>
        <v>-8.3429757245607403E-2</v>
      </c>
      <c r="AE125" s="35">
        <f>AE124-StepSize*AD124</f>
        <v>4.8501132879831294E-2</v>
      </c>
      <c r="AF125" s="1"/>
    </row>
    <row r="126" spans="11:32" x14ac:dyDescent="0.45">
      <c r="K126" s="40">
        <f t="shared" si="25"/>
        <v>1.01</v>
      </c>
      <c r="L126" s="41">
        <f t="shared" si="17"/>
        <v>21.01</v>
      </c>
      <c r="M126">
        <f t="shared" si="26"/>
        <v>0.95456005576525382</v>
      </c>
      <c r="N126">
        <f t="shared" si="27"/>
        <v>4.5439944234746704E-2</v>
      </c>
      <c r="O126">
        <f t="shared" si="18"/>
        <v>6.11407443568769E-2</v>
      </c>
      <c r="P126">
        <f t="shared" si="19"/>
        <v>0.5</v>
      </c>
      <c r="Q126">
        <f t="shared" si="28"/>
        <v>-3.5642540225456189E-2</v>
      </c>
      <c r="R126" s="6">
        <f t="shared" si="29"/>
        <v>3.5642540225456189E-2</v>
      </c>
      <c r="S126" s="18">
        <f t="shared" si="30"/>
        <v>1.0000000000000004</v>
      </c>
      <c r="T126" s="15"/>
      <c r="U126" s="15"/>
      <c r="V126" s="40">
        <f t="shared" si="31"/>
        <v>8.99</v>
      </c>
      <c r="W126" s="41">
        <f t="shared" si="20"/>
        <v>28.990000000000002</v>
      </c>
      <c r="X126">
        <f t="shared" si="32"/>
        <v>-6.5892542061682602E-2</v>
      </c>
      <c r="Y126">
        <f t="shared" si="33"/>
        <v>0.75936289189330342</v>
      </c>
      <c r="Z126" s="33">
        <f t="shared" si="21"/>
        <v>0.12161696894266909</v>
      </c>
      <c r="AA126" s="33">
        <f t="shared" si="22"/>
        <v>0.5</v>
      </c>
      <c r="AB126">
        <f t="shared" si="23"/>
        <v>2.0719502113191096E-2</v>
      </c>
      <c r="AC126" s="1">
        <f t="shared" si="24"/>
        <v>-0.54940413842784186</v>
      </c>
      <c r="AD126" s="35">
        <f>IF(W126&gt;=FinalAgeForPremium, AE126*Delta-Z126*(Y126-AE126),AE126*Delta+PremiumRevisedForLimitedTerm-Z126*(Y126-AE126))</f>
        <v>5.4468213270346691E-2</v>
      </c>
      <c r="AE126" s="35">
        <f>AE125-StepSize*AD125</f>
        <v>4.9335430452287367E-2</v>
      </c>
      <c r="AF126" s="1"/>
    </row>
    <row r="127" spans="11:32" x14ac:dyDescent="0.45">
      <c r="K127" s="40">
        <f t="shared" si="25"/>
        <v>1.02</v>
      </c>
      <c r="L127" s="41">
        <f t="shared" si="17"/>
        <v>21.02</v>
      </c>
      <c r="M127">
        <f t="shared" si="26"/>
        <v>0.95420363036299927</v>
      </c>
      <c r="N127">
        <f t="shared" si="27"/>
        <v>4.5796369637001268E-2</v>
      </c>
      <c r="O127">
        <f t="shared" si="18"/>
        <v>6.1193456751729755E-2</v>
      </c>
      <c r="P127">
        <f t="shared" si="19"/>
        <v>0.5</v>
      </c>
      <c r="Q127">
        <f t="shared" si="28"/>
        <v>-3.5492833768461088E-2</v>
      </c>
      <c r="R127" s="6">
        <f t="shared" si="29"/>
        <v>3.5492833768461088E-2</v>
      </c>
      <c r="S127" s="18">
        <f t="shared" si="30"/>
        <v>1.0000000000000004</v>
      </c>
      <c r="T127" s="15"/>
      <c r="U127" s="15"/>
      <c r="V127" s="40">
        <f t="shared" si="31"/>
        <v>8.98</v>
      </c>
      <c r="W127" s="41">
        <f t="shared" si="20"/>
        <v>28.98</v>
      </c>
      <c r="X127">
        <f t="shared" si="32"/>
        <v>-6.6099737082814511E-2</v>
      </c>
      <c r="Y127">
        <f t="shared" si="33"/>
        <v>0.76485693327758186</v>
      </c>
      <c r="Z127" s="33">
        <f t="shared" si="21"/>
        <v>0.12151220738762691</v>
      </c>
      <c r="AA127" s="33">
        <f t="shared" si="22"/>
        <v>0.5</v>
      </c>
      <c r="AB127">
        <f t="shared" si="23"/>
        <v>2.0102827584242519E-2</v>
      </c>
      <c r="AC127" s="1">
        <f t="shared" si="24"/>
        <v>-0.54627881815592272</v>
      </c>
      <c r="AD127" s="35">
        <f>IF(W127&gt;=FinalAgeForPremium, AE127*Delta-Z127*(Y127-AE127),AE127*Delta+PremiumRevisedForLimitedTerm-Z127*(Y127-AE127))</f>
        <v>5.378158412034266E-2</v>
      </c>
      <c r="AE127" s="35">
        <f>AE126-StepSize*AD126</f>
        <v>4.8790748319583903E-2</v>
      </c>
      <c r="AF127" s="1"/>
    </row>
    <row r="128" spans="11:32" x14ac:dyDescent="0.45">
      <c r="K128" s="40">
        <f t="shared" si="25"/>
        <v>1.03</v>
      </c>
      <c r="L128" s="41">
        <f t="shared" si="17"/>
        <v>21.03</v>
      </c>
      <c r="M128">
        <f t="shared" si="26"/>
        <v>0.95384870202531469</v>
      </c>
      <c r="N128">
        <f t="shared" si="27"/>
        <v>4.6151297974685881E-2</v>
      </c>
      <c r="O128">
        <f t="shared" si="18"/>
        <v>6.1246214592489454E-2</v>
      </c>
      <c r="P128">
        <f t="shared" si="19"/>
        <v>0.5</v>
      </c>
      <c r="Q128">
        <f t="shared" si="28"/>
        <v>-3.5343973305667013E-2</v>
      </c>
      <c r="R128" s="6">
        <f t="shared" si="29"/>
        <v>3.5343973305667013E-2</v>
      </c>
      <c r="S128" s="18">
        <f t="shared" si="30"/>
        <v>1.0000000000000007</v>
      </c>
      <c r="T128" s="15"/>
      <c r="U128" s="15"/>
      <c r="V128" s="40">
        <f t="shared" si="31"/>
        <v>8.9700000000000006</v>
      </c>
      <c r="W128" s="41">
        <f t="shared" si="20"/>
        <v>28.97</v>
      </c>
      <c r="X128">
        <f t="shared" si="32"/>
        <v>-6.6300765358656935E-2</v>
      </c>
      <c r="Y128">
        <f t="shared" si="33"/>
        <v>0.77031972145914107</v>
      </c>
      <c r="Z128" s="33">
        <f t="shared" si="21"/>
        <v>0.12140753607478956</v>
      </c>
      <c r="AA128" s="33">
        <f t="shared" si="22"/>
        <v>0.5</v>
      </c>
      <c r="AB128">
        <f t="shared" si="23"/>
        <v>1.9492123495174998E-2</v>
      </c>
      <c r="AC128" s="1">
        <f t="shared" si="24"/>
        <v>-0.54317377051814397</v>
      </c>
      <c r="AD128" s="35">
        <f>IF(W128&gt;=FinalAgeForPremium, AE128*Delta-Z128*(Y128-AE128),AE128*Delta+PremiumRevisedForLimitedTerm-Z128*(Y128-AE128))</f>
        <v>5.3101126366576407E-2</v>
      </c>
      <c r="AE128" s="35">
        <f>AE127-StepSize*AD127</f>
        <v>4.8252932478380479E-2</v>
      </c>
      <c r="AF128" s="1"/>
    </row>
    <row r="129" spans="11:32" x14ac:dyDescent="0.45">
      <c r="K129" s="40">
        <f t="shared" si="25"/>
        <v>1.04</v>
      </c>
      <c r="L129" s="41">
        <f t="shared" si="17"/>
        <v>21.04</v>
      </c>
      <c r="M129">
        <f t="shared" si="26"/>
        <v>0.95349526229225801</v>
      </c>
      <c r="N129">
        <f t="shared" si="27"/>
        <v>4.6504737707742549E-2</v>
      </c>
      <c r="O129">
        <f t="shared" si="18"/>
        <v>6.1299017918337077E-2</v>
      </c>
      <c r="P129">
        <f t="shared" si="19"/>
        <v>0.5</v>
      </c>
      <c r="Q129">
        <f t="shared" si="28"/>
        <v>-3.5195954314431357E-2</v>
      </c>
      <c r="R129" s="6">
        <f t="shared" si="29"/>
        <v>3.5195954314431357E-2</v>
      </c>
      <c r="S129" s="18">
        <f t="shared" si="30"/>
        <v>1.0000000000000004</v>
      </c>
      <c r="T129" s="15"/>
      <c r="U129" s="15"/>
      <c r="V129" s="40">
        <f t="shared" si="31"/>
        <v>8.9600000000000009</v>
      </c>
      <c r="W129" s="41">
        <f t="shared" si="20"/>
        <v>28.96</v>
      </c>
      <c r="X129">
        <f t="shared" si="32"/>
        <v>-6.6495686593608688E-2</v>
      </c>
      <c r="Y129">
        <f t="shared" si="33"/>
        <v>0.77575145916432253</v>
      </c>
      <c r="Z129" s="33">
        <f t="shared" si="21"/>
        <v>0.12130295492642183</v>
      </c>
      <c r="AA129" s="33">
        <f t="shared" si="22"/>
        <v>0.5</v>
      </c>
      <c r="AB129">
        <f t="shared" si="23"/>
        <v>1.8887341808885461E-2</v>
      </c>
      <c r="AC129" s="1">
        <f t="shared" si="24"/>
        <v>-0.54008885416281827</v>
      </c>
      <c r="AD129" s="35">
        <f>IF(W129&gt;=FinalAgeForPremium, AE129*Delta-Z129*(Y129-AE129),AE129*Delta+PremiumRevisedForLimitedTerm-Z129*(Y129-AE129))</f>
        <v>5.2426791307977283E-2</v>
      </c>
      <c r="AE129" s="35">
        <f>AE128-StepSize*AD128</f>
        <v>4.7721921214714719E-2</v>
      </c>
      <c r="AF129" s="1"/>
    </row>
    <row r="130" spans="11:32" x14ac:dyDescent="0.45">
      <c r="K130" s="40">
        <f t="shared" si="25"/>
        <v>1.05</v>
      </c>
      <c r="L130" s="41">
        <f t="shared" si="17"/>
        <v>21.05</v>
      </c>
      <c r="M130">
        <f t="shared" si="26"/>
        <v>0.95314330274911374</v>
      </c>
      <c r="N130">
        <f t="shared" si="27"/>
        <v>4.6856697250886863E-2</v>
      </c>
      <c r="O130">
        <f t="shared" si="18"/>
        <v>6.1351866768487542E-2</v>
      </c>
      <c r="P130">
        <f t="shared" si="19"/>
        <v>0.5</v>
      </c>
      <c r="Q130">
        <f t="shared" si="28"/>
        <v>-3.5048772296096375E-2</v>
      </c>
      <c r="R130" s="6">
        <f t="shared" si="29"/>
        <v>3.5048772296096375E-2</v>
      </c>
      <c r="S130" s="18">
        <f t="shared" si="30"/>
        <v>1.0000000000000007</v>
      </c>
      <c r="T130" s="15"/>
      <c r="U130" s="15"/>
      <c r="V130" s="40">
        <f t="shared" si="31"/>
        <v>8.9499999999999993</v>
      </c>
      <c r="W130" s="41">
        <f t="shared" si="20"/>
        <v>28.95</v>
      </c>
      <c r="X130">
        <f t="shared" si="32"/>
        <v>-6.668456001169755E-2</v>
      </c>
      <c r="Y130">
        <f t="shared" si="33"/>
        <v>0.78115234770595077</v>
      </c>
      <c r="Z130" s="33">
        <f t="shared" si="21"/>
        <v>0.12119846386485547</v>
      </c>
      <c r="AA130" s="33">
        <f t="shared" si="22"/>
        <v>0.5</v>
      </c>
      <c r="AB130">
        <f t="shared" si="23"/>
        <v>1.8288434873454593E-2</v>
      </c>
      <c r="AC130" s="1">
        <f t="shared" si="24"/>
        <v>-0.53702392875587823</v>
      </c>
      <c r="AD130" s="35">
        <f>IF(W130&gt;=FinalAgeForPremium, AE130*Delta-Z130*(Y130-AE130),AE130*Delta+PremiumRevisedForLimitedTerm-Z130*(Y130-AE130))</f>
        <v>5.1758530631125774E-2</v>
      </c>
      <c r="AE130" s="35">
        <f>AE129-StepSize*AD129</f>
        <v>4.7197653301634945E-2</v>
      </c>
      <c r="AF130" s="1"/>
    </row>
    <row r="131" spans="11:32" x14ac:dyDescent="0.45">
      <c r="K131" s="40">
        <f t="shared" si="25"/>
        <v>1.06</v>
      </c>
      <c r="L131" s="41">
        <f t="shared" si="17"/>
        <v>21.06</v>
      </c>
      <c r="M131">
        <f t="shared" si="26"/>
        <v>0.95279281502615276</v>
      </c>
      <c r="N131">
        <f t="shared" si="27"/>
        <v>4.7207184973847828E-2</v>
      </c>
      <c r="O131">
        <f t="shared" si="18"/>
        <v>6.1404761182189536E-2</v>
      </c>
      <c r="P131">
        <f t="shared" si="19"/>
        <v>0.5</v>
      </c>
      <c r="Q131">
        <f t="shared" si="28"/>
        <v>-3.4902422775863085E-2</v>
      </c>
      <c r="R131" s="6">
        <f t="shared" si="29"/>
        <v>3.4902422775863085E-2</v>
      </c>
      <c r="S131" s="18">
        <f t="shared" si="30"/>
        <v>1.0000000000000007</v>
      </c>
      <c r="T131" s="15"/>
      <c r="U131" s="15"/>
      <c r="V131" s="40">
        <f t="shared" si="31"/>
        <v>8.94</v>
      </c>
      <c r="W131" s="41">
        <f t="shared" si="20"/>
        <v>28.939999999999998</v>
      </c>
      <c r="X131">
        <f t="shared" si="32"/>
        <v>-6.6867444360432099E-2</v>
      </c>
      <c r="Y131">
        <f t="shared" si="33"/>
        <v>0.78652258699350952</v>
      </c>
      <c r="Z131" s="33">
        <f t="shared" si="21"/>
        <v>0.1210940628124893</v>
      </c>
      <c r="AA131" s="33">
        <f t="shared" si="22"/>
        <v>0.5</v>
      </c>
      <c r="AB131">
        <f t="shared" si="23"/>
        <v>1.769535541899965E-2</v>
      </c>
      <c r="AC131" s="1">
        <f t="shared" si="24"/>
        <v>-0.53397885497335373</v>
      </c>
      <c r="AD131" s="35">
        <f>IF(W131&gt;=FinalAgeForPremium, AE131*Delta-Z131*(Y131-AE131),AE131*Delta+PremiumRevisedForLimitedTerm-Z131*(Y131-AE131))</f>
        <v>5.1096296407096106E-2</v>
      </c>
      <c r="AE131" s="35">
        <f>AE130-StepSize*AD130</f>
        <v>4.668006799532369E-2</v>
      </c>
      <c r="AF131" s="1"/>
    </row>
    <row r="132" spans="11:32" x14ac:dyDescent="0.45">
      <c r="K132" s="40">
        <f t="shared" si="25"/>
        <v>1.07</v>
      </c>
      <c r="L132" s="41">
        <f t="shared" si="17"/>
        <v>21.07</v>
      </c>
      <c r="M132">
        <f t="shared" si="26"/>
        <v>0.95244379079839414</v>
      </c>
      <c r="N132">
        <f t="shared" si="27"/>
        <v>4.7556209201606456E-2</v>
      </c>
      <c r="O132">
        <f t="shared" si="18"/>
        <v>6.145770119872563E-2</v>
      </c>
      <c r="P132">
        <f t="shared" si="19"/>
        <v>0.5</v>
      </c>
      <c r="Q132">
        <f t="shared" si="28"/>
        <v>-3.4756901302666024E-2</v>
      </c>
      <c r="R132" s="6">
        <f t="shared" si="29"/>
        <v>3.4756901302666024E-2</v>
      </c>
      <c r="S132" s="18">
        <f t="shared" si="30"/>
        <v>1.0000000000000007</v>
      </c>
      <c r="T132" s="15"/>
      <c r="U132" s="15"/>
      <c r="V132" s="40">
        <f t="shared" si="31"/>
        <v>8.93</v>
      </c>
      <c r="W132" s="41">
        <f t="shared" si="20"/>
        <v>28.93</v>
      </c>
      <c r="X132">
        <f t="shared" si="32"/>
        <v>-6.7044397914622092E-2</v>
      </c>
      <c r="Y132">
        <f t="shared" si="33"/>
        <v>0.79186237554324301</v>
      </c>
      <c r="Z132" s="33">
        <f t="shared" si="21"/>
        <v>0.12098975169178883</v>
      </c>
      <c r="AA132" s="33">
        <f t="shared" si="22"/>
        <v>0.5</v>
      </c>
      <c r="AB132">
        <f t="shared" si="23"/>
        <v>1.7108056554553941E-2</v>
      </c>
      <c r="AC132" s="1">
        <f t="shared" si="24"/>
        <v>-0.53095349449390539</v>
      </c>
      <c r="AD132" s="35">
        <f>IF(W132&gt;=FinalAgeForPremium, AE132*Delta-Z132*(Y132-AE132),AE132*Delta+PremiumRevisedForLimitedTerm-Z132*(Y132-AE132))</f>
        <v>5.044004108832556E-2</v>
      </c>
      <c r="AE132" s="35">
        <f>AE131-StepSize*AD131</f>
        <v>4.6169105031252732E-2</v>
      </c>
      <c r="AF132" s="1"/>
    </row>
    <row r="133" spans="11:32" x14ac:dyDescent="0.45">
      <c r="K133" s="40">
        <f t="shared" si="25"/>
        <v>1.08</v>
      </c>
      <c r="L133" s="41">
        <f t="shared" si="17"/>
        <v>21.08</v>
      </c>
      <c r="M133">
        <f t="shared" si="26"/>
        <v>0.95209622178536746</v>
      </c>
      <c r="N133">
        <f t="shared" si="27"/>
        <v>4.7903778214633118E-2</v>
      </c>
      <c r="O133">
        <f t="shared" si="18"/>
        <v>6.1510686857412199E-2</v>
      </c>
      <c r="P133">
        <f t="shared" si="19"/>
        <v>0.5</v>
      </c>
      <c r="Q133">
        <f t="shared" si="28"/>
        <v>-3.4612203449048459E-2</v>
      </c>
      <c r="R133" s="6">
        <f t="shared" si="29"/>
        <v>3.4612203449048459E-2</v>
      </c>
      <c r="S133" s="18">
        <f t="shared" si="30"/>
        <v>1.0000000000000007</v>
      </c>
      <c r="T133" s="15"/>
      <c r="U133" s="15"/>
      <c r="V133" s="40">
        <f t="shared" si="31"/>
        <v>8.92</v>
      </c>
      <c r="W133" s="41">
        <f t="shared" si="20"/>
        <v>28.92</v>
      </c>
      <c r="X133">
        <f t="shared" si="32"/>
        <v>-6.7215478480167637E-2</v>
      </c>
      <c r="Y133">
        <f t="shared" si="33"/>
        <v>0.79717191048818203</v>
      </c>
      <c r="Z133" s="33">
        <f t="shared" si="21"/>
        <v>0.12088553042528639</v>
      </c>
      <c r="AA133" s="33">
        <f t="shared" si="22"/>
        <v>0.5</v>
      </c>
      <c r="AB133">
        <f t="shared" si="23"/>
        <v>1.6526491764971993E-2</v>
      </c>
      <c r="AC133" s="1">
        <f t="shared" si="24"/>
        <v>-0.52794770999141605</v>
      </c>
      <c r="AD133" s="35">
        <f>IF(W133&gt;=FinalAgeForPremium, AE133*Delta-Z133*(Y133-AE133),AE133*Delta+PremiumRevisedForLimitedTerm-Z133*(Y133-AE133))</f>
        <v>4.9789717505509604E-2</v>
      </c>
      <c r="AE133" s="35">
        <f>AE132-StepSize*AD132</f>
        <v>4.5664704620369478E-2</v>
      </c>
      <c r="AF133" s="1"/>
    </row>
    <row r="134" spans="11:32" x14ac:dyDescent="0.45">
      <c r="K134" s="40">
        <f t="shared" si="25"/>
        <v>1.0900000000000001</v>
      </c>
      <c r="L134" s="41">
        <f t="shared" si="17"/>
        <v>21.09</v>
      </c>
      <c r="M134">
        <f t="shared" si="26"/>
        <v>0.95175009975087699</v>
      </c>
      <c r="N134">
        <f t="shared" si="27"/>
        <v>4.8249900249123602E-2</v>
      </c>
      <c r="O134">
        <f t="shared" si="18"/>
        <v>6.1563718197599579E-2</v>
      </c>
      <c r="P134">
        <f t="shared" si="19"/>
        <v>0.5</v>
      </c>
      <c r="Q134">
        <f t="shared" si="28"/>
        <v>-3.4468324811038481E-2</v>
      </c>
      <c r="R134" s="6">
        <f t="shared" si="29"/>
        <v>3.4468324811038481E-2</v>
      </c>
      <c r="S134" s="18">
        <f t="shared" si="30"/>
        <v>1.0000000000000007</v>
      </c>
      <c r="T134" s="15"/>
      <c r="U134" s="15"/>
      <c r="V134" s="40">
        <f t="shared" si="31"/>
        <v>8.91</v>
      </c>
      <c r="W134" s="41">
        <f t="shared" si="20"/>
        <v>28.91</v>
      </c>
      <c r="X134">
        <f t="shared" si="32"/>
        <v>-6.7380743397817355E-2</v>
      </c>
      <c r="Y134">
        <f t="shared" si="33"/>
        <v>0.8024513875880962</v>
      </c>
      <c r="Z134" s="33">
        <f t="shared" si="21"/>
        <v>0.12078139893558108</v>
      </c>
      <c r="AA134" s="33">
        <f t="shared" si="22"/>
        <v>0.5</v>
      </c>
      <c r="AB134">
        <f t="shared" si="23"/>
        <v>1.5950614907860539E-2</v>
      </c>
      <c r="AC134" s="1">
        <f t="shared" si="24"/>
        <v>-0.52496136512763836</v>
      </c>
      <c r="AD134" s="35">
        <f>IF(W134&gt;=FinalAgeForPremium, AE134*Delta-Z134*(Y134-AE134),AE134*Delta+PremiumRevisedForLimitedTerm-Z134*(Y134-AE134))</f>
        <v>4.9145278864522912E-2</v>
      </c>
      <c r="AE134" s="35">
        <f>AE133-StepSize*AD133</f>
        <v>4.5166807445314386E-2</v>
      </c>
      <c r="AF134" s="1"/>
    </row>
    <row r="135" spans="11:32" x14ac:dyDescent="0.45">
      <c r="K135" s="40">
        <f t="shared" si="25"/>
        <v>1.1000000000000001</v>
      </c>
      <c r="L135" s="41">
        <f t="shared" si="17"/>
        <v>21.1</v>
      </c>
      <c r="M135">
        <f t="shared" si="26"/>
        <v>0.95140541650276655</v>
      </c>
      <c r="N135">
        <f t="shared" si="27"/>
        <v>4.8594583497233987E-2</v>
      </c>
      <c r="O135">
        <f t="shared" si="18"/>
        <v>6.1616795258672002E-2</v>
      </c>
      <c r="P135">
        <f t="shared" si="19"/>
        <v>0.5</v>
      </c>
      <c r="Q135">
        <f t="shared" si="28"/>
        <v>-3.4325261008025534E-2</v>
      </c>
      <c r="R135" s="6">
        <f t="shared" si="29"/>
        <v>3.4325261008025534E-2</v>
      </c>
      <c r="S135" s="18">
        <f t="shared" si="30"/>
        <v>1.0000000000000004</v>
      </c>
      <c r="T135" s="15"/>
      <c r="U135" s="15"/>
      <c r="V135" s="40">
        <f t="shared" si="31"/>
        <v>8.9</v>
      </c>
      <c r="W135" s="41">
        <f t="shared" si="20"/>
        <v>28.9</v>
      </c>
      <c r="X135">
        <f t="shared" si="32"/>
        <v>-6.7540249546895956E-2</v>
      </c>
      <c r="Y135">
        <f t="shared" si="33"/>
        <v>0.80770100123937261</v>
      </c>
      <c r="Z135" s="33">
        <f t="shared" si="21"/>
        <v>0.12067735714533859</v>
      </c>
      <c r="AA135" s="33">
        <f t="shared" si="22"/>
        <v>0.5</v>
      </c>
      <c r="AB135">
        <f t="shared" si="23"/>
        <v>1.5380380210535477E-2</v>
      </c>
      <c r="AC135" s="1">
        <f t="shared" si="24"/>
        <v>-0.52199432454489703</v>
      </c>
      <c r="AD135" s="35">
        <f>IF(W135&gt;=FinalAgeForPremium, AE135*Delta-Z135*(Y135-AE135),AE135*Delta+PremiumRevisedForLimitedTerm-Z135*(Y135-AE135))</f>
        <v>4.8506678743366199E-2</v>
      </c>
      <c r="AE135" s="35">
        <f>AE134-StepSize*AD134</f>
        <v>4.4675354656669157E-2</v>
      </c>
      <c r="AF135" s="1"/>
    </row>
    <row r="136" spans="11:32" x14ac:dyDescent="0.45">
      <c r="K136" s="40">
        <f t="shared" si="25"/>
        <v>1.1100000000000001</v>
      </c>
      <c r="L136" s="41">
        <f t="shared" si="17"/>
        <v>21.11</v>
      </c>
      <c r="M136">
        <f t="shared" si="26"/>
        <v>0.95106216389268627</v>
      </c>
      <c r="N136">
        <f t="shared" si="27"/>
        <v>4.8937836107314239E-2</v>
      </c>
      <c r="O136">
        <f t="shared" si="18"/>
        <v>6.1669918080047625E-2</v>
      </c>
      <c r="P136">
        <f t="shared" si="19"/>
        <v>0.5</v>
      </c>
      <c r="Q136">
        <f t="shared" si="28"/>
        <v>-3.418300768263767E-2</v>
      </c>
      <c r="R136" s="6">
        <f t="shared" si="29"/>
        <v>3.418300768263767E-2</v>
      </c>
      <c r="S136" s="18">
        <f t="shared" si="30"/>
        <v>1.0000000000000004</v>
      </c>
      <c r="T136" s="15"/>
      <c r="U136" s="15"/>
      <c r="V136" s="40">
        <f t="shared" si="31"/>
        <v>8.89</v>
      </c>
      <c r="W136" s="41">
        <f t="shared" si="20"/>
        <v>28.89</v>
      </c>
      <c r="X136">
        <f t="shared" si="32"/>
        <v>-6.7694053349001304E-2</v>
      </c>
      <c r="Y136">
        <f t="shared" si="33"/>
        <v>0.81292094448482155</v>
      </c>
      <c r="Z136" s="33">
        <f t="shared" si="21"/>
        <v>0.1205734049772914</v>
      </c>
      <c r="AA136" s="33">
        <f t="shared" si="22"/>
        <v>0.5</v>
      </c>
      <c r="AB136">
        <f t="shared" si="23"/>
        <v>1.4815742267003482E-2</v>
      </c>
      <c r="AC136" s="1">
        <f t="shared" si="24"/>
        <v>-0.51904645385884751</v>
      </c>
      <c r="AD136" s="35">
        <f>IF(W136&gt;=FinalAgeForPremium, AE136*Delta-Z136*(Y136-AE136),AE136*Delta+PremiumRevisedForLimitedTerm-Z136*(Y136-AE136))</f>
        <v>4.787387108913814E-2</v>
      </c>
      <c r="AE136" s="35">
        <f>AE135-StepSize*AD135</f>
        <v>4.4190287869235498E-2</v>
      </c>
      <c r="AF136" s="1"/>
    </row>
    <row r="137" spans="11:32" x14ac:dyDescent="0.45">
      <c r="K137" s="40">
        <f t="shared" si="25"/>
        <v>1.1200000000000001</v>
      </c>
      <c r="L137" s="41">
        <f t="shared" si="17"/>
        <v>21.12</v>
      </c>
      <c r="M137">
        <f t="shared" si="26"/>
        <v>0.95072033381585985</v>
      </c>
      <c r="N137">
        <f t="shared" si="27"/>
        <v>4.9279666184140619E-2</v>
      </c>
      <c r="O137">
        <f t="shared" si="18"/>
        <v>6.1723086701178646E-2</v>
      </c>
      <c r="P137">
        <f t="shared" si="19"/>
        <v>0.5</v>
      </c>
      <c r="Q137">
        <f t="shared" si="28"/>
        <v>-3.404156050061951E-2</v>
      </c>
      <c r="R137" s="6">
        <f t="shared" si="29"/>
        <v>3.404156050061951E-2</v>
      </c>
      <c r="S137" s="18">
        <f t="shared" si="30"/>
        <v>1.0000000000000004</v>
      </c>
      <c r="T137" s="15"/>
      <c r="U137" s="15"/>
      <c r="V137" s="40">
        <f t="shared" si="31"/>
        <v>8.8800000000000008</v>
      </c>
      <c r="W137" s="41">
        <f t="shared" si="20"/>
        <v>28.880000000000003</v>
      </c>
      <c r="X137">
        <f t="shared" si="32"/>
        <v>-6.7842210771671338E-2</v>
      </c>
      <c r="Y137">
        <f t="shared" si="33"/>
        <v>0.81811140902341006</v>
      </c>
      <c r="Z137" s="33">
        <f t="shared" si="21"/>
        <v>0.12046954235423836</v>
      </c>
      <c r="AA137" s="33">
        <f t="shared" si="22"/>
        <v>0.5</v>
      </c>
      <c r="AB137">
        <f t="shared" si="23"/>
        <v>1.4256656034969756E-2</v>
      </c>
      <c r="AC137" s="1">
        <f t="shared" si="24"/>
        <v>-0.51611761965128888</v>
      </c>
      <c r="AD137" s="35">
        <f>IF(W137&gt;=FinalAgeForPremium, AE137*Delta-Z137*(Y137-AE137),AE137*Delta+PremiumRevisedForLimitedTerm-Z137*(Y137-AE137))</f>
        <v>4.7246810215032922E-2</v>
      </c>
      <c r="AE137" s="35">
        <f>AE136-StepSize*AD136</f>
        <v>4.3711549158344118E-2</v>
      </c>
      <c r="AF137" s="1"/>
    </row>
    <row r="138" spans="11:32" x14ac:dyDescent="0.45">
      <c r="K138" s="40">
        <f t="shared" si="25"/>
        <v>1.1299999999999999</v>
      </c>
      <c r="L138" s="41">
        <f t="shared" si="17"/>
        <v>21.13</v>
      </c>
      <c r="M138">
        <f t="shared" si="26"/>
        <v>0.95037991821085366</v>
      </c>
      <c r="N138">
        <f t="shared" si="27"/>
        <v>4.9620081789146814E-2</v>
      </c>
      <c r="O138">
        <f t="shared" si="18"/>
        <v>6.1776301161551229E-2</v>
      </c>
      <c r="P138">
        <f t="shared" si="19"/>
        <v>0.5</v>
      </c>
      <c r="Q138">
        <f t="shared" si="28"/>
        <v>-3.3900915150710711E-2</v>
      </c>
      <c r="R138" s="6">
        <f t="shared" si="29"/>
        <v>3.3900915150710711E-2</v>
      </c>
      <c r="S138" s="18">
        <f t="shared" si="30"/>
        <v>1.0000000000000004</v>
      </c>
      <c r="T138" s="15"/>
      <c r="U138" s="15"/>
      <c r="V138" s="40">
        <f t="shared" si="31"/>
        <v>8.8699999999999992</v>
      </c>
      <c r="W138" s="41">
        <f t="shared" si="20"/>
        <v>28.869999999999997</v>
      </c>
      <c r="X138">
        <f t="shared" si="32"/>
        <v>-6.7984777332021032E-2</v>
      </c>
      <c r="Y138">
        <f t="shared" si="33"/>
        <v>0.82327258521992297</v>
      </c>
      <c r="Z138" s="33">
        <f t="shared" si="21"/>
        <v>0.12036576919904489</v>
      </c>
      <c r="AA138" s="33">
        <f t="shared" si="22"/>
        <v>0.5</v>
      </c>
      <c r="AB138">
        <f t="shared" si="23"/>
        <v>1.3703076832869851E-2</v>
      </c>
      <c r="AC138" s="1">
        <f t="shared" si="24"/>
        <v>-0.51320768946303186</v>
      </c>
      <c r="AD138" s="35">
        <f>IF(W138&gt;=FinalAgeForPremium, AE138*Delta-Z138*(Y138-AE138),AE138*Delta+PremiumRevisedForLimitedTerm-Z138*(Y138-AE138))</f>
        <v>4.6625450797362591E-2</v>
      </c>
      <c r="AE138" s="35">
        <f>AE137-StepSize*AD137</f>
        <v>4.3239081056193791E-2</v>
      </c>
      <c r="AF138" s="1"/>
    </row>
    <row r="139" spans="11:32" x14ac:dyDescent="0.45">
      <c r="K139" s="40">
        <f t="shared" si="25"/>
        <v>1.1399999999999999</v>
      </c>
      <c r="L139" s="41">
        <f t="shared" si="17"/>
        <v>21.14</v>
      </c>
      <c r="M139">
        <f t="shared" si="26"/>
        <v>0.95004090905934657</v>
      </c>
      <c r="N139">
        <f t="shared" si="27"/>
        <v>4.995909094065392E-2</v>
      </c>
      <c r="O139">
        <f t="shared" si="18"/>
        <v>6.1829561500685644E-2</v>
      </c>
      <c r="P139">
        <f t="shared" si="19"/>
        <v>0.5</v>
      </c>
      <c r="Q139">
        <f t="shared" si="28"/>
        <v>-3.3761067344525206E-2</v>
      </c>
      <c r="R139" s="6">
        <f t="shared" si="29"/>
        <v>3.3761067344525206E-2</v>
      </c>
      <c r="S139" s="18">
        <f t="shared" si="30"/>
        <v>1.0000000000000004</v>
      </c>
      <c r="T139" s="15"/>
      <c r="U139" s="15"/>
      <c r="V139" s="40">
        <f t="shared" si="31"/>
        <v>8.86</v>
      </c>
      <c r="W139" s="41">
        <f t="shared" si="20"/>
        <v>28.86</v>
      </c>
      <c r="X139">
        <f t="shared" si="32"/>
        <v>-6.8121808100349734E-2</v>
      </c>
      <c r="Y139">
        <f t="shared" si="33"/>
        <v>0.82840466211455333</v>
      </c>
      <c r="Z139" s="33">
        <f t="shared" si="21"/>
        <v>0.12026208543464291</v>
      </c>
      <c r="AA139" s="33">
        <f t="shared" si="22"/>
        <v>0.5</v>
      </c>
      <c r="AB139">
        <f t="shared" si="23"/>
        <v>1.315496033692666E-2</v>
      </c>
      <c r="AC139" s="1">
        <f t="shared" si="24"/>
        <v>-0.51031653178682079</v>
      </c>
      <c r="AD139" s="35">
        <f>IF(W139&gt;=FinalAgeForPremium, AE139*Delta-Z139*(Y139-AE139),AE139*Delta+PremiumRevisedForLimitedTerm-Z139*(Y139-AE139))</f>
        <v>4.6009747872603854E-2</v>
      </c>
      <c r="AE139" s="35">
        <f>AE138-StepSize*AD138</f>
        <v>4.2772826548220164E-2</v>
      </c>
      <c r="AF139" s="1"/>
    </row>
    <row r="140" spans="11:32" x14ac:dyDescent="0.45">
      <c r="K140" s="40">
        <f t="shared" si="25"/>
        <v>1.1499999999999999</v>
      </c>
      <c r="L140" s="41">
        <f t="shared" si="17"/>
        <v>21.15</v>
      </c>
      <c r="M140">
        <f t="shared" si="26"/>
        <v>0.94970329838590128</v>
      </c>
      <c r="N140">
        <f t="shared" si="27"/>
        <v>5.0296701614099174E-2</v>
      </c>
      <c r="O140">
        <f t="shared" si="18"/>
        <v>6.1882867758136138E-2</v>
      </c>
      <c r="P140">
        <f t="shared" si="19"/>
        <v>0.5</v>
      </c>
      <c r="Q140">
        <f t="shared" si="28"/>
        <v>-3.3622012816430846E-2</v>
      </c>
      <c r="R140" s="6">
        <f t="shared" si="29"/>
        <v>3.3622012816430846E-2</v>
      </c>
      <c r="S140" s="18">
        <f t="shared" si="30"/>
        <v>1.0000000000000004</v>
      </c>
      <c r="T140" s="15"/>
      <c r="U140" s="15"/>
      <c r="V140" s="40">
        <f t="shared" si="31"/>
        <v>8.85</v>
      </c>
      <c r="W140" s="41">
        <f t="shared" si="20"/>
        <v>28.85</v>
      </c>
      <c r="X140">
        <f t="shared" si="32"/>
        <v>-6.8253357703719E-2</v>
      </c>
      <c r="Y140">
        <f t="shared" si="33"/>
        <v>0.83350782743242158</v>
      </c>
      <c r="Z140" s="33">
        <f t="shared" si="21"/>
        <v>0.12015849098403068</v>
      </c>
      <c r="AA140" s="33">
        <f t="shared" si="22"/>
        <v>0.5</v>
      </c>
      <c r="AB140">
        <f t="shared" si="23"/>
        <v>1.2612262578231948E-2</v>
      </c>
      <c r="AC140" s="1">
        <f t="shared" si="24"/>
        <v>-0.50744401606030864</v>
      </c>
      <c r="AD140" s="35">
        <f>IF(W140&gt;=FinalAgeForPremium, AE140*Delta-Z140*(Y140-AE140),AE140*Delta+PremiumRevisedForLimitedTerm-Z140*(Y140-AE140))</f>
        <v>4.5399656834470156E-2</v>
      </c>
      <c r="AE140" s="35">
        <f>AE139-StepSize*AD139</f>
        <v>4.2312729069494126E-2</v>
      </c>
      <c r="AF140" s="1"/>
    </row>
    <row r="141" spans="11:32" x14ac:dyDescent="0.45">
      <c r="K141" s="40">
        <f t="shared" si="25"/>
        <v>1.1599999999999999</v>
      </c>
      <c r="L141" s="41">
        <f t="shared" si="17"/>
        <v>21.16</v>
      </c>
      <c r="M141">
        <f t="shared" si="26"/>
        <v>0.94936707825773703</v>
      </c>
      <c r="N141">
        <f t="shared" si="27"/>
        <v>5.0632921742263484E-2</v>
      </c>
      <c r="O141">
        <f t="shared" si="18"/>
        <v>6.1936219973491177E-2</v>
      </c>
      <c r="P141">
        <f t="shared" si="19"/>
        <v>0.5</v>
      </c>
      <c r="Q141">
        <f t="shared" si="28"/>
        <v>-3.3483747323430069E-2</v>
      </c>
      <c r="R141" s="6">
        <f t="shared" si="29"/>
        <v>3.3483747323430069E-2</v>
      </c>
      <c r="S141" s="18">
        <f t="shared" si="30"/>
        <v>1.0000000000000004</v>
      </c>
      <c r="T141" s="15"/>
      <c r="U141" s="15"/>
      <c r="V141" s="40">
        <f t="shared" si="31"/>
        <v>8.84</v>
      </c>
      <c r="W141" s="41">
        <f t="shared" si="20"/>
        <v>28.84</v>
      </c>
      <c r="X141">
        <f t="shared" si="32"/>
        <v>-6.8379480329501321E-2</v>
      </c>
      <c r="Y141">
        <f t="shared" si="33"/>
        <v>0.83858226759302468</v>
      </c>
      <c r="Z141" s="33">
        <f t="shared" si="21"/>
        <v>0.12005498577027275</v>
      </c>
      <c r="AA141" s="33">
        <f t="shared" si="22"/>
        <v>0.5</v>
      </c>
      <c r="AB141">
        <f t="shared" si="23"/>
        <v>1.2074939939852036E-2</v>
      </c>
      <c r="AC141" s="1">
        <f t="shared" si="24"/>
        <v>-0.50459001265908576</v>
      </c>
      <c r="AD141" s="35">
        <f>IF(W141&gt;=FinalAgeForPremium, AE141*Delta-Z141*(Y141-AE141),AE141*Delta+PremiumRevisedForLimitedTerm-Z141*(Y141-AE141))</f>
        <v>4.4795133431007522E-2</v>
      </c>
      <c r="AE141" s="35">
        <f>AE140-StepSize*AD140</f>
        <v>4.1858732501149423E-2</v>
      </c>
      <c r="AF141" s="1"/>
    </row>
    <row r="142" spans="11:32" x14ac:dyDescent="0.45">
      <c r="K142" s="40">
        <f t="shared" si="25"/>
        <v>1.17</v>
      </c>
      <c r="L142" s="41">
        <f t="shared" si="17"/>
        <v>21.17</v>
      </c>
      <c r="M142">
        <f t="shared" si="26"/>
        <v>0.94903224078450277</v>
      </c>
      <c r="N142">
        <f t="shared" si="27"/>
        <v>5.0967759215497788E-2</v>
      </c>
      <c r="O142">
        <f t="shared" si="18"/>
        <v>6.1989618186373267E-2</v>
      </c>
      <c r="P142">
        <f t="shared" si="19"/>
        <v>0.5</v>
      </c>
      <c r="Q142">
        <f t="shared" si="28"/>
        <v>-3.3346266645040694E-2</v>
      </c>
      <c r="R142" s="6">
        <f t="shared" si="29"/>
        <v>3.3346266645040694E-2</v>
      </c>
      <c r="S142" s="18">
        <f t="shared" si="30"/>
        <v>1.0000000000000004</v>
      </c>
      <c r="T142" s="15"/>
      <c r="U142" s="15"/>
      <c r="V142" s="40">
        <f t="shared" si="31"/>
        <v>8.83</v>
      </c>
      <c r="W142" s="41">
        <f t="shared" si="20"/>
        <v>28.83</v>
      </c>
      <c r="X142">
        <f t="shared" si="32"/>
        <v>-6.8500229728899839E-2</v>
      </c>
      <c r="Y142">
        <f t="shared" si="33"/>
        <v>0.84362816771961557</v>
      </c>
      <c r="Z142" s="33">
        <f t="shared" si="21"/>
        <v>0.11995156971649996</v>
      </c>
      <c r="AA142" s="33">
        <f t="shared" si="22"/>
        <v>0.5</v>
      </c>
      <c r="AB142">
        <f t="shared" si="23"/>
        <v>1.1542949153957704E-2</v>
      </c>
      <c r="AC142" s="1">
        <f t="shared" si="24"/>
        <v>-0.50175439288976142</v>
      </c>
      <c r="AD142" s="35">
        <f>IF(W142&gt;=FinalAgeForPremium, AE142*Delta-Z142*(Y142-AE142),AE142*Delta+PremiumRevisedForLimitedTerm-Z142*(Y142-AE142))</f>
        <v>4.4196133761714787E-2</v>
      </c>
      <c r="AE142" s="35">
        <f>AE141-StepSize*AD141</f>
        <v>4.1410781166839349E-2</v>
      </c>
      <c r="AF142" s="1"/>
    </row>
    <row r="143" spans="11:32" x14ac:dyDescent="0.45">
      <c r="K143" s="40">
        <f t="shared" si="25"/>
        <v>1.18</v>
      </c>
      <c r="L143" s="41">
        <f t="shared" si="17"/>
        <v>21.18</v>
      </c>
      <c r="M143">
        <f t="shared" si="26"/>
        <v>0.94869877811805237</v>
      </c>
      <c r="N143">
        <f t="shared" si="27"/>
        <v>5.1301221881948196E-2</v>
      </c>
      <c r="O143">
        <f t="shared" si="18"/>
        <v>6.2043062436439048E-2</v>
      </c>
      <c r="P143">
        <f t="shared" si="19"/>
        <v>0.5</v>
      </c>
      <c r="Q143">
        <f t="shared" si="28"/>
        <v>-3.3209566583177655E-2</v>
      </c>
      <c r="R143" s="6">
        <f t="shared" si="29"/>
        <v>3.3209566583177655E-2</v>
      </c>
      <c r="S143" s="18">
        <f t="shared" si="30"/>
        <v>1.0000000000000007</v>
      </c>
      <c r="T143" s="15"/>
      <c r="U143" s="15"/>
      <c r="V143" s="40">
        <f t="shared" si="31"/>
        <v>8.82</v>
      </c>
      <c r="W143" s="41">
        <f t="shared" si="20"/>
        <v>28.82</v>
      </c>
      <c r="X143">
        <f t="shared" si="32"/>
        <v>-6.8615659220439412E-2</v>
      </c>
      <c r="Y143">
        <f t="shared" si="33"/>
        <v>0.84864571164851321</v>
      </c>
      <c r="Z143" s="33">
        <f t="shared" si="21"/>
        <v>0.11984824274590947</v>
      </c>
      <c r="AA143" s="33">
        <f t="shared" si="22"/>
        <v>0.5</v>
      </c>
      <c r="AB143">
        <f t="shared" si="23"/>
        <v>1.101624729897778E-2</v>
      </c>
      <c r="AC143" s="1">
        <f t="shared" si="24"/>
        <v>-0.49893702898309805</v>
      </c>
      <c r="AD143" s="35">
        <f>IF(W143&gt;=FinalAgeForPremium, AE143*Delta-Z143*(Y143-AE143),AE143*Delta+PremiumRevisedForLimitedTerm-Z143*(Y143-AE143))</f>
        <v>4.3602614274687604E-2</v>
      </c>
      <c r="AE143" s="35">
        <f>AE142-StepSize*AD142</f>
        <v>4.0968819829222201E-2</v>
      </c>
      <c r="AF143" s="1"/>
    </row>
    <row r="144" spans="11:32" x14ac:dyDescent="0.45">
      <c r="K144" s="40">
        <f t="shared" si="25"/>
        <v>1.19</v>
      </c>
      <c r="L144" s="41">
        <f t="shared" si="17"/>
        <v>21.19</v>
      </c>
      <c r="M144">
        <f t="shared" si="26"/>
        <v>0.94836668245222056</v>
      </c>
      <c r="N144">
        <f t="shared" si="27"/>
        <v>5.1633317547779972E-2</v>
      </c>
      <c r="O144">
        <f t="shared" si="18"/>
        <v>6.2096552763379491E-2</v>
      </c>
      <c r="P144">
        <f t="shared" si="19"/>
        <v>0.5</v>
      </c>
      <c r="Q144">
        <f t="shared" si="28"/>
        <v>-3.3073642962035493E-2</v>
      </c>
      <c r="R144" s="6">
        <f t="shared" si="29"/>
        <v>3.3073642962035493E-2</v>
      </c>
      <c r="S144" s="18">
        <f t="shared" si="30"/>
        <v>1.0000000000000004</v>
      </c>
      <c r="T144" s="15"/>
      <c r="U144" s="15"/>
      <c r="V144" s="40">
        <f t="shared" si="31"/>
        <v>8.81</v>
      </c>
      <c r="W144" s="41">
        <f t="shared" si="20"/>
        <v>28.810000000000002</v>
      </c>
      <c r="X144">
        <f t="shared" si="32"/>
        <v>-6.8725821693429195E-2</v>
      </c>
      <c r="Y144">
        <f t="shared" si="33"/>
        <v>0.85363508193834414</v>
      </c>
      <c r="Z144" s="33">
        <f t="shared" si="21"/>
        <v>0.11974500478176447</v>
      </c>
      <c r="AA144" s="33">
        <f t="shared" si="22"/>
        <v>0.5</v>
      </c>
      <c r="AB144">
        <f t="shared" si="23"/>
        <v>1.0494791796776898E-2</v>
      </c>
      <c r="AC144" s="1">
        <f t="shared" si="24"/>
        <v>-0.4961377940871961</v>
      </c>
      <c r="AD144" s="35">
        <f>IF(W144&gt;=FinalAgeForPremium, AE144*Delta-Z144*(Y144-AE144),AE144*Delta+PremiumRevisedForLimitedTerm-Z144*(Y144-AE144))</f>
        <v>4.301453176378664E-2</v>
      </c>
      <c r="AE144" s="35">
        <f>AE143-StepSize*AD143</f>
        <v>4.0532793686475325E-2</v>
      </c>
      <c r="AF144" s="1"/>
    </row>
    <row r="145" spans="11:32" x14ac:dyDescent="0.45">
      <c r="K145" s="40">
        <f t="shared" si="25"/>
        <v>1.2</v>
      </c>
      <c r="L145" s="41">
        <f t="shared" si="17"/>
        <v>21.2</v>
      </c>
      <c r="M145">
        <f t="shared" si="26"/>
        <v>0.94803594602260022</v>
      </c>
      <c r="N145">
        <f t="shared" si="27"/>
        <v>5.196405397740033E-2</v>
      </c>
      <c r="O145">
        <f t="shared" si="18"/>
        <v>6.215008920691964E-2</v>
      </c>
      <c r="P145">
        <f t="shared" si="19"/>
        <v>0.5</v>
      </c>
      <c r="Q145">
        <f t="shared" si="28"/>
        <v>-3.2938491627970884E-2</v>
      </c>
      <c r="R145" s="6">
        <f t="shared" si="29"/>
        <v>3.2938491627970884E-2</v>
      </c>
      <c r="S145" s="18">
        <f t="shared" si="30"/>
        <v>1.0000000000000004</v>
      </c>
      <c r="T145" s="15"/>
      <c r="U145" s="15"/>
      <c r="V145" s="40">
        <f t="shared" si="31"/>
        <v>8.8000000000000007</v>
      </c>
      <c r="W145" s="41">
        <f t="shared" si="20"/>
        <v>28.8</v>
      </c>
      <c r="X145">
        <f t="shared" si="32"/>
        <v>-6.8830769611396961E-2</v>
      </c>
      <c r="Y145">
        <f t="shared" si="33"/>
        <v>0.85859645987921607</v>
      </c>
      <c r="Z145" s="33">
        <f t="shared" si="21"/>
        <v>0.1196418557473943</v>
      </c>
      <c r="AA145" s="33">
        <f t="shared" si="22"/>
        <v>0.5</v>
      </c>
      <c r="AB145">
        <f t="shared" si="23"/>
        <v>9.9785404098563374E-3</v>
      </c>
      <c r="AC145" s="1">
        <f t="shared" si="24"/>
        <v>-0.49335656226073271</v>
      </c>
      <c r="AD145" s="35">
        <f>IF(W145&gt;=FinalAgeForPremium, AE145*Delta-Z145*(Y145-AE145),AE145*Delta+PremiumRevisedForLimitedTerm-Z145*(Y145-AE145))</f>
        <v>4.2431843365828767E-2</v>
      </c>
      <c r="AE145" s="35">
        <f>AE144-StepSize*AD144</f>
        <v>4.0102648368837458E-2</v>
      </c>
      <c r="AF145" s="1"/>
    </row>
    <row r="146" spans="11:32" x14ac:dyDescent="0.45">
      <c r="K146" s="40">
        <f t="shared" si="25"/>
        <v>1.21</v>
      </c>
      <c r="L146" s="41">
        <f t="shared" si="17"/>
        <v>21.21</v>
      </c>
      <c r="M146">
        <f t="shared" si="26"/>
        <v>0.94770656110632046</v>
      </c>
      <c r="N146">
        <f t="shared" si="27"/>
        <v>5.2293438893680037E-2</v>
      </c>
      <c r="O146">
        <f t="shared" si="18"/>
        <v>6.2203671806818878E-2</v>
      </c>
      <c r="P146">
        <f t="shared" si="19"/>
        <v>0.5</v>
      </c>
      <c r="Q146">
        <f t="shared" si="28"/>
        <v>-3.2804108449386485E-2</v>
      </c>
      <c r="R146" s="6">
        <f t="shared" si="29"/>
        <v>3.2804108449386485E-2</v>
      </c>
      <c r="S146" s="18">
        <f t="shared" si="30"/>
        <v>1.0000000000000004</v>
      </c>
      <c r="T146" s="15"/>
      <c r="U146" s="15"/>
      <c r="V146" s="40">
        <f t="shared" si="31"/>
        <v>8.7899999999999991</v>
      </c>
      <c r="W146" s="41">
        <f t="shared" si="20"/>
        <v>28.79</v>
      </c>
      <c r="X146">
        <f t="shared" si="32"/>
        <v>-6.8930555015495526E-2</v>
      </c>
      <c r="Y146">
        <f t="shared" si="33"/>
        <v>0.86353002550182334</v>
      </c>
      <c r="Z146" s="33">
        <f t="shared" si="21"/>
        <v>0.11953879556619428</v>
      </c>
      <c r="AA146" s="33">
        <f t="shared" si="22"/>
        <v>0.5</v>
      </c>
      <c r="AB146">
        <f t="shared" si="23"/>
        <v>9.46745123857827E-3</v>
      </c>
      <c r="AC146" s="1">
        <f t="shared" si="24"/>
        <v>-0.49059320846624938</v>
      </c>
      <c r="AD146" s="35">
        <f>IF(W146&gt;=FinalAgeForPremium, AE146*Delta-Z146*(Y146-AE146),AE146*Delta+PremiumRevisedForLimitedTerm-Z146*(Y146-AE146))</f>
        <v>4.1854506557801915E-2</v>
      </c>
      <c r="AE146" s="35">
        <f>AE145-StepSize*AD145</f>
        <v>3.9678329935179169E-2</v>
      </c>
      <c r="AF146" s="1"/>
    </row>
    <row r="147" spans="11:32" x14ac:dyDescent="0.45">
      <c r="K147" s="40">
        <f t="shared" si="25"/>
        <v>1.22</v>
      </c>
      <c r="L147" s="41">
        <f t="shared" si="17"/>
        <v>21.22</v>
      </c>
      <c r="M147">
        <f t="shared" si="26"/>
        <v>0.94737852002182654</v>
      </c>
      <c r="N147">
        <f t="shared" si="27"/>
        <v>5.2621479978173902E-2</v>
      </c>
      <c r="O147">
        <f t="shared" si="18"/>
        <v>6.2257300602870817E-2</v>
      </c>
      <c r="P147">
        <f t="shared" si="19"/>
        <v>0.5</v>
      </c>
      <c r="Q147">
        <f t="shared" si="28"/>
        <v>-3.2670489316614773E-2</v>
      </c>
      <c r="R147" s="6">
        <f t="shared" si="29"/>
        <v>3.2670489316614773E-2</v>
      </c>
      <c r="S147" s="18">
        <f t="shared" si="30"/>
        <v>1.0000000000000004</v>
      </c>
      <c r="T147" s="15"/>
      <c r="U147" s="15"/>
      <c r="V147" s="40">
        <f t="shared" si="31"/>
        <v>8.7799999999999994</v>
      </c>
      <c r="W147" s="41">
        <f t="shared" si="20"/>
        <v>28.78</v>
      </c>
      <c r="X147">
        <f t="shared" si="32"/>
        <v>-6.9025229527881315E-2</v>
      </c>
      <c r="Y147">
        <f t="shared" si="33"/>
        <v>0.86843595758648584</v>
      </c>
      <c r="Z147" s="33">
        <f t="shared" si="21"/>
        <v>0.11943582416162589</v>
      </c>
      <c r="AA147" s="33">
        <f t="shared" si="22"/>
        <v>0.5</v>
      </c>
      <c r="AB147">
        <f t="shared" si="23"/>
        <v>8.9614827184129747E-3</v>
      </c>
      <c r="AC147" s="1">
        <f t="shared" si="24"/>
        <v>-0.48784760856349207</v>
      </c>
      <c r="AD147" s="35">
        <f>IF(W147&gt;=FinalAgeForPremium, AE147*Delta-Z147*(Y147-AE147),AE147*Delta+PremiumRevisedForLimitedTerm-Z147*(Y147-AE147))</f>
        <v>4.1282479154102825E-2</v>
      </c>
      <c r="AE147" s="35">
        <f>AE146-StepSize*AD146</f>
        <v>3.9259784869601147E-2</v>
      </c>
      <c r="AF147" s="1"/>
    </row>
    <row r="148" spans="11:32" x14ac:dyDescent="0.45">
      <c r="K148" s="40">
        <f t="shared" si="25"/>
        <v>1.23</v>
      </c>
      <c r="L148" s="41">
        <f t="shared" si="17"/>
        <v>21.23</v>
      </c>
      <c r="M148">
        <f t="shared" si="26"/>
        <v>0.94705181512866043</v>
      </c>
      <c r="N148">
        <f t="shared" si="27"/>
        <v>5.2948184871340051E-2</v>
      </c>
      <c r="O148">
        <f t="shared" si="18"/>
        <v>6.2310975634903426E-2</v>
      </c>
      <c r="P148">
        <f t="shared" si="19"/>
        <v>0.5</v>
      </c>
      <c r="Q148">
        <f t="shared" si="28"/>
        <v>-3.2537630141802998E-2</v>
      </c>
      <c r="R148" s="6">
        <f t="shared" si="29"/>
        <v>3.2537630141802998E-2</v>
      </c>
      <c r="S148" s="18">
        <f t="shared" si="30"/>
        <v>1.0000000000000004</v>
      </c>
      <c r="T148" s="15"/>
      <c r="U148" s="15"/>
      <c r="V148" s="40">
        <f t="shared" si="31"/>
        <v>8.77</v>
      </c>
      <c r="W148" s="41">
        <f t="shared" si="20"/>
        <v>28.77</v>
      </c>
      <c r="X148">
        <f t="shared" si="32"/>
        <v>-6.9114844355065444E-2</v>
      </c>
      <c r="Y148">
        <f t="shared" si="33"/>
        <v>0.8733144336721208</v>
      </c>
      <c r="Z148" s="33">
        <f t="shared" si="21"/>
        <v>0.11933294145721637</v>
      </c>
      <c r="AA148" s="33">
        <f t="shared" si="22"/>
        <v>0.5</v>
      </c>
      <c r="AB148">
        <f t="shared" si="23"/>
        <v>8.4605936172094803E-3</v>
      </c>
      <c r="AC148" s="1">
        <f t="shared" si="24"/>
        <v>-0.48511963930280083</v>
      </c>
      <c r="AD148" s="35">
        <f>IF(W148&gt;=FinalAgeForPremium, AE148*Delta-Z148*(Y148-AE148),AE148*Delta+PremiumRevisedForLimitedTerm-Z148*(Y148-AE148))</f>
        <v>4.0715719303798248E-2</v>
      </c>
      <c r="AE148" s="35">
        <f>AE147-StepSize*AD147</f>
        <v>3.8846960078060121E-2</v>
      </c>
      <c r="AF148" s="1"/>
    </row>
    <row r="149" spans="11:32" x14ac:dyDescent="0.45">
      <c r="K149" s="40">
        <f t="shared" si="25"/>
        <v>1.24</v>
      </c>
      <c r="L149" s="41">
        <f t="shared" si="17"/>
        <v>21.24</v>
      </c>
      <c r="M149">
        <f t="shared" si="26"/>
        <v>0.94672643882724239</v>
      </c>
      <c r="N149">
        <f t="shared" si="27"/>
        <v>5.3273561172758083E-2</v>
      </c>
      <c r="O149">
        <f t="shared" si="18"/>
        <v>6.2364696942778935E-2</v>
      </c>
      <c r="P149">
        <f t="shared" si="19"/>
        <v>0.5</v>
      </c>
      <c r="Q149">
        <f t="shared" si="28"/>
        <v>-3.2405526858798273E-2</v>
      </c>
      <c r="R149" s="6">
        <f t="shared" si="29"/>
        <v>3.2405526858798273E-2</v>
      </c>
      <c r="S149" s="18">
        <f t="shared" si="30"/>
        <v>1.0000000000000004</v>
      </c>
      <c r="T149" s="15"/>
      <c r="U149" s="15"/>
      <c r="V149" s="40">
        <f t="shared" si="31"/>
        <v>8.76</v>
      </c>
      <c r="W149" s="41">
        <f t="shared" si="20"/>
        <v>28.759999999999998</v>
      </c>
      <c r="X149">
        <f t="shared" si="32"/>
        <v>-6.9199450291237544E-2</v>
      </c>
      <c r="Y149">
        <f t="shared" si="33"/>
        <v>0.87816563006514881</v>
      </c>
      <c r="Z149" s="33">
        <f t="shared" si="21"/>
        <v>0.11923014737655888</v>
      </c>
      <c r="AA149" s="33">
        <f t="shared" si="22"/>
        <v>0.5</v>
      </c>
      <c r="AB149">
        <f t="shared" si="23"/>
        <v>7.9647430324883139E-3</v>
      </c>
      <c r="AC149" s="1">
        <f t="shared" si="24"/>
        <v>-0.4824091783185494</v>
      </c>
      <c r="AD149" s="35">
        <f>IF(W149&gt;=FinalAgeForPremium, AE149*Delta-Z149*(Y149-AE149),AE149*Delta+PremiumRevisedForLimitedTerm-Z149*(Y149-AE149))</f>
        <v>4.015418548790832E-2</v>
      </c>
      <c r="AE149" s="35">
        <f>AE148-StepSize*AD148</f>
        <v>3.8439802885022141E-2</v>
      </c>
      <c r="AF149" s="1"/>
    </row>
    <row r="150" spans="11:32" x14ac:dyDescent="0.45">
      <c r="K150" s="40">
        <f t="shared" si="25"/>
        <v>1.25</v>
      </c>
      <c r="L150" s="41">
        <f t="shared" si="17"/>
        <v>21.25</v>
      </c>
      <c r="M150">
        <f t="shared" si="26"/>
        <v>0.94640238355865436</v>
      </c>
      <c r="N150">
        <f t="shared" si="27"/>
        <v>5.3597616441346065E-2</v>
      </c>
      <c r="O150">
        <f t="shared" si="18"/>
        <v>6.2418464566394036E-2</v>
      </c>
      <c r="P150">
        <f t="shared" si="19"/>
        <v>0.5</v>
      </c>
      <c r="Q150">
        <f t="shared" si="28"/>
        <v>-3.2274175423033694E-2</v>
      </c>
      <c r="R150" s="6">
        <f t="shared" si="29"/>
        <v>3.2274175423033694E-2</v>
      </c>
      <c r="S150" s="18">
        <f t="shared" si="30"/>
        <v>1.0000000000000004</v>
      </c>
      <c r="T150" s="15"/>
      <c r="U150" s="15"/>
      <c r="V150" s="40">
        <f t="shared" si="31"/>
        <v>8.75</v>
      </c>
      <c r="W150" s="41">
        <f t="shared" si="20"/>
        <v>28.75</v>
      </c>
      <c r="X150">
        <f t="shared" si="32"/>
        <v>-6.9279097721562433E-2</v>
      </c>
      <c r="Y150">
        <f t="shared" si="33"/>
        <v>0.88298972184833435</v>
      </c>
      <c r="Z150" s="33">
        <f t="shared" si="21"/>
        <v>0.11912744184331246</v>
      </c>
      <c r="AA150" s="33">
        <f t="shared" si="22"/>
        <v>0.5</v>
      </c>
      <c r="AB150">
        <f t="shared" si="23"/>
        <v>7.4738903887568708E-3</v>
      </c>
      <c r="AC150" s="1">
        <f t="shared" si="24"/>
        <v>-0.47971610412263488</v>
      </c>
      <c r="AD150" s="35">
        <f>IF(W150&gt;=FinalAgeForPremium, AE150*Delta-Z150*(Y150-AE150),AE150*Delta+PremiumRevisedForLimitedTerm-Z150*(Y150-AE150))</f>
        <v>3.9597836516712712E-2</v>
      </c>
      <c r="AE150" s="35">
        <f>AE149-StepSize*AD149</f>
        <v>3.8038261030143058E-2</v>
      </c>
      <c r="AF150" s="1"/>
    </row>
    <row r="151" spans="11:32" x14ac:dyDescent="0.45">
      <c r="K151" s="40">
        <f t="shared" si="25"/>
        <v>1.26</v>
      </c>
      <c r="L151" s="41">
        <f t="shared" si="17"/>
        <v>21.26</v>
      </c>
      <c r="M151">
        <f t="shared" si="26"/>
        <v>0.94607964180442405</v>
      </c>
      <c r="N151">
        <f t="shared" si="27"/>
        <v>5.3920358195576404E-2</v>
      </c>
      <c r="O151">
        <f t="shared" si="18"/>
        <v>6.2472278545679744E-2</v>
      </c>
      <c r="P151">
        <f t="shared" si="19"/>
        <v>0.5</v>
      </c>
      <c r="Q151">
        <f t="shared" si="28"/>
        <v>-3.2143571811414695E-2</v>
      </c>
      <c r="R151" s="6">
        <f t="shared" si="29"/>
        <v>3.2143571811414695E-2</v>
      </c>
      <c r="S151" s="18">
        <f t="shared" si="30"/>
        <v>1.0000000000000004</v>
      </c>
      <c r="T151" s="15"/>
      <c r="U151" s="15"/>
      <c r="V151" s="40">
        <f t="shared" si="31"/>
        <v>8.74</v>
      </c>
      <c r="W151" s="41">
        <f t="shared" si="20"/>
        <v>28.740000000000002</v>
      </c>
      <c r="X151">
        <f t="shared" si="32"/>
        <v>-6.9353836625449999E-2</v>
      </c>
      <c r="Y151">
        <f t="shared" si="33"/>
        <v>0.88778688288956065</v>
      </c>
      <c r="Z151" s="33">
        <f t="shared" si="21"/>
        <v>0.11902482478120188</v>
      </c>
      <c r="AA151" s="33">
        <f t="shared" si="22"/>
        <v>0.5</v>
      </c>
      <c r="AB151">
        <f t="shared" si="23"/>
        <v>6.987995434847516E-3</v>
      </c>
      <c r="AC151" s="1">
        <f t="shared" si="24"/>
        <v>-0.47704029609801663</v>
      </c>
      <c r="AD151" s="35">
        <f>IF(W151&gt;=FinalAgeForPremium, AE151*Delta-Z151*(Y151-AE151),AE151*Delta+PremiumRevisedForLimitedTerm-Z151*(Y151-AE151))</f>
        <v>3.9046631527079212E-2</v>
      </c>
      <c r="AE151" s="35">
        <f>AE150-StepSize*AD150</f>
        <v>3.7642282664975935E-2</v>
      </c>
      <c r="AF151" s="1"/>
    </row>
    <row r="152" spans="11:32" x14ac:dyDescent="0.45">
      <c r="K152" s="40">
        <f t="shared" si="25"/>
        <v>1.27</v>
      </c>
      <c r="L152" s="41">
        <f t="shared" si="17"/>
        <v>21.27</v>
      </c>
      <c r="M152">
        <f t="shared" si="26"/>
        <v>0.94575820608630989</v>
      </c>
      <c r="N152">
        <f t="shared" si="27"/>
        <v>5.424179391369055E-2</v>
      </c>
      <c r="O152">
        <f t="shared" si="18"/>
        <v>6.2526138920601521E-2</v>
      </c>
      <c r="P152">
        <f t="shared" si="19"/>
        <v>0.5</v>
      </c>
      <c r="Q152">
        <f t="shared" si="28"/>
        <v>-3.2013712022206223E-2</v>
      </c>
      <c r="R152" s="6">
        <f t="shared" si="29"/>
        <v>3.2013712022206223E-2</v>
      </c>
      <c r="S152" s="18">
        <f t="shared" si="30"/>
        <v>1.0000000000000004</v>
      </c>
      <c r="T152" s="15"/>
      <c r="U152" s="15"/>
      <c r="V152" s="40">
        <f t="shared" si="31"/>
        <v>8.73</v>
      </c>
      <c r="W152" s="41">
        <f t="shared" si="20"/>
        <v>28.73</v>
      </c>
      <c r="X152">
        <f t="shared" si="32"/>
        <v>-6.942371657979847E-2</v>
      </c>
      <c r="Y152">
        <f t="shared" si="33"/>
        <v>0.89255728585054084</v>
      </c>
      <c r="Z152" s="33">
        <f t="shared" si="21"/>
        <v>0.11892229611401746</v>
      </c>
      <c r="AA152" s="33">
        <f t="shared" si="22"/>
        <v>0.5</v>
      </c>
      <c r="AB152">
        <f t="shared" si="23"/>
        <v>6.5070182412775845E-3</v>
      </c>
      <c r="AC152" s="1">
        <f t="shared" si="24"/>
        <v>-0.47438163449230325</v>
      </c>
      <c r="AD152" s="35">
        <f>IF(W152&gt;=FinalAgeForPremium, AE152*Delta-Z152*(Y152-AE152),AE152*Delta+PremiumRevisedForLimitedTerm-Z152*(Y152-AE152))</f>
        <v>3.8500529979814666E-2</v>
      </c>
      <c r="AE152" s="35">
        <f>AE151-StepSize*AD151</f>
        <v>3.725181634970514E-2</v>
      </c>
      <c r="AF152" s="1"/>
    </row>
    <row r="153" spans="11:32" x14ac:dyDescent="0.45">
      <c r="K153" s="40">
        <f t="shared" si="25"/>
        <v>1.28</v>
      </c>
      <c r="L153" s="41">
        <f t="shared" ref="L153:L216" si="34">$L$5+K153</f>
        <v>21.28</v>
      </c>
      <c r="M153">
        <f t="shared" si="26"/>
        <v>0.94543806896608784</v>
      </c>
      <c r="N153">
        <f t="shared" si="27"/>
        <v>5.456193103391261E-2</v>
      </c>
      <c r="O153">
        <f t="shared" ref="O153:O216" si="35">mu01Parameter_B*mu01Parameter_c^L153</f>
        <v>6.2580045731159301E-2</v>
      </c>
      <c r="P153">
        <f t="shared" ref="P153:P216" si="36">mu10Constant</f>
        <v>0.5</v>
      </c>
      <c r="Q153">
        <f t="shared" si="28"/>
        <v>-3.1884592074920406E-2</v>
      </c>
      <c r="R153" s="6">
        <f t="shared" si="29"/>
        <v>3.1884592074920406E-2</v>
      </c>
      <c r="S153" s="18">
        <f t="shared" si="30"/>
        <v>1.0000000000000004</v>
      </c>
      <c r="T153" s="15"/>
      <c r="U153" s="15"/>
      <c r="V153" s="40">
        <f t="shared" si="31"/>
        <v>8.7200000000000006</v>
      </c>
      <c r="W153" s="41">
        <f t="shared" ref="W153:W216" si="37">$L$5+V153</f>
        <v>28.72</v>
      </c>
      <c r="X153">
        <f t="shared" si="32"/>
        <v>-6.9488786762211249E-2</v>
      </c>
      <c r="Y153">
        <f t="shared" si="33"/>
        <v>0.89730110219546388</v>
      </c>
      <c r="Z153" s="33">
        <f t="shared" ref="Z153:Z216" si="38">mu01Parameter_B*mu01Parameter_c^W153</f>
        <v>0.11881985576561541</v>
      </c>
      <c r="AA153" s="33">
        <f t="shared" ref="AA153:AA216" si="39">mu10Constant</f>
        <v>0.5</v>
      </c>
      <c r="AB153">
        <f t="shared" ref="AB153:AB216" si="40">X153*Delta+Premium-Z153*(Y153-X153)</f>
        <v>6.0309191976308102E-3</v>
      </c>
      <c r="AC153" s="1">
        <f t="shared" ref="AC153:AC216" si="41">Y153*Delta-AnnuityWhileSIck-AA153*(X153-Y153)</f>
        <v>-0.47174000041138919</v>
      </c>
      <c r="AD153" s="35">
        <f>IF(W153&gt;=FinalAgeForPremium, AE153*Delta-Z153*(Y153-AE153),AE153*Delta+PremiumRevisedForLimitedTerm-Z153*(Y153-AE153))</f>
        <v>3.7959491657037284E-2</v>
      </c>
      <c r="AE153" s="35">
        <f>AE152-StepSize*AD152</f>
        <v>3.6866811049906995E-2</v>
      </c>
      <c r="AF153" s="1"/>
    </row>
    <row r="154" spans="11:32" x14ac:dyDescent="0.45">
      <c r="K154" s="40">
        <f t="shared" ref="K154:K217" si="42">ROUND(K153+StepSize,2)</f>
        <v>1.29</v>
      </c>
      <c r="L154" s="41">
        <f t="shared" si="34"/>
        <v>21.29</v>
      </c>
      <c r="M154">
        <f t="shared" ref="M154:M217" si="43">M153+StepSize*Q153</f>
        <v>0.94511922304533869</v>
      </c>
      <c r="N154">
        <f t="shared" ref="N154:N217" si="44">N153+StepSize*R153</f>
        <v>5.4880776954661814E-2</v>
      </c>
      <c r="O154">
        <f t="shared" si="35"/>
        <v>6.263399901738749E-2</v>
      </c>
      <c r="P154">
        <f t="shared" si="36"/>
        <v>0.5</v>
      </c>
      <c r="Q154">
        <f t="shared" ref="Q154:Q217" si="45">N154*P154-M154*O154</f>
        <v>-3.1756208010204866E-2</v>
      </c>
      <c r="R154" s="6">
        <f t="shared" ref="R154:R217" si="46">M154*O154-N154*P154</f>
        <v>3.1756208010204866E-2</v>
      </c>
      <c r="S154" s="18">
        <f t="shared" ref="S154:S217" si="47">M154+N154</f>
        <v>1.0000000000000004</v>
      </c>
      <c r="T154" s="15"/>
      <c r="U154" s="15"/>
      <c r="V154" s="40">
        <f t="shared" ref="V154:V217" si="48">ROUND(V153-StepSize,2)</f>
        <v>8.7100000000000009</v>
      </c>
      <c r="W154" s="41">
        <f t="shared" si="37"/>
        <v>28.71</v>
      </c>
      <c r="X154">
        <f t="shared" ref="X154:X217" si="49">X153-StepSize*AB153</f>
        <v>-6.9549095954187554E-2</v>
      </c>
      <c r="Y154">
        <f t="shared" ref="Y154:Y217" si="50">Y153-StepSize*AC153</f>
        <v>0.9020185021995778</v>
      </c>
      <c r="Z154" s="33">
        <f t="shared" si="38"/>
        <v>0.11871750365991748</v>
      </c>
      <c r="AA154" s="33">
        <f t="shared" si="39"/>
        <v>0.5</v>
      </c>
      <c r="AB154">
        <f t="shared" si="40"/>
        <v>5.5596590099614152E-3</v>
      </c>
      <c r="AC154" s="1">
        <f t="shared" si="41"/>
        <v>-0.46911527581313844</v>
      </c>
      <c r="AD154" s="35">
        <f>IF(W154&gt;=FinalAgeForPremium, AE154*Delta-Z154*(Y154-AE154),AE154*Delta+PremiumRevisedForLimitedTerm-Z154*(Y154-AE154))</f>
        <v>3.7423476659571311E-2</v>
      </c>
      <c r="AE154" s="35">
        <f>AE153-StepSize*AD153</f>
        <v>3.6487216133336622E-2</v>
      </c>
      <c r="AF154" s="1"/>
    </row>
    <row r="155" spans="11:32" x14ac:dyDescent="0.45">
      <c r="K155" s="40">
        <f t="shared" si="42"/>
        <v>1.3</v>
      </c>
      <c r="L155" s="41">
        <f t="shared" si="34"/>
        <v>21.3</v>
      </c>
      <c r="M155">
        <f t="shared" si="43"/>
        <v>0.94480166096523666</v>
      </c>
      <c r="N155">
        <f t="shared" si="44"/>
        <v>5.5198339034763864E-2</v>
      </c>
      <c r="O155">
        <f t="shared" si="35"/>
        <v>6.2687998819355023E-2</v>
      </c>
      <c r="P155">
        <f t="shared" si="36"/>
        <v>0.5</v>
      </c>
      <c r="Q155">
        <f t="shared" si="45"/>
        <v>-3.1628555889731486E-2</v>
      </c>
      <c r="R155" s="6">
        <f t="shared" si="46"/>
        <v>3.1628555889731486E-2</v>
      </c>
      <c r="S155" s="18">
        <f t="shared" si="47"/>
        <v>1.0000000000000004</v>
      </c>
      <c r="T155" s="15"/>
      <c r="U155" s="15"/>
      <c r="V155" s="40">
        <f t="shared" si="48"/>
        <v>8.6999999999999993</v>
      </c>
      <c r="W155" s="41">
        <f t="shared" si="37"/>
        <v>28.7</v>
      </c>
      <c r="X155">
        <f t="shared" si="49"/>
        <v>-6.9604692544287167E-2</v>
      </c>
      <c r="Y155">
        <f t="shared" si="50"/>
        <v>0.90670965495770917</v>
      </c>
      <c r="Z155" s="33">
        <f t="shared" si="38"/>
        <v>0.11861523972091075</v>
      </c>
      <c r="AA155" s="33">
        <f t="shared" si="39"/>
        <v>0.5</v>
      </c>
      <c r="AB155">
        <f t="shared" si="40"/>
        <v>5.0931986982194477E-3</v>
      </c>
      <c r="AC155" s="1">
        <f t="shared" si="41"/>
        <v>-0.46650734350111639</v>
      </c>
      <c r="AD155" s="35">
        <f>IF(W155&gt;=FinalAgeForPremium, AE155*Delta-Z155*(Y155-AE155),AE155*Delta+PremiumRevisedForLimitedTerm-Z155*(Y155-AE155))</f>
        <v>3.6892445404363414E-2</v>
      </c>
      <c r="AE155" s="35">
        <f>AE154-StepSize*AD154</f>
        <v>3.6112981366740911E-2</v>
      </c>
      <c r="AF155" s="1"/>
    </row>
    <row r="156" spans="11:32" x14ac:dyDescent="0.45">
      <c r="K156" s="40">
        <f t="shared" si="42"/>
        <v>1.31</v>
      </c>
      <c r="L156" s="41">
        <f t="shared" si="34"/>
        <v>21.31</v>
      </c>
      <c r="M156">
        <f t="shared" si="43"/>
        <v>0.94448537540633937</v>
      </c>
      <c r="N156">
        <f t="shared" si="44"/>
        <v>5.5514624593661181E-2</v>
      </c>
      <c r="O156">
        <f t="shared" si="35"/>
        <v>6.2742045177165362E-2</v>
      </c>
      <c r="P156">
        <f t="shared" si="36"/>
        <v>0.5</v>
      </c>
      <c r="Q156">
        <f t="shared" si="45"/>
        <v>-3.1501631796085935E-2</v>
      </c>
      <c r="R156" s="6">
        <f t="shared" si="46"/>
        <v>3.1501631796085935E-2</v>
      </c>
      <c r="S156" s="18">
        <f t="shared" si="47"/>
        <v>1.0000000000000004</v>
      </c>
      <c r="T156" s="15"/>
      <c r="U156" s="15"/>
      <c r="V156" s="40">
        <f t="shared" si="48"/>
        <v>8.69</v>
      </c>
      <c r="W156" s="41">
        <f t="shared" si="37"/>
        <v>28.689999999999998</v>
      </c>
      <c r="X156">
        <f t="shared" si="49"/>
        <v>-6.9655624531269361E-2</v>
      </c>
      <c r="Y156">
        <f t="shared" si="50"/>
        <v>0.91137472839272038</v>
      </c>
      <c r="Z156" s="33">
        <f t="shared" si="38"/>
        <v>0.118513063872648</v>
      </c>
      <c r="AA156" s="33">
        <f t="shared" si="39"/>
        <v>0.5</v>
      </c>
      <c r="AB156">
        <f t="shared" si="40"/>
        <v>4.6314995936969916E-3</v>
      </c>
      <c r="AC156" s="1">
        <f t="shared" si="41"/>
        <v>-0.46391608711836912</v>
      </c>
      <c r="AD156" s="35">
        <f>IF(W156&gt;=FinalAgeForPremium, AE156*Delta-Z156*(Y156-AE156),AE156*Delta+PremiumRevisedForLimitedTerm-Z156*(Y156-AE156))</f>
        <v>3.6366358621919767E-2</v>
      </c>
      <c r="AE156" s="35">
        <f>AE155-StepSize*AD155</f>
        <v>3.5744056912697275E-2</v>
      </c>
      <c r="AF156" s="1"/>
    </row>
    <row r="157" spans="11:32" x14ac:dyDescent="0.45">
      <c r="K157" s="40">
        <f t="shared" si="42"/>
        <v>1.32</v>
      </c>
      <c r="L157" s="41">
        <f t="shared" si="34"/>
        <v>21.32</v>
      </c>
      <c r="M157">
        <f t="shared" si="43"/>
        <v>0.94417035908837854</v>
      </c>
      <c r="N157">
        <f t="shared" si="44"/>
        <v>5.5829640911622042E-2</v>
      </c>
      <c r="O157">
        <f t="shared" si="35"/>
        <v>6.2796138130956539E-2</v>
      </c>
      <c r="P157">
        <f t="shared" si="36"/>
        <v>0.5</v>
      </c>
      <c r="Q157">
        <f t="shared" si="45"/>
        <v>-3.1375431832657633E-2</v>
      </c>
      <c r="R157" s="6">
        <f t="shared" si="46"/>
        <v>3.1375431832657633E-2</v>
      </c>
      <c r="S157" s="18">
        <f t="shared" si="47"/>
        <v>1.0000000000000007</v>
      </c>
      <c r="T157" s="15"/>
      <c r="U157" s="15"/>
      <c r="V157" s="40">
        <f t="shared" si="48"/>
        <v>8.68</v>
      </c>
      <c r="W157" s="41">
        <f t="shared" si="37"/>
        <v>28.68</v>
      </c>
      <c r="X157">
        <f t="shared" si="49"/>
        <v>-6.9701939527206325E-2</v>
      </c>
      <c r="Y157">
        <f t="shared" si="50"/>
        <v>0.91601388926390404</v>
      </c>
      <c r="Z157" s="33">
        <f t="shared" si="38"/>
        <v>0.11841097603924744</v>
      </c>
      <c r="AA157" s="33">
        <f t="shared" si="39"/>
        <v>0.5</v>
      </c>
      <c r="AB157">
        <f t="shared" si="40"/>
        <v>4.174523336496247E-3</v>
      </c>
      <c r="AC157" s="1">
        <f t="shared" si="41"/>
        <v>-0.46134139114124961</v>
      </c>
      <c r="AD157" s="35">
        <f>IF(W157&gt;=FinalAgeForPremium, AE157*Delta-Z157*(Y157-AE157),AE157*Delta+PremiumRevisedForLimitedTerm-Z157*(Y157-AE157))</f>
        <v>3.5845177353765176E-2</v>
      </c>
      <c r="AE157" s="35">
        <f>AE156-StepSize*AD156</f>
        <v>3.5380393326478077E-2</v>
      </c>
      <c r="AF157" s="1"/>
    </row>
    <row r="158" spans="11:32" x14ac:dyDescent="0.45">
      <c r="K158" s="40">
        <f t="shared" si="42"/>
        <v>1.33</v>
      </c>
      <c r="L158" s="41">
        <f t="shared" si="34"/>
        <v>21.33</v>
      </c>
      <c r="M158">
        <f t="shared" si="43"/>
        <v>0.94385660477005195</v>
      </c>
      <c r="N158">
        <f t="shared" si="44"/>
        <v>5.6143395229948614E-2</v>
      </c>
      <c r="O158">
        <f t="shared" si="35"/>
        <v>6.285027772090121E-2</v>
      </c>
      <c r="P158">
        <f t="shared" si="36"/>
        <v>0.5</v>
      </c>
      <c r="Q158">
        <f t="shared" si="45"/>
        <v>-3.124995212353035E-2</v>
      </c>
      <c r="R158" s="6">
        <f t="shared" si="46"/>
        <v>3.124995212353035E-2</v>
      </c>
      <c r="S158" s="18">
        <f t="shared" si="47"/>
        <v>1.0000000000000007</v>
      </c>
      <c r="T158" s="15"/>
      <c r="U158" s="15"/>
      <c r="V158" s="40">
        <f t="shared" si="48"/>
        <v>8.67</v>
      </c>
      <c r="W158" s="41">
        <f t="shared" si="37"/>
        <v>28.67</v>
      </c>
      <c r="X158">
        <f t="shared" si="49"/>
        <v>-6.9743684760571287E-2</v>
      </c>
      <c r="Y158">
        <f t="shared" si="50"/>
        <v>0.92062730317531649</v>
      </c>
      <c r="Z158" s="33">
        <f t="shared" si="38"/>
        <v>0.11830897614489246</v>
      </c>
      <c r="AA158" s="33">
        <f t="shared" si="39"/>
        <v>0.5</v>
      </c>
      <c r="AB158">
        <f t="shared" si="40"/>
        <v>3.7222318730185944E-3</v>
      </c>
      <c r="AC158" s="1">
        <f t="shared" si="41"/>
        <v>-0.45878314087329031</v>
      </c>
      <c r="AD158" s="35">
        <f>IF(W158&gt;=FinalAgeForPremium, AE158*Delta-Z158*(Y158-AE158),AE158*Delta+PremiumRevisedForLimitedTerm-Z158*(Y158-AE158))</f>
        <v>3.5328862949923032E-2</v>
      </c>
      <c r="AE158" s="35">
        <f>AE157-StepSize*AD157</f>
        <v>3.5021941552940423E-2</v>
      </c>
      <c r="AF158" s="1"/>
    </row>
    <row r="159" spans="11:32" x14ac:dyDescent="0.45">
      <c r="K159" s="40">
        <f t="shared" si="42"/>
        <v>1.34</v>
      </c>
      <c r="L159" s="41">
        <f t="shared" si="34"/>
        <v>21.34</v>
      </c>
      <c r="M159">
        <f t="shared" si="43"/>
        <v>0.9435441052488166</v>
      </c>
      <c r="N159">
        <f t="shared" si="44"/>
        <v>5.645589475118392E-2</v>
      </c>
      <c r="O159">
        <f t="shared" si="35"/>
        <v>6.2904463987206699E-2</v>
      </c>
      <c r="P159">
        <f t="shared" si="36"/>
        <v>0.5</v>
      </c>
      <c r="Q159">
        <f t="shared" si="45"/>
        <v>-3.1125188813373391E-2</v>
      </c>
      <c r="R159" s="6">
        <f t="shared" si="46"/>
        <v>3.1125188813373391E-2</v>
      </c>
      <c r="S159" s="18">
        <f t="shared" si="47"/>
        <v>1.0000000000000004</v>
      </c>
      <c r="T159" s="15"/>
      <c r="U159" s="15"/>
      <c r="V159" s="40">
        <f t="shared" si="48"/>
        <v>8.66</v>
      </c>
      <c r="W159" s="41">
        <f t="shared" si="37"/>
        <v>28.66</v>
      </c>
      <c r="X159">
        <f t="shared" si="49"/>
        <v>-6.9780907079301471E-2</v>
      </c>
      <c r="Y159">
        <f t="shared" si="50"/>
        <v>0.92521513458404936</v>
      </c>
      <c r="Z159" s="33">
        <f t="shared" si="38"/>
        <v>0.11820706411383182</v>
      </c>
      <c r="AA159" s="33">
        <f t="shared" si="39"/>
        <v>0.5</v>
      </c>
      <c r="AB159">
        <f t="shared" si="40"/>
        <v>3.2745874534739899E-3</v>
      </c>
      <c r="AC159" s="1">
        <f t="shared" si="41"/>
        <v>-0.45624122243912207</v>
      </c>
      <c r="AD159" s="35">
        <f>IF(W159&gt;=FinalAgeForPremium, AE159*Delta-Z159*(Y159-AE159),AE159*Delta+PremiumRevisedForLimitedTerm-Z159*(Y159-AE159))</f>
        <v>3.4817377066415758E-2</v>
      </c>
      <c r="AE159" s="35">
        <f>AE158-StepSize*AD158</f>
        <v>3.4668652923441193E-2</v>
      </c>
      <c r="AF159" s="1"/>
    </row>
    <row r="160" spans="11:32" x14ac:dyDescent="0.45">
      <c r="K160" s="40">
        <f t="shared" si="42"/>
        <v>1.35</v>
      </c>
      <c r="L160" s="41">
        <f t="shared" si="34"/>
        <v>21.35</v>
      </c>
      <c r="M160">
        <f t="shared" si="43"/>
        <v>0.94323285336068285</v>
      </c>
      <c r="N160">
        <f t="shared" si="44"/>
        <v>5.6767146639317652E-2</v>
      </c>
      <c r="O160">
        <f t="shared" si="35"/>
        <v>6.2958696970114914E-2</v>
      </c>
      <c r="P160">
        <f t="shared" si="36"/>
        <v>0.5</v>
      </c>
      <c r="Q160">
        <f t="shared" si="45"/>
        <v>-3.1001138067333244E-2</v>
      </c>
      <c r="R160" s="6">
        <f t="shared" si="46"/>
        <v>3.1001138067333244E-2</v>
      </c>
      <c r="S160" s="18">
        <f t="shared" si="47"/>
        <v>1.0000000000000004</v>
      </c>
      <c r="T160" s="15"/>
      <c r="U160" s="15"/>
      <c r="V160" s="40">
        <f t="shared" si="48"/>
        <v>8.65</v>
      </c>
      <c r="W160" s="41">
        <f t="shared" si="37"/>
        <v>28.65</v>
      </c>
      <c r="X160">
        <f t="shared" si="49"/>
        <v>-6.9813652953836208E-2</v>
      </c>
      <c r="Y160">
        <f t="shared" si="50"/>
        <v>0.9297775468084406</v>
      </c>
      <c r="Z160" s="33">
        <f t="shared" si="38"/>
        <v>0.11810523987037969</v>
      </c>
      <c r="AA160" s="33">
        <f t="shared" si="39"/>
        <v>0.5</v>
      </c>
      <c r="AB160">
        <f t="shared" si="40"/>
        <v>2.831552629411524E-3</v>
      </c>
      <c r="AC160" s="1">
        <f t="shared" si="41"/>
        <v>-0.45371552277843952</v>
      </c>
      <c r="AD160" s="35">
        <f>IF(W160&gt;=FinalAgeForPremium, AE160*Delta-Z160*(Y160-AE160),AE160*Delta+PremiumRevisedForLimitedTerm-Z160*(Y160-AE160))</f>
        <v>3.4310681662786419E-2</v>
      </c>
      <c r="AE160" s="35">
        <f>AE159-StepSize*AD159</f>
        <v>3.4320479152777035E-2</v>
      </c>
      <c r="AF160" s="1"/>
    </row>
    <row r="161" spans="11:32" x14ac:dyDescent="0.45">
      <c r="K161" s="40">
        <f t="shared" si="42"/>
        <v>1.36</v>
      </c>
      <c r="L161" s="41">
        <f t="shared" si="34"/>
        <v>21.36</v>
      </c>
      <c r="M161">
        <f t="shared" si="43"/>
        <v>0.94292284198000953</v>
      </c>
      <c r="N161">
        <f t="shared" si="44"/>
        <v>5.7077158019990984E-2</v>
      </c>
      <c r="O161">
        <f t="shared" si="35"/>
        <v>6.3012976709902468E-2</v>
      </c>
      <c r="P161">
        <f t="shared" si="36"/>
        <v>0.5</v>
      </c>
      <c r="Q161">
        <f t="shared" si="45"/>
        <v>-3.0877796070925896E-2</v>
      </c>
      <c r="R161" s="6">
        <f t="shared" si="46"/>
        <v>3.0877796070925896E-2</v>
      </c>
      <c r="S161" s="18">
        <f t="shared" si="47"/>
        <v>1.0000000000000004</v>
      </c>
      <c r="T161" s="15"/>
      <c r="U161" s="15"/>
      <c r="V161" s="40">
        <f t="shared" si="48"/>
        <v>8.64</v>
      </c>
      <c r="W161" s="41">
        <f t="shared" si="37"/>
        <v>28.64</v>
      </c>
      <c r="X161">
        <f t="shared" si="49"/>
        <v>-6.9841968480130329E-2</v>
      </c>
      <c r="Y161">
        <f t="shared" si="50"/>
        <v>0.93431470203622502</v>
      </c>
      <c r="Z161" s="33">
        <f t="shared" si="38"/>
        <v>0.11800350333891527</v>
      </c>
      <c r="AA161" s="33">
        <f t="shared" si="39"/>
        <v>0.5</v>
      </c>
      <c r="AB161">
        <f t="shared" si="40"/>
        <v>2.39309025127038E-3</v>
      </c>
      <c r="AC161" s="1">
        <f t="shared" si="41"/>
        <v>-0.45120592964001105</v>
      </c>
      <c r="AD161" s="35">
        <f>IF(W161&gt;=FinalAgeForPremium, AE161*Delta-Z161*(Y161-AE161),AE161*Delta+PremiumRevisedForLimitedTerm-Z161*(Y161-AE161))</f>
        <v>3.3808738999641041E-2</v>
      </c>
      <c r="AE161" s="35">
        <f>AE160-StepSize*AD160</f>
        <v>3.397737233614917E-2</v>
      </c>
      <c r="AF161" s="1"/>
    </row>
    <row r="162" spans="11:32" x14ac:dyDescent="0.45">
      <c r="K162" s="40">
        <f t="shared" si="42"/>
        <v>1.37</v>
      </c>
      <c r="L162" s="41">
        <f t="shared" si="34"/>
        <v>21.37</v>
      </c>
      <c r="M162">
        <f t="shared" si="43"/>
        <v>0.94261406401930026</v>
      </c>
      <c r="N162">
        <f t="shared" si="44"/>
        <v>5.7385935980700242E-2</v>
      </c>
      <c r="O162">
        <f t="shared" si="35"/>
        <v>6.306730324688084E-2</v>
      </c>
      <c r="P162">
        <f t="shared" si="36"/>
        <v>0.5</v>
      </c>
      <c r="Q162">
        <f t="shared" si="45"/>
        <v>-3.0755159029929841E-2</v>
      </c>
      <c r="R162" s="6">
        <f t="shared" si="46"/>
        <v>3.0755159029929841E-2</v>
      </c>
      <c r="S162" s="18">
        <f t="shared" si="47"/>
        <v>1.0000000000000004</v>
      </c>
      <c r="T162" s="15"/>
      <c r="U162" s="15"/>
      <c r="V162" s="40">
        <f t="shared" si="48"/>
        <v>8.6300000000000008</v>
      </c>
      <c r="W162" s="41">
        <f t="shared" si="37"/>
        <v>28.630000000000003</v>
      </c>
      <c r="X162">
        <f t="shared" si="49"/>
        <v>-6.9865899382643037E-2</v>
      </c>
      <c r="Y162">
        <f t="shared" si="50"/>
        <v>0.9388267613326251</v>
      </c>
      <c r="Z162" s="33">
        <f t="shared" si="38"/>
        <v>0.11790185444388293</v>
      </c>
      <c r="AA162" s="33">
        <f t="shared" si="39"/>
        <v>0.5</v>
      </c>
      <c r="AB162">
        <f t="shared" si="40"/>
        <v>1.9591634659509721E-3</v>
      </c>
      <c r="AC162" s="1">
        <f t="shared" si="41"/>
        <v>-0.44871233157573465</v>
      </c>
      <c r="AD162" s="35">
        <f>IF(W162&gt;=FinalAgeForPremium, AE162*Delta-Z162*(Y162-AE162),AE162*Delta+PremiumRevisedForLimitedTerm-Z162*(Y162-AE162))</f>
        <v>3.3311511636210586E-2</v>
      </c>
      <c r="AE162" s="35">
        <f>AE161-StepSize*AD161</f>
        <v>3.3639284946152759E-2</v>
      </c>
      <c r="AF162" s="1"/>
    </row>
    <row r="163" spans="11:32" x14ac:dyDescent="0.45">
      <c r="K163" s="40">
        <f t="shared" si="42"/>
        <v>1.38</v>
      </c>
      <c r="L163" s="41">
        <f t="shared" si="34"/>
        <v>21.38</v>
      </c>
      <c r="M163">
        <f t="shared" si="43"/>
        <v>0.94230651242900099</v>
      </c>
      <c r="N163">
        <f t="shared" si="44"/>
        <v>5.7693487570999541E-2</v>
      </c>
      <c r="O163">
        <f t="shared" si="35"/>
        <v>6.312167662139602E-2</v>
      </c>
      <c r="P163">
        <f t="shared" si="36"/>
        <v>0.5</v>
      </c>
      <c r="Q163">
        <f t="shared" si="45"/>
        <v>-3.0633223170279118E-2</v>
      </c>
      <c r="R163" s="6">
        <f t="shared" si="46"/>
        <v>3.0633223170279118E-2</v>
      </c>
      <c r="S163" s="18">
        <f t="shared" si="47"/>
        <v>1.0000000000000004</v>
      </c>
      <c r="T163" s="15"/>
      <c r="U163" s="15"/>
      <c r="V163" s="40">
        <f t="shared" si="48"/>
        <v>8.6199999999999992</v>
      </c>
      <c r="W163" s="41">
        <f t="shared" si="37"/>
        <v>28.619999999999997</v>
      </c>
      <c r="X163">
        <f t="shared" si="49"/>
        <v>-6.9885491017302542E-2</v>
      </c>
      <c r="Y163">
        <f t="shared" si="50"/>
        <v>0.94331388464838239</v>
      </c>
      <c r="Z163" s="33">
        <f t="shared" si="38"/>
        <v>0.11780029310979213</v>
      </c>
      <c r="AA163" s="33">
        <f t="shared" si="39"/>
        <v>0.5</v>
      </c>
      <c r="AB163">
        <f t="shared" si="40"/>
        <v>1.5297357144064549E-3</v>
      </c>
      <c r="AC163" s="1">
        <f t="shared" si="41"/>
        <v>-0.4462346179347384</v>
      </c>
      <c r="AD163" s="35">
        <f>IF(W163&gt;=FinalAgeForPremium, AE163*Delta-Z163*(Y163-AE163),AE163*Delta+PremiumRevisedForLimitedTerm-Z163*(Y163-AE163))</f>
        <v>3.281896242793382E-2</v>
      </c>
      <c r="AE163" s="35">
        <f>AE162-StepSize*AD162</f>
        <v>3.3306169829790649E-2</v>
      </c>
      <c r="AF163" s="1"/>
    </row>
    <row r="164" spans="11:32" x14ac:dyDescent="0.45">
      <c r="K164" s="40">
        <f t="shared" si="42"/>
        <v>1.39</v>
      </c>
      <c r="L164" s="41">
        <f t="shared" si="34"/>
        <v>21.39</v>
      </c>
      <c r="M164">
        <f t="shared" si="43"/>
        <v>0.94200018019729814</v>
      </c>
      <c r="N164">
        <f t="shared" si="44"/>
        <v>5.7999819802702329E-2</v>
      </c>
      <c r="O164">
        <f t="shared" si="35"/>
        <v>6.3176096873829024E-2</v>
      </c>
      <c r="P164">
        <f t="shared" si="36"/>
        <v>0.5</v>
      </c>
      <c r="Q164">
        <f t="shared" si="45"/>
        <v>-3.0511984737957742E-2</v>
      </c>
      <c r="R164" s="6">
        <f t="shared" si="46"/>
        <v>3.0511984737957742E-2</v>
      </c>
      <c r="S164" s="18">
        <f t="shared" si="47"/>
        <v>1.0000000000000004</v>
      </c>
      <c r="T164" s="15"/>
      <c r="U164" s="15"/>
      <c r="V164" s="40">
        <f t="shared" si="48"/>
        <v>8.61</v>
      </c>
      <c r="W164" s="41">
        <f t="shared" si="37"/>
        <v>28.61</v>
      </c>
      <c r="X164">
        <f t="shared" si="49"/>
        <v>-6.9900788374446604E-2</v>
      </c>
      <c r="Y164">
        <f t="shared" si="50"/>
        <v>0.94777623082772977</v>
      </c>
      <c r="Z164" s="33">
        <f t="shared" si="38"/>
        <v>0.11769881926121745</v>
      </c>
      <c r="AA164" s="33">
        <f t="shared" si="39"/>
        <v>0.5</v>
      </c>
      <c r="AB164">
        <f t="shared" si="40"/>
        <v>1.1047707292538567E-3</v>
      </c>
      <c r="AC164" s="1">
        <f t="shared" si="41"/>
        <v>-0.44377267885752525</v>
      </c>
      <c r="AD164" s="35">
        <f>IF(W164&gt;=FinalAgeForPremium, AE164*Delta-Z164*(Y164-AE164),AE164*Delta+PremiumRevisedForLimitedTerm-Z164*(Y164-AE164))</f>
        <v>3.2331054524059724E-2</v>
      </c>
      <c r="AE164" s="35">
        <f>AE163-StepSize*AD163</f>
        <v>3.2977980205511313E-2</v>
      </c>
      <c r="AF164" s="1"/>
    </row>
    <row r="165" spans="11:32" x14ac:dyDescent="0.45">
      <c r="K165" s="40">
        <f t="shared" si="42"/>
        <v>1.4</v>
      </c>
      <c r="L165" s="41">
        <f t="shared" si="34"/>
        <v>21.4</v>
      </c>
      <c r="M165">
        <f t="shared" si="43"/>
        <v>0.94169506034991857</v>
      </c>
      <c r="N165">
        <f t="shared" si="44"/>
        <v>5.8304939650081905E-2</v>
      </c>
      <c r="O165">
        <f t="shared" si="35"/>
        <v>6.3230564044595497E-2</v>
      </c>
      <c r="P165">
        <f t="shared" si="36"/>
        <v>0.5</v>
      </c>
      <c r="Q165">
        <f t="shared" si="45"/>
        <v>-3.0391439998893793E-2</v>
      </c>
      <c r="R165" s="6">
        <f t="shared" si="46"/>
        <v>3.0391439998893793E-2</v>
      </c>
      <c r="S165" s="18">
        <f t="shared" si="47"/>
        <v>1.0000000000000004</v>
      </c>
      <c r="T165" s="15"/>
      <c r="U165" s="15"/>
      <c r="V165" s="40">
        <f t="shared" si="48"/>
        <v>8.6</v>
      </c>
      <c r="W165" s="41">
        <f t="shared" si="37"/>
        <v>28.6</v>
      </c>
      <c r="X165">
        <f t="shared" si="49"/>
        <v>-6.9911836081739148E-2</v>
      </c>
      <c r="Y165">
        <f t="shared" si="50"/>
        <v>0.95221395761630501</v>
      </c>
      <c r="Z165" s="33">
        <f t="shared" si="38"/>
        <v>0.11759743282279832</v>
      </c>
      <c r="AA165" s="33">
        <f t="shared" si="39"/>
        <v>0.5</v>
      </c>
      <c r="AB165">
        <f t="shared" si="40"/>
        <v>6.8423253240555704E-4</v>
      </c>
      <c r="AC165" s="1">
        <f t="shared" si="41"/>
        <v>-0.44132640527016265</v>
      </c>
      <c r="AD165" s="35">
        <f>IF(W165&gt;=FinalAgeForPremium, AE165*Delta-Z165*(Y165-AE165),AE165*Delta+PremiumRevisedForLimitedTerm-Z165*(Y165-AE165))</f>
        <v>3.1847751365270099E-2</v>
      </c>
      <c r="AE165" s="35">
        <f>AE164-StepSize*AD164</f>
        <v>3.2654669660270717E-2</v>
      </c>
      <c r="AF165" s="1"/>
    </row>
    <row r="166" spans="11:32" x14ac:dyDescent="0.45">
      <c r="K166" s="40">
        <f t="shared" si="42"/>
        <v>1.41</v>
      </c>
      <c r="L166" s="41">
        <f t="shared" si="34"/>
        <v>21.41</v>
      </c>
      <c r="M166">
        <f t="shared" si="43"/>
        <v>0.94139114594992968</v>
      </c>
      <c r="N166">
        <f t="shared" si="44"/>
        <v>5.8608854050070845E-2</v>
      </c>
      <c r="O166">
        <f t="shared" si="35"/>
        <v>6.3285078174146053E-2</v>
      </c>
      <c r="P166">
        <f t="shared" si="36"/>
        <v>0.5</v>
      </c>
      <c r="Q166">
        <f t="shared" si="45"/>
        <v>-3.0271585238854811E-2</v>
      </c>
      <c r="R166" s="6">
        <f t="shared" si="46"/>
        <v>3.0271585238854811E-2</v>
      </c>
      <c r="S166" s="18">
        <f t="shared" si="47"/>
        <v>1.0000000000000004</v>
      </c>
      <c r="T166" s="15"/>
      <c r="U166" s="15"/>
      <c r="V166" s="40">
        <f t="shared" si="48"/>
        <v>8.59</v>
      </c>
      <c r="W166" s="41">
        <f t="shared" si="37"/>
        <v>28.59</v>
      </c>
      <c r="X166">
        <f t="shared" si="49"/>
        <v>-6.9918678407063201E-2</v>
      </c>
      <c r="Y166">
        <f t="shared" si="50"/>
        <v>0.9566272216690066</v>
      </c>
      <c r="Z166" s="33">
        <f t="shared" si="38"/>
        <v>0.11749613371923909</v>
      </c>
      <c r="AA166" s="33">
        <f t="shared" si="39"/>
        <v>0.5</v>
      </c>
      <c r="AB166">
        <f t="shared" si="40"/>
        <v>2.6808543271997221E-4</v>
      </c>
      <c r="AC166" s="1">
        <f t="shared" si="41"/>
        <v>-0.43889568887851482</v>
      </c>
      <c r="AD166" s="35">
        <f>IF(W166&gt;=FinalAgeForPremium, AE166*Delta-Z166*(Y166-AE166),AE166*Delta+PremiumRevisedForLimitedTerm-Z166*(Y166-AE166))</f>
        <v>3.1369016681321707E-2</v>
      </c>
      <c r="AE166" s="35">
        <f>AE165-StepSize*AD165</f>
        <v>3.2336192146618016E-2</v>
      </c>
      <c r="AF166" s="1"/>
    </row>
    <row r="167" spans="11:32" x14ac:dyDescent="0.45">
      <c r="K167" s="40">
        <f t="shared" si="42"/>
        <v>1.42</v>
      </c>
      <c r="L167" s="41">
        <f t="shared" si="34"/>
        <v>21.42</v>
      </c>
      <c r="M167">
        <f t="shared" si="43"/>
        <v>0.94108843009754117</v>
      </c>
      <c r="N167">
        <f t="shared" si="44"/>
        <v>5.8911569902459396E-2</v>
      </c>
      <c r="O167">
        <f t="shared" si="35"/>
        <v>6.3339639302966128E-2</v>
      </c>
      <c r="P167">
        <f t="shared" si="36"/>
        <v>0.5</v>
      </c>
      <c r="Q167">
        <f t="shared" si="45"/>
        <v>-3.0152416763343209E-2</v>
      </c>
      <c r="R167" s="6">
        <f t="shared" si="46"/>
        <v>3.0152416763343209E-2</v>
      </c>
      <c r="S167" s="18">
        <f t="shared" si="47"/>
        <v>1.0000000000000007</v>
      </c>
      <c r="T167" s="15"/>
      <c r="U167" s="15"/>
      <c r="V167" s="40">
        <f t="shared" si="48"/>
        <v>8.58</v>
      </c>
      <c r="W167" s="41">
        <f t="shared" si="37"/>
        <v>28.58</v>
      </c>
      <c r="X167">
        <f t="shared" si="49"/>
        <v>-6.9921359261390398E-2</v>
      </c>
      <c r="Y167">
        <f t="shared" si="50"/>
        <v>0.96101617855779176</v>
      </c>
      <c r="Z167" s="33">
        <f t="shared" si="38"/>
        <v>0.1173949218753091</v>
      </c>
      <c r="AA167" s="33">
        <f t="shared" si="39"/>
        <v>0.5</v>
      </c>
      <c r="AB167">
        <f t="shared" si="40"/>
        <v>-1.4370597632826221E-4</v>
      </c>
      <c r="AC167" s="1">
        <f t="shared" si="41"/>
        <v>-0.43648042216251937</v>
      </c>
      <c r="AD167" s="35">
        <f>IF(W167&gt;=FinalAgeForPremium, AE167*Delta-Z167*(Y167-AE167),AE167*Delta+PremiumRevisedForLimitedTerm-Z167*(Y167-AE167))</f>
        <v>3.0894814488707831E-2</v>
      </c>
      <c r="AE167" s="35">
        <f>AE166-StepSize*AD166</f>
        <v>3.2022501979804802E-2</v>
      </c>
      <c r="AF167" s="1"/>
    </row>
    <row r="168" spans="11:32" x14ac:dyDescent="0.45">
      <c r="K168" s="40">
        <f t="shared" si="42"/>
        <v>1.43</v>
      </c>
      <c r="L168" s="41">
        <f t="shared" si="34"/>
        <v>21.43</v>
      </c>
      <c r="M168">
        <f t="shared" si="43"/>
        <v>0.94078690592990777</v>
      </c>
      <c r="N168">
        <f t="shared" si="44"/>
        <v>5.9213094070092828E-2</v>
      </c>
      <c r="O168">
        <f t="shared" si="35"/>
        <v>6.3394247471576043E-2</v>
      </c>
      <c r="P168">
        <f t="shared" si="36"/>
        <v>0.5</v>
      </c>
      <c r="Q168">
        <f t="shared" si="45"/>
        <v>-3.003393089749249E-2</v>
      </c>
      <c r="R168" s="6">
        <f t="shared" si="46"/>
        <v>3.003393089749249E-2</v>
      </c>
      <c r="S168" s="18">
        <f t="shared" si="47"/>
        <v>1.0000000000000007</v>
      </c>
      <c r="T168" s="15"/>
      <c r="U168" s="15"/>
      <c r="V168" s="40">
        <f t="shared" si="48"/>
        <v>8.57</v>
      </c>
      <c r="W168" s="41">
        <f t="shared" si="37"/>
        <v>28.57</v>
      </c>
      <c r="X168">
        <f t="shared" si="49"/>
        <v>-6.9919922201627113E-2</v>
      </c>
      <c r="Y168">
        <f t="shared" si="50"/>
        <v>0.96538098277941697</v>
      </c>
      <c r="Z168" s="33">
        <f t="shared" si="38"/>
        <v>0.11729379721584234</v>
      </c>
      <c r="AA168" s="33">
        <f t="shared" si="39"/>
        <v>0.5</v>
      </c>
      <c r="AB168">
        <f t="shared" si="40"/>
        <v>-5.5117681895831827E-4</v>
      </c>
      <c r="AC168" s="1">
        <f t="shared" si="41"/>
        <v>-0.43408049837050711</v>
      </c>
      <c r="AD168" s="35">
        <f>IF(W168&gt;=FinalAgeForPremium, AE168*Delta-Z168*(Y168-AE168),AE168*Delta+PremiumRevisedForLimitedTerm-Z168*(Y168-AE168))</f>
        <v>3.0425109088339453E-2</v>
      </c>
      <c r="AE168" s="35">
        <f>AE167-StepSize*AD167</f>
        <v>3.1713553834917724E-2</v>
      </c>
      <c r="AF168" s="1"/>
    </row>
    <row r="169" spans="11:32" x14ac:dyDescent="0.45">
      <c r="K169" s="40">
        <f t="shared" si="42"/>
        <v>1.44</v>
      </c>
      <c r="L169" s="41">
        <f t="shared" si="34"/>
        <v>21.44</v>
      </c>
      <c r="M169">
        <f t="shared" si="43"/>
        <v>0.94048656662093288</v>
      </c>
      <c r="N169">
        <f t="shared" si="44"/>
        <v>5.9513433379067754E-2</v>
      </c>
      <c r="O169">
        <f t="shared" si="35"/>
        <v>6.3448902720531095E-2</v>
      </c>
      <c r="P169">
        <f t="shared" si="36"/>
        <v>0.5</v>
      </c>
      <c r="Q169">
        <f t="shared" si="45"/>
        <v>-2.991612398596398E-2</v>
      </c>
      <c r="R169" s="6">
        <f t="shared" si="46"/>
        <v>2.991612398596398E-2</v>
      </c>
      <c r="S169" s="18">
        <f t="shared" si="47"/>
        <v>1.0000000000000007</v>
      </c>
      <c r="T169" s="15"/>
      <c r="U169" s="15"/>
      <c r="V169" s="40">
        <f t="shared" si="48"/>
        <v>8.56</v>
      </c>
      <c r="W169" s="41">
        <f t="shared" si="37"/>
        <v>28.560000000000002</v>
      </c>
      <c r="X169">
        <f t="shared" si="49"/>
        <v>-6.9914410433437532E-2</v>
      </c>
      <c r="Y169">
        <f t="shared" si="50"/>
        <v>0.96972178776312201</v>
      </c>
      <c r="Z169" s="33">
        <f t="shared" si="38"/>
        <v>0.11719275966573765</v>
      </c>
      <c r="AA169" s="33">
        <f t="shared" si="39"/>
        <v>0.5</v>
      </c>
      <c r="AB169">
        <f t="shared" si="40"/>
        <v>-9.5436193937482872E-4</v>
      </c>
      <c r="AC169" s="1">
        <f t="shared" si="41"/>
        <v>-0.43169581151356407</v>
      </c>
      <c r="AD169" s="35">
        <f>IF(W169&gt;=FinalAgeForPremium, AE169*Delta-Z169*(Y169-AE169),AE169*Delta+PremiumRevisedForLimitedTerm-Z169*(Y169-AE169))</f>
        <v>2.9959865063245245E-2</v>
      </c>
      <c r="AE169" s="35">
        <f>AE168-StepSize*AD168</f>
        <v>3.1409302744034327E-2</v>
      </c>
      <c r="AF169" s="1"/>
    </row>
    <row r="170" spans="11:32" x14ac:dyDescent="0.45">
      <c r="K170" s="40">
        <f t="shared" si="42"/>
        <v>1.45</v>
      </c>
      <c r="L170" s="41">
        <f t="shared" si="34"/>
        <v>21.45</v>
      </c>
      <c r="M170">
        <f t="shared" si="43"/>
        <v>0.94018740538107326</v>
      </c>
      <c r="N170">
        <f t="shared" si="44"/>
        <v>5.9812594618927392E-2</v>
      </c>
      <c r="O170">
        <f t="shared" si="35"/>
        <v>6.3503605090421508E-2</v>
      </c>
      <c r="P170">
        <f t="shared" si="36"/>
        <v>0.5</v>
      </c>
      <c r="Q170">
        <f t="shared" si="45"/>
        <v>-2.9798992392844018E-2</v>
      </c>
      <c r="R170" s="6">
        <f t="shared" si="46"/>
        <v>2.9798992392844018E-2</v>
      </c>
      <c r="S170" s="18">
        <f t="shared" si="47"/>
        <v>1.0000000000000007</v>
      </c>
      <c r="T170" s="15"/>
      <c r="U170" s="15"/>
      <c r="V170" s="40">
        <f t="shared" si="48"/>
        <v>8.5500000000000007</v>
      </c>
      <c r="W170" s="41">
        <f t="shared" si="37"/>
        <v>28.55</v>
      </c>
      <c r="X170">
        <f t="shared" si="49"/>
        <v>-6.9904866814043787E-2</v>
      </c>
      <c r="Y170">
        <f t="shared" si="50"/>
        <v>0.97403874587825767</v>
      </c>
      <c r="Z170" s="33">
        <f t="shared" si="38"/>
        <v>0.11709180914995844</v>
      </c>
      <c r="AA170" s="33">
        <f t="shared" si="39"/>
        <v>0.5</v>
      </c>
      <c r="AB170">
        <f t="shared" si="40"/>
        <v>-1.3532959040396114E-3</v>
      </c>
      <c r="AC170" s="1">
        <f t="shared" si="41"/>
        <v>-0.42932625635993638</v>
      </c>
      <c r="AD170" s="35">
        <f>IF(W170&gt;=FinalAgeForPremium, AE170*Delta-Z170*(Y170-AE170),AE170*Delta+PremiumRevisedForLimitedTerm-Z170*(Y170-AE170))</f>
        <v>2.9499047276291102E-2</v>
      </c>
      <c r="AE170" s="35">
        <f>AE169-StepSize*AD169</f>
        <v>3.1109704093401875E-2</v>
      </c>
      <c r="AF170" s="1"/>
    </row>
    <row r="171" spans="11:32" x14ac:dyDescent="0.45">
      <c r="K171" s="40">
        <f t="shared" si="42"/>
        <v>1.46</v>
      </c>
      <c r="L171" s="41">
        <f t="shared" si="34"/>
        <v>21.46</v>
      </c>
      <c r="M171">
        <f t="shared" si="43"/>
        <v>0.93988941545714477</v>
      </c>
      <c r="N171">
        <f t="shared" si="44"/>
        <v>6.0110584542855831E-2</v>
      </c>
      <c r="O171">
        <f t="shared" si="35"/>
        <v>6.3558354621872551E-2</v>
      </c>
      <c r="P171">
        <f t="shared" si="36"/>
        <v>0.5</v>
      </c>
      <c r="Q171">
        <f t="shared" si="45"/>
        <v>-2.9682532501541795E-2</v>
      </c>
      <c r="R171" s="6">
        <f t="shared" si="46"/>
        <v>2.9682532501541795E-2</v>
      </c>
      <c r="S171" s="18">
        <f t="shared" si="47"/>
        <v>1.0000000000000007</v>
      </c>
      <c r="T171" s="15"/>
      <c r="U171" s="15"/>
      <c r="V171" s="40">
        <f t="shared" si="48"/>
        <v>8.5399999999999991</v>
      </c>
      <c r="W171" s="41">
        <f t="shared" si="37"/>
        <v>28.54</v>
      </c>
      <c r="X171">
        <f t="shared" si="49"/>
        <v>-6.9891333855003387E-2</v>
      </c>
      <c r="Y171">
        <f t="shared" si="50"/>
        <v>0.97833200844185708</v>
      </c>
      <c r="Z171" s="33">
        <f t="shared" si="38"/>
        <v>0.11699094559353296</v>
      </c>
      <c r="AA171" s="33">
        <f t="shared" si="39"/>
        <v>0.5</v>
      </c>
      <c r="AB171">
        <f t="shared" si="40"/>
        <v>-1.748013003925783E-3</v>
      </c>
      <c r="AC171" s="1">
        <f t="shared" si="41"/>
        <v>-0.42697172842947684</v>
      </c>
      <c r="AD171" s="35">
        <f>IF(W171&gt;=FinalAgeForPremium, AE171*Delta-Z171*(Y171-AE171),AE171*Delta+PremiumRevisedForLimitedTerm-Z171*(Y171-AE171))</f>
        <v>2.9042620867917826E-2</v>
      </c>
      <c r="AE171" s="35">
        <f>AE170-StepSize*AD170</f>
        <v>3.0814713620638964E-2</v>
      </c>
      <c r="AF171" s="1"/>
    </row>
    <row r="172" spans="11:32" x14ac:dyDescent="0.45">
      <c r="K172" s="40">
        <f t="shared" si="42"/>
        <v>1.47</v>
      </c>
      <c r="L172" s="41">
        <f t="shared" si="34"/>
        <v>21.47</v>
      </c>
      <c r="M172">
        <f t="shared" si="43"/>
        <v>0.93959259013212937</v>
      </c>
      <c r="N172">
        <f t="shared" si="44"/>
        <v>6.0407409867871249E-2</v>
      </c>
      <c r="O172">
        <f t="shared" si="35"/>
        <v>6.3613151355544462E-2</v>
      </c>
      <c r="P172">
        <f t="shared" si="36"/>
        <v>0.5</v>
      </c>
      <c r="Q172">
        <f t="shared" si="45"/>
        <v>-2.9566740714687571E-2</v>
      </c>
      <c r="R172" s="6">
        <f t="shared" si="46"/>
        <v>2.9566740714687571E-2</v>
      </c>
      <c r="S172" s="18">
        <f t="shared" si="47"/>
        <v>1.0000000000000007</v>
      </c>
      <c r="T172" s="15"/>
      <c r="U172" s="15"/>
      <c r="V172" s="40">
        <f t="shared" si="48"/>
        <v>8.5299999999999994</v>
      </c>
      <c r="W172" s="41">
        <f t="shared" si="37"/>
        <v>28.53</v>
      </c>
      <c r="X172">
        <f t="shared" si="49"/>
        <v>-6.987385372496413E-2</v>
      </c>
      <c r="Y172">
        <f t="shared" si="50"/>
        <v>0.9826017257261519</v>
      </c>
      <c r="Z172" s="33">
        <f t="shared" si="38"/>
        <v>0.11689016892155386</v>
      </c>
      <c r="AA172" s="33">
        <f t="shared" si="39"/>
        <v>0.5</v>
      </c>
      <c r="AB172">
        <f t="shared" si="40"/>
        <v>-2.1385472567517771E-3</v>
      </c>
      <c r="AC172" s="1">
        <f t="shared" si="41"/>
        <v>-0.42463212398813444</v>
      </c>
      <c r="AD172" s="35">
        <f>IF(W172&gt;=FinalAgeForPremium, AE172*Delta-Z172*(Y172-AE172),AE172*Delta+PremiumRevisedForLimitedTerm-Z172*(Y172-AE172))</f>
        <v>2.8590551253898339E-2</v>
      </c>
      <c r="AE172" s="35">
        <f>AE171-StepSize*AD171</f>
        <v>3.0524287411959786E-2</v>
      </c>
      <c r="AF172" s="1"/>
    </row>
    <row r="173" spans="11:32" x14ac:dyDescent="0.45">
      <c r="K173" s="40">
        <f t="shared" si="42"/>
        <v>1.48</v>
      </c>
      <c r="L173" s="41">
        <f t="shared" si="34"/>
        <v>21.48</v>
      </c>
      <c r="M173">
        <f t="shared" si="43"/>
        <v>0.93929692272498244</v>
      </c>
      <c r="N173">
        <f t="shared" si="44"/>
        <v>6.0703077275018127E-2</v>
      </c>
      <c r="O173">
        <f t="shared" si="35"/>
        <v>6.366799533213259E-2</v>
      </c>
      <c r="P173">
        <f t="shared" si="36"/>
        <v>0.5</v>
      </c>
      <c r="Q173">
        <f t="shared" si="45"/>
        <v>-2.9451613454031626E-2</v>
      </c>
      <c r="R173" s="6">
        <f t="shared" si="46"/>
        <v>2.9451613454031626E-2</v>
      </c>
      <c r="S173" s="18">
        <f t="shared" si="47"/>
        <v>1.0000000000000007</v>
      </c>
      <c r="T173" s="15"/>
      <c r="U173" s="15"/>
      <c r="V173" s="40">
        <f t="shared" si="48"/>
        <v>8.52</v>
      </c>
      <c r="W173" s="41">
        <f t="shared" si="37"/>
        <v>28.52</v>
      </c>
      <c r="X173">
        <f t="shared" si="49"/>
        <v>-6.9852468252396618E-2</v>
      </c>
      <c r="Y173">
        <f t="shared" si="50"/>
        <v>0.98684804696603323</v>
      </c>
      <c r="Z173" s="33">
        <f t="shared" si="38"/>
        <v>0.11678947905917836</v>
      </c>
      <c r="AA173" s="33">
        <f t="shared" si="39"/>
        <v>0.5</v>
      </c>
      <c r="AB173">
        <f t="shared" si="40"/>
        <v>-2.5249324091979608E-3</v>
      </c>
      <c r="AC173" s="1">
        <f t="shared" si="41"/>
        <v>-0.42230734004248338</v>
      </c>
      <c r="AD173" s="35">
        <f>IF(W173&gt;=FinalAgeForPremium, AE173*Delta-Z173*(Y173-AE173),AE173*Delta+PremiumRevisedForLimitedTerm-Z173*(Y173-AE173))</f>
        <v>2.8142804123112819E-2</v>
      </c>
      <c r="AE173" s="35">
        <f>AE172-StepSize*AD172</f>
        <v>3.0238381899420803E-2</v>
      </c>
      <c r="AF173" s="1"/>
    </row>
    <row r="174" spans="11:32" x14ac:dyDescent="0.45">
      <c r="K174" s="40">
        <f t="shared" si="42"/>
        <v>1.49</v>
      </c>
      <c r="L174" s="41">
        <f t="shared" si="34"/>
        <v>21.49</v>
      </c>
      <c r="M174">
        <f t="shared" si="43"/>
        <v>0.9390024065904421</v>
      </c>
      <c r="N174">
        <f t="shared" si="44"/>
        <v>6.0997593409558445E-2</v>
      </c>
      <c r="O174">
        <f t="shared" si="35"/>
        <v>6.37228865923673E-2</v>
      </c>
      <c r="P174">
        <f t="shared" si="36"/>
        <v>0.5</v>
      </c>
      <c r="Q174">
        <f t="shared" si="45"/>
        <v>-2.9337147160343489E-2</v>
      </c>
      <c r="R174" s="6">
        <f t="shared" si="46"/>
        <v>2.9337147160343489E-2</v>
      </c>
      <c r="S174" s="18">
        <f t="shared" si="47"/>
        <v>1.0000000000000004</v>
      </c>
      <c r="T174" s="15"/>
      <c r="U174" s="15"/>
      <c r="V174" s="40">
        <f t="shared" si="48"/>
        <v>8.51</v>
      </c>
      <c r="W174" s="41">
        <f t="shared" si="37"/>
        <v>28.509999999999998</v>
      </c>
      <c r="X174">
        <f t="shared" si="49"/>
        <v>-6.9827218928304638E-2</v>
      </c>
      <c r="Y174">
        <f t="shared" si="50"/>
        <v>0.99107112036645806</v>
      </c>
      <c r="Z174" s="33">
        <f t="shared" si="38"/>
        <v>0.11668887593162824</v>
      </c>
      <c r="AA174" s="33">
        <f t="shared" si="39"/>
        <v>0.5</v>
      </c>
      <c r="AB174">
        <f t="shared" si="40"/>
        <v>-2.90720193910457E-3</v>
      </c>
      <c r="AC174" s="1">
        <f t="shared" si="41"/>
        <v>-0.41999727433429579</v>
      </c>
      <c r="AD174" s="35">
        <f>IF(W174&gt;=FinalAgeForPremium, AE174*Delta-Z174*(Y174-AE174),AE174*Delta+PremiumRevisedForLimitedTerm-Z174*(Y174-AE174))</f>
        <v>2.7699345435342401E-2</v>
      </c>
      <c r="AE174" s="35">
        <f>AE173-StepSize*AD173</f>
        <v>2.9956953858189674E-2</v>
      </c>
      <c r="AF174" s="1"/>
    </row>
    <row r="175" spans="11:32" x14ac:dyDescent="0.45">
      <c r="K175" s="40">
        <f t="shared" si="42"/>
        <v>1.5</v>
      </c>
      <c r="L175" s="41">
        <f t="shared" si="34"/>
        <v>21.5</v>
      </c>
      <c r="M175">
        <f t="shared" si="43"/>
        <v>0.93870903511883863</v>
      </c>
      <c r="N175">
        <f t="shared" si="44"/>
        <v>6.1290964881161883E-2</v>
      </c>
      <c r="O175">
        <f t="shared" si="35"/>
        <v>6.377782517701415E-2</v>
      </c>
      <c r="P175">
        <f t="shared" si="36"/>
        <v>0.5</v>
      </c>
      <c r="Q175">
        <f t="shared" si="45"/>
        <v>-2.9223338293311987E-2</v>
      </c>
      <c r="R175" s="6">
        <f t="shared" si="46"/>
        <v>2.9223338293311987E-2</v>
      </c>
      <c r="S175" s="18">
        <f t="shared" si="47"/>
        <v>1.0000000000000004</v>
      </c>
      <c r="T175" s="15"/>
      <c r="U175" s="15"/>
      <c r="V175" s="40">
        <f t="shared" si="48"/>
        <v>8.5</v>
      </c>
      <c r="W175" s="41">
        <f t="shared" si="37"/>
        <v>28.5</v>
      </c>
      <c r="X175">
        <f t="shared" si="49"/>
        <v>-6.9798146908913589E-2</v>
      </c>
      <c r="Y175">
        <f t="shared" si="50"/>
        <v>0.995271093109801</v>
      </c>
      <c r="Z175" s="33">
        <f t="shared" si="38"/>
        <v>0.11658835946418958</v>
      </c>
      <c r="AA175" s="33">
        <f t="shared" si="39"/>
        <v>0.5</v>
      </c>
      <c r="AB175">
        <f t="shared" si="40"/>
        <v>-3.2853890576511058E-3</v>
      </c>
      <c r="AC175" s="1">
        <f t="shared" si="41"/>
        <v>-0.41770182533515265</v>
      </c>
      <c r="AD175" s="35">
        <f>IF(W175&gt;=FinalAgeForPremium, AE175*Delta-Z175*(Y175-AE175),AE175*Delta+PremiumRevisedForLimitedTerm-Z175*(Y175-AE175))</f>
        <v>2.7260141419081355E-2</v>
      </c>
      <c r="AE175" s="35">
        <f>AE174-StepSize*AD174</f>
        <v>2.9679960403836251E-2</v>
      </c>
      <c r="AF175" s="1"/>
    </row>
    <row r="176" spans="11:32" x14ac:dyDescent="0.45">
      <c r="K176" s="40">
        <f t="shared" si="42"/>
        <v>1.51</v>
      </c>
      <c r="L176" s="41">
        <f t="shared" si="34"/>
        <v>21.51</v>
      </c>
      <c r="M176">
        <f t="shared" si="43"/>
        <v>0.93841680173590547</v>
      </c>
      <c r="N176">
        <f t="shared" si="44"/>
        <v>6.1583198264095002E-2</v>
      </c>
      <c r="O176">
        <f t="shared" si="35"/>
        <v>6.3832811126873792E-2</v>
      </c>
      <c r="P176">
        <f t="shared" si="36"/>
        <v>0.5</v>
      </c>
      <c r="Q176">
        <f t="shared" si="45"/>
        <v>-2.9110183331445522E-2</v>
      </c>
      <c r="R176" s="6">
        <f t="shared" si="46"/>
        <v>2.9110183331445522E-2</v>
      </c>
      <c r="S176" s="18">
        <f t="shared" si="47"/>
        <v>1.0000000000000004</v>
      </c>
      <c r="T176" s="15"/>
      <c r="U176" s="15"/>
      <c r="V176" s="40">
        <f t="shared" si="48"/>
        <v>8.49</v>
      </c>
      <c r="W176" s="41">
        <f t="shared" si="37"/>
        <v>28.490000000000002</v>
      </c>
      <c r="X176">
        <f t="shared" si="49"/>
        <v>-6.9765293018337074E-2</v>
      </c>
      <c r="Y176">
        <f t="shared" si="50"/>
        <v>0.99944811136315248</v>
      </c>
      <c r="Z176" s="33">
        <f t="shared" si="38"/>
        <v>0.11648792958221287</v>
      </c>
      <c r="AA176" s="33">
        <f t="shared" si="39"/>
        <v>0.5</v>
      </c>
      <c r="AB176">
        <f t="shared" si="40"/>
        <v>-3.6595267115182434E-3</v>
      </c>
      <c r="AC176" s="1">
        <f t="shared" si="41"/>
        <v>-0.41542089224109757</v>
      </c>
      <c r="AD176" s="35">
        <f>IF(W176&gt;=FinalAgeForPremium, AE176*Delta-Z176*(Y176-AE176),AE176*Delta+PremiumRevisedForLimitedTerm-Z176*(Y176-AE176))</f>
        <v>2.682515856936693E-2</v>
      </c>
      <c r="AE176" s="35">
        <f>AE175-StepSize*AD175</f>
        <v>2.9407358989645437E-2</v>
      </c>
      <c r="AF176" s="1"/>
    </row>
    <row r="177" spans="11:32" x14ac:dyDescent="0.45">
      <c r="K177" s="40">
        <f t="shared" si="42"/>
        <v>1.52</v>
      </c>
      <c r="L177" s="41">
        <f t="shared" si="34"/>
        <v>21.52</v>
      </c>
      <c r="M177">
        <f t="shared" si="43"/>
        <v>0.93812569990259098</v>
      </c>
      <c r="N177">
        <f t="shared" si="44"/>
        <v>6.1874300097409456E-2</v>
      </c>
      <c r="O177">
        <f t="shared" si="35"/>
        <v>6.388784448278205E-2</v>
      </c>
      <c r="P177">
        <f t="shared" si="36"/>
        <v>0.5</v>
      </c>
      <c r="Q177">
        <f t="shared" si="45"/>
        <v>-2.8997678771973071E-2</v>
      </c>
      <c r="R177" s="6">
        <f t="shared" si="46"/>
        <v>2.8997678771973071E-2</v>
      </c>
      <c r="S177" s="18">
        <f t="shared" si="47"/>
        <v>1.0000000000000004</v>
      </c>
      <c r="T177" s="15"/>
      <c r="U177" s="15"/>
      <c r="V177" s="40">
        <f t="shared" si="48"/>
        <v>8.48</v>
      </c>
      <c r="W177" s="41">
        <f t="shared" si="37"/>
        <v>28.48</v>
      </c>
      <c r="X177">
        <f t="shared" si="49"/>
        <v>-6.9728697751221896E-2</v>
      </c>
      <c r="Y177">
        <f t="shared" si="50"/>
        <v>1.0036023202855635</v>
      </c>
      <c r="Z177" s="33">
        <f t="shared" si="38"/>
        <v>0.11638758621111288</v>
      </c>
      <c r="AA177" s="33">
        <f t="shared" si="39"/>
        <v>0.5</v>
      </c>
      <c r="AB177">
        <f t="shared" si="40"/>
        <v>-4.0296475850313401E-3</v>
      </c>
      <c r="AC177" s="1">
        <f t="shared" si="41"/>
        <v>-0.4131543749673291</v>
      </c>
      <c r="AD177" s="35">
        <f>IF(W177&gt;=FinalAgeForPremium, AE177*Delta-Z177*(Y177-AE177),AE177*Delta+PremiumRevisedForLimitedTerm-Z177*(Y177-AE177))</f>
        <v>2.6394363645627486E-2</v>
      </c>
      <c r="AE177" s="35">
        <f>AE176-StepSize*AD176</f>
        <v>2.9139107403951769E-2</v>
      </c>
      <c r="AF177" s="1"/>
    </row>
    <row r="178" spans="11:32" x14ac:dyDescent="0.45">
      <c r="K178" s="40">
        <f t="shared" si="42"/>
        <v>1.53</v>
      </c>
      <c r="L178" s="41">
        <f t="shared" si="34"/>
        <v>21.53</v>
      </c>
      <c r="M178">
        <f t="shared" si="43"/>
        <v>0.93783572311487129</v>
      </c>
      <c r="N178">
        <f t="shared" si="44"/>
        <v>6.216427688512919E-2</v>
      </c>
      <c r="O178">
        <f t="shared" si="35"/>
        <v>6.3942925285610006E-2</v>
      </c>
      <c r="P178">
        <f t="shared" si="36"/>
        <v>0.5</v>
      </c>
      <c r="Q178">
        <f t="shared" si="45"/>
        <v>-2.8885821130745653E-2</v>
      </c>
      <c r="R178" s="6">
        <f t="shared" si="46"/>
        <v>2.8885821130745653E-2</v>
      </c>
      <c r="S178" s="18">
        <f t="shared" si="47"/>
        <v>1.0000000000000004</v>
      </c>
      <c r="T178" s="15"/>
      <c r="U178" s="15"/>
      <c r="V178" s="40">
        <f t="shared" si="48"/>
        <v>8.4700000000000006</v>
      </c>
      <c r="W178" s="41">
        <f t="shared" si="37"/>
        <v>28.47</v>
      </c>
      <c r="X178">
        <f t="shared" si="49"/>
        <v>-6.9688401275371584E-2</v>
      </c>
      <c r="Y178">
        <f t="shared" si="50"/>
        <v>1.0077338640352369</v>
      </c>
      <c r="Z178" s="33">
        <f t="shared" si="38"/>
        <v>0.11628732927636859</v>
      </c>
      <c r="AA178" s="33">
        <f t="shared" si="39"/>
        <v>0.5</v>
      </c>
      <c r="AB178">
        <f t="shared" si="40"/>
        <v>-4.3957841022866095E-3</v>
      </c>
      <c r="AC178" s="1">
        <f t="shared" si="41"/>
        <v>-0.41090217414293395</v>
      </c>
      <c r="AD178" s="35">
        <f>IF(W178&gt;=FinalAgeForPremium, AE178*Delta-Z178*(Y178-AE178),AE178*Delta+PremiumRevisedForLimitedTerm-Z178*(Y178-AE178))</f>
        <v>2.596772366954829E-2</v>
      </c>
      <c r="AE178" s="35">
        <f>AE177-StepSize*AD177</f>
        <v>2.8875163767495493E-2</v>
      </c>
      <c r="AF178" s="1"/>
    </row>
    <row r="179" spans="11:32" x14ac:dyDescent="0.45">
      <c r="K179" s="40">
        <f t="shared" si="42"/>
        <v>1.54</v>
      </c>
      <c r="L179" s="41">
        <f t="shared" si="34"/>
        <v>21.54</v>
      </c>
      <c r="M179">
        <f t="shared" si="43"/>
        <v>0.93754686490356387</v>
      </c>
      <c r="N179">
        <f t="shared" si="44"/>
        <v>6.2453135096436643E-2</v>
      </c>
      <c r="O179">
        <f t="shared" si="35"/>
        <v>6.3998053576263911E-2</v>
      </c>
      <c r="P179">
        <f t="shared" si="36"/>
        <v>0.5</v>
      </c>
      <c r="Q179">
        <f t="shared" si="45"/>
        <v>-2.8774606942138223E-2</v>
      </c>
      <c r="R179" s="6">
        <f t="shared" si="46"/>
        <v>2.8774606942138223E-2</v>
      </c>
      <c r="S179" s="18">
        <f t="shared" si="47"/>
        <v>1.0000000000000004</v>
      </c>
      <c r="T179" s="15"/>
      <c r="U179" s="15"/>
      <c r="V179" s="40">
        <f t="shared" si="48"/>
        <v>8.4600000000000009</v>
      </c>
      <c r="W179" s="41">
        <f t="shared" si="37"/>
        <v>28.46</v>
      </c>
      <c r="X179">
        <f t="shared" si="49"/>
        <v>-6.9644443434348724E-2</v>
      </c>
      <c r="Y179">
        <f t="shared" si="50"/>
        <v>1.0118428857766661</v>
      </c>
      <c r="Z179" s="33">
        <f t="shared" si="38"/>
        <v>0.11618715870352338</v>
      </c>
      <c r="AA179" s="33">
        <f t="shared" si="39"/>
        <v>0.5</v>
      </c>
      <c r="AB179">
        <f t="shared" si="40"/>
        <v>-4.7579684292596014E-3</v>
      </c>
      <c r="AC179" s="1">
        <f t="shared" si="41"/>
        <v>-0.40866419110565921</v>
      </c>
      <c r="AD179" s="35">
        <f>IF(W179&gt;=FinalAgeForPremium, AE179*Delta-Z179*(Y179-AE179),AE179*Delta+PremiumRevisedForLimitedTerm-Z179*(Y179-AE179))</f>
        <v>2.5545205922954561E-2</v>
      </c>
      <c r="AE179" s="35">
        <f>AE178-StepSize*AD178</f>
        <v>2.8615486530800011E-2</v>
      </c>
      <c r="AF179" s="1"/>
    </row>
    <row r="180" spans="11:32" x14ac:dyDescent="0.45">
      <c r="K180" s="40">
        <f t="shared" si="42"/>
        <v>1.55</v>
      </c>
      <c r="L180" s="41">
        <f t="shared" si="34"/>
        <v>21.55</v>
      </c>
      <c r="M180">
        <f t="shared" si="43"/>
        <v>0.93725911883414248</v>
      </c>
      <c r="N180">
        <f t="shared" si="44"/>
        <v>6.274088116585802E-2</v>
      </c>
      <c r="O180">
        <f t="shared" si="35"/>
        <v>6.4053229395685335E-2</v>
      </c>
      <c r="P180">
        <f t="shared" si="36"/>
        <v>0.5</v>
      </c>
      <c r="Q180">
        <f t="shared" si="45"/>
        <v>-2.866403275895222E-2</v>
      </c>
      <c r="R180" s="6">
        <f t="shared" si="46"/>
        <v>2.866403275895222E-2</v>
      </c>
      <c r="S180" s="18">
        <f t="shared" si="47"/>
        <v>1.0000000000000004</v>
      </c>
      <c r="T180" s="15"/>
      <c r="U180" s="15"/>
      <c r="V180" s="40">
        <f t="shared" si="48"/>
        <v>8.4499999999999993</v>
      </c>
      <c r="W180" s="41">
        <f t="shared" si="37"/>
        <v>28.45</v>
      </c>
      <c r="X180">
        <f t="shared" si="49"/>
        <v>-6.9596863750056123E-2</v>
      </c>
      <c r="Y180">
        <f t="shared" si="50"/>
        <v>1.0159295276877227</v>
      </c>
      <c r="Z180" s="33">
        <f t="shared" si="38"/>
        <v>0.11608707441818451</v>
      </c>
      <c r="AA180" s="33">
        <f t="shared" si="39"/>
        <v>0.5</v>
      </c>
      <c r="AB180">
        <f t="shared" si="40"/>
        <v>-5.1162324758958627E-3</v>
      </c>
      <c r="AC180" s="1">
        <f t="shared" si="41"/>
        <v>-0.40644032789672446</v>
      </c>
      <c r="AD180" s="35">
        <f>IF(W180&gt;=FinalAgeForPremium, AE180*Delta-Z180*(Y180-AE180),AE180*Delta+PremiumRevisedForLimitedTerm-Z180*(Y180-AE180))</f>
        <v>2.5126777945712844E-2</v>
      </c>
      <c r="AE180" s="35">
        <f>AE179-StepSize*AD179</f>
        <v>2.8360034471570466E-2</v>
      </c>
      <c r="AF180" s="1"/>
    </row>
    <row r="181" spans="11:32" x14ac:dyDescent="0.45">
      <c r="K181" s="40">
        <f t="shared" si="42"/>
        <v>1.56</v>
      </c>
      <c r="L181" s="41">
        <f t="shared" si="34"/>
        <v>21.56</v>
      </c>
      <c r="M181">
        <f t="shared" si="43"/>
        <v>0.93697247850655296</v>
      </c>
      <c r="N181">
        <f t="shared" si="44"/>
        <v>6.3027521493447536E-2</v>
      </c>
      <c r="O181">
        <f t="shared" si="35"/>
        <v>6.4108452784851125E-2</v>
      </c>
      <c r="P181">
        <f t="shared" si="36"/>
        <v>0.5</v>
      </c>
      <c r="Q181">
        <f t="shared" si="45"/>
        <v>-2.855409515231852E-2</v>
      </c>
      <c r="R181" s="6">
        <f t="shared" si="46"/>
        <v>2.855409515231852E-2</v>
      </c>
      <c r="S181" s="18">
        <f t="shared" si="47"/>
        <v>1.0000000000000004</v>
      </c>
      <c r="T181" s="15"/>
      <c r="U181" s="15"/>
      <c r="V181" s="40">
        <f t="shared" si="48"/>
        <v>8.44</v>
      </c>
      <c r="W181" s="41">
        <f t="shared" si="37"/>
        <v>28.439999999999998</v>
      </c>
      <c r="X181">
        <f t="shared" si="49"/>
        <v>-6.954570142529716E-2</v>
      </c>
      <c r="Y181">
        <f t="shared" si="50"/>
        <v>1.0199939309666899</v>
      </c>
      <c r="Z181" s="33">
        <f t="shared" si="38"/>
        <v>0.11598707634602339</v>
      </c>
      <c r="AA181" s="33">
        <f t="shared" si="39"/>
        <v>0.5</v>
      </c>
      <c r="AB181">
        <f t="shared" si="40"/>
        <v>-5.4706078981848344E-3</v>
      </c>
      <c r="AC181" s="1">
        <f t="shared" si="41"/>
        <v>-0.40423048725567201</v>
      </c>
      <c r="AD181" s="35">
        <f>IF(W181&gt;=FinalAgeForPremium, AE181*Delta-Z181*(Y181-AE181),AE181*Delta+PremiumRevisedForLimitedTerm-Z181*(Y181-AE181))</f>
        <v>2.471240753364895E-2</v>
      </c>
      <c r="AE181" s="35">
        <f>AE180-StepSize*AD180</f>
        <v>2.8108766692113339E-2</v>
      </c>
      <c r="AF181" s="1"/>
    </row>
    <row r="182" spans="11:32" x14ac:dyDescent="0.45">
      <c r="K182" s="40">
        <f t="shared" si="42"/>
        <v>1.57</v>
      </c>
      <c r="L182" s="41">
        <f t="shared" si="34"/>
        <v>21.57</v>
      </c>
      <c r="M182">
        <f t="shared" si="43"/>
        <v>0.93668693755502974</v>
      </c>
      <c r="N182">
        <f t="shared" si="44"/>
        <v>6.3313062444970716E-2</v>
      </c>
      <c r="O182">
        <f t="shared" si="35"/>
        <v>6.4163723784773502E-2</v>
      </c>
      <c r="P182">
        <f t="shared" si="36"/>
        <v>0.5</v>
      </c>
      <c r="Q182">
        <f t="shared" si="45"/>
        <v>-2.8444790711600956E-2</v>
      </c>
      <c r="R182" s="6">
        <f t="shared" si="46"/>
        <v>2.8444790711600956E-2</v>
      </c>
      <c r="S182" s="18">
        <f t="shared" si="47"/>
        <v>1.0000000000000004</v>
      </c>
      <c r="T182" s="15"/>
      <c r="U182" s="15"/>
      <c r="V182" s="40">
        <f t="shared" si="48"/>
        <v>8.43</v>
      </c>
      <c r="W182" s="41">
        <f t="shared" si="37"/>
        <v>28.43</v>
      </c>
      <c r="X182">
        <f t="shared" si="49"/>
        <v>-6.949099534631531E-2</v>
      </c>
      <c r="Y182">
        <f t="shared" si="50"/>
        <v>1.0240362358392465</v>
      </c>
      <c r="Z182" s="33">
        <f t="shared" si="38"/>
        <v>0.11588716441277561</v>
      </c>
      <c r="AA182" s="33">
        <f t="shared" si="39"/>
        <v>0.5</v>
      </c>
      <c r="AB182">
        <f t="shared" si="40"/>
        <v>-5.8211261002165532E-3</v>
      </c>
      <c r="AC182" s="1">
        <f t="shared" si="41"/>
        <v>-0.40203457261525677</v>
      </c>
      <c r="AD182" s="35">
        <f>IF(W182&gt;=FinalAgeForPremium, AE182*Delta-Z182*(Y182-AE182),AE182*Delta+PremiumRevisedForLimitedTerm-Z182*(Y182-AE182))</f>
        <v>2.4302062736483165E-2</v>
      </c>
      <c r="AE182" s="35">
        <f>AE181-StepSize*AD181</f>
        <v>2.7861642616776851E-2</v>
      </c>
      <c r="AF182" s="1"/>
    </row>
    <row r="183" spans="11:32" x14ac:dyDescent="0.45">
      <c r="K183" s="40">
        <f t="shared" si="42"/>
        <v>1.58</v>
      </c>
      <c r="L183" s="41">
        <f t="shared" si="34"/>
        <v>21.58</v>
      </c>
      <c r="M183">
        <f t="shared" si="43"/>
        <v>0.93640248964791373</v>
      </c>
      <c r="N183">
        <f t="shared" si="44"/>
        <v>6.3597510352086731E-2</v>
      </c>
      <c r="O183">
        <f t="shared" si="35"/>
        <v>6.421904243649991E-2</v>
      </c>
      <c r="P183">
        <f t="shared" si="36"/>
        <v>0.5</v>
      </c>
      <c r="Q183">
        <f t="shared" si="45"/>
        <v>-2.8336116044300176E-2</v>
      </c>
      <c r="R183" s="6">
        <f t="shared" si="46"/>
        <v>2.8336116044300176E-2</v>
      </c>
      <c r="S183" s="18">
        <f t="shared" si="47"/>
        <v>1.0000000000000004</v>
      </c>
      <c r="T183" s="15"/>
      <c r="U183" s="15"/>
      <c r="V183" s="40">
        <f t="shared" si="48"/>
        <v>8.42</v>
      </c>
      <c r="W183" s="41">
        <f t="shared" si="37"/>
        <v>28.42</v>
      </c>
      <c r="X183">
        <f t="shared" si="49"/>
        <v>-6.9432784085313143E-2</v>
      </c>
      <c r="Y183">
        <f t="shared" si="50"/>
        <v>1.028056581565399</v>
      </c>
      <c r="Z183" s="33">
        <f t="shared" si="38"/>
        <v>0.11578733854424053</v>
      </c>
      <c r="AA183" s="33">
        <f t="shared" si="39"/>
        <v>0.5</v>
      </c>
      <c r="AB183">
        <f t="shared" si="40"/>
        <v>-6.1678182362207706E-3</v>
      </c>
      <c r="AC183" s="1">
        <f t="shared" si="41"/>
        <v>-0.39985248809637397</v>
      </c>
      <c r="AD183" s="35">
        <f>IF(W183&gt;=FinalAgeForPremium, AE183*Delta-Z183*(Y183-AE183),AE183*Delta+PremiumRevisedForLimitedTerm-Z183*(Y183-AE183))</f>
        <v>2.3895711855783125E-2</v>
      </c>
      <c r="AE183" s="35">
        <f>AE182-StepSize*AD182</f>
        <v>2.7618621989412021E-2</v>
      </c>
      <c r="AF183" s="1"/>
    </row>
    <row r="184" spans="11:32" x14ac:dyDescent="0.45">
      <c r="K184" s="40">
        <f t="shared" si="42"/>
        <v>1.59</v>
      </c>
      <c r="L184" s="41">
        <f t="shared" si="34"/>
        <v>21.59</v>
      </c>
      <c r="M184">
        <f t="shared" si="43"/>
        <v>0.9361191284874707</v>
      </c>
      <c r="N184">
        <f t="shared" si="44"/>
        <v>6.3880871512529733E-2</v>
      </c>
      <c r="O184">
        <f t="shared" si="35"/>
        <v>6.4274408781113374E-2</v>
      </c>
      <c r="P184">
        <f t="shared" si="36"/>
        <v>0.5</v>
      </c>
      <c r="Q184">
        <f t="shared" si="45"/>
        <v>-2.8228067775958418E-2</v>
      </c>
      <c r="R184" s="6">
        <f t="shared" si="46"/>
        <v>2.8228067775958418E-2</v>
      </c>
      <c r="S184" s="18">
        <f t="shared" si="47"/>
        <v>1.0000000000000004</v>
      </c>
      <c r="T184" s="15"/>
      <c r="U184" s="15"/>
      <c r="V184" s="40">
        <f t="shared" si="48"/>
        <v>8.41</v>
      </c>
      <c r="W184" s="41">
        <f t="shared" si="37"/>
        <v>28.41</v>
      </c>
      <c r="X184">
        <f t="shared" si="49"/>
        <v>-6.9371105902950939E-2</v>
      </c>
      <c r="Y184">
        <f t="shared" si="50"/>
        <v>1.0320551064463628</v>
      </c>
      <c r="Z184" s="33">
        <f t="shared" si="38"/>
        <v>0.11568759866628155</v>
      </c>
      <c r="AA184" s="33">
        <f t="shared" si="39"/>
        <v>0.5</v>
      </c>
      <c r="AB184">
        <f t="shared" si="40"/>
        <v>-6.5107152125898904E-3</v>
      </c>
      <c r="AC184" s="1">
        <f t="shared" si="41"/>
        <v>-0.39768413850302498</v>
      </c>
      <c r="AD184" s="35">
        <f>IF(W184&gt;=FinalAgeForPremium, AE184*Delta-Z184*(Y184-AE184),AE184*Delta+PremiumRevisedForLimitedTerm-Z184*(Y184-AE184))</f>
        <v>2.3493323442932618E-2</v>
      </c>
      <c r="AE184" s="35">
        <f>AE183-StepSize*AD183</f>
        <v>2.7379664870854189E-2</v>
      </c>
      <c r="AF184" s="1"/>
    </row>
    <row r="185" spans="11:32" x14ac:dyDescent="0.45">
      <c r="K185" s="40">
        <f t="shared" si="42"/>
        <v>1.6</v>
      </c>
      <c r="L185" s="41">
        <f t="shared" si="34"/>
        <v>21.6</v>
      </c>
      <c r="M185">
        <f t="shared" si="43"/>
        <v>0.9358368478097111</v>
      </c>
      <c r="N185">
        <f t="shared" si="44"/>
        <v>6.4163152190289313E-2</v>
      </c>
      <c r="O185">
        <f t="shared" si="35"/>
        <v>6.4329822859732197E-2</v>
      </c>
      <c r="P185">
        <f t="shared" si="36"/>
        <v>0.5</v>
      </c>
      <c r="Q185">
        <f t="shared" si="45"/>
        <v>-2.8120642550064218E-2</v>
      </c>
      <c r="R185" s="6">
        <f t="shared" si="46"/>
        <v>2.8120642550064218E-2</v>
      </c>
      <c r="S185" s="18">
        <f t="shared" si="47"/>
        <v>1.0000000000000004</v>
      </c>
      <c r="T185" s="15"/>
      <c r="U185" s="15"/>
      <c r="V185" s="40">
        <f t="shared" si="48"/>
        <v>8.4</v>
      </c>
      <c r="W185" s="41">
        <f t="shared" si="37"/>
        <v>28.4</v>
      </c>
      <c r="X185">
        <f t="shared" si="49"/>
        <v>-6.9305998750825035E-2</v>
      </c>
      <c r="Y185">
        <f t="shared" si="50"/>
        <v>1.0360319478313931</v>
      </c>
      <c r="Z185" s="33">
        <f t="shared" si="38"/>
        <v>0.11558794470482582</v>
      </c>
      <c r="AA185" s="33">
        <f t="shared" si="39"/>
        <v>0.5</v>
      </c>
      <c r="AB185">
        <f t="shared" si="40"/>
        <v>-6.8498476898847527E-3</v>
      </c>
      <c r="AC185" s="1">
        <f t="shared" si="41"/>
        <v>-0.39552942931732127</v>
      </c>
      <c r="AD185" s="35">
        <f>IF(W185&gt;=FinalAgeForPremium, AE185*Delta-Z185*(Y185-AE185),AE185*Delta+PremiumRevisedForLimitedTerm-Z185*(Y185-AE185))</f>
        <v>2.3094866297118141E-2</v>
      </c>
      <c r="AE185" s="35">
        <f>AE184-StepSize*AD184</f>
        <v>2.7144731636424863E-2</v>
      </c>
      <c r="AF185" s="1"/>
    </row>
    <row r="186" spans="11:32" x14ac:dyDescent="0.45">
      <c r="K186" s="40">
        <f t="shared" si="42"/>
        <v>1.61</v>
      </c>
      <c r="L186" s="41">
        <f t="shared" si="34"/>
        <v>21.61</v>
      </c>
      <c r="M186">
        <f t="shared" si="43"/>
        <v>0.93555564138421043</v>
      </c>
      <c r="N186">
        <f t="shared" si="44"/>
        <v>6.4444358615789954E-2</v>
      </c>
      <c r="O186">
        <f t="shared" si="35"/>
        <v>6.4385284713510155E-2</v>
      </c>
      <c r="P186">
        <f t="shared" si="36"/>
        <v>0.5</v>
      </c>
      <c r="Q186">
        <f t="shared" si="45"/>
        <v>-2.8013837027958018E-2</v>
      </c>
      <c r="R186" s="6">
        <f t="shared" si="46"/>
        <v>2.8013837027958018E-2</v>
      </c>
      <c r="S186" s="18">
        <f t="shared" si="47"/>
        <v>1.0000000000000004</v>
      </c>
      <c r="T186" s="15"/>
      <c r="U186" s="15"/>
      <c r="V186" s="40">
        <f t="shared" si="48"/>
        <v>8.39</v>
      </c>
      <c r="W186" s="41">
        <f t="shared" si="37"/>
        <v>28.39</v>
      </c>
      <c r="X186">
        <f t="shared" si="49"/>
        <v>-6.9237500273926181E-2</v>
      </c>
      <c r="Y186">
        <f t="shared" si="50"/>
        <v>1.0399872421245664</v>
      </c>
      <c r="Z186" s="33">
        <f t="shared" si="38"/>
        <v>0.1154883765858645</v>
      </c>
      <c r="AA186" s="33">
        <f t="shared" si="39"/>
        <v>0.5</v>
      </c>
      <c r="AB186">
        <f t="shared" si="40"/>
        <v>-7.1852460848243205E-3</v>
      </c>
      <c r="AC186" s="1">
        <f t="shared" si="41"/>
        <v>-0.39338826669452531</v>
      </c>
      <c r="AD186" s="35">
        <f>IF(W186&gt;=FinalAgeForPremium, AE186*Delta-Z186*(Y186-AE186),AE186*Delta+PremiumRevisedForLimitedTerm-Z186*(Y186-AE186))</f>
        <v>2.2700309463331111E-2</v>
      </c>
      <c r="AE186" s="35">
        <f>AE185-StepSize*AD185</f>
        <v>2.6913782973453679E-2</v>
      </c>
      <c r="AF186" s="1"/>
    </row>
    <row r="187" spans="11:32" x14ac:dyDescent="0.45">
      <c r="K187" s="40">
        <f t="shared" si="42"/>
        <v>1.62</v>
      </c>
      <c r="L187" s="41">
        <f t="shared" si="34"/>
        <v>21.62</v>
      </c>
      <c r="M187">
        <f t="shared" si="43"/>
        <v>0.93527550301393081</v>
      </c>
      <c r="N187">
        <f t="shared" si="44"/>
        <v>6.4724496986069538E-2</v>
      </c>
      <c r="O187">
        <f t="shared" si="35"/>
        <v>6.4440794383636549E-2</v>
      </c>
      <c r="P187">
        <f t="shared" si="36"/>
        <v>0.5</v>
      </c>
      <c r="Q187">
        <f t="shared" si="45"/>
        <v>-2.7907647888738195E-2</v>
      </c>
      <c r="R187" s="6">
        <f t="shared" si="46"/>
        <v>2.7907647888738195E-2</v>
      </c>
      <c r="S187" s="18">
        <f t="shared" si="47"/>
        <v>1.0000000000000004</v>
      </c>
      <c r="T187" s="15"/>
      <c r="U187" s="15"/>
      <c r="V187" s="40">
        <f t="shared" si="48"/>
        <v>8.3800000000000008</v>
      </c>
      <c r="W187" s="41">
        <f t="shared" si="37"/>
        <v>28.380000000000003</v>
      </c>
      <c r="X187">
        <f t="shared" si="49"/>
        <v>-6.9165647813077935E-2</v>
      </c>
      <c r="Y187">
        <f t="shared" si="50"/>
        <v>1.0439211247915117</v>
      </c>
      <c r="Z187" s="33">
        <f t="shared" si="38"/>
        <v>0.11538889423545229</v>
      </c>
      <c r="AA187" s="33">
        <f t="shared" si="39"/>
        <v>0.5</v>
      </c>
      <c r="AB187">
        <f t="shared" si="40"/>
        <v>-7.5169405722581573E-3</v>
      </c>
      <c r="AC187" s="1">
        <f t="shared" si="41"/>
        <v>-0.3912605574581296</v>
      </c>
      <c r="AD187" s="35">
        <f>IF(W187&gt;=FinalAgeForPremium, AE187*Delta-Z187*(Y187-AE187),AE187*Delta+PremiumRevisedForLimitedTerm-Z187*(Y187-AE187))</f>
        <v>2.2309622230387446E-2</v>
      </c>
      <c r="AE187" s="35">
        <f>AE186-StepSize*AD186</f>
        <v>2.6686779878820368E-2</v>
      </c>
      <c r="AF187" s="1"/>
    </row>
    <row r="188" spans="11:32" x14ac:dyDescent="0.45">
      <c r="K188" s="40">
        <f t="shared" si="42"/>
        <v>1.63</v>
      </c>
      <c r="L188" s="41">
        <f t="shared" si="34"/>
        <v>21.63</v>
      </c>
      <c r="M188">
        <f t="shared" si="43"/>
        <v>0.93499642653504345</v>
      </c>
      <c r="N188">
        <f t="shared" si="44"/>
        <v>6.5003573464956915E-2</v>
      </c>
      <c r="O188">
        <f t="shared" si="35"/>
        <v>6.4496351911336167E-2</v>
      </c>
      <c r="P188">
        <f t="shared" si="36"/>
        <v>0.5</v>
      </c>
      <c r="Q188">
        <f t="shared" si="45"/>
        <v>-2.7802071829167475E-2</v>
      </c>
      <c r="R188" s="6">
        <f t="shared" si="46"/>
        <v>2.7802071829167475E-2</v>
      </c>
      <c r="S188" s="18">
        <f t="shared" si="47"/>
        <v>1.0000000000000004</v>
      </c>
      <c r="T188" s="15"/>
      <c r="U188" s="15"/>
      <c r="V188" s="40">
        <f t="shared" si="48"/>
        <v>8.3699999999999992</v>
      </c>
      <c r="W188" s="41">
        <f t="shared" si="37"/>
        <v>28.369999999999997</v>
      </c>
      <c r="X188">
        <f t="shared" si="49"/>
        <v>-6.9090478407355355E-2</v>
      </c>
      <c r="Y188">
        <f t="shared" si="50"/>
        <v>1.047833730366093</v>
      </c>
      <c r="Z188" s="33">
        <f t="shared" si="38"/>
        <v>0.11528949757970763</v>
      </c>
      <c r="AA188" s="33">
        <f t="shared" si="39"/>
        <v>0.5</v>
      </c>
      <c r="AB188">
        <f t="shared" si="40"/>
        <v>-7.8449610871234449E-3</v>
      </c>
      <c r="AC188" s="1">
        <f t="shared" si="41"/>
        <v>-0.38914620909497122</v>
      </c>
      <c r="AD188" s="35">
        <f>IF(W188&gt;=FinalAgeForPremium, AE188*Delta-Z188*(Y188-AE188),AE188*Delta+PremiumRevisedForLimitedTerm-Z188*(Y188-AE188))</f>
        <v>2.1922774128962763E-2</v>
      </c>
      <c r="AE188" s="35">
        <f>AE187-StepSize*AD187</f>
        <v>2.6463683656516492E-2</v>
      </c>
      <c r="AF188" s="1"/>
    </row>
    <row r="189" spans="11:32" x14ac:dyDescent="0.45">
      <c r="K189" s="40">
        <f t="shared" si="42"/>
        <v>1.64</v>
      </c>
      <c r="L189" s="41">
        <f t="shared" si="34"/>
        <v>21.64</v>
      </c>
      <c r="M189">
        <f t="shared" si="43"/>
        <v>0.93471840581675181</v>
      </c>
      <c r="N189">
        <f t="shared" si="44"/>
        <v>6.5281594183248595E-2</v>
      </c>
      <c r="O189">
        <f t="shared" si="35"/>
        <v>6.4551957337869351E-2</v>
      </c>
      <c r="P189">
        <f t="shared" si="36"/>
        <v>0.5</v>
      </c>
      <c r="Q189">
        <f t="shared" si="45"/>
        <v>-2.7697105563579918E-2</v>
      </c>
      <c r="R189" s="6">
        <f t="shared" si="46"/>
        <v>2.7697105563579918E-2</v>
      </c>
      <c r="S189" s="18">
        <f t="shared" si="47"/>
        <v>1.0000000000000004</v>
      </c>
      <c r="T189" s="15"/>
      <c r="U189" s="15"/>
      <c r="V189" s="40">
        <f t="shared" si="48"/>
        <v>8.36</v>
      </c>
      <c r="W189" s="41">
        <f t="shared" si="37"/>
        <v>28.36</v>
      </c>
      <c r="X189">
        <f t="shared" si="49"/>
        <v>-6.9012028796484118E-2</v>
      </c>
      <c r="Y189">
        <f t="shared" si="50"/>
        <v>1.0517251924570428</v>
      </c>
      <c r="Z189" s="33">
        <f t="shared" si="38"/>
        <v>0.11519018654481275</v>
      </c>
      <c r="AA189" s="33">
        <f t="shared" si="39"/>
        <v>0.5</v>
      </c>
      <c r="AB189">
        <f t="shared" si="40"/>
        <v>-8.1693373263853758E-3</v>
      </c>
      <c r="AC189" s="1">
        <f t="shared" si="41"/>
        <v>-0.38704512975038441</v>
      </c>
      <c r="AD189" s="35">
        <f>IF(W189&gt;=FinalAgeForPremium, AE189*Delta-Z189*(Y189-AE189),AE189*Delta+PremiumRevisedForLimitedTerm-Z189*(Y189-AE189))</f>
        <v>2.153973492964413E-2</v>
      </c>
      <c r="AE189" s="35">
        <f>AE188-StepSize*AD188</f>
        <v>2.6244455915226863E-2</v>
      </c>
      <c r="AF189" s="1"/>
    </row>
    <row r="190" spans="11:32" x14ac:dyDescent="0.45">
      <c r="K190" s="40">
        <f t="shared" si="42"/>
        <v>1.65</v>
      </c>
      <c r="L190" s="41">
        <f t="shared" si="34"/>
        <v>21.65</v>
      </c>
      <c r="M190">
        <f t="shared" si="43"/>
        <v>0.93444143476111596</v>
      </c>
      <c r="N190">
        <f t="shared" si="44"/>
        <v>6.5558565238884398E-2</v>
      </c>
      <c r="O190">
        <f t="shared" si="35"/>
        <v>6.460761070453197E-2</v>
      </c>
      <c r="P190">
        <f t="shared" si="36"/>
        <v>0.5</v>
      </c>
      <c r="Q190">
        <f t="shared" si="45"/>
        <v>-2.7592745823788289E-2</v>
      </c>
      <c r="R190" s="6">
        <f t="shared" si="46"/>
        <v>2.7592745823788289E-2</v>
      </c>
      <c r="S190" s="18">
        <f t="shared" si="47"/>
        <v>1.0000000000000004</v>
      </c>
      <c r="T190" s="15"/>
      <c r="U190" s="15"/>
      <c r="V190" s="40">
        <f t="shared" si="48"/>
        <v>8.35</v>
      </c>
      <c r="W190" s="41">
        <f t="shared" si="37"/>
        <v>28.35</v>
      </c>
      <c r="X190">
        <f t="shared" si="49"/>
        <v>-6.893033542322026E-2</v>
      </c>
      <c r="Y190">
        <f t="shared" si="50"/>
        <v>1.0555956437545466</v>
      </c>
      <c r="Z190" s="33">
        <f t="shared" si="38"/>
        <v>0.1150909610570133</v>
      </c>
      <c r="AA190" s="33">
        <f t="shared" si="39"/>
        <v>0.5</v>
      </c>
      <c r="AB190">
        <f t="shared" si="40"/>
        <v>-8.4900987509614473E-3</v>
      </c>
      <c r="AC190" s="1">
        <f t="shared" si="41"/>
        <v>-0.38495722822338918</v>
      </c>
      <c r="AD190" s="35">
        <f>IF(W190&gt;=FinalAgeForPremium, AE190*Delta-Z190*(Y190-AE190),AE190*Delta+PremiumRevisedForLimitedTerm-Z190*(Y190-AE190))</f>
        <v>2.1160474640997878E-2</v>
      </c>
      <c r="AE190" s="35">
        <f>AE189-StepSize*AD189</f>
        <v>2.6029058565930421E-2</v>
      </c>
      <c r="AF190" s="1"/>
    </row>
    <row r="191" spans="11:32" x14ac:dyDescent="0.45">
      <c r="K191" s="40">
        <f t="shared" si="42"/>
        <v>1.66</v>
      </c>
      <c r="L191" s="41">
        <f t="shared" si="34"/>
        <v>21.66</v>
      </c>
      <c r="M191">
        <f t="shared" si="43"/>
        <v>0.93416550730287806</v>
      </c>
      <c r="N191">
        <f t="shared" si="44"/>
        <v>6.5834492697122285E-2</v>
      </c>
      <c r="O191">
        <f t="shared" si="35"/>
        <v>6.4663312052655561E-2</v>
      </c>
      <c r="P191">
        <f t="shared" si="36"/>
        <v>0.5</v>
      </c>
      <c r="Q191">
        <f t="shared" si="45"/>
        <v>-2.7488989358992147E-2</v>
      </c>
      <c r="R191" s="6">
        <f t="shared" si="46"/>
        <v>2.7488989358992147E-2</v>
      </c>
      <c r="S191" s="18">
        <f t="shared" si="47"/>
        <v>1.0000000000000004</v>
      </c>
      <c r="T191" s="15"/>
      <c r="U191" s="15"/>
      <c r="V191" s="40">
        <f t="shared" si="48"/>
        <v>8.34</v>
      </c>
      <c r="W191" s="41">
        <f t="shared" si="37"/>
        <v>28.34</v>
      </c>
      <c r="X191">
        <f t="shared" si="49"/>
        <v>-6.8845434435710645E-2</v>
      </c>
      <c r="Y191">
        <f t="shared" si="50"/>
        <v>1.0594452160367804</v>
      </c>
      <c r="Z191" s="33">
        <f t="shared" si="38"/>
        <v>0.11499182104261854</v>
      </c>
      <c r="AA191" s="33">
        <f t="shared" si="39"/>
        <v>0.5</v>
      </c>
      <c r="AB191">
        <f t="shared" si="40"/>
        <v>-8.8072745876302261E-3</v>
      </c>
      <c r="AC191" s="1">
        <f t="shared" si="41"/>
        <v>-0.38288241396191547</v>
      </c>
      <c r="AD191" s="35">
        <f>IF(W191&gt;=FinalAgeForPremium, AE191*Delta-Z191*(Y191-AE191),AE191*Delta+PremiumRevisedForLimitedTerm-Z191*(Y191-AE191))</f>
        <v>2.0784963507653131E-2</v>
      </c>
      <c r="AE191" s="35">
        <f>AE190-StepSize*AD190</f>
        <v>2.5817453819520442E-2</v>
      </c>
      <c r="AF191" s="1"/>
    </row>
    <row r="192" spans="11:32" x14ac:dyDescent="0.45">
      <c r="K192" s="40">
        <f t="shared" si="42"/>
        <v>1.67</v>
      </c>
      <c r="L192" s="41">
        <f t="shared" si="34"/>
        <v>21.67</v>
      </c>
      <c r="M192">
        <f t="shared" si="43"/>
        <v>0.93389061740928814</v>
      </c>
      <c r="N192">
        <f t="shared" si="44"/>
        <v>6.610938259071221E-2</v>
      </c>
      <c r="O192">
        <f t="shared" si="35"/>
        <v>6.4719061423607255E-2</v>
      </c>
      <c r="P192">
        <f t="shared" si="36"/>
        <v>0.5</v>
      </c>
      <c r="Q192">
        <f t="shared" si="45"/>
        <v>-2.7385832935686118E-2</v>
      </c>
      <c r="R192" s="6">
        <f t="shared" si="46"/>
        <v>2.7385832935686118E-2</v>
      </c>
      <c r="S192" s="18">
        <f t="shared" si="47"/>
        <v>1.0000000000000004</v>
      </c>
      <c r="T192" s="15"/>
      <c r="U192" s="15"/>
      <c r="V192" s="40">
        <f t="shared" si="48"/>
        <v>8.33</v>
      </c>
      <c r="W192" s="41">
        <f t="shared" si="37"/>
        <v>28.33</v>
      </c>
      <c r="X192">
        <f t="shared" si="49"/>
        <v>-6.8757361689834345E-2</v>
      </c>
      <c r="Y192">
        <f t="shared" si="50"/>
        <v>1.0632740401763996</v>
      </c>
      <c r="Z192" s="33">
        <f t="shared" si="38"/>
        <v>0.1148927664280011</v>
      </c>
      <c r="AA192" s="33">
        <f t="shared" si="39"/>
        <v>0.5</v>
      </c>
      <c r="AB192">
        <f t="shared" si="40"/>
        <v>-9.120893830923904E-3</v>
      </c>
      <c r="AC192" s="1">
        <f t="shared" si="41"/>
        <v>-0.38082059705806304</v>
      </c>
      <c r="AD192" s="35">
        <f>IF(W192&gt;=FinalAgeForPremium, AE192*Delta-Z192*(Y192-AE192),AE192*Delta+PremiumRevisedForLimitedTerm-Z192*(Y192-AE192))</f>
        <v>2.0413172008401467E-2</v>
      </c>
      <c r="AE192" s="35">
        <f>AE191-StepSize*AD191</f>
        <v>2.5609604184443909E-2</v>
      </c>
      <c r="AF192" s="1"/>
    </row>
    <row r="193" spans="11:32" x14ac:dyDescent="0.45">
      <c r="K193" s="40">
        <f t="shared" si="42"/>
        <v>1.68</v>
      </c>
      <c r="L193" s="41">
        <f t="shared" si="34"/>
        <v>21.68</v>
      </c>
      <c r="M193">
        <f t="shared" si="43"/>
        <v>0.93361675907993125</v>
      </c>
      <c r="N193">
        <f t="shared" si="44"/>
        <v>6.6383240920069073E-2</v>
      </c>
      <c r="O193">
        <f t="shared" si="35"/>
        <v>6.4774858858789836E-2</v>
      </c>
      <c r="P193">
        <f t="shared" si="36"/>
        <v>0.5</v>
      </c>
      <c r="Q193">
        <f t="shared" si="45"/>
        <v>-2.7283273337568803E-2</v>
      </c>
      <c r="R193" s="6">
        <f t="shared" si="46"/>
        <v>2.7283273337568803E-2</v>
      </c>
      <c r="S193" s="18">
        <f t="shared" si="47"/>
        <v>1.0000000000000002</v>
      </c>
      <c r="T193" s="15"/>
      <c r="U193" s="15"/>
      <c r="V193" s="40">
        <f t="shared" si="48"/>
        <v>8.32</v>
      </c>
      <c r="W193" s="41">
        <f t="shared" si="37"/>
        <v>28.32</v>
      </c>
      <c r="X193">
        <f t="shared" si="49"/>
        <v>-6.86661527515251E-2</v>
      </c>
      <c r="Y193">
        <f t="shared" si="50"/>
        <v>1.0670822461469802</v>
      </c>
      <c r="Z193" s="33">
        <f t="shared" si="38"/>
        <v>0.11479379713959725</v>
      </c>
      <c r="AA193" s="33">
        <f t="shared" si="39"/>
        <v>0.5</v>
      </c>
      <c r="AB193">
        <f t="shared" si="40"/>
        <v>-9.4309852450059906E-3</v>
      </c>
      <c r="AC193" s="1">
        <f t="shared" si="41"/>
        <v>-0.37877168824339835</v>
      </c>
      <c r="AD193" s="35">
        <f>IF(W193&gt;=FinalAgeForPremium, AE193*Delta-Z193*(Y193-AE193),AE193*Delta+PremiumRevisedForLimitedTerm-Z193*(Y193-AE193))</f>
        <v>2.0045070854311675E-2</v>
      </c>
      <c r="AE193" s="35">
        <f>AE192-StepSize*AD192</f>
        <v>2.5405472464359896E-2</v>
      </c>
      <c r="AF193" s="1"/>
    </row>
    <row r="194" spans="11:32" x14ac:dyDescent="0.45">
      <c r="K194" s="40">
        <f t="shared" si="42"/>
        <v>1.69</v>
      </c>
      <c r="L194" s="41">
        <f t="shared" si="34"/>
        <v>21.69</v>
      </c>
      <c r="M194">
        <f t="shared" si="43"/>
        <v>0.93334392634655561</v>
      </c>
      <c r="N194">
        <f t="shared" si="44"/>
        <v>6.6656073653444767E-2</v>
      </c>
      <c r="O194">
        <f t="shared" si="35"/>
        <v>6.4830704399641836E-2</v>
      </c>
      <c r="P194">
        <f t="shared" si="36"/>
        <v>0.5</v>
      </c>
      <c r="Q194">
        <f t="shared" si="45"/>
        <v>-2.7181307365452247E-2</v>
      </c>
      <c r="R194" s="6">
        <f t="shared" si="46"/>
        <v>2.7181307365452247E-2</v>
      </c>
      <c r="S194" s="18">
        <f t="shared" si="47"/>
        <v>1.0000000000000004</v>
      </c>
      <c r="T194" s="15"/>
      <c r="U194" s="15"/>
      <c r="V194" s="40">
        <f t="shared" si="48"/>
        <v>8.31</v>
      </c>
      <c r="W194" s="41">
        <f t="shared" si="37"/>
        <v>28.310000000000002</v>
      </c>
      <c r="X194">
        <f t="shared" si="49"/>
        <v>-6.8571842899075044E-2</v>
      </c>
      <c r="Y194">
        <f t="shared" si="50"/>
        <v>1.0708699630294143</v>
      </c>
      <c r="Z194" s="33">
        <f t="shared" si="38"/>
        <v>0.11469491310390652</v>
      </c>
      <c r="AA194" s="33">
        <f t="shared" si="39"/>
        <v>0.5</v>
      </c>
      <c r="AB194">
        <f t="shared" si="40"/>
        <v>-9.7375773655325043E-3</v>
      </c>
      <c r="AC194" s="1">
        <f t="shared" si="41"/>
        <v>-0.37673559888428454</v>
      </c>
      <c r="AD194" s="35">
        <f>IF(W194&gt;=FinalAgeForPremium, AE194*Delta-Z194*(Y194-AE194),AE194*Delta+PremiumRevisedForLimitedTerm-Z194*(Y194-AE194))</f>
        <v>1.9680630986860626E-2</v>
      </c>
      <c r="AE194" s="35">
        <f>AE193-StepSize*AD193</f>
        <v>2.5205021755816778E-2</v>
      </c>
      <c r="AF194" s="1"/>
    </row>
    <row r="195" spans="11:32" x14ac:dyDescent="0.45">
      <c r="K195" s="40">
        <f t="shared" si="42"/>
        <v>1.7</v>
      </c>
      <c r="L195" s="41">
        <f t="shared" si="34"/>
        <v>21.7</v>
      </c>
      <c r="M195">
        <f t="shared" si="43"/>
        <v>0.93307211327290107</v>
      </c>
      <c r="N195">
        <f t="shared" si="44"/>
        <v>6.6927886727099289E-2</v>
      </c>
      <c r="O195">
        <f t="shared" si="35"/>
        <v>6.4886598087637457E-2</v>
      </c>
      <c r="P195">
        <f t="shared" si="36"/>
        <v>0.5</v>
      </c>
      <c r="Q195">
        <f t="shared" si="45"/>
        <v>-2.7079931837171618E-2</v>
      </c>
      <c r="R195" s="6">
        <f t="shared" si="46"/>
        <v>2.7079931837171618E-2</v>
      </c>
      <c r="S195" s="18">
        <f t="shared" si="47"/>
        <v>1.0000000000000004</v>
      </c>
      <c r="T195" s="15"/>
      <c r="U195" s="15"/>
      <c r="V195" s="40">
        <f t="shared" si="48"/>
        <v>8.3000000000000007</v>
      </c>
      <c r="W195" s="41">
        <f t="shared" si="37"/>
        <v>28.3</v>
      </c>
      <c r="X195">
        <f t="shared" si="49"/>
        <v>-6.8474467125419713E-2</v>
      </c>
      <c r="Y195">
        <f t="shared" si="50"/>
        <v>1.0746373190182572</v>
      </c>
      <c r="Z195" s="33">
        <f t="shared" si="38"/>
        <v>0.11459611424749153</v>
      </c>
      <c r="AA195" s="33">
        <f t="shared" si="39"/>
        <v>0.5</v>
      </c>
      <c r="AB195">
        <f t="shared" si="40"/>
        <v>-1.0040698501498246E-2</v>
      </c>
      <c r="AC195" s="1">
        <f t="shared" si="41"/>
        <v>-0.37471224097724865</v>
      </c>
      <c r="AD195" s="35">
        <f>IF(W195&gt;=FinalAgeForPremium, AE195*Delta-Z195*(Y195-AE195),AE195*Delta+PremiumRevisedForLimitedTerm-Z195*(Y195-AE195))</f>
        <v>1.931982357607949E-2</v>
      </c>
      <c r="AE195" s="35">
        <f>AE194-StepSize*AD194</f>
        <v>2.5008215445948171E-2</v>
      </c>
      <c r="AF195" s="1"/>
    </row>
    <row r="196" spans="11:32" x14ac:dyDescent="0.45">
      <c r="K196" s="40">
        <f t="shared" si="42"/>
        <v>1.71</v>
      </c>
      <c r="L196" s="41">
        <f t="shared" si="34"/>
        <v>21.71</v>
      </c>
      <c r="M196">
        <f t="shared" si="43"/>
        <v>0.93280131395452937</v>
      </c>
      <c r="N196">
        <f t="shared" si="44"/>
        <v>6.7198686045471009E-2</v>
      </c>
      <c r="O196">
        <f t="shared" si="35"/>
        <v>6.4942539964286686E-2</v>
      </c>
      <c r="P196">
        <f t="shared" si="36"/>
        <v>0.5</v>
      </c>
      <c r="Q196">
        <f t="shared" si="45"/>
        <v>-2.6979143587495653E-2</v>
      </c>
      <c r="R196" s="6">
        <f t="shared" si="46"/>
        <v>2.6979143587495653E-2</v>
      </c>
      <c r="S196" s="18">
        <f t="shared" si="47"/>
        <v>1.0000000000000004</v>
      </c>
      <c r="T196" s="15"/>
      <c r="U196" s="15"/>
      <c r="V196" s="40">
        <f t="shared" si="48"/>
        <v>8.2899999999999991</v>
      </c>
      <c r="W196" s="41">
        <f t="shared" si="37"/>
        <v>28.29</v>
      </c>
      <c r="X196">
        <f t="shared" si="49"/>
        <v>-6.837406014040473E-2</v>
      </c>
      <c r="Y196">
        <f t="shared" si="50"/>
        <v>1.0783844414280297</v>
      </c>
      <c r="Z196" s="33">
        <f t="shared" si="38"/>
        <v>0.1144974004969785</v>
      </c>
      <c r="AA196" s="33">
        <f t="shared" si="39"/>
        <v>0.5</v>
      </c>
      <c r="AB196">
        <f t="shared" si="40"/>
        <v>-1.0340376737068571E-2</v>
      </c>
      <c r="AC196" s="1">
        <f t="shared" si="41"/>
        <v>-0.37270152714438121</v>
      </c>
      <c r="AD196" s="35">
        <f>IF(W196&gt;=FinalAgeForPremium, AE196*Delta-Z196*(Y196-AE196),AE196*Delta+PremiumRevisedForLimitedTerm-Z196*(Y196-AE196))</f>
        <v>1.8962620018714571E-2</v>
      </c>
      <c r="AE196" s="35">
        <f>AE195-StepSize*AD195</f>
        <v>2.4815017210187376E-2</v>
      </c>
      <c r="AF196" s="1"/>
    </row>
    <row r="197" spans="11:32" x14ac:dyDescent="0.45">
      <c r="K197" s="40">
        <f t="shared" si="42"/>
        <v>1.72</v>
      </c>
      <c r="L197" s="41">
        <f t="shared" si="34"/>
        <v>21.72</v>
      </c>
      <c r="M197">
        <f t="shared" si="43"/>
        <v>0.93253152251865445</v>
      </c>
      <c r="N197">
        <f t="shared" si="44"/>
        <v>6.7468477481345962E-2</v>
      </c>
      <c r="O197">
        <f t="shared" si="35"/>
        <v>6.4998530071135305E-2</v>
      </c>
      <c r="P197">
        <f t="shared" si="36"/>
        <v>0.5</v>
      </c>
      <c r="Q197">
        <f t="shared" si="45"/>
        <v>-2.687893946803737E-2</v>
      </c>
      <c r="R197" s="6">
        <f t="shared" si="46"/>
        <v>2.687893946803737E-2</v>
      </c>
      <c r="S197" s="18">
        <f t="shared" si="47"/>
        <v>1.0000000000000004</v>
      </c>
      <c r="T197" s="15"/>
      <c r="U197" s="15"/>
      <c r="V197" s="40">
        <f t="shared" si="48"/>
        <v>8.2799999999999994</v>
      </c>
      <c r="W197" s="41">
        <f t="shared" si="37"/>
        <v>28.28</v>
      </c>
      <c r="X197">
        <f t="shared" si="49"/>
        <v>-6.8270656373034047E-2</v>
      </c>
      <c r="Y197">
        <f t="shared" si="50"/>
        <v>1.0821114566994736</v>
      </c>
      <c r="Z197" s="33">
        <f t="shared" si="38"/>
        <v>0.1143987717790568</v>
      </c>
      <c r="AA197" s="33">
        <f t="shared" si="39"/>
        <v>0.5</v>
      </c>
      <c r="AB197">
        <f t="shared" si="40"/>
        <v>-1.0636639933394934E-2</v>
      </c>
      <c r="AC197" s="1">
        <f t="shared" si="41"/>
        <v>-0.37070337062877257</v>
      </c>
      <c r="AD197" s="35">
        <f>IF(W197&gt;=FinalAgeForPremium, AE197*Delta-Z197*(Y197-AE197),AE197*Delta+PremiumRevisedForLimitedTerm-Z197*(Y197-AE197))</f>
        <v>1.8608991936403821E-2</v>
      </c>
      <c r="AE197" s="35">
        <f>AE196-StepSize*AD196</f>
        <v>2.462539101000023E-2</v>
      </c>
      <c r="AF197" s="1"/>
    </row>
    <row r="198" spans="11:32" x14ac:dyDescent="0.45">
      <c r="K198" s="40">
        <f t="shared" si="42"/>
        <v>1.73</v>
      </c>
      <c r="L198" s="41">
        <f t="shared" si="34"/>
        <v>21.73</v>
      </c>
      <c r="M198">
        <f t="shared" si="43"/>
        <v>0.93226273312397412</v>
      </c>
      <c r="N198">
        <f t="shared" si="44"/>
        <v>6.7737266876026339E-2</v>
      </c>
      <c r="O198">
        <f t="shared" si="35"/>
        <v>6.5054568449764899E-2</v>
      </c>
      <c r="P198">
        <f t="shared" si="36"/>
        <v>0.5</v>
      </c>
      <c r="Q198">
        <f t="shared" si="45"/>
        <v>-2.6779316347165308E-2</v>
      </c>
      <c r="R198" s="6">
        <f t="shared" si="46"/>
        <v>2.6779316347165308E-2</v>
      </c>
      <c r="S198" s="18">
        <f t="shared" si="47"/>
        <v>1.0000000000000004</v>
      </c>
      <c r="T198" s="15"/>
      <c r="U198" s="15"/>
      <c r="V198" s="40">
        <f t="shared" si="48"/>
        <v>8.27</v>
      </c>
      <c r="W198" s="41">
        <f t="shared" si="37"/>
        <v>28.27</v>
      </c>
      <c r="X198">
        <f t="shared" si="49"/>
        <v>-6.8164289973700096E-2</v>
      </c>
      <c r="Y198">
        <f t="shared" si="50"/>
        <v>1.0858184904057613</v>
      </c>
      <c r="Z198" s="33">
        <f t="shared" si="38"/>
        <v>0.11430022802047869</v>
      </c>
      <c r="AA198" s="33">
        <f t="shared" si="39"/>
        <v>0.5</v>
      </c>
      <c r="AB198">
        <f t="shared" si="40"/>
        <v>-1.0929515730415743E-2</v>
      </c>
      <c r="AC198" s="1">
        <f t="shared" si="41"/>
        <v>-0.36871768528998128</v>
      </c>
      <c r="AD198" s="35">
        <f>IF(W198&gt;=FinalAgeForPremium, AE198*Delta-Z198*(Y198-AE198),AE198*Delta+PremiumRevisedForLimitedTerm-Z198*(Y198-AE198))</f>
        <v>1.8258911173868755E-2</v>
      </c>
      <c r="AE198" s="35">
        <f>AE197-StepSize*AD197</f>
        <v>2.4439301090636193E-2</v>
      </c>
      <c r="AF198" s="1"/>
    </row>
    <row r="199" spans="11:32" x14ac:dyDescent="0.45">
      <c r="K199" s="40">
        <f t="shared" si="42"/>
        <v>1.74</v>
      </c>
      <c r="L199" s="41">
        <f t="shared" si="34"/>
        <v>21.74</v>
      </c>
      <c r="M199">
        <f t="shared" si="43"/>
        <v>0.93199493996050242</v>
      </c>
      <c r="N199">
        <f t="shared" si="44"/>
        <v>6.8005060039497994E-2</v>
      </c>
      <c r="O199">
        <f t="shared" si="35"/>
        <v>6.5110655141792886E-2</v>
      </c>
      <c r="P199">
        <f t="shared" si="36"/>
        <v>0.5</v>
      </c>
      <c r="Q199">
        <f t="shared" si="45"/>
        <v>-2.6680271109915242E-2</v>
      </c>
      <c r="R199" s="6">
        <f t="shared" si="46"/>
        <v>2.6680271109915242E-2</v>
      </c>
      <c r="S199" s="18">
        <f t="shared" si="47"/>
        <v>1.0000000000000004</v>
      </c>
      <c r="T199" s="15"/>
      <c r="U199" s="15"/>
      <c r="V199" s="40">
        <f t="shared" si="48"/>
        <v>8.26</v>
      </c>
      <c r="W199" s="41">
        <f t="shared" si="37"/>
        <v>28.259999999999998</v>
      </c>
      <c r="X199">
        <f t="shared" si="49"/>
        <v>-6.8054994816395945E-2</v>
      </c>
      <c r="Y199">
        <f t="shared" si="50"/>
        <v>1.0895056672586612</v>
      </c>
      <c r="Z199" s="33">
        <f t="shared" si="38"/>
        <v>0.11420176914805978</v>
      </c>
      <c r="AA199" s="33">
        <f t="shared" si="39"/>
        <v>0.5</v>
      </c>
      <c r="AB199">
        <f t="shared" si="40"/>
        <v>-1.1219031548643038E-2</v>
      </c>
      <c r="AC199" s="1">
        <f t="shared" si="41"/>
        <v>-0.36674438559953837</v>
      </c>
      <c r="AD199" s="35">
        <f>IF(W199&gt;=FinalAgeForPremium, AE199*Delta-Z199*(Y199-AE199),AE199*Delta+PremiumRevisedForLimitedTerm-Z199*(Y199-AE199))</f>
        <v>1.7912349797119975E-2</v>
      </c>
      <c r="AE199" s="35">
        <f>AE198-StepSize*AD198</f>
        <v>2.4256711978897505E-2</v>
      </c>
      <c r="AF199" s="1"/>
    </row>
    <row r="200" spans="11:32" x14ac:dyDescent="0.45">
      <c r="K200" s="40">
        <f t="shared" si="42"/>
        <v>1.75</v>
      </c>
      <c r="L200" s="41">
        <f t="shared" si="34"/>
        <v>21.75</v>
      </c>
      <c r="M200">
        <f t="shared" si="43"/>
        <v>0.93172813724940329</v>
      </c>
      <c r="N200">
        <f t="shared" si="44"/>
        <v>6.8271862750597143E-2</v>
      </c>
      <c r="O200">
        <f t="shared" si="35"/>
        <v>6.5166790188872628E-2</v>
      </c>
      <c r="P200">
        <f t="shared" si="36"/>
        <v>0.5</v>
      </c>
      <c r="Q200">
        <f t="shared" si="45"/>
        <v>-2.6581800657902416E-2</v>
      </c>
      <c r="R200" s="6">
        <f t="shared" si="46"/>
        <v>2.6581800657902416E-2</v>
      </c>
      <c r="S200" s="18">
        <f t="shared" si="47"/>
        <v>1.0000000000000004</v>
      </c>
      <c r="T200" s="15"/>
      <c r="U200" s="15"/>
      <c r="V200" s="40">
        <f t="shared" si="48"/>
        <v>8.25</v>
      </c>
      <c r="W200" s="41">
        <f t="shared" si="37"/>
        <v>28.25</v>
      </c>
      <c r="X200">
        <f t="shared" si="49"/>
        <v>-6.7942804500909518E-2</v>
      </c>
      <c r="Y200">
        <f t="shared" si="50"/>
        <v>1.0931731111146565</v>
      </c>
      <c r="Z200" s="33">
        <f t="shared" si="38"/>
        <v>0.11410339508867877</v>
      </c>
      <c r="AA200" s="33">
        <f t="shared" si="39"/>
        <v>0.5</v>
      </c>
      <c r="AB200">
        <f t="shared" si="40"/>
        <v>-1.1505214590933746E-2</v>
      </c>
      <c r="AC200" s="1">
        <f t="shared" si="41"/>
        <v>-0.36478338663648413</v>
      </c>
      <c r="AD200" s="35">
        <f>IF(W200&gt;=FinalAgeForPremium, AE200*Delta-Z200*(Y200-AE200),AE200*Delta+PremiumRevisedForLimitedTerm-Z200*(Y200-AE200))</f>
        <v>1.7569280091678824E-2</v>
      </c>
      <c r="AE200" s="35">
        <f>AE199-StepSize*AD199</f>
        <v>2.4077588480926306E-2</v>
      </c>
      <c r="AF200" s="1"/>
    </row>
    <row r="201" spans="11:32" x14ac:dyDescent="0.45">
      <c r="K201" s="40">
        <f t="shared" si="42"/>
        <v>1.76</v>
      </c>
      <c r="L201" s="41">
        <f t="shared" si="34"/>
        <v>21.76</v>
      </c>
      <c r="M201">
        <f t="shared" si="43"/>
        <v>0.9314623192428243</v>
      </c>
      <c r="N201">
        <f t="shared" si="44"/>
        <v>6.8537680757176173E-2</v>
      </c>
      <c r="O201">
        <f t="shared" si="35"/>
        <v>6.5222973632693318E-2</v>
      </c>
      <c r="P201">
        <f t="shared" si="36"/>
        <v>0.5</v>
      </c>
      <c r="Q201">
        <f t="shared" si="45"/>
        <v>-2.6483901909234012E-2</v>
      </c>
      <c r="R201" s="6">
        <f t="shared" si="46"/>
        <v>2.6483901909234012E-2</v>
      </c>
      <c r="S201" s="18">
        <f t="shared" si="47"/>
        <v>1.0000000000000004</v>
      </c>
      <c r="T201" s="15"/>
      <c r="U201" s="15"/>
      <c r="V201" s="40">
        <f t="shared" si="48"/>
        <v>8.24</v>
      </c>
      <c r="W201" s="41">
        <f t="shared" si="37"/>
        <v>28.240000000000002</v>
      </c>
      <c r="X201">
        <f t="shared" si="49"/>
        <v>-6.7827752355000187E-2</v>
      </c>
      <c r="Y201">
        <f t="shared" si="50"/>
        <v>1.0968209449810213</v>
      </c>
      <c r="Z201" s="33">
        <f t="shared" si="38"/>
        <v>0.11400510576927703</v>
      </c>
      <c r="AA201" s="33">
        <f t="shared" si="39"/>
        <v>0.5</v>
      </c>
      <c r="AB201">
        <f t="shared" si="40"/>
        <v>-1.1788091844246187E-2</v>
      </c>
      <c r="AC201" s="1">
        <f t="shared" si="41"/>
        <v>-0.36283460408293822</v>
      </c>
      <c r="AD201" s="35">
        <f>IF(W201&gt;=FinalAgeForPremium, AE201*Delta-Z201*(Y201-AE201),AE201*Delta+PremiumRevisedForLimitedTerm-Z201*(Y201-AE201))</f>
        <v>1.7229674560813008E-2</v>
      </c>
      <c r="AE201" s="35">
        <f>AE200-StepSize*AD200</f>
        <v>2.3901895680009517E-2</v>
      </c>
      <c r="AF201" s="1"/>
    </row>
    <row r="202" spans="11:32" x14ac:dyDescent="0.45">
      <c r="K202" s="40">
        <f t="shared" si="42"/>
        <v>1.77</v>
      </c>
      <c r="L202" s="41">
        <f t="shared" si="34"/>
        <v>21.77</v>
      </c>
      <c r="M202">
        <f t="shared" si="43"/>
        <v>0.93119748022373194</v>
      </c>
      <c r="N202">
        <f t="shared" si="44"/>
        <v>6.8802519776268514E-2</v>
      </c>
      <c r="O202">
        <f t="shared" si="35"/>
        <v>6.5279205514980135E-2</v>
      </c>
      <c r="P202">
        <f t="shared" si="36"/>
        <v>0.5</v>
      </c>
      <c r="Q202">
        <f t="shared" si="45"/>
        <v>-2.6386571798422388E-2</v>
      </c>
      <c r="R202" s="6">
        <f t="shared" si="46"/>
        <v>2.6386571798422388E-2</v>
      </c>
      <c r="S202" s="18">
        <f t="shared" si="47"/>
        <v>1.0000000000000004</v>
      </c>
      <c r="T202" s="15"/>
      <c r="U202" s="15"/>
      <c r="V202" s="40">
        <f t="shared" si="48"/>
        <v>8.23</v>
      </c>
      <c r="W202" s="41">
        <f t="shared" si="37"/>
        <v>28.23</v>
      </c>
      <c r="X202">
        <f t="shared" si="49"/>
        <v>-6.7709871436557725E-2</v>
      </c>
      <c r="Y202">
        <f t="shared" si="50"/>
        <v>1.1004492910218506</v>
      </c>
      <c r="Z202" s="33">
        <f t="shared" si="38"/>
        <v>0.1139069011168591</v>
      </c>
      <c r="AA202" s="33">
        <f t="shared" si="39"/>
        <v>0.5</v>
      </c>
      <c r="AB202">
        <f t="shared" si="40"/>
        <v>-1.2067690081383101E-2</v>
      </c>
      <c r="AC202" s="1">
        <f t="shared" si="41"/>
        <v>-0.36089795421970328</v>
      </c>
      <c r="AD202" s="35">
        <f>IF(W202&gt;=FinalAgeForPremium, AE202*Delta-Z202*(Y202-AE202),AE202*Delta+PremiumRevisedForLimitedTerm-Z202*(Y202-AE202))</f>
        <v>1.6893505923786564E-2</v>
      </c>
      <c r="AE202" s="35">
        <f>AE201-StepSize*AD201</f>
        <v>2.3729598934401387E-2</v>
      </c>
      <c r="AF202" s="1"/>
    </row>
    <row r="203" spans="11:32" x14ac:dyDescent="0.45">
      <c r="K203" s="40">
        <f t="shared" si="42"/>
        <v>1.78</v>
      </c>
      <c r="L203" s="41">
        <f t="shared" si="34"/>
        <v>21.78</v>
      </c>
      <c r="M203">
        <f t="shared" si="43"/>
        <v>0.93093361450574774</v>
      </c>
      <c r="N203">
        <f t="shared" si="44"/>
        <v>6.9066385494252744E-2</v>
      </c>
      <c r="O203">
        <f t="shared" si="35"/>
        <v>6.5335485877494243E-2</v>
      </c>
      <c r="P203">
        <f t="shared" si="36"/>
        <v>0.5</v>
      </c>
      <c r="Q203">
        <f t="shared" si="45"/>
        <v>-2.628980727629858E-2</v>
      </c>
      <c r="R203" s="6">
        <f t="shared" si="46"/>
        <v>2.628980727629858E-2</v>
      </c>
      <c r="S203" s="18">
        <f t="shared" si="47"/>
        <v>1.0000000000000004</v>
      </c>
      <c r="T203" s="15"/>
      <c r="U203" s="15"/>
      <c r="V203" s="40">
        <f t="shared" si="48"/>
        <v>8.2200000000000006</v>
      </c>
      <c r="W203" s="41">
        <f t="shared" si="37"/>
        <v>28.22</v>
      </c>
      <c r="X203">
        <f t="shared" si="49"/>
        <v>-6.7589194535743899E-2</v>
      </c>
      <c r="Y203">
        <f t="shared" si="50"/>
        <v>1.1040582705640476</v>
      </c>
      <c r="Z203" s="33">
        <f t="shared" si="38"/>
        <v>0.11380878105849246</v>
      </c>
      <c r="AA203" s="33">
        <f t="shared" si="39"/>
        <v>0.5</v>
      </c>
      <c r="AB203">
        <f t="shared" si="40"/>
        <v>-1.2344035862719399E-2</v>
      </c>
      <c r="AC203" s="1">
        <f t="shared" si="41"/>
        <v>-0.35897335392190188</v>
      </c>
      <c r="AD203" s="35">
        <f>IF(W203&gt;=FinalAgeForPremium, AE203*Delta-Z203*(Y203-AE203),AE203*Delta+PremiumRevisedForLimitedTerm-Z203*(Y203-AE203))</f>
        <v>1.6560747114124405E-2</v>
      </c>
      <c r="AE203" s="35">
        <f>AE202-StepSize*AD202</f>
        <v>2.3560663875163521E-2</v>
      </c>
      <c r="AF203" s="1"/>
    </row>
    <row r="204" spans="11:32" x14ac:dyDescent="0.45">
      <c r="K204" s="40">
        <f t="shared" si="42"/>
        <v>1.79</v>
      </c>
      <c r="L204" s="41">
        <f t="shared" si="34"/>
        <v>21.79</v>
      </c>
      <c r="M204">
        <f t="shared" si="43"/>
        <v>0.93067071643298471</v>
      </c>
      <c r="N204">
        <f t="shared" si="44"/>
        <v>6.9329283567015731E-2</v>
      </c>
      <c r="O204">
        <f t="shared" si="35"/>
        <v>6.5391814762032749E-2</v>
      </c>
      <c r="P204">
        <f t="shared" si="36"/>
        <v>0.5</v>
      </c>
      <c r="Q204">
        <f t="shared" si="45"/>
        <v>-2.6193605309926177E-2</v>
      </c>
      <c r="R204" s="6">
        <f t="shared" si="46"/>
        <v>2.6193605309926177E-2</v>
      </c>
      <c r="S204" s="18">
        <f t="shared" si="47"/>
        <v>1.0000000000000004</v>
      </c>
      <c r="T204" s="15"/>
      <c r="U204" s="15"/>
      <c r="V204" s="40">
        <f t="shared" si="48"/>
        <v>8.2100000000000009</v>
      </c>
      <c r="W204" s="41">
        <f t="shared" si="37"/>
        <v>28.21</v>
      </c>
      <c r="X204">
        <f t="shared" si="49"/>
        <v>-6.7465754177116699E-2</v>
      </c>
      <c r="Y204">
        <f t="shared" si="50"/>
        <v>1.1076480041032666</v>
      </c>
      <c r="Z204" s="33">
        <f t="shared" si="38"/>
        <v>0.11371074552130721</v>
      </c>
      <c r="AA204" s="33">
        <f t="shared" si="39"/>
        <v>0.5</v>
      </c>
      <c r="AB204">
        <f t="shared" si="40"/>
        <v>-1.2617155537915745E-2</v>
      </c>
      <c r="AC204" s="1">
        <f t="shared" si="41"/>
        <v>-0.35706072065464511</v>
      </c>
      <c r="AD204" s="35">
        <f>IF(W204&gt;=FinalAgeForPremium, AE204*Delta-Z204*(Y204-AE204),AE204*Delta+PremiumRevisedForLimitedTerm-Z204*(Y204-AE204))</f>
        <v>1.6231371277891676E-2</v>
      </c>
      <c r="AE204" s="35">
        <f>AE203-StepSize*AD203</f>
        <v>2.3395056404022275E-2</v>
      </c>
      <c r="AF204" s="1"/>
    </row>
    <row r="205" spans="11:32" x14ac:dyDescent="0.45">
      <c r="K205" s="40">
        <f t="shared" si="42"/>
        <v>1.8</v>
      </c>
      <c r="L205" s="41">
        <f t="shared" si="34"/>
        <v>21.8</v>
      </c>
      <c r="M205">
        <f t="shared" si="43"/>
        <v>0.9304087803798855</v>
      </c>
      <c r="N205">
        <f t="shared" si="44"/>
        <v>6.9591219620114997E-2</v>
      </c>
      <c r="O205">
        <f t="shared" si="35"/>
        <v>6.5448192210428927E-2</v>
      </c>
      <c r="P205">
        <f t="shared" si="36"/>
        <v>0.5</v>
      </c>
      <c r="Q205">
        <f t="shared" si="45"/>
        <v>-2.6097962882516E-2</v>
      </c>
      <c r="R205" s="6">
        <f t="shared" si="46"/>
        <v>2.6097962882516E-2</v>
      </c>
      <c r="S205" s="18">
        <f t="shared" si="47"/>
        <v>1.0000000000000004</v>
      </c>
      <c r="T205" s="15"/>
      <c r="U205" s="15"/>
      <c r="V205" s="40">
        <f t="shared" si="48"/>
        <v>8.1999999999999993</v>
      </c>
      <c r="W205" s="41">
        <f t="shared" si="37"/>
        <v>28.2</v>
      </c>
      <c r="X205">
        <f t="shared" si="49"/>
        <v>-6.7339582621737545E-2</v>
      </c>
      <c r="Y205">
        <f t="shared" si="50"/>
        <v>1.111218611309813</v>
      </c>
      <c r="Z205" s="33">
        <f t="shared" si="38"/>
        <v>0.11361279443249629</v>
      </c>
      <c r="AA205" s="33">
        <f t="shared" si="39"/>
        <v>0.5</v>
      </c>
      <c r="AB205">
        <f t="shared" si="40"/>
        <v>-1.2887075247618576E-2</v>
      </c>
      <c r="AC205" s="1">
        <f t="shared" si="41"/>
        <v>-0.3551599724687341</v>
      </c>
      <c r="AD205" s="35">
        <f>IF(W205&gt;=FinalAgeForPremium, AE205*Delta-Z205*(Y205-AE205),AE205*Delta+PremiumRevisedForLimitedTerm-Z205*(Y205-AE205))</f>
        <v>1.5905351771986223E-2</v>
      </c>
      <c r="AE205" s="35">
        <f>AE204-StepSize*AD204</f>
        <v>2.3232742691243358E-2</v>
      </c>
      <c r="AF205" s="1"/>
    </row>
    <row r="206" spans="11:32" x14ac:dyDescent="0.45">
      <c r="K206" s="40">
        <f t="shared" si="42"/>
        <v>1.81</v>
      </c>
      <c r="L206" s="41">
        <f t="shared" si="34"/>
        <v>21.81</v>
      </c>
      <c r="M206">
        <f t="shared" si="43"/>
        <v>0.93014780075106029</v>
      </c>
      <c r="N206">
        <f t="shared" si="44"/>
        <v>6.985219924894015E-2</v>
      </c>
      <c r="O206">
        <f t="shared" si="35"/>
        <v>6.5504618264551923E-2</v>
      </c>
      <c r="P206">
        <f t="shared" si="36"/>
        <v>0.5</v>
      </c>
      <c r="Q206">
        <f t="shared" si="45"/>
        <v>-2.6002876993340633E-2</v>
      </c>
      <c r="R206" s="6">
        <f t="shared" si="46"/>
        <v>2.6002876993340633E-2</v>
      </c>
      <c r="S206" s="18">
        <f t="shared" si="47"/>
        <v>1.0000000000000004</v>
      </c>
      <c r="T206" s="15"/>
      <c r="U206" s="15"/>
      <c r="V206" s="40">
        <f t="shared" si="48"/>
        <v>8.19</v>
      </c>
      <c r="W206" s="41">
        <f t="shared" si="37"/>
        <v>28.189999999999998</v>
      </c>
      <c r="X206">
        <f t="shared" si="49"/>
        <v>-6.7210711869261364E-2</v>
      </c>
      <c r="Y206">
        <f t="shared" si="50"/>
        <v>1.1147702110345004</v>
      </c>
      <c r="Z206" s="33">
        <f t="shared" si="38"/>
        <v>0.1135149277193155</v>
      </c>
      <c r="AA206" s="33">
        <f t="shared" si="39"/>
        <v>0.5</v>
      </c>
      <c r="AB206">
        <f t="shared" si="40"/>
        <v>-1.3153820925145721E-2</v>
      </c>
      <c r="AC206" s="1">
        <f t="shared" si="41"/>
        <v>-0.3532710279963942</v>
      </c>
      <c r="AD206" s="35">
        <f>IF(W206&gt;=FinalAgeForPremium, AE206*Delta-Z206*(Y206-AE206),AE206*Delta+PremiumRevisedForLimitedTerm-Z206*(Y206-AE206))</f>
        <v>1.558266216244579E-2</v>
      </c>
      <c r="AE206" s="35">
        <f>AE205-StepSize*AD205</f>
        <v>2.3073689173523496E-2</v>
      </c>
      <c r="AF206" s="1"/>
    </row>
    <row r="207" spans="11:32" x14ac:dyDescent="0.45">
      <c r="K207" s="40">
        <f t="shared" si="42"/>
        <v>1.82</v>
      </c>
      <c r="L207" s="41">
        <f t="shared" si="34"/>
        <v>21.82</v>
      </c>
      <c r="M207">
        <f t="shared" si="43"/>
        <v>0.92988777198112693</v>
      </c>
      <c r="N207">
        <f t="shared" si="44"/>
        <v>7.0112228018873554E-2</v>
      </c>
      <c r="O207">
        <f t="shared" si="35"/>
        <v>6.5561092966307147E-2</v>
      </c>
      <c r="P207">
        <f t="shared" si="36"/>
        <v>0.5</v>
      </c>
      <c r="Q207">
        <f t="shared" si="45"/>
        <v>-2.5908344657650108E-2</v>
      </c>
      <c r="R207" s="6">
        <f t="shared" si="46"/>
        <v>2.5908344657650108E-2</v>
      </c>
      <c r="S207" s="18">
        <f t="shared" si="47"/>
        <v>1.0000000000000004</v>
      </c>
      <c r="T207" s="15"/>
      <c r="U207" s="15"/>
      <c r="V207" s="40">
        <f t="shared" si="48"/>
        <v>8.18</v>
      </c>
      <c r="W207" s="41">
        <f t="shared" si="37"/>
        <v>28.18</v>
      </c>
      <c r="X207">
        <f t="shared" si="49"/>
        <v>-6.70791736600099E-2</v>
      </c>
      <c r="Y207">
        <f t="shared" si="50"/>
        <v>1.1183029213144644</v>
      </c>
      <c r="Z207" s="33">
        <f t="shared" si="38"/>
        <v>0.11341714530908313</v>
      </c>
      <c r="AA207" s="33">
        <f t="shared" si="39"/>
        <v>0.5</v>
      </c>
      <c r="AB207">
        <f t="shared" si="40"/>
        <v>-1.3417418298158151E-2</v>
      </c>
      <c r="AC207" s="1">
        <f t="shared" si="41"/>
        <v>-0.35139380644703966</v>
      </c>
      <c r="AD207" s="35">
        <f>IF(W207&gt;=FinalAgeForPremium, AE207*Delta-Z207*(Y207-AE207),AE207*Delta+PremiumRevisedForLimitedTerm-Z207*(Y207-AE207))</f>
        <v>1.5263276222769045E-2</v>
      </c>
      <c r="AE207" s="35">
        <f>AE206-StepSize*AD206</f>
        <v>2.2917862551899038E-2</v>
      </c>
      <c r="AF207" s="1"/>
    </row>
    <row r="208" spans="11:32" x14ac:dyDescent="0.45">
      <c r="K208" s="40">
        <f t="shared" si="42"/>
        <v>1.83</v>
      </c>
      <c r="L208" s="41">
        <f t="shared" si="34"/>
        <v>21.83</v>
      </c>
      <c r="M208">
        <f t="shared" si="43"/>
        <v>0.92962868853455038</v>
      </c>
      <c r="N208">
        <f t="shared" si="44"/>
        <v>7.0371311465450059E-2</v>
      </c>
      <c r="O208">
        <f t="shared" si="35"/>
        <v>6.5617616357636063E-2</v>
      </c>
      <c r="P208">
        <f t="shared" si="36"/>
        <v>0.5</v>
      </c>
      <c r="Q208">
        <f t="shared" si="45"/>
        <v>-2.5814362906587444E-2</v>
      </c>
      <c r="R208" s="6">
        <f t="shared" si="46"/>
        <v>2.5814362906587444E-2</v>
      </c>
      <c r="S208" s="18">
        <f t="shared" si="47"/>
        <v>1.0000000000000004</v>
      </c>
      <c r="T208" s="15"/>
      <c r="U208" s="15"/>
      <c r="V208" s="40">
        <f t="shared" si="48"/>
        <v>8.17</v>
      </c>
      <c r="W208" s="41">
        <f t="shared" si="37"/>
        <v>28.17</v>
      </c>
      <c r="X208">
        <f t="shared" si="49"/>
        <v>-6.6944999477028325E-2</v>
      </c>
      <c r="Y208">
        <f t="shared" si="50"/>
        <v>1.1218168593789348</v>
      </c>
      <c r="Z208" s="33">
        <f t="shared" si="38"/>
        <v>0.11331944712918014</v>
      </c>
      <c r="AA208" s="33">
        <f t="shared" si="39"/>
        <v>0.5</v>
      </c>
      <c r="AB208">
        <f t="shared" si="40"/>
        <v>-1.3677892890317969E-2</v>
      </c>
      <c r="AC208" s="1">
        <f t="shared" si="41"/>
        <v>-0.34952822760307167</v>
      </c>
      <c r="AD208" s="35">
        <f>IF(W208&gt;=FinalAgeForPremium, AE208*Delta-Z208*(Y208-AE208),AE208*Delta+PremiumRevisedForLimitedTerm-Z208*(Y208-AE208))</f>
        <v>1.4947167932250302E-2</v>
      </c>
      <c r="AE208" s="35">
        <f>AE207-StepSize*AD207</f>
        <v>2.2765229789671347E-2</v>
      </c>
      <c r="AF208" s="1"/>
    </row>
    <row r="209" spans="11:32" x14ac:dyDescent="0.45">
      <c r="K209" s="40">
        <f t="shared" si="42"/>
        <v>1.84</v>
      </c>
      <c r="L209" s="41">
        <f t="shared" si="34"/>
        <v>21.84</v>
      </c>
      <c r="M209">
        <f t="shared" si="43"/>
        <v>0.92937054490548454</v>
      </c>
      <c r="N209">
        <f t="shared" si="44"/>
        <v>7.0629455094515931E-2</v>
      </c>
      <c r="O209">
        <f t="shared" si="35"/>
        <v>6.567418848051633E-2</v>
      </c>
      <c r="P209">
        <f t="shared" si="36"/>
        <v>0.5</v>
      </c>
      <c r="Q209">
        <f t="shared" si="45"/>
        <v>-2.5720928787104989E-2</v>
      </c>
      <c r="R209" s="6">
        <f t="shared" si="46"/>
        <v>2.5720928787104989E-2</v>
      </c>
      <c r="S209" s="18">
        <f t="shared" si="47"/>
        <v>1.0000000000000004</v>
      </c>
      <c r="T209" s="15"/>
      <c r="U209" s="15"/>
      <c r="V209" s="40">
        <f t="shared" si="48"/>
        <v>8.16</v>
      </c>
      <c r="W209" s="41">
        <f t="shared" si="37"/>
        <v>28.16</v>
      </c>
      <c r="X209">
        <f t="shared" si="49"/>
        <v>-6.6808220548125144E-2</v>
      </c>
      <c r="Y209">
        <f t="shared" si="50"/>
        <v>1.1253121416549656</v>
      </c>
      <c r="Z209" s="33">
        <f t="shared" si="38"/>
        <v>0.11322183310704999</v>
      </c>
      <c r="AA209" s="33">
        <f t="shared" si="39"/>
        <v>0.5</v>
      </c>
      <c r="AB209">
        <f t="shared" si="40"/>
        <v>-1.3935270022932919E-2</v>
      </c>
      <c r="AC209" s="1">
        <f t="shared" si="41"/>
        <v>-0.34767421181570635</v>
      </c>
      <c r="AD209" s="35">
        <f>IF(W209&gt;=FinalAgeForPremium, AE209*Delta-Z209*(Y209-AE209),AE209*Delta+PremiumRevisedForLimitedTerm-Z209*(Y209-AE209))</f>
        <v>1.4634311474327782E-2</v>
      </c>
      <c r="AE209" s="35">
        <f>AE208-StepSize*AD208</f>
        <v>2.2615758110348844E-2</v>
      </c>
      <c r="AF209" s="1"/>
    </row>
    <row r="210" spans="11:32" x14ac:dyDescent="0.45">
      <c r="K210" s="40">
        <f t="shared" si="42"/>
        <v>1.85</v>
      </c>
      <c r="L210" s="41">
        <f t="shared" si="34"/>
        <v>21.85</v>
      </c>
      <c r="M210">
        <f t="shared" si="43"/>
        <v>0.92911333561761345</v>
      </c>
      <c r="N210">
        <f t="shared" si="44"/>
        <v>7.0886664382386985E-2</v>
      </c>
      <c r="O210">
        <f t="shared" si="35"/>
        <v>6.5730809376961755E-2</v>
      </c>
      <c r="P210">
        <f t="shared" si="36"/>
        <v>0.5</v>
      </c>
      <c r="Q210">
        <f t="shared" si="45"/>
        <v>-2.5628039361880947E-2</v>
      </c>
      <c r="R210" s="6">
        <f t="shared" si="46"/>
        <v>2.5628039361880947E-2</v>
      </c>
      <c r="S210" s="18">
        <f t="shared" si="47"/>
        <v>1.0000000000000004</v>
      </c>
      <c r="T210" s="15"/>
      <c r="U210" s="15"/>
      <c r="V210" s="40">
        <f t="shared" si="48"/>
        <v>8.15</v>
      </c>
      <c r="W210" s="41">
        <f t="shared" si="37"/>
        <v>28.15</v>
      </c>
      <c r="X210">
        <f t="shared" si="49"/>
        <v>-6.6668867847895816E-2</v>
      </c>
      <c r="Y210">
        <f t="shared" si="50"/>
        <v>1.1287888837731226</v>
      </c>
      <c r="Z210" s="33">
        <f t="shared" si="38"/>
        <v>0.11312430317019878</v>
      </c>
      <c r="AA210" s="33">
        <f t="shared" si="39"/>
        <v>0.5</v>
      </c>
      <c r="AB210">
        <f t="shared" si="40"/>
        <v>-1.4189574816587391E-2</v>
      </c>
      <c r="AC210" s="1">
        <f t="shared" si="41"/>
        <v>-0.34583168000083475</v>
      </c>
      <c r="AD210" s="35">
        <f>IF(W210&gt;=FinalAgeForPremium, AE210*Delta-Z210*(Y210-AE210),AE210*Delta+PremiumRevisedForLimitedTerm-Z210*(Y210-AE210))</f>
        <v>1.4324681234945708E-2</v>
      </c>
      <c r="AE210" s="35">
        <f>AE209-StepSize*AD209</f>
        <v>2.2469414995605567E-2</v>
      </c>
      <c r="AF210" s="1"/>
    </row>
    <row r="211" spans="11:32" x14ac:dyDescent="0.45">
      <c r="K211" s="40">
        <f t="shared" si="42"/>
        <v>1.86</v>
      </c>
      <c r="L211" s="41">
        <f t="shared" si="34"/>
        <v>21.86</v>
      </c>
      <c r="M211">
        <f t="shared" si="43"/>
        <v>0.92885705522399464</v>
      </c>
      <c r="N211">
        <f t="shared" si="44"/>
        <v>7.1142944776005801E-2</v>
      </c>
      <c r="O211">
        <f t="shared" si="35"/>
        <v>6.5787479089022383E-2</v>
      </c>
      <c r="P211">
        <f t="shared" si="36"/>
        <v>0.5</v>
      </c>
      <c r="Q211">
        <f t="shared" si="45"/>
        <v>-2.5535691709236558E-2</v>
      </c>
      <c r="R211" s="6">
        <f t="shared" si="46"/>
        <v>2.5535691709236558E-2</v>
      </c>
      <c r="S211" s="18">
        <f t="shared" si="47"/>
        <v>1.0000000000000004</v>
      </c>
      <c r="T211" s="15"/>
      <c r="U211" s="15"/>
      <c r="V211" s="40">
        <f t="shared" si="48"/>
        <v>8.14</v>
      </c>
      <c r="W211" s="41">
        <f t="shared" si="37"/>
        <v>28.14</v>
      </c>
      <c r="X211">
        <f t="shared" si="49"/>
        <v>-6.6526972099729936E-2</v>
      </c>
      <c r="Y211">
        <f t="shared" si="50"/>
        <v>1.132247200573131</v>
      </c>
      <c r="Z211" s="33">
        <f t="shared" si="38"/>
        <v>0.11302685724619492</v>
      </c>
      <c r="AA211" s="33">
        <f t="shared" si="39"/>
        <v>0.5</v>
      </c>
      <c r="AB211">
        <f t="shared" si="40"/>
        <v>-1.4440832192759712E-2</v>
      </c>
      <c r="AC211" s="1">
        <f t="shared" si="41"/>
        <v>-0.344000553634913</v>
      </c>
      <c r="AD211" s="35">
        <f>IF(W211&gt;=FinalAgeForPremium, AE211*Delta-Z211*(Y211-AE211),AE211*Delta+PremiumRevisedForLimitedTerm-Z211*(Y211-AE211))</f>
        <v>1.4018251800929665E-2</v>
      </c>
      <c r="AE211" s="35">
        <f>AE210-StepSize*AD210</f>
        <v>2.2326168183256109E-2</v>
      </c>
      <c r="AF211" s="1"/>
    </row>
    <row r="212" spans="11:32" x14ac:dyDescent="0.45">
      <c r="K212" s="40">
        <f t="shared" si="42"/>
        <v>1.87</v>
      </c>
      <c r="L212" s="41">
        <f t="shared" si="34"/>
        <v>21.87</v>
      </c>
      <c r="M212">
        <f t="shared" si="43"/>
        <v>0.92860169830690231</v>
      </c>
      <c r="N212">
        <f t="shared" si="44"/>
        <v>7.139830169309816E-2</v>
      </c>
      <c r="O212">
        <f t="shared" si="35"/>
        <v>6.5844197658784534E-2</v>
      </c>
      <c r="P212">
        <f t="shared" si="36"/>
        <v>0.5</v>
      </c>
      <c r="Q212">
        <f t="shared" si="45"/>
        <v>-2.54438829230536E-2</v>
      </c>
      <c r="R212" s="6">
        <f t="shared" si="46"/>
        <v>2.54438829230536E-2</v>
      </c>
      <c r="S212" s="18">
        <f t="shared" si="47"/>
        <v>1.0000000000000004</v>
      </c>
      <c r="T212" s="15"/>
      <c r="U212" s="15"/>
      <c r="V212" s="40">
        <f t="shared" si="48"/>
        <v>8.1300000000000008</v>
      </c>
      <c r="W212" s="41">
        <f t="shared" si="37"/>
        <v>28.130000000000003</v>
      </c>
      <c r="X212">
        <f t="shared" si="49"/>
        <v>-6.6382563777802342E-2</v>
      </c>
      <c r="Y212">
        <f t="shared" si="50"/>
        <v>1.13568720610948</v>
      </c>
      <c r="Z212" s="33">
        <f t="shared" si="38"/>
        <v>0.11292949526266927</v>
      </c>
      <c r="AA212" s="33">
        <f t="shared" si="39"/>
        <v>0.5</v>
      </c>
      <c r="AB212">
        <f t="shared" si="40"/>
        <v>-1.468906687542626E-2</v>
      </c>
      <c r="AC212" s="1">
        <f t="shared" si="41"/>
        <v>-0.34218075475088483</v>
      </c>
      <c r="AD212" s="35">
        <f>IF(W212&gt;=FinalAgeForPremium, AE212*Delta-Z212*(Y212-AE212),AE212*Delta+PremiumRevisedForLimitedTerm-Z212*(Y212-AE212))</f>
        <v>1.3714997958375413E-2</v>
      </c>
      <c r="AE212" s="35">
        <f>AE211-StepSize*AD211</f>
        <v>2.2185985665246811E-2</v>
      </c>
      <c r="AF212" s="1"/>
    </row>
    <row r="213" spans="11:32" x14ac:dyDescent="0.45">
      <c r="K213" s="40">
        <f t="shared" si="42"/>
        <v>1.88</v>
      </c>
      <c r="L213" s="41">
        <f t="shared" si="34"/>
        <v>21.88</v>
      </c>
      <c r="M213">
        <f t="shared" si="43"/>
        <v>0.92834725947767183</v>
      </c>
      <c r="N213">
        <f t="shared" si="44"/>
        <v>7.1652740522328701E-2</v>
      </c>
      <c r="O213">
        <f t="shared" si="35"/>
        <v>6.5900965128370792E-2</v>
      </c>
      <c r="P213">
        <f t="shared" si="36"/>
        <v>0.5</v>
      </c>
      <c r="Q213">
        <f t="shared" si="45"/>
        <v>-2.5352610112692291E-2</v>
      </c>
      <c r="R213" s="6">
        <f t="shared" si="46"/>
        <v>2.5352610112692291E-2</v>
      </c>
      <c r="S213" s="18">
        <f t="shared" si="47"/>
        <v>1.0000000000000004</v>
      </c>
      <c r="T213" s="15"/>
      <c r="U213" s="15"/>
      <c r="V213" s="40">
        <f t="shared" si="48"/>
        <v>8.1199999999999992</v>
      </c>
      <c r="W213" s="41">
        <f t="shared" si="37"/>
        <v>28.119999999999997</v>
      </c>
      <c r="X213">
        <f t="shared" si="49"/>
        <v>-6.6235673109048085E-2</v>
      </c>
      <c r="Y213">
        <f t="shared" si="50"/>
        <v>1.1391090136569888</v>
      </c>
      <c r="Z213" s="33">
        <f t="shared" si="38"/>
        <v>0.11283221714731498</v>
      </c>
      <c r="AA213" s="33">
        <f t="shared" si="39"/>
        <v>0.5</v>
      </c>
      <c r="AB213">
        <f t="shared" si="40"/>
        <v>-1.4934303392652573E-2</v>
      </c>
      <c r="AC213" s="1">
        <f t="shared" si="41"/>
        <v>-0.34037220593413209</v>
      </c>
      <c r="AD213" s="35">
        <f>IF(W213&gt;=FinalAgeForPremium, AE213*Delta-Z213*(Y213-AE213),AE213*Delta+PremiumRevisedForLimitedTerm-Z213*(Y213-AE213))</f>
        <v>1.3414894691050727E-2</v>
      </c>
      <c r="AE213" s="35">
        <f>AE212-StepSize*AD212</f>
        <v>2.2048835685663057E-2</v>
      </c>
      <c r="AF213" s="1"/>
    </row>
    <row r="214" spans="11:32" x14ac:dyDescent="0.45">
      <c r="K214" s="40">
        <f t="shared" si="42"/>
        <v>1.89</v>
      </c>
      <c r="L214" s="41">
        <f t="shared" si="34"/>
        <v>21.89</v>
      </c>
      <c r="M214">
        <f t="shared" si="43"/>
        <v>0.92809373337654488</v>
      </c>
      <c r="N214">
        <f t="shared" si="44"/>
        <v>7.1906266623455617E-2</v>
      </c>
      <c r="O214">
        <f t="shared" si="35"/>
        <v>6.5957781539940058E-2</v>
      </c>
      <c r="P214">
        <f t="shared" si="36"/>
        <v>0.5</v>
      </c>
      <c r="Q214">
        <f t="shared" si="45"/>
        <v>-2.5261870402909711E-2</v>
      </c>
      <c r="R214" s="6">
        <f t="shared" si="46"/>
        <v>2.5261870402909711E-2</v>
      </c>
      <c r="S214" s="18">
        <f t="shared" si="47"/>
        <v>1.0000000000000004</v>
      </c>
      <c r="T214" s="15"/>
      <c r="U214" s="15"/>
      <c r="V214" s="40">
        <f t="shared" si="48"/>
        <v>8.11</v>
      </c>
      <c r="W214" s="41">
        <f t="shared" si="37"/>
        <v>28.11</v>
      </c>
      <c r="X214">
        <f t="shared" si="49"/>
        <v>-6.608633007512156E-2</v>
      </c>
      <c r="Y214">
        <f t="shared" si="50"/>
        <v>1.1425127357163301</v>
      </c>
      <c r="Z214" s="33">
        <f t="shared" si="38"/>
        <v>0.11273502282788761</v>
      </c>
      <c r="AA214" s="33">
        <f t="shared" si="39"/>
        <v>0.5</v>
      </c>
      <c r="AB214">
        <f t="shared" si="40"/>
        <v>-1.5176566078171361E-2</v>
      </c>
      <c r="AC214" s="1">
        <f t="shared" si="41"/>
        <v>-0.3385748303184577</v>
      </c>
      <c r="AD214" s="35">
        <f>IF(W214&gt;=FinalAgeForPremium, AE214*Delta-Z214*(Y214-AE214),AE214*Delta+PremiumRevisedForLimitedTerm-Z214*(Y214-AE214))</f>
        <v>1.311791717881064E-2</v>
      </c>
      <c r="AE214" s="35">
        <f>AE213-StepSize*AD213</f>
        <v>2.1914686738752548E-2</v>
      </c>
      <c r="AF214" s="1"/>
    </row>
    <row r="215" spans="11:32" x14ac:dyDescent="0.45">
      <c r="K215" s="40">
        <f t="shared" si="42"/>
        <v>1.9</v>
      </c>
      <c r="L215" s="41">
        <f t="shared" si="34"/>
        <v>21.9</v>
      </c>
      <c r="M215">
        <f t="shared" si="43"/>
        <v>0.92784111467251573</v>
      </c>
      <c r="N215">
        <f t="shared" si="44"/>
        <v>7.2158885327484712E-2</v>
      </c>
      <c r="O215">
        <f t="shared" si="35"/>
        <v>6.6014646935687579E-2</v>
      </c>
      <c r="P215">
        <f t="shared" si="36"/>
        <v>0.5</v>
      </c>
      <c r="Q215">
        <f t="shared" si="45"/>
        <v>-2.5171660933778581E-2</v>
      </c>
      <c r="R215" s="6">
        <f t="shared" si="46"/>
        <v>2.5171660933778581E-2</v>
      </c>
      <c r="S215" s="18">
        <f t="shared" si="47"/>
        <v>1.0000000000000004</v>
      </c>
      <c r="T215" s="15"/>
      <c r="U215" s="15"/>
      <c r="V215" s="40">
        <f t="shared" si="48"/>
        <v>8.1</v>
      </c>
      <c r="W215" s="41">
        <f t="shared" si="37"/>
        <v>28.1</v>
      </c>
      <c r="X215">
        <f t="shared" si="49"/>
        <v>-6.5934564414339841E-2</v>
      </c>
      <c r="Y215">
        <f t="shared" si="50"/>
        <v>1.1458984840195146</v>
      </c>
      <c r="Z215" s="33">
        <f t="shared" si="38"/>
        <v>0.11263791223220482</v>
      </c>
      <c r="AA215" s="33">
        <f t="shared" si="39"/>
        <v>0.5</v>
      </c>
      <c r="AB215">
        <f t="shared" si="40"/>
        <v>-1.5415879072947031E-2</v>
      </c>
      <c r="AC215" s="1">
        <f t="shared" si="41"/>
        <v>-0.33678855158209708</v>
      </c>
      <c r="AD215" s="35">
        <f>IF(W215&gt;=FinalAgeForPremium, AE215*Delta-Z215*(Y215-AE215),AE215*Delta+PremiumRevisedForLimitedTerm-Z215*(Y215-AE215))</f>
        <v>1.2824040796025421E-2</v>
      </c>
      <c r="AE215" s="35">
        <f>AE214-StepSize*AD214</f>
        <v>2.1783507566964441E-2</v>
      </c>
      <c r="AF215" s="1"/>
    </row>
    <row r="216" spans="11:32" x14ac:dyDescent="0.45">
      <c r="K216" s="40">
        <f t="shared" si="42"/>
        <v>1.91</v>
      </c>
      <c r="L216" s="41">
        <f t="shared" si="34"/>
        <v>21.91</v>
      </c>
      <c r="M216">
        <f t="shared" si="43"/>
        <v>0.92758939806317797</v>
      </c>
      <c r="N216">
        <f t="shared" si="44"/>
        <v>7.24106019368225E-2</v>
      </c>
      <c r="O216">
        <f t="shared" si="35"/>
        <v>6.6071561357845018E-2</v>
      </c>
      <c r="P216">
        <f t="shared" si="36"/>
        <v>0.5</v>
      </c>
      <c r="Q216">
        <f t="shared" si="45"/>
        <v>-2.5081978860606542E-2</v>
      </c>
      <c r="R216" s="6">
        <f t="shared" si="46"/>
        <v>2.5081978860606542E-2</v>
      </c>
      <c r="S216" s="18">
        <f t="shared" si="47"/>
        <v>1.0000000000000004</v>
      </c>
      <c r="T216" s="15"/>
      <c r="U216" s="15"/>
      <c r="V216" s="40">
        <f t="shared" si="48"/>
        <v>8.09</v>
      </c>
      <c r="W216" s="41">
        <f t="shared" si="37"/>
        <v>28.09</v>
      </c>
      <c r="X216">
        <f t="shared" si="49"/>
        <v>-6.5780405623610372E-2</v>
      </c>
      <c r="Y216">
        <f t="shared" si="50"/>
        <v>1.1492663695353356</v>
      </c>
      <c r="Z216" s="33">
        <f t="shared" si="38"/>
        <v>0.11254088528814643</v>
      </c>
      <c r="AA216" s="33">
        <f t="shared" si="39"/>
        <v>0.5</v>
      </c>
      <c r="AB216">
        <f t="shared" si="40"/>
        <v>-1.5652266326728032E-2</v>
      </c>
      <c r="AC216" s="1">
        <f t="shared" si="41"/>
        <v>-0.33501329394376023</v>
      </c>
      <c r="AD216" s="35">
        <f>IF(W216&gt;=FinalAgeForPremium, AE216*Delta-Z216*(Y216-AE216),AE216*Delta+PremiumRevisedForLimitedTerm-Z216*(Y216-AE216))</f>
        <v>1.2533241110021714E-2</v>
      </c>
      <c r="AE216" s="35">
        <f>AE215-StepSize*AD215</f>
        <v>2.1655267159004187E-2</v>
      </c>
      <c r="AF216" s="1"/>
    </row>
    <row r="217" spans="11:32" x14ac:dyDescent="0.45">
      <c r="K217" s="40">
        <f t="shared" si="42"/>
        <v>1.92</v>
      </c>
      <c r="L217" s="41">
        <f t="shared" ref="L217:L280" si="51">$L$5+K217</f>
        <v>21.92</v>
      </c>
      <c r="M217">
        <f t="shared" si="43"/>
        <v>0.92733857827457189</v>
      </c>
      <c r="N217">
        <f t="shared" si="44"/>
        <v>7.2661421725428568E-2</v>
      </c>
      <c r="O217">
        <f t="shared" ref="O217:O280" si="52">mu01Parameter_B*mu01Parameter_c^L217</f>
        <v>6.6128524848680384E-2</v>
      </c>
      <c r="P217">
        <f t="shared" ref="P217:P280" si="53">mu10Constant</f>
        <v>0.5</v>
      </c>
      <c r="Q217">
        <f t="shared" si="45"/>
        <v>-2.4992821353855679E-2</v>
      </c>
      <c r="R217" s="6">
        <f t="shared" si="46"/>
        <v>2.4992821353855679E-2</v>
      </c>
      <c r="S217" s="18">
        <f t="shared" si="47"/>
        <v>1.0000000000000004</v>
      </c>
      <c r="T217" s="15"/>
      <c r="U217" s="15"/>
      <c r="V217" s="40">
        <f t="shared" si="48"/>
        <v>8.08</v>
      </c>
      <c r="W217" s="41">
        <f t="shared" ref="W217:W280" si="54">$L$5+V217</f>
        <v>28.08</v>
      </c>
      <c r="X217">
        <f t="shared" si="49"/>
        <v>-6.5623882960343091E-2</v>
      </c>
      <c r="Y217">
        <f t="shared" si="50"/>
        <v>1.1526165024747732</v>
      </c>
      <c r="Z217" s="33">
        <f t="shared" ref="Z217:Z280" si="55">mu01Parameter_B*mu01Parameter_c^W217</f>
        <v>0.11244394192365459</v>
      </c>
      <c r="AA217" s="33">
        <f t="shared" ref="AA217:AA280" si="56">mu10Constant</f>
        <v>0.5</v>
      </c>
      <c r="AB217">
        <f t="shared" ref="AB217:AB280" si="57">X217*Delta+Premium-Z217*(Y217-X217)</f>
        <v>-1.5885751599586273E-2</v>
      </c>
      <c r="AC217" s="1">
        <f t="shared" ref="AC217:AC280" si="58">Y217*Delta-AnnuityWhileSIck-AA217*(X217-Y217)</f>
        <v>-0.33324898215870324</v>
      </c>
      <c r="AD217" s="35">
        <f>IF(W217&gt;=FinalAgeForPremium, AE217*Delta-Z217*(Y217-AE217),AE217*Delta+PremiumRevisedForLimitedTerm-Z217*(Y217-AE217))</f>
        <v>1.2245493879535857E-2</v>
      </c>
      <c r="AE217" s="35">
        <f>AE216-StepSize*AD216</f>
        <v>2.1529934747903968E-2</v>
      </c>
      <c r="AF217" s="1"/>
    </row>
    <row r="218" spans="11:32" x14ac:dyDescent="0.45">
      <c r="K218" s="40">
        <f t="shared" ref="K218:K281" si="59">ROUND(K217+StepSize,2)</f>
        <v>1.93</v>
      </c>
      <c r="L218" s="41">
        <f t="shared" si="51"/>
        <v>21.93</v>
      </c>
      <c r="M218">
        <f t="shared" ref="M218:M281" si="60">M217+StepSize*Q217</f>
        <v>0.92708865006103336</v>
      </c>
      <c r="N218">
        <f t="shared" ref="N218:N281" si="61">N217+StepSize*R217</f>
        <v>7.2911349938967127E-2</v>
      </c>
      <c r="O218">
        <f t="shared" si="52"/>
        <v>6.6185537450498155E-2</v>
      </c>
      <c r="P218">
        <f t="shared" si="53"/>
        <v>0.5</v>
      </c>
      <c r="Q218">
        <f t="shared" ref="Q218:Q281" si="62">N218*P218-M218*O218</f>
        <v>-2.4904185599062739E-2</v>
      </c>
      <c r="R218" s="6">
        <f t="shared" ref="R218:R281" si="63">M218*O218-N218*P218</f>
        <v>2.4904185599062739E-2</v>
      </c>
      <c r="S218" s="18">
        <f t="shared" ref="S218:S281" si="64">M218+N218</f>
        <v>1.0000000000000004</v>
      </c>
      <c r="T218" s="15"/>
      <c r="U218" s="15"/>
      <c r="V218" s="40">
        <f t="shared" ref="V218:V281" si="65">ROUND(V217-StepSize,2)</f>
        <v>8.07</v>
      </c>
      <c r="W218" s="41">
        <f t="shared" si="54"/>
        <v>28.07</v>
      </c>
      <c r="X218">
        <f t="shared" ref="X218:X281" si="66">X217-StepSize*AB217</f>
        <v>-6.5465025444347222E-2</v>
      </c>
      <c r="Y218">
        <f t="shared" ref="Y218:Y281" si="67">Y217-StepSize*AC217</f>
        <v>1.1559489922963602</v>
      </c>
      <c r="Z218" s="33">
        <f t="shared" si="55"/>
        <v>0.11234708206673329</v>
      </c>
      <c r="AA218" s="33">
        <f t="shared" si="56"/>
        <v>0.5</v>
      </c>
      <c r="AB218">
        <f t="shared" si="57"/>
        <v>-1.6116358463443378E-2</v>
      </c>
      <c r="AC218" s="1">
        <f t="shared" si="58"/>
        <v>-0.3314955415148283</v>
      </c>
      <c r="AD218" s="35">
        <f>IF(W218&gt;=FinalAgeForPremium, AE218*Delta-Z218*(Y218-AE218),AE218*Delta+PremiumRevisedForLimitedTerm-Z218*(Y218-AE218))</f>
        <v>1.1960775053181022E-2</v>
      </c>
      <c r="AE218" s="35">
        <f>AE217-StepSize*AD217</f>
        <v>2.140747980910861E-2</v>
      </c>
      <c r="AF218" s="1"/>
    </row>
    <row r="219" spans="11:32" x14ac:dyDescent="0.45">
      <c r="K219" s="40">
        <f t="shared" si="59"/>
        <v>1.94</v>
      </c>
      <c r="L219" s="41">
        <f t="shared" si="51"/>
        <v>21.94</v>
      </c>
      <c r="M219">
        <f t="shared" si="60"/>
        <v>0.92683960820504274</v>
      </c>
      <c r="N219">
        <f t="shared" si="61"/>
        <v>7.3160391794957758E-2</v>
      </c>
      <c r="O219">
        <f t="shared" si="52"/>
        <v>6.624259920563931E-2</v>
      </c>
      <c r="P219">
        <f t="shared" si="53"/>
        <v>0.5</v>
      </c>
      <c r="Q219">
        <f t="shared" si="62"/>
        <v>-2.4816068796759537E-2</v>
      </c>
      <c r="R219" s="6">
        <f t="shared" si="63"/>
        <v>2.4816068796759537E-2</v>
      </c>
      <c r="S219" s="18">
        <f t="shared" si="64"/>
        <v>1.0000000000000004</v>
      </c>
      <c r="T219" s="15"/>
      <c r="U219" s="15"/>
      <c r="V219" s="40">
        <f t="shared" si="65"/>
        <v>8.06</v>
      </c>
      <c r="W219" s="41">
        <f t="shared" si="54"/>
        <v>28.060000000000002</v>
      </c>
      <c r="X219">
        <f t="shared" si="66"/>
        <v>-6.5303861859712792E-2</v>
      </c>
      <c r="Y219">
        <f t="shared" si="67"/>
        <v>1.1592639477115085</v>
      </c>
      <c r="Z219" s="33">
        <f t="shared" si="55"/>
        <v>0.11225030564544866</v>
      </c>
      <c r="AA219" s="33">
        <f t="shared" si="56"/>
        <v>0.5</v>
      </c>
      <c r="AB219">
        <f t="shared" si="57"/>
        <v>-1.6344110303585124E-2</v>
      </c>
      <c r="AC219" s="1">
        <f t="shared" si="58"/>
        <v>-0.3297528978288139</v>
      </c>
      <c r="AD219" s="35">
        <f>IF(W219&gt;=FinalAgeForPremium, AE219*Delta-Z219*(Y219-AE219),AE219*Delta+PremiumRevisedForLimitedTerm-Z219*(Y219-AE219))</f>
        <v>1.1679060767925575E-2</v>
      </c>
      <c r="AE219" s="35">
        <f>AE218-StepSize*AD218</f>
        <v>2.1287872058576799E-2</v>
      </c>
      <c r="AF219" s="1"/>
    </row>
    <row r="220" spans="11:32" x14ac:dyDescent="0.45">
      <c r="K220" s="40">
        <f t="shared" si="59"/>
        <v>1.95</v>
      </c>
      <c r="L220" s="41">
        <f t="shared" si="51"/>
        <v>21.95</v>
      </c>
      <c r="M220">
        <f t="shared" si="60"/>
        <v>0.92659144751707512</v>
      </c>
      <c r="N220">
        <f t="shared" si="61"/>
        <v>7.3408552482925354E-2</v>
      </c>
      <c r="O220">
        <f t="shared" si="52"/>
        <v>6.6299710156481284E-2</v>
      </c>
      <c r="P220">
        <f t="shared" si="53"/>
        <v>0.5</v>
      </c>
      <c r="Q220">
        <f t="shared" si="62"/>
        <v>-2.4728468162393845E-2</v>
      </c>
      <c r="R220" s="6">
        <f t="shared" si="63"/>
        <v>2.4728468162393845E-2</v>
      </c>
      <c r="S220" s="18">
        <f t="shared" si="64"/>
        <v>1.0000000000000004</v>
      </c>
      <c r="T220" s="15"/>
      <c r="U220" s="15"/>
      <c r="V220" s="40">
        <f t="shared" si="65"/>
        <v>8.0500000000000007</v>
      </c>
      <c r="W220" s="41">
        <f t="shared" si="54"/>
        <v>28.05</v>
      </c>
      <c r="X220">
        <f t="shared" si="66"/>
        <v>-6.5140420756676934E-2</v>
      </c>
      <c r="Y220">
        <f t="shared" si="67"/>
        <v>1.1625614766897967</v>
      </c>
      <c r="Z220" s="33">
        <f t="shared" si="55"/>
        <v>0.11215361258792875</v>
      </c>
      <c r="AA220" s="33">
        <f t="shared" si="56"/>
        <v>0.5</v>
      </c>
      <c r="AB220">
        <f t="shared" si="57"/>
        <v>-1.6569030320163033E-2</v>
      </c>
      <c r="AC220" s="1">
        <f t="shared" si="58"/>
        <v>-0.32802097744227332</v>
      </c>
      <c r="AD220" s="35">
        <f>IF(W220&gt;=FinalAgeForPremium, AE220*Delta-Z220*(Y220-AE220),AE220*Delta+PremiumRevisedForLimitedTerm-Z220*(Y220-AE220))</f>
        <v>1.140032734758506E-2</v>
      </c>
      <c r="AE220" s="35">
        <f>AE219-StepSize*AD219</f>
        <v>2.1171081450897543E-2</v>
      </c>
      <c r="AF220" s="1"/>
    </row>
    <row r="221" spans="11:32" x14ac:dyDescent="0.45">
      <c r="K221" s="40">
        <f t="shared" si="59"/>
        <v>1.96</v>
      </c>
      <c r="L221" s="41">
        <f t="shared" si="51"/>
        <v>21.96</v>
      </c>
      <c r="M221">
        <f t="shared" si="60"/>
        <v>0.92634416283545118</v>
      </c>
      <c r="N221">
        <f t="shared" si="61"/>
        <v>7.3655837164549293E-2</v>
      </c>
      <c r="O221">
        <f t="shared" si="52"/>
        <v>6.6356870345438107E-2</v>
      </c>
      <c r="P221">
        <f t="shared" si="53"/>
        <v>0.5</v>
      </c>
      <c r="Q221">
        <f t="shared" si="62"/>
        <v>-2.4641380926250796E-2</v>
      </c>
      <c r="R221" s="6">
        <f t="shared" si="63"/>
        <v>2.4641380926250796E-2</v>
      </c>
      <c r="S221" s="18">
        <f t="shared" si="64"/>
        <v>1.0000000000000004</v>
      </c>
      <c r="T221" s="15"/>
      <c r="U221" s="15"/>
      <c r="V221" s="40">
        <f t="shared" si="65"/>
        <v>8.0399999999999991</v>
      </c>
      <c r="W221" s="41">
        <f t="shared" si="54"/>
        <v>28.04</v>
      </c>
      <c r="X221">
        <f t="shared" si="66"/>
        <v>-6.4974730453475307E-2</v>
      </c>
      <c r="Y221">
        <f t="shared" si="67"/>
        <v>1.1658416864642194</v>
      </c>
      <c r="Z221" s="33">
        <f t="shared" si="55"/>
        <v>0.1120570028223635</v>
      </c>
      <c r="AA221" s="33">
        <f t="shared" si="56"/>
        <v>0.5</v>
      </c>
      <c r="AB221">
        <f t="shared" si="57"/>
        <v>-1.6791141529683543E-2</v>
      </c>
      <c r="AC221" s="1">
        <f t="shared" si="58"/>
        <v>-0.32629970721794166</v>
      </c>
      <c r="AD221" s="35">
        <f>IF(W221&gt;=FinalAgeForPremium, AE221*Delta-Z221*(Y221-AE221),AE221*Delta+PremiumRevisedForLimitedTerm-Z221*(Y221-AE221))</f>
        <v>1.1124551301325641E-2</v>
      </c>
      <c r="AE221" s="35">
        <f>AE220-StepSize*AD220</f>
        <v>2.1057078177421692E-2</v>
      </c>
      <c r="AF221" s="1"/>
    </row>
    <row r="222" spans="11:32" x14ac:dyDescent="0.45">
      <c r="K222" s="40">
        <f t="shared" si="59"/>
        <v>1.97</v>
      </c>
      <c r="L222" s="41">
        <f t="shared" si="51"/>
        <v>21.97</v>
      </c>
      <c r="M222">
        <f t="shared" si="60"/>
        <v>0.92609774902618869</v>
      </c>
      <c r="N222">
        <f t="shared" si="61"/>
        <v>7.3902250973811798E-2</v>
      </c>
      <c r="O222">
        <f t="shared" si="52"/>
        <v>6.6414079814960295E-2</v>
      </c>
      <c r="P222">
        <f t="shared" si="53"/>
        <v>0.5</v>
      </c>
      <c r="Q222">
        <f t="shared" si="62"/>
        <v>-2.4554804333374466E-2</v>
      </c>
      <c r="R222" s="6">
        <f t="shared" si="63"/>
        <v>2.4554804333374466E-2</v>
      </c>
      <c r="S222" s="18">
        <f t="shared" si="64"/>
        <v>1.0000000000000004</v>
      </c>
      <c r="T222" s="15"/>
      <c r="U222" s="15"/>
      <c r="V222" s="40">
        <f t="shared" si="65"/>
        <v>8.0299999999999994</v>
      </c>
      <c r="W222" s="41">
        <f t="shared" si="54"/>
        <v>28.03</v>
      </c>
      <c r="X222">
        <f t="shared" si="66"/>
        <v>-6.4806819038178476E-2</v>
      </c>
      <c r="Y222">
        <f t="shared" si="67"/>
        <v>1.1691046835363987</v>
      </c>
      <c r="Z222" s="33">
        <f t="shared" si="55"/>
        <v>0.1119604762770048</v>
      </c>
      <c r="AA222" s="33">
        <f t="shared" si="56"/>
        <v>0.5</v>
      </c>
      <c r="AB222">
        <f t="shared" si="57"/>
        <v>-1.7010466766485557E-2</v>
      </c>
      <c r="AC222" s="1">
        <f t="shared" si="58"/>
        <v>-0.3245890145358914</v>
      </c>
      <c r="AD222" s="35">
        <f>IF(W222&gt;=FinalAgeForPremium, AE222*Delta-Z222*(Y222-AE222),AE222*Delta+PremiumRevisedForLimitedTerm-Z222*(Y222-AE222))</f>
        <v>1.0851709322180408E-2</v>
      </c>
      <c r="AE222" s="35">
        <f>AE221-StepSize*AD221</f>
        <v>2.0945832664408436E-2</v>
      </c>
      <c r="AF222" s="1"/>
    </row>
    <row r="223" spans="11:32" x14ac:dyDescent="0.45">
      <c r="K223" s="40">
        <f t="shared" si="59"/>
        <v>1.98</v>
      </c>
      <c r="L223" s="41">
        <f t="shared" si="51"/>
        <v>21.98</v>
      </c>
      <c r="M223">
        <f t="shared" si="60"/>
        <v>0.92585220098285492</v>
      </c>
      <c r="N223">
        <f t="shared" si="61"/>
        <v>7.4147799017145549E-2</v>
      </c>
      <c r="O223">
        <f t="shared" si="52"/>
        <v>6.6471338607535055E-2</v>
      </c>
      <c r="P223">
        <f t="shared" si="53"/>
        <v>0.5</v>
      </c>
      <c r="Q223">
        <f t="shared" si="62"/>
        <v>-2.4468735643490176E-2</v>
      </c>
      <c r="R223" s="6">
        <f t="shared" si="63"/>
        <v>2.4468735643490176E-2</v>
      </c>
      <c r="S223" s="18">
        <f t="shared" si="64"/>
        <v>1.0000000000000004</v>
      </c>
      <c r="T223" s="15"/>
      <c r="U223" s="15"/>
      <c r="V223" s="40">
        <f t="shared" si="65"/>
        <v>8.02</v>
      </c>
      <c r="W223" s="41">
        <f t="shared" si="54"/>
        <v>28.02</v>
      </c>
      <c r="X223">
        <f t="shared" si="66"/>
        <v>-6.4636714370513618E-2</v>
      </c>
      <c r="Y223">
        <f t="shared" si="67"/>
        <v>1.1723505736817577</v>
      </c>
      <c r="Z223" s="33">
        <f t="shared" si="55"/>
        <v>0.1118640328801663</v>
      </c>
      <c r="AA223" s="33">
        <f t="shared" si="56"/>
        <v>0.5</v>
      </c>
      <c r="AB223">
        <f t="shared" si="57"/>
        <v>-1.7227028684205031E-2</v>
      </c>
      <c r="AC223" s="1">
        <f t="shared" si="58"/>
        <v>-0.32288882728977653</v>
      </c>
      <c r="AD223" s="35">
        <f>IF(W223&gt;=FinalAgeForPremium, AE223*Delta-Z223*(Y223-AE223),AE223*Delta+PremiumRevisedForLimitedTerm-Z223*(Y223-AE223))</f>
        <v>1.0581778285577548E-2</v>
      </c>
      <c r="AE223" s="35">
        <f>AE222-StepSize*AD222</f>
        <v>2.0837315571186631E-2</v>
      </c>
      <c r="AF223" s="1"/>
    </row>
    <row r="224" spans="11:32" x14ac:dyDescent="0.45">
      <c r="K224" s="40">
        <f t="shared" si="59"/>
        <v>1.99</v>
      </c>
      <c r="L224" s="41">
        <f t="shared" si="51"/>
        <v>21.99</v>
      </c>
      <c r="M224">
        <f t="shared" si="60"/>
        <v>0.92560751362642002</v>
      </c>
      <c r="N224">
        <f t="shared" si="61"/>
        <v>7.4392486373580452E-2</v>
      </c>
      <c r="O224">
        <f t="shared" si="52"/>
        <v>6.6528646765686122E-2</v>
      </c>
      <c r="P224">
        <f t="shared" si="53"/>
        <v>0.5</v>
      </c>
      <c r="Q224">
        <f t="shared" si="62"/>
        <v>-2.4383172130926875E-2</v>
      </c>
      <c r="R224" s="6">
        <f t="shared" si="63"/>
        <v>2.4383172130926875E-2</v>
      </c>
      <c r="S224" s="18">
        <f t="shared" si="64"/>
        <v>1.0000000000000004</v>
      </c>
      <c r="T224" s="15"/>
      <c r="U224" s="15"/>
      <c r="V224" s="40">
        <f t="shared" si="65"/>
        <v>8.01</v>
      </c>
      <c r="W224" s="41">
        <f t="shared" si="54"/>
        <v>28.009999999999998</v>
      </c>
      <c r="X224">
        <f t="shared" si="66"/>
        <v>-6.4464444083671565E-2</v>
      </c>
      <c r="Y224">
        <f t="shared" si="67"/>
        <v>1.1755794619546553</v>
      </c>
      <c r="Z224" s="33">
        <f t="shared" si="55"/>
        <v>0.11176767256022328</v>
      </c>
      <c r="AA224" s="33">
        <f t="shared" si="56"/>
        <v>0.5</v>
      </c>
      <c r="AB224">
        <f t="shared" si="57"/>
        <v>-1.7440849757227914E-2</v>
      </c>
      <c r="AC224" s="1">
        <f t="shared" si="58"/>
        <v>-0.32119907388310387</v>
      </c>
      <c r="AD224" s="35">
        <f>IF(W224&gt;=FinalAgeForPremium, AE224*Delta-Z224*(Y224-AE224),AE224*Delta+PremiumRevisedForLimitedTerm-Z224*(Y224-AE224))</f>
        <v>1.0314735247880874E-2</v>
      </c>
      <c r="AE224" s="35">
        <f>AE223-StepSize*AD223</f>
        <v>2.0731497788330857E-2</v>
      </c>
      <c r="AF224" s="1"/>
    </row>
    <row r="225" spans="11:32" x14ac:dyDescent="0.45">
      <c r="K225" s="40">
        <f t="shared" si="59"/>
        <v>2</v>
      </c>
      <c r="L225" s="41">
        <f t="shared" si="51"/>
        <v>22</v>
      </c>
      <c r="M225">
        <f t="shared" si="60"/>
        <v>0.92536368190511076</v>
      </c>
      <c r="N225">
        <f t="shared" si="61"/>
        <v>7.4636318094889714E-2</v>
      </c>
      <c r="O225">
        <f t="shared" si="52"/>
        <v>6.6586004331973966E-2</v>
      </c>
      <c r="P225">
        <f t="shared" si="53"/>
        <v>0.5</v>
      </c>
      <c r="Q225">
        <f t="shared" si="62"/>
        <v>-2.4298111084540226E-2</v>
      </c>
      <c r="R225" s="6">
        <f t="shared" si="63"/>
        <v>2.4298111084540226E-2</v>
      </c>
      <c r="S225" s="18">
        <f t="shared" si="64"/>
        <v>1.0000000000000004</v>
      </c>
      <c r="T225" s="15"/>
      <c r="U225" s="15"/>
      <c r="V225" s="40">
        <f t="shared" si="65"/>
        <v>8</v>
      </c>
      <c r="W225" s="41">
        <f t="shared" si="54"/>
        <v>28</v>
      </c>
      <c r="X225">
        <f t="shared" si="66"/>
        <v>-6.4290035586099289E-2</v>
      </c>
      <c r="Y225">
        <f t="shared" si="67"/>
        <v>1.1787914526934864</v>
      </c>
      <c r="Z225" s="33">
        <f t="shared" si="55"/>
        <v>0.11167139524561287</v>
      </c>
      <c r="AA225" s="33">
        <f t="shared" si="56"/>
        <v>0.5</v>
      </c>
      <c r="AB225">
        <f t="shared" si="57"/>
        <v>-1.7651952282131608E-2</v>
      </c>
      <c r="AC225" s="1">
        <f t="shared" si="58"/>
        <v>-0.31951968322553281</v>
      </c>
      <c r="AD225" s="35">
        <f>IF(W225&gt;=FinalAgeForPremium, AE225*Delta-Z225*(Y225-AE225),AE225*Delta+PremiumRevisedForLimitedTerm-Z225*(Y225-AE225))</f>
        <v>1.005055744494171E-2</v>
      </c>
      <c r="AE225" s="35">
        <f>AE224-StepSize*AD224</f>
        <v>2.0628350435852049E-2</v>
      </c>
      <c r="AF225" s="1"/>
    </row>
    <row r="226" spans="11:32" x14ac:dyDescent="0.45">
      <c r="K226" s="40">
        <f t="shared" si="59"/>
        <v>2.0099999999999998</v>
      </c>
      <c r="L226" s="41">
        <f t="shared" si="51"/>
        <v>22.009999999999998</v>
      </c>
      <c r="M226">
        <f t="shared" si="60"/>
        <v>0.92512070079426534</v>
      </c>
      <c r="N226">
        <f t="shared" si="61"/>
        <v>7.487929920573512E-2</v>
      </c>
      <c r="O226">
        <f t="shared" si="52"/>
        <v>6.6643411348995804E-2</v>
      </c>
      <c r="P226">
        <f t="shared" si="53"/>
        <v>0.5</v>
      </c>
      <c r="Q226">
        <f t="shared" si="62"/>
        <v>-2.4213549807635931E-2</v>
      </c>
      <c r="R226" s="6">
        <f t="shared" si="63"/>
        <v>2.4213549807635931E-2</v>
      </c>
      <c r="S226" s="18">
        <f t="shared" si="64"/>
        <v>1.0000000000000004</v>
      </c>
      <c r="T226" s="15"/>
      <c r="U226" s="15"/>
      <c r="V226" s="40">
        <f t="shared" si="65"/>
        <v>7.99</v>
      </c>
      <c r="W226" s="41">
        <f t="shared" si="54"/>
        <v>27.990000000000002</v>
      </c>
      <c r="X226">
        <f t="shared" si="66"/>
        <v>-6.4113516063277975E-2</v>
      </c>
      <c r="Y226">
        <f t="shared" si="67"/>
        <v>1.1819866495257416</v>
      </c>
      <c r="Z226" s="33">
        <f t="shared" si="55"/>
        <v>0.111575200864834</v>
      </c>
      <c r="AA226" s="33">
        <f t="shared" si="56"/>
        <v>0.5</v>
      </c>
      <c r="AB226">
        <f t="shared" si="57"/>
        <v>-1.7860358379114011E-2</v>
      </c>
      <c r="AC226" s="1">
        <f t="shared" si="58"/>
        <v>-0.31785058472920313</v>
      </c>
      <c r="AD226" s="35">
        <f>IF(W226&gt;=FinalAgeForPremium, AE226*Delta-Z226*(Y226-AE226),AE226*Delta+PremiumRevisedForLimitedTerm-Z226*(Y226-AE226))</f>
        <v>9.7892222906630633E-3</v>
      </c>
      <c r="AE226" s="35">
        <f>AE225-StepSize*AD225</f>
        <v>2.0527844861402633E-2</v>
      </c>
      <c r="AF226" s="1"/>
    </row>
    <row r="227" spans="11:32" x14ac:dyDescent="0.45">
      <c r="K227" s="40">
        <f t="shared" si="59"/>
        <v>2.02</v>
      </c>
      <c r="L227" s="41">
        <f t="shared" si="51"/>
        <v>22.02</v>
      </c>
      <c r="M227">
        <f t="shared" si="60"/>
        <v>0.92487856529618895</v>
      </c>
      <c r="N227">
        <f t="shared" si="61"/>
        <v>7.5121434703811482E-2</v>
      </c>
      <c r="O227">
        <f t="shared" si="52"/>
        <v>6.6700867859385435E-2</v>
      </c>
      <c r="P227">
        <f t="shared" si="53"/>
        <v>0.5</v>
      </c>
      <c r="Q227">
        <f t="shared" si="62"/>
        <v>-2.412948561789334E-2</v>
      </c>
      <c r="R227" s="6">
        <f t="shared" si="63"/>
        <v>2.412948561789334E-2</v>
      </c>
      <c r="S227" s="18">
        <f t="shared" si="64"/>
        <v>1.0000000000000004</v>
      </c>
      <c r="T227" s="15"/>
      <c r="U227" s="15"/>
      <c r="V227" s="40">
        <f t="shared" si="65"/>
        <v>7.98</v>
      </c>
      <c r="W227" s="41">
        <f t="shared" si="54"/>
        <v>27.98</v>
      </c>
      <c r="X227">
        <f t="shared" si="66"/>
        <v>-6.3934912479486836E-2</v>
      </c>
      <c r="Y227">
        <f t="shared" si="67"/>
        <v>1.1851651553730336</v>
      </c>
      <c r="Z227" s="33">
        <f t="shared" si="55"/>
        <v>0.11147908934644674</v>
      </c>
      <c r="AA227" s="33">
        <f t="shared" si="56"/>
        <v>0.5</v>
      </c>
      <c r="AB227">
        <f t="shared" si="57"/>
        <v>-1.8066089993410486E-2</v>
      </c>
      <c r="AC227" s="1">
        <f t="shared" si="58"/>
        <v>-0.31619170830508814</v>
      </c>
      <c r="AD227" s="35">
        <f>IF(W227&gt;=FinalAgeForPremium, AE227*Delta-Z227*(Y227-AE227),AE227*Delta+PremiumRevisedForLimitedTerm-Z227*(Y227-AE227))</f>
        <v>9.5307073755760696E-3</v>
      </c>
      <c r="AE227" s="35">
        <f>AE226-StepSize*AD226</f>
        <v>2.0429952638496004E-2</v>
      </c>
      <c r="AF227" s="1"/>
    </row>
    <row r="228" spans="11:32" x14ac:dyDescent="0.45">
      <c r="K228" s="40">
        <f t="shared" si="59"/>
        <v>2.0299999999999998</v>
      </c>
      <c r="L228" s="41">
        <f t="shared" si="51"/>
        <v>22.03</v>
      </c>
      <c r="M228">
        <f t="shared" si="60"/>
        <v>0.92463727044000998</v>
      </c>
      <c r="N228">
        <f t="shared" si="61"/>
        <v>7.5362729559990418E-2</v>
      </c>
      <c r="O228">
        <f t="shared" si="52"/>
        <v>6.6758373905813517E-2</v>
      </c>
      <c r="P228">
        <f t="shared" si="53"/>
        <v>0.5</v>
      </c>
      <c r="Q228">
        <f t="shared" si="62"/>
        <v>-2.4045915847289788E-2</v>
      </c>
      <c r="R228" s="6">
        <f t="shared" si="63"/>
        <v>2.4045915847289788E-2</v>
      </c>
      <c r="S228" s="18">
        <f t="shared" si="64"/>
        <v>1.0000000000000004</v>
      </c>
      <c r="T228" s="15"/>
      <c r="U228" s="15"/>
      <c r="V228" s="40">
        <f t="shared" si="65"/>
        <v>7.97</v>
      </c>
      <c r="W228" s="41">
        <f t="shared" si="54"/>
        <v>27.97</v>
      </c>
      <c r="X228">
        <f t="shared" si="66"/>
        <v>-6.3754251579552737E-2</v>
      </c>
      <c r="Y228">
        <f t="shared" si="67"/>
        <v>1.1883270724560844</v>
      </c>
      <c r="Z228" s="33">
        <f t="shared" si="55"/>
        <v>0.11138306061907298</v>
      </c>
      <c r="AA228" s="33">
        <f t="shared" si="56"/>
        <v>0.5</v>
      </c>
      <c r="AB228">
        <f t="shared" si="57"/>
        <v>-1.8269168896700522E-2</v>
      </c>
      <c r="AC228" s="1">
        <f t="shared" si="58"/>
        <v>-0.31454298435937722</v>
      </c>
      <c r="AD228" s="35">
        <f>IF(W228&gt;=FinalAgeForPremium, AE228*Delta-Z228*(Y228-AE228),AE228*Delta+PremiumRevisedForLimitedTerm-Z228*(Y228-AE228))</f>
        <v>9.2749904654267912E-3</v>
      </c>
      <c r="AE228" s="35">
        <f>AE227-StepSize*AD227</f>
        <v>2.0334645564740243E-2</v>
      </c>
      <c r="AF228" s="1"/>
    </row>
    <row r="229" spans="11:32" x14ac:dyDescent="0.45">
      <c r="K229" s="40">
        <f t="shared" si="59"/>
        <v>2.04</v>
      </c>
      <c r="L229" s="41">
        <f t="shared" si="51"/>
        <v>22.04</v>
      </c>
      <c r="M229">
        <f t="shared" si="60"/>
        <v>0.92439681128153706</v>
      </c>
      <c r="N229">
        <f t="shared" si="61"/>
        <v>7.5603188718463318E-2</v>
      </c>
      <c r="O229">
        <f t="shared" si="52"/>
        <v>6.6815929530987403E-2</v>
      </c>
      <c r="P229">
        <f t="shared" si="53"/>
        <v>0.5</v>
      </c>
      <c r="Q229">
        <f t="shared" si="62"/>
        <v>-2.3962837842024985E-2</v>
      </c>
      <c r="R229" s="6">
        <f t="shared" si="63"/>
        <v>2.3962837842024985E-2</v>
      </c>
      <c r="S229" s="18">
        <f t="shared" si="64"/>
        <v>1.0000000000000004</v>
      </c>
      <c r="T229" s="15"/>
      <c r="U229" s="15"/>
      <c r="V229" s="40">
        <f t="shared" si="65"/>
        <v>7.96</v>
      </c>
      <c r="W229" s="41">
        <f t="shared" si="54"/>
        <v>27.96</v>
      </c>
      <c r="X229">
        <f t="shared" si="66"/>
        <v>-6.357155989058573E-2</v>
      </c>
      <c r="Y229">
        <f t="shared" si="67"/>
        <v>1.1914725022996782</v>
      </c>
      <c r="Z229" s="33">
        <f t="shared" si="55"/>
        <v>0.11128711461139615</v>
      </c>
      <c r="AA229" s="33">
        <f t="shared" si="56"/>
        <v>0.5</v>
      </c>
      <c r="AB229">
        <f t="shared" si="57"/>
        <v>-1.8469616688501708E-2</v>
      </c>
      <c r="AC229" s="1">
        <f t="shared" si="58"/>
        <v>-0.31290434378988419</v>
      </c>
      <c r="AD229" s="35">
        <f>IF(W229&gt;=FinalAgeForPremium, AE229*Delta-Z229*(Y229-AE229),AE229*Delta+PremiumRevisedForLimitedTerm-Z229*(Y229-AE229))</f>
        <v>9.022049499775503E-3</v>
      </c>
      <c r="AE229" s="35">
        <f>AE228-StepSize*AD228</f>
        <v>2.0241895660085975E-2</v>
      </c>
      <c r="AF229" s="1"/>
    </row>
    <row r="230" spans="11:32" x14ac:dyDescent="0.45">
      <c r="K230" s="40">
        <f t="shared" si="59"/>
        <v>2.0499999999999998</v>
      </c>
      <c r="L230" s="41">
        <f t="shared" si="51"/>
        <v>22.05</v>
      </c>
      <c r="M230">
        <f t="shared" si="60"/>
        <v>0.92415718290311677</v>
      </c>
      <c r="N230">
        <f t="shared" si="61"/>
        <v>7.5842817096883564E-2</v>
      </c>
      <c r="O230">
        <f t="shared" si="52"/>
        <v>6.6873534777651428E-2</v>
      </c>
      <c r="P230">
        <f t="shared" si="53"/>
        <v>0.5</v>
      </c>
      <c r="Q230">
        <f t="shared" si="62"/>
        <v>-2.3880248962446171E-2</v>
      </c>
      <c r="R230" s="6">
        <f t="shared" si="63"/>
        <v>2.3880248962446171E-2</v>
      </c>
      <c r="S230" s="18">
        <f t="shared" si="64"/>
        <v>1.0000000000000004</v>
      </c>
      <c r="T230" s="15"/>
      <c r="U230" s="15"/>
      <c r="V230" s="40">
        <f t="shared" si="65"/>
        <v>7.95</v>
      </c>
      <c r="W230" s="41">
        <f t="shared" si="54"/>
        <v>27.95</v>
      </c>
      <c r="X230">
        <f t="shared" si="66"/>
        <v>-6.3386863723700712E-2</v>
      </c>
      <c r="Y230">
        <f t="shared" si="67"/>
        <v>1.1946015457375769</v>
      </c>
      <c r="Z230" s="33">
        <f t="shared" si="55"/>
        <v>0.11119125125216101</v>
      </c>
      <c r="AA230" s="33">
        <f t="shared" si="56"/>
        <v>0.5</v>
      </c>
      <c r="AB230">
        <f t="shared" si="57"/>
        <v>-1.8667454797552677E-2</v>
      </c>
      <c r="AC230" s="1">
        <f t="shared" si="58"/>
        <v>-0.31127571798248233</v>
      </c>
      <c r="AD230" s="35">
        <f>IF(W230&gt;=FinalAgeForPremium, AE230*Delta-Z230*(Y230-AE230),AE230*Delta+PremiumRevisedForLimitedTerm-Z230*(Y230-AE230))</f>
        <v>8.7718625906073877E-3</v>
      </c>
      <c r="AE230" s="35">
        <f>AE229-StepSize*AD229</f>
        <v>2.0151675165088218E-2</v>
      </c>
      <c r="AF230" s="1"/>
    </row>
    <row r="231" spans="11:32" x14ac:dyDescent="0.45">
      <c r="K231" s="40">
        <f t="shared" si="59"/>
        <v>2.06</v>
      </c>
      <c r="L231" s="41">
        <f t="shared" si="51"/>
        <v>22.06</v>
      </c>
      <c r="M231">
        <f t="shared" si="60"/>
        <v>0.92391838041349228</v>
      </c>
      <c r="N231">
        <f t="shared" si="61"/>
        <v>7.6081619586508026E-2</v>
      </c>
      <c r="O231">
        <f t="shared" si="52"/>
        <v>6.6931189688586593E-2</v>
      </c>
      <c r="P231">
        <f t="shared" si="53"/>
        <v>0.5</v>
      </c>
      <c r="Q231">
        <f t="shared" si="62"/>
        <v>-2.3798146582973148E-2</v>
      </c>
      <c r="R231" s="6">
        <f t="shared" si="63"/>
        <v>2.3798146582973148E-2</v>
      </c>
      <c r="S231" s="18">
        <f t="shared" si="64"/>
        <v>1.0000000000000002</v>
      </c>
      <c r="T231" s="15"/>
      <c r="U231" s="15"/>
      <c r="V231" s="40">
        <f t="shared" si="65"/>
        <v>7.94</v>
      </c>
      <c r="W231" s="41">
        <f t="shared" si="54"/>
        <v>27.94</v>
      </c>
      <c r="X231">
        <f t="shared" si="66"/>
        <v>-6.3200189175725188E-2</v>
      </c>
      <c r="Y231">
        <f t="shared" si="67"/>
        <v>1.1977143029174018</v>
      </c>
      <c r="Z231" s="33">
        <f t="shared" si="55"/>
        <v>0.11109547047017369</v>
      </c>
      <c r="AA231" s="33">
        <f t="shared" si="56"/>
        <v>0.5</v>
      </c>
      <c r="AB231">
        <f t="shared" si="57"/>
        <v>-1.8862704483184639E-2</v>
      </c>
      <c r="AC231" s="1">
        <f t="shared" si="58"/>
        <v>-0.30965703880756645</v>
      </c>
      <c r="AD231" s="35">
        <f>IF(W231&gt;=FinalAgeForPremium, AE231*Delta-Z231*(Y231-AE231),AE231*Delta+PremiumRevisedForLimitedTerm-Z231*(Y231-AE231))</f>
        <v>8.5244080209543327E-3</v>
      </c>
      <c r="AE231" s="35">
        <f>AE230-StepSize*AD230</f>
        <v>2.0063956539182144E-2</v>
      </c>
      <c r="AF231" s="1"/>
    </row>
    <row r="232" spans="11:32" x14ac:dyDescent="0.45">
      <c r="K232" s="40">
        <f t="shared" si="59"/>
        <v>2.0699999999999998</v>
      </c>
      <c r="L232" s="41">
        <f t="shared" si="51"/>
        <v>22.07</v>
      </c>
      <c r="M232">
        <f t="shared" si="60"/>
        <v>0.92368039894766252</v>
      </c>
      <c r="N232">
        <f t="shared" si="61"/>
        <v>7.631960105233776E-2</v>
      </c>
      <c r="O232">
        <f t="shared" si="52"/>
        <v>6.6988894306610924E-2</v>
      </c>
      <c r="P232">
        <f t="shared" si="53"/>
        <v>0.5</v>
      </c>
      <c r="Q232">
        <f t="shared" si="62"/>
        <v>-2.3716528092024299E-2</v>
      </c>
      <c r="R232" s="6">
        <f t="shared" si="63"/>
        <v>2.3716528092024299E-2</v>
      </c>
      <c r="S232" s="18">
        <f t="shared" si="64"/>
        <v>1.0000000000000002</v>
      </c>
      <c r="T232" s="15"/>
      <c r="U232" s="15"/>
      <c r="V232" s="40">
        <f t="shared" si="65"/>
        <v>7.93</v>
      </c>
      <c r="W232" s="41">
        <f t="shared" si="54"/>
        <v>27.93</v>
      </c>
      <c r="X232">
        <f t="shared" si="66"/>
        <v>-6.3011562130893345E-2</v>
      </c>
      <c r="Y232">
        <f t="shared" si="67"/>
        <v>1.2008108733054774</v>
      </c>
      <c r="Z232" s="33">
        <f t="shared" si="55"/>
        <v>0.11099977219430165</v>
      </c>
      <c r="AA232" s="33">
        <f t="shared" si="56"/>
        <v>0.5</v>
      </c>
      <c r="AB232">
        <f t="shared" si="57"/>
        <v>-1.9055386836681648E-2</v>
      </c>
      <c r="AC232" s="1">
        <f t="shared" si="58"/>
        <v>-0.30804823861654074</v>
      </c>
      <c r="AD232" s="35">
        <f>IF(W232&gt;=FinalAgeForPremium, AE232*Delta-Z232*(Y232-AE232),AE232*Delta+PremiumRevisedForLimitedTerm-Z232*(Y232-AE232))</f>
        <v>8.279664243528162E-3</v>
      </c>
      <c r="AE232" s="35">
        <f>AE231-StepSize*AD231</f>
        <v>1.9978712458972602E-2</v>
      </c>
      <c r="AF232" s="1"/>
    </row>
    <row r="233" spans="11:32" x14ac:dyDescent="0.45">
      <c r="K233" s="40">
        <f t="shared" si="59"/>
        <v>2.08</v>
      </c>
      <c r="L233" s="41">
        <f t="shared" si="51"/>
        <v>22.08</v>
      </c>
      <c r="M233">
        <f t="shared" si="60"/>
        <v>0.9234432336667423</v>
      </c>
      <c r="N233">
        <f t="shared" si="61"/>
        <v>7.6556766333258003E-2</v>
      </c>
      <c r="O233">
        <f t="shared" si="52"/>
        <v>6.7046648674579296E-2</v>
      </c>
      <c r="P233">
        <f t="shared" si="53"/>
        <v>0.5</v>
      </c>
      <c r="Q233">
        <f t="shared" si="62"/>
        <v>-2.3635390891942505E-2</v>
      </c>
      <c r="R233" s="6">
        <f t="shared" si="63"/>
        <v>2.3635390891942505E-2</v>
      </c>
      <c r="S233" s="18">
        <f t="shared" si="64"/>
        <v>1.0000000000000002</v>
      </c>
      <c r="T233" s="15"/>
      <c r="U233" s="15"/>
      <c r="V233" s="40">
        <f t="shared" si="65"/>
        <v>7.92</v>
      </c>
      <c r="W233" s="41">
        <f t="shared" si="54"/>
        <v>27.92</v>
      </c>
      <c r="X233">
        <f t="shared" si="66"/>
        <v>-6.2821008262526526E-2</v>
      </c>
      <c r="Y233">
        <f t="shared" si="67"/>
        <v>1.2038913556916429</v>
      </c>
      <c r="Z233" s="33">
        <f t="shared" si="55"/>
        <v>0.11090415635347373</v>
      </c>
      <c r="AA233" s="33">
        <f t="shared" si="56"/>
        <v>0.5</v>
      </c>
      <c r="AB233">
        <f t="shared" si="57"/>
        <v>-1.924552278263017E-2</v>
      </c>
      <c r="AC233" s="1">
        <f t="shared" si="58"/>
        <v>-0.30644925023833325</v>
      </c>
      <c r="AD233" s="35">
        <f>IF(W233&gt;=FinalAgeForPremium, AE233*Delta-Z233*(Y233-AE233),AE233*Delta+PremiumRevisedForLimitedTerm-Z233*(Y233-AE233))</f>
        <v>8.0376098793648043E-3</v>
      </c>
      <c r="AE233" s="35">
        <f>AE232-StepSize*AD232</f>
        <v>1.9895915816537321E-2</v>
      </c>
      <c r="AF233" s="1"/>
    </row>
    <row r="234" spans="11:32" x14ac:dyDescent="0.45">
      <c r="K234" s="40">
        <f t="shared" si="59"/>
        <v>2.09</v>
      </c>
      <c r="L234" s="41">
        <f t="shared" si="51"/>
        <v>22.09</v>
      </c>
      <c r="M234">
        <f t="shared" si="60"/>
        <v>0.9232068797578229</v>
      </c>
      <c r="N234">
        <f t="shared" si="61"/>
        <v>7.6793120242177423E-2</v>
      </c>
      <c r="O234">
        <f t="shared" si="52"/>
        <v>6.7104452835383535E-2</v>
      </c>
      <c r="P234">
        <f t="shared" si="53"/>
        <v>0.5</v>
      </c>
      <c r="Q234">
        <f t="shared" si="62"/>
        <v>-2.355473239892171E-2</v>
      </c>
      <c r="R234" s="6">
        <f t="shared" si="63"/>
        <v>2.355473239892171E-2</v>
      </c>
      <c r="S234" s="18">
        <f t="shared" si="64"/>
        <v>1.0000000000000002</v>
      </c>
      <c r="T234" s="15"/>
      <c r="U234" s="15"/>
      <c r="V234" s="40">
        <f t="shared" si="65"/>
        <v>7.91</v>
      </c>
      <c r="W234" s="41">
        <f t="shared" si="54"/>
        <v>27.91</v>
      </c>
      <c r="X234">
        <f t="shared" si="66"/>
        <v>-6.2628553034700218E-2</v>
      </c>
      <c r="Y234">
        <f t="shared" si="67"/>
        <v>1.2069558481940261</v>
      </c>
      <c r="Z234" s="33">
        <f t="shared" si="55"/>
        <v>0.11080862287667988</v>
      </c>
      <c r="AA234" s="33">
        <f t="shared" si="56"/>
        <v>0.5</v>
      </c>
      <c r="AB234">
        <f t="shared" si="57"/>
        <v>-1.9433133080256709E-2</v>
      </c>
      <c r="AC234" s="1">
        <f t="shared" si="58"/>
        <v>-0.30486000697593552</v>
      </c>
      <c r="AD234" s="35">
        <f>IF(W234&gt;=FinalAgeForPremium, AE234*Delta-Z234*(Y234-AE234),AE234*Delta+PremiumRevisedForLimitedTerm-Z234*(Y234-AE234))</f>
        <v>7.798223716479924E-3</v>
      </c>
      <c r="AE234" s="35">
        <f>AE233-StepSize*AD233</f>
        <v>1.9815539717743674E-2</v>
      </c>
      <c r="AF234" s="1"/>
    </row>
    <row r="235" spans="11:32" x14ac:dyDescent="0.45">
      <c r="K235" s="40">
        <f t="shared" si="59"/>
        <v>2.1</v>
      </c>
      <c r="L235" s="41">
        <f t="shared" si="51"/>
        <v>22.1</v>
      </c>
      <c r="M235">
        <f t="shared" si="60"/>
        <v>0.92297133243383367</v>
      </c>
      <c r="N235">
        <f t="shared" si="61"/>
        <v>7.7028667566166636E-2</v>
      </c>
      <c r="O235">
        <f t="shared" si="52"/>
        <v>6.716230683195247E-2</v>
      </c>
      <c r="P235">
        <f t="shared" si="53"/>
        <v>0.5</v>
      </c>
      <c r="Q235">
        <f t="shared" si="62"/>
        <v>-2.347455004293382E-2</v>
      </c>
      <c r="R235" s="6">
        <f t="shared" si="63"/>
        <v>2.347455004293382E-2</v>
      </c>
      <c r="S235" s="18">
        <f t="shared" si="64"/>
        <v>1.0000000000000002</v>
      </c>
      <c r="T235" s="15"/>
      <c r="U235" s="15"/>
      <c r="V235" s="40">
        <f t="shared" si="65"/>
        <v>7.9</v>
      </c>
      <c r="W235" s="41">
        <f t="shared" si="54"/>
        <v>27.9</v>
      </c>
      <c r="X235">
        <f t="shared" si="66"/>
        <v>-6.2434221703897654E-2</v>
      </c>
      <c r="Y235">
        <f t="shared" si="67"/>
        <v>1.2100044482637855</v>
      </c>
      <c r="Z235" s="33">
        <f t="shared" si="55"/>
        <v>0.11071317169297115</v>
      </c>
      <c r="AA235" s="33">
        <f t="shared" si="56"/>
        <v>0.5</v>
      </c>
      <c r="AB235">
        <f t="shared" si="57"/>
        <v>-1.9618238324755163E-2</v>
      </c>
      <c r="AC235" s="1">
        <f t="shared" si="58"/>
        <v>-0.30328044260296916</v>
      </c>
      <c r="AD235" s="35">
        <f>IF(W235&gt;=FinalAgeForPremium, AE235*Delta-Z235*(Y235-AE235),AE235*Delta+PremiumRevisedForLimitedTerm-Z235*(Y235-AE235))</f>
        <v>7.5614847085354042E-3</v>
      </c>
      <c r="AE235" s="35">
        <f>AE234-StepSize*AD234</f>
        <v>1.9737557480578875E-2</v>
      </c>
      <c r="AF235" s="1"/>
    </row>
    <row r="236" spans="11:32" x14ac:dyDescent="0.45">
      <c r="K236" s="40">
        <f t="shared" si="59"/>
        <v>2.11</v>
      </c>
      <c r="L236" s="41">
        <f t="shared" si="51"/>
        <v>22.11</v>
      </c>
      <c r="M236">
        <f t="shared" si="60"/>
        <v>0.92273658693340432</v>
      </c>
      <c r="N236">
        <f t="shared" si="61"/>
        <v>7.7263413066595968E-2</v>
      </c>
      <c r="O236">
        <f t="shared" si="52"/>
        <v>6.7220210707251898E-2</v>
      </c>
      <c r="P236">
        <f t="shared" si="53"/>
        <v>0.5</v>
      </c>
      <c r="Q236">
        <f t="shared" si="62"/>
        <v>-2.3394841267655911E-2</v>
      </c>
      <c r="R236" s="6">
        <f t="shared" si="63"/>
        <v>2.3394841267655911E-2</v>
      </c>
      <c r="S236" s="18">
        <f t="shared" si="64"/>
        <v>1.0000000000000002</v>
      </c>
      <c r="T236" s="15"/>
      <c r="U236" s="15"/>
      <c r="V236" s="40">
        <f t="shared" si="65"/>
        <v>7.89</v>
      </c>
      <c r="W236" s="41">
        <f t="shared" si="54"/>
        <v>27.89</v>
      </c>
      <c r="X236">
        <f t="shared" si="66"/>
        <v>-6.2238039320650099E-2</v>
      </c>
      <c r="Y236">
        <f t="shared" si="67"/>
        <v>1.2130372526898152</v>
      </c>
      <c r="Z236" s="33">
        <f t="shared" si="55"/>
        <v>0.11061780273145998</v>
      </c>
      <c r="AA236" s="33">
        <f t="shared" si="56"/>
        <v>0.5</v>
      </c>
      <c r="AB236">
        <f t="shared" si="57"/>
        <v>-1.980085894860352E-2</v>
      </c>
      <c r="AC236" s="1">
        <f t="shared" si="58"/>
        <v>-0.30171049136027661</v>
      </c>
      <c r="AD236" s="35">
        <f>IF(W236&gt;=FinalAgeForPremium, AE236*Delta-Z236*(Y236-AE236),AE236*Delta+PremiumRevisedForLimitedTerm-Z236*(Y236-AE236))</f>
        <v>7.327371973516128E-3</v>
      </c>
      <c r="AE236" s="35">
        <f>AE235-StepSize*AD235</f>
        <v>1.966194263349352E-2</v>
      </c>
      <c r="AF236" s="1"/>
    </row>
    <row r="237" spans="11:32" x14ac:dyDescent="0.45">
      <c r="K237" s="40">
        <f t="shared" si="59"/>
        <v>2.12</v>
      </c>
      <c r="L237" s="41">
        <f t="shared" si="51"/>
        <v>22.12</v>
      </c>
      <c r="M237">
        <f t="shared" si="60"/>
        <v>0.92250263852072778</v>
      </c>
      <c r="N237">
        <f t="shared" si="61"/>
        <v>7.7497361479272525E-2</v>
      </c>
      <c r="O237">
        <f t="shared" si="52"/>
        <v>6.7278164504284726E-2</v>
      </c>
      <c r="P237">
        <f t="shared" si="53"/>
        <v>0.5</v>
      </c>
      <c r="Q237">
        <f t="shared" si="62"/>
        <v>-2.3315603530397966E-2</v>
      </c>
      <c r="R237" s="6">
        <f t="shared" si="63"/>
        <v>2.3315603530397966E-2</v>
      </c>
      <c r="S237" s="18">
        <f t="shared" si="64"/>
        <v>1.0000000000000002</v>
      </c>
      <c r="T237" s="15"/>
      <c r="U237" s="15"/>
      <c r="V237" s="40">
        <f t="shared" si="65"/>
        <v>7.88</v>
      </c>
      <c r="W237" s="41">
        <f t="shared" si="54"/>
        <v>27.88</v>
      </c>
      <c r="X237">
        <f t="shared" si="66"/>
        <v>-6.2040030731164063E-2</v>
      </c>
      <c r="Y237">
        <f t="shared" si="67"/>
        <v>1.216054357603418</v>
      </c>
      <c r="Z237" s="33">
        <f t="shared" si="55"/>
        <v>0.11052251592131958</v>
      </c>
      <c r="AA237" s="33">
        <f t="shared" si="56"/>
        <v>0.5</v>
      </c>
      <c r="AB237">
        <f t="shared" si="57"/>
        <v>-1.9981015222868589E-2</v>
      </c>
      <c r="AC237" s="1">
        <f t="shared" si="58"/>
        <v>-0.30015008795253806</v>
      </c>
      <c r="AD237" s="35">
        <f>IF(W237&gt;=FinalAgeForPremium, AE237*Delta-Z237*(Y237-AE237),AE237*Delta+PremiumRevisedForLimitedTerm-Z237*(Y237-AE237))</f>
        <v>7.0958647924189433E-3</v>
      </c>
      <c r="AE237" s="35">
        <f>AE236-StepSize*AD236</f>
        <v>1.9588668913758357E-2</v>
      </c>
      <c r="AF237" s="1"/>
    </row>
    <row r="238" spans="11:32" x14ac:dyDescent="0.45">
      <c r="K238" s="40">
        <f t="shared" si="59"/>
        <v>2.13</v>
      </c>
      <c r="L238" s="41">
        <f t="shared" si="51"/>
        <v>22.13</v>
      </c>
      <c r="M238">
        <f t="shared" si="60"/>
        <v>0.92226948248542384</v>
      </c>
      <c r="N238">
        <f t="shared" si="61"/>
        <v>7.7730517514576505E-2</v>
      </c>
      <c r="O238">
        <f t="shared" si="52"/>
        <v>6.7336168266090846E-2</v>
      </c>
      <c r="P238">
        <f t="shared" si="53"/>
        <v>0.5</v>
      </c>
      <c r="Q238">
        <f t="shared" si="62"/>
        <v>-2.3236834302030773E-2</v>
      </c>
      <c r="R238" s="6">
        <f t="shared" si="63"/>
        <v>2.3236834302030773E-2</v>
      </c>
      <c r="S238" s="18">
        <f t="shared" si="64"/>
        <v>1.0000000000000004</v>
      </c>
      <c r="T238" s="15"/>
      <c r="U238" s="15"/>
      <c r="V238" s="40">
        <f t="shared" si="65"/>
        <v>7.87</v>
      </c>
      <c r="W238" s="41">
        <f t="shared" si="54"/>
        <v>27.87</v>
      </c>
      <c r="X238">
        <f t="shared" si="66"/>
        <v>-6.184022057893538E-2</v>
      </c>
      <c r="Y238">
        <f t="shared" si="67"/>
        <v>1.2190558584829434</v>
      </c>
      <c r="Z238" s="33">
        <f t="shared" si="55"/>
        <v>0.11042731119178432</v>
      </c>
      <c r="AA238" s="33">
        <f t="shared" si="56"/>
        <v>0.5</v>
      </c>
      <c r="AB238">
        <f t="shared" si="57"/>
        <v>-2.0158727258501583E-2</v>
      </c>
      <c r="AC238" s="1">
        <f t="shared" si="58"/>
        <v>-0.29859916754491345</v>
      </c>
      <c r="AD238" s="35">
        <f>IF(W238&gt;=FinalAgeForPremium, AE238*Delta-Z238*(Y238-AE238),AE238*Delta+PremiumRevisedForLimitedTerm-Z238*(Y238-AE238))</f>
        <v>6.8669426079508156E-3</v>
      </c>
      <c r="AE238" s="35">
        <f>AE237-StepSize*AD237</f>
        <v>1.9517710265834168E-2</v>
      </c>
      <c r="AF238" s="1"/>
    </row>
    <row r="239" spans="11:32" x14ac:dyDescent="0.45">
      <c r="K239" s="40">
        <f t="shared" si="59"/>
        <v>2.14</v>
      </c>
      <c r="L239" s="41">
        <f t="shared" si="51"/>
        <v>22.14</v>
      </c>
      <c r="M239">
        <f t="shared" si="60"/>
        <v>0.92203711414240352</v>
      </c>
      <c r="N239">
        <f t="shared" si="61"/>
        <v>7.7962885857596809E-2</v>
      </c>
      <c r="O239">
        <f t="shared" si="52"/>
        <v>6.7394222035747367E-2</v>
      </c>
      <c r="P239">
        <f t="shared" si="53"/>
        <v>0.5</v>
      </c>
      <c r="Q239">
        <f t="shared" si="62"/>
        <v>-2.3158531066914477E-2</v>
      </c>
      <c r="R239" s="6">
        <f t="shared" si="63"/>
        <v>2.3158531066914477E-2</v>
      </c>
      <c r="S239" s="18">
        <f t="shared" si="64"/>
        <v>1.0000000000000004</v>
      </c>
      <c r="T239" s="15"/>
      <c r="U239" s="15"/>
      <c r="V239" s="40">
        <f t="shared" si="65"/>
        <v>7.86</v>
      </c>
      <c r="W239" s="41">
        <f t="shared" si="54"/>
        <v>27.86</v>
      </c>
      <c r="X239">
        <f t="shared" si="66"/>
        <v>-6.1638633306350367E-2</v>
      </c>
      <c r="Y239">
        <f t="shared" si="67"/>
        <v>1.2220418501583925</v>
      </c>
      <c r="Z239" s="33">
        <f t="shared" si="55"/>
        <v>0.11033218847214943</v>
      </c>
      <c r="AA239" s="33">
        <f t="shared" si="56"/>
        <v>0.5</v>
      </c>
      <c r="AB239">
        <f t="shared" si="57"/>
        <v>-2.0334015007621747E-2</v>
      </c>
      <c r="AC239" s="1">
        <f t="shared" si="58"/>
        <v>-0.29705766575970893</v>
      </c>
      <c r="AD239" s="35">
        <f>IF(W239&gt;=FinalAgeForPremium, AE239*Delta-Z239*(Y239-AE239),AE239*Delta+PremiumRevisedForLimitedTerm-Z239*(Y239-AE239))</f>
        <v>6.6405850232386654E-3</v>
      </c>
      <c r="AE239" s="35">
        <f>AE238-StepSize*AD238</f>
        <v>1.9449040839754659E-2</v>
      </c>
      <c r="AF239" s="1"/>
    </row>
    <row r="240" spans="11:32" x14ac:dyDescent="0.45">
      <c r="K240" s="40">
        <f t="shared" si="59"/>
        <v>2.15</v>
      </c>
      <c r="L240" s="41">
        <f t="shared" si="51"/>
        <v>22.15</v>
      </c>
      <c r="M240">
        <f t="shared" si="60"/>
        <v>0.92180552883173439</v>
      </c>
      <c r="N240">
        <f t="shared" si="61"/>
        <v>7.8194471168265958E-2</v>
      </c>
      <c r="O240">
        <f t="shared" si="52"/>
        <v>6.7452325856368414E-2</v>
      </c>
      <c r="P240">
        <f t="shared" si="53"/>
        <v>0.5</v>
      </c>
      <c r="Q240">
        <f t="shared" si="62"/>
        <v>-2.3080691322827175E-2</v>
      </c>
      <c r="R240" s="6">
        <f t="shared" si="63"/>
        <v>2.3080691322827175E-2</v>
      </c>
      <c r="S240" s="18">
        <f t="shared" si="64"/>
        <v>1.0000000000000004</v>
      </c>
      <c r="T240" s="15"/>
      <c r="U240" s="15"/>
      <c r="V240" s="40">
        <f t="shared" si="65"/>
        <v>7.85</v>
      </c>
      <c r="W240" s="41">
        <f t="shared" si="54"/>
        <v>27.85</v>
      </c>
      <c r="X240">
        <f t="shared" si="66"/>
        <v>-6.1435293156274148E-2</v>
      </c>
      <c r="Y240">
        <f t="shared" si="67"/>
        <v>1.2250124268159897</v>
      </c>
      <c r="Z240" s="33">
        <f t="shared" si="55"/>
        <v>0.11023714769177129</v>
      </c>
      <c r="AA240" s="33">
        <f t="shared" si="56"/>
        <v>0.5</v>
      </c>
      <c r="AB240">
        <f t="shared" si="57"/>
        <v>-2.0506898264790907E-2</v>
      </c>
      <c r="AC240" s="1">
        <f t="shared" si="58"/>
        <v>-0.29552551867306864</v>
      </c>
      <c r="AD240" s="35">
        <f>IF(W240&gt;=FinalAgeForPremium, AE240*Delta-Z240*(Y240-AE240),AE240*Delta+PremiumRevisedForLimitedTerm-Z240*(Y240-AE240))</f>
        <v>6.4167718005488927E-3</v>
      </c>
      <c r="AE240" s="35">
        <f>AE239-StepSize*AD239</f>
        <v>1.9382634989522272E-2</v>
      </c>
      <c r="AF240" s="1"/>
    </row>
    <row r="241" spans="11:32" x14ac:dyDescent="0.45">
      <c r="K241" s="40">
        <f t="shared" si="59"/>
        <v>2.16</v>
      </c>
      <c r="L241" s="41">
        <f t="shared" si="51"/>
        <v>22.16</v>
      </c>
      <c r="M241">
        <f t="shared" si="60"/>
        <v>0.92157472191850609</v>
      </c>
      <c r="N241">
        <f t="shared" si="61"/>
        <v>7.8425278081494229E-2</v>
      </c>
      <c r="O241">
        <f t="shared" si="52"/>
        <v>6.7510479771105386E-2</v>
      </c>
      <c r="P241">
        <f t="shared" si="53"/>
        <v>0.5</v>
      </c>
      <c r="Q241">
        <f t="shared" si="62"/>
        <v>-2.3003312580894261E-2</v>
      </c>
      <c r="R241" s="6">
        <f t="shared" si="63"/>
        <v>2.3003312580894261E-2</v>
      </c>
      <c r="S241" s="18">
        <f t="shared" si="64"/>
        <v>1.0000000000000002</v>
      </c>
      <c r="T241" s="15"/>
      <c r="U241" s="15"/>
      <c r="V241" s="40">
        <f t="shared" si="65"/>
        <v>7.84</v>
      </c>
      <c r="W241" s="41">
        <f t="shared" si="54"/>
        <v>27.84</v>
      </c>
      <c r="X241">
        <f t="shared" si="66"/>
        <v>-6.1230224173626238E-2</v>
      </c>
      <c r="Y241">
        <f t="shared" si="67"/>
        <v>1.2279676820027203</v>
      </c>
      <c r="Z241" s="33">
        <f t="shared" si="55"/>
        <v>0.11014218878006674</v>
      </c>
      <c r="AA241" s="33">
        <f t="shared" si="56"/>
        <v>0.5</v>
      </c>
      <c r="AB241">
        <f t="shared" si="57"/>
        <v>-2.0677396668275574E-2</v>
      </c>
      <c r="AC241" s="1">
        <f t="shared" si="58"/>
        <v>-0.29400266281169074</v>
      </c>
      <c r="AD241" s="35">
        <f>IF(W241&gt;=FinalAgeForPremium, AE241*Delta-Z241*(Y241-AE241),AE241*Delta+PremiumRevisedForLimitedTerm-Z241*(Y241-AE241))</f>
        <v>6.1954828600187528E-3</v>
      </c>
      <c r="AE241" s="35">
        <f>AE240-StepSize*AD240</f>
        <v>1.9318467271516784E-2</v>
      </c>
      <c r="AF241" s="1"/>
    </row>
    <row r="242" spans="11:32" x14ac:dyDescent="0.45">
      <c r="K242" s="40">
        <f t="shared" si="59"/>
        <v>2.17</v>
      </c>
      <c r="L242" s="41">
        <f t="shared" si="51"/>
        <v>22.17</v>
      </c>
      <c r="M242">
        <f t="shared" si="60"/>
        <v>0.92134468879269715</v>
      </c>
      <c r="N242">
        <f t="shared" si="61"/>
        <v>7.8655311207303166E-2</v>
      </c>
      <c r="O242">
        <f t="shared" si="52"/>
        <v>6.7568683823146861E-2</v>
      </c>
      <c r="P242">
        <f t="shared" si="53"/>
        <v>0.5</v>
      </c>
      <c r="Q242">
        <f t="shared" si="62"/>
        <v>-2.2926392365517814E-2</v>
      </c>
      <c r="R242" s="6">
        <f t="shared" si="63"/>
        <v>2.2926392365517814E-2</v>
      </c>
      <c r="S242" s="18">
        <f t="shared" si="64"/>
        <v>1.0000000000000002</v>
      </c>
      <c r="T242" s="15"/>
      <c r="U242" s="15"/>
      <c r="V242" s="40">
        <f t="shared" si="65"/>
        <v>7.83</v>
      </c>
      <c r="W242" s="41">
        <f t="shared" si="54"/>
        <v>27.83</v>
      </c>
      <c r="X242">
        <f t="shared" si="66"/>
        <v>-6.1023450206943483E-2</v>
      </c>
      <c r="Y242">
        <f t="shared" si="67"/>
        <v>1.2309077086308373</v>
      </c>
      <c r="Z242" s="33">
        <f t="shared" si="55"/>
        <v>0.1100473116665137</v>
      </c>
      <c r="AA242" s="33">
        <f t="shared" si="56"/>
        <v>0.5</v>
      </c>
      <c r="AB242">
        <f t="shared" si="57"/>
        <v>-2.0845529701301005E-2</v>
      </c>
      <c r="AC242" s="1">
        <f t="shared" si="58"/>
        <v>-0.2924890351495677</v>
      </c>
      <c r="AD242" s="35">
        <f>IF(W242&gt;=FinalAgeForPremium, AE242*Delta-Z242*(Y242-AE242),AE242*Delta+PremiumRevisedForLimitedTerm-Z242*(Y242-AE242))</f>
        <v>5.9766982783961142E-3</v>
      </c>
      <c r="AE242" s="35">
        <f>AE241-StepSize*AD241</f>
        <v>1.9256512442916596E-2</v>
      </c>
      <c r="AF242" s="1"/>
    </row>
    <row r="243" spans="11:32" x14ac:dyDescent="0.45">
      <c r="K243" s="40">
        <f t="shared" si="59"/>
        <v>2.1800000000000002</v>
      </c>
      <c r="L243" s="41">
        <f t="shared" si="51"/>
        <v>22.18</v>
      </c>
      <c r="M243">
        <f t="shared" si="60"/>
        <v>0.92111542486904197</v>
      </c>
      <c r="N243">
        <f t="shared" si="61"/>
        <v>7.888457513095834E-2</v>
      </c>
      <c r="O243">
        <f t="shared" si="52"/>
        <v>6.762693805571858E-2</v>
      </c>
      <c r="P243">
        <f t="shared" si="53"/>
        <v>0.5</v>
      </c>
      <c r="Q243">
        <f t="shared" si="62"/>
        <v>-2.2849928214306432E-2</v>
      </c>
      <c r="R243" s="6">
        <f t="shared" si="63"/>
        <v>2.2849928214306432E-2</v>
      </c>
      <c r="S243" s="18">
        <f t="shared" si="64"/>
        <v>1.0000000000000002</v>
      </c>
      <c r="T243" s="15"/>
      <c r="U243" s="15"/>
      <c r="V243" s="40">
        <f t="shared" si="65"/>
        <v>7.82</v>
      </c>
      <c r="W243" s="41">
        <f t="shared" si="54"/>
        <v>27.82</v>
      </c>
      <c r="X243">
        <f t="shared" si="66"/>
        <v>-6.0814994909930475E-2</v>
      </c>
      <c r="Y243">
        <f t="shared" si="67"/>
        <v>1.2338325989823329</v>
      </c>
      <c r="Z243" s="33">
        <f t="shared" si="55"/>
        <v>0.10995251628065092</v>
      </c>
      <c r="AA243" s="33">
        <f t="shared" si="56"/>
        <v>0.5</v>
      </c>
      <c r="AB243">
        <f t="shared" si="57"/>
        <v>-2.101131669329348E-2</v>
      </c>
      <c r="AC243" s="1">
        <f t="shared" si="58"/>
        <v>-0.29098457310475179</v>
      </c>
      <c r="AD243" s="35">
        <f>IF(W243&gt;=FinalAgeForPremium, AE243*Delta-Z243*(Y243-AE243),AE243*Delta+PremiumRevisedForLimitedTerm-Z243*(Y243-AE243))</f>
        <v>5.7603982877911519E-3</v>
      </c>
      <c r="AE243" s="35">
        <f>AE242-StepSize*AD242</f>
        <v>1.9196745460132635E-2</v>
      </c>
      <c r="AF243" s="1"/>
    </row>
    <row r="244" spans="11:32" x14ac:dyDescent="0.45">
      <c r="K244" s="40">
        <f t="shared" si="59"/>
        <v>2.19</v>
      </c>
      <c r="L244" s="41">
        <f t="shared" si="51"/>
        <v>22.19</v>
      </c>
      <c r="M244">
        <f t="shared" si="60"/>
        <v>0.92088692558689889</v>
      </c>
      <c r="N244">
        <f t="shared" si="61"/>
        <v>7.9113074413101406E-2</v>
      </c>
      <c r="O244">
        <f t="shared" si="52"/>
        <v>6.768524251208366E-2</v>
      </c>
      <c r="P244">
        <f t="shared" si="53"/>
        <v>0.5</v>
      </c>
      <c r="Q244">
        <f t="shared" si="62"/>
        <v>-2.2773917678005684E-2</v>
      </c>
      <c r="R244" s="6">
        <f t="shared" si="63"/>
        <v>2.2773917678005684E-2</v>
      </c>
      <c r="S244" s="18">
        <f t="shared" si="64"/>
        <v>1.0000000000000002</v>
      </c>
      <c r="T244" s="15"/>
      <c r="U244" s="15"/>
      <c r="V244" s="40">
        <f t="shared" si="65"/>
        <v>7.81</v>
      </c>
      <c r="W244" s="41">
        <f t="shared" si="54"/>
        <v>27.81</v>
      </c>
      <c r="X244">
        <f t="shared" si="66"/>
        <v>-6.0604881742997538E-2</v>
      </c>
      <c r="Y244">
        <f t="shared" si="67"/>
        <v>1.2367424447133804</v>
      </c>
      <c r="Z244" s="33">
        <f t="shared" si="55"/>
        <v>0.10985780255207747</v>
      </c>
      <c r="AA244" s="33">
        <f t="shared" si="56"/>
        <v>0.5</v>
      </c>
      <c r="AB244">
        <f t="shared" si="57"/>
        <v>-2.1174776821112573E-2</v>
      </c>
      <c r="AC244" s="1">
        <f t="shared" si="58"/>
        <v>-0.28948921453614196</v>
      </c>
      <c r="AD244" s="35">
        <f>IF(W244&gt;=FinalAgeForPremium, AE244*Delta-Z244*(Y244-AE244),AE244*Delta+PremiumRevisedForLimitedTerm-Z244*(Y244-AE244))</f>
        <v>5.5465632744376714E-3</v>
      </c>
      <c r="AE244" s="35">
        <f>AE243-StepSize*AD243</f>
        <v>1.9139141477254724E-2</v>
      </c>
      <c r="AF244" s="1"/>
    </row>
    <row r="245" spans="11:32" x14ac:dyDescent="0.45">
      <c r="K245" s="40">
        <f t="shared" si="59"/>
        <v>2.2000000000000002</v>
      </c>
      <c r="L245" s="41">
        <f t="shared" si="51"/>
        <v>22.2</v>
      </c>
      <c r="M245">
        <f t="shared" si="60"/>
        <v>0.92065918641011879</v>
      </c>
      <c r="N245">
        <f t="shared" si="61"/>
        <v>7.9340813589881459E-2</v>
      </c>
      <c r="O245">
        <f t="shared" si="52"/>
        <v>6.7743597235542422E-2</v>
      </c>
      <c r="P245">
        <f t="shared" si="53"/>
        <v>0.5</v>
      </c>
      <c r="Q245">
        <f t="shared" si="62"/>
        <v>-2.2698358320428526E-2</v>
      </c>
      <c r="R245" s="6">
        <f t="shared" si="63"/>
        <v>2.2698358320428526E-2</v>
      </c>
      <c r="S245" s="18">
        <f t="shared" si="64"/>
        <v>1.0000000000000002</v>
      </c>
      <c r="T245" s="15"/>
      <c r="U245" s="15"/>
      <c r="V245" s="40">
        <f t="shared" si="65"/>
        <v>7.8</v>
      </c>
      <c r="W245" s="41">
        <f t="shared" si="54"/>
        <v>27.8</v>
      </c>
      <c r="X245">
        <f t="shared" si="66"/>
        <v>-6.0393133974786413E-2</v>
      </c>
      <c r="Y245">
        <f t="shared" si="67"/>
        <v>1.2396373368587417</v>
      </c>
      <c r="Z245" s="33">
        <f t="shared" si="55"/>
        <v>0.10976317041045346</v>
      </c>
      <c r="AA245" s="33">
        <f t="shared" si="56"/>
        <v>0.5</v>
      </c>
      <c r="AB245">
        <f t="shared" si="57"/>
        <v>-2.1335929110274252E-2</v>
      </c>
      <c r="AC245" s="1">
        <f t="shared" si="58"/>
        <v>-0.28800289774029886</v>
      </c>
      <c r="AD245" s="35">
        <f>IF(W245&gt;=FinalAgeForPremium, AE245*Delta-Z245*(Y245-AE245),AE245*Delta+PremiumRevisedForLimitedTerm-Z245*(Y245-AE245))</f>
        <v>5.3351737774641195E-3</v>
      </c>
      <c r="AE245" s="35">
        <f>AE244-StepSize*AD244</f>
        <v>1.9083675844510348E-2</v>
      </c>
      <c r="AF245" s="1"/>
    </row>
    <row r="246" spans="11:32" x14ac:dyDescent="0.45">
      <c r="K246" s="40">
        <f t="shared" si="59"/>
        <v>2.21</v>
      </c>
      <c r="L246" s="41">
        <f t="shared" si="51"/>
        <v>22.21</v>
      </c>
      <c r="M246">
        <f t="shared" si="60"/>
        <v>0.92043220282691451</v>
      </c>
      <c r="N246">
        <f t="shared" si="61"/>
        <v>7.956779717308575E-2</v>
      </c>
      <c r="O246">
        <f t="shared" si="52"/>
        <v>6.7802002269432601E-2</v>
      </c>
      <c r="P246">
        <f t="shared" si="53"/>
        <v>0.5</v>
      </c>
      <c r="Q246">
        <f t="shared" si="62"/>
        <v>-2.2623247718386433E-2</v>
      </c>
      <c r="R246" s="6">
        <f t="shared" si="63"/>
        <v>2.2623247718386433E-2</v>
      </c>
      <c r="S246" s="18">
        <f t="shared" si="64"/>
        <v>1.0000000000000002</v>
      </c>
      <c r="T246" s="15"/>
      <c r="U246" s="15"/>
      <c r="V246" s="40">
        <f t="shared" si="65"/>
        <v>7.79</v>
      </c>
      <c r="W246" s="41">
        <f t="shared" si="54"/>
        <v>27.79</v>
      </c>
      <c r="X246">
        <f t="shared" si="66"/>
        <v>-6.0179774683683671E-2</v>
      </c>
      <c r="Y246">
        <f t="shared" si="67"/>
        <v>1.2425173658361446</v>
      </c>
      <c r="Z246" s="33">
        <f t="shared" si="55"/>
        <v>0.10966861978549935</v>
      </c>
      <c r="AA246" s="33">
        <f t="shared" si="56"/>
        <v>0.5</v>
      </c>
      <c r="AB246">
        <f t="shared" si="57"/>
        <v>-2.1494792436162785E-2</v>
      </c>
      <c r="AC246" s="1">
        <f t="shared" si="58"/>
        <v>-0.28652556144827868</v>
      </c>
      <c r="AD246" s="35">
        <f>IF(W246&gt;=FinalAgeForPremium, AE246*Delta-Z246*(Y246-AE246),AE246*Delta+PremiumRevisedForLimitedTerm-Z246*(Y246-AE246))</f>
        <v>5.12621048767542E-3</v>
      </c>
      <c r="AE246" s="35">
        <f>AE245-StepSize*AD245</f>
        <v>1.9030324106735708E-2</v>
      </c>
      <c r="AF246" s="1"/>
    </row>
    <row r="247" spans="11:32" x14ac:dyDescent="0.45">
      <c r="K247" s="40">
        <f t="shared" si="59"/>
        <v>2.2200000000000002</v>
      </c>
      <c r="L247" s="41">
        <f t="shared" si="51"/>
        <v>22.22</v>
      </c>
      <c r="M247">
        <f t="shared" si="60"/>
        <v>0.92020597034973062</v>
      </c>
      <c r="N247">
        <f t="shared" si="61"/>
        <v>7.9794029650269618E-2</v>
      </c>
      <c r="O247">
        <f t="shared" si="52"/>
        <v>6.7860457657129197E-2</v>
      </c>
      <c r="P247">
        <f t="shared" si="53"/>
        <v>0.5</v>
      </c>
      <c r="Q247">
        <f t="shared" si="62"/>
        <v>-2.2548583461620572E-2</v>
      </c>
      <c r="R247" s="6">
        <f t="shared" si="63"/>
        <v>2.2548583461620572E-2</v>
      </c>
      <c r="S247" s="18">
        <f t="shared" si="64"/>
        <v>1.0000000000000002</v>
      </c>
      <c r="T247" s="15"/>
      <c r="U247" s="15"/>
      <c r="V247" s="40">
        <f t="shared" si="65"/>
        <v>7.78</v>
      </c>
      <c r="W247" s="41">
        <f t="shared" si="54"/>
        <v>27.78</v>
      </c>
      <c r="X247">
        <f t="shared" si="66"/>
        <v>-5.9964826759322042E-2</v>
      </c>
      <c r="Y247">
        <f t="shared" si="67"/>
        <v>1.2453826214506274</v>
      </c>
      <c r="Z247" s="33">
        <f t="shared" si="55"/>
        <v>0.10957415060699627</v>
      </c>
      <c r="AA247" s="33">
        <f t="shared" si="56"/>
        <v>0.5</v>
      </c>
      <c r="AB247">
        <f t="shared" si="57"/>
        <v>-2.1651385525233685E-2</v>
      </c>
      <c r="AC247" s="1">
        <f t="shared" si="58"/>
        <v>-0.28505714482249389</v>
      </c>
      <c r="AD247" s="35">
        <f>IF(W247&gt;=FinalAgeForPremium, AE247*Delta-Z247*(Y247-AE247),AE247*Delta+PremiumRevisedForLimitedTerm-Z247*(Y247-AE247))</f>
        <v>4.9196542463438298E-3</v>
      </c>
      <c r="AE247" s="35">
        <f>AE246-StepSize*AD246</f>
        <v>1.8979062001858955E-2</v>
      </c>
      <c r="AF247" s="1"/>
    </row>
    <row r="248" spans="11:32" x14ac:dyDescent="0.45">
      <c r="K248" s="40">
        <f t="shared" si="59"/>
        <v>2.23</v>
      </c>
      <c r="L248" s="41">
        <f t="shared" si="51"/>
        <v>22.23</v>
      </c>
      <c r="M248">
        <f t="shared" si="60"/>
        <v>0.91998048451511438</v>
      </c>
      <c r="N248">
        <f t="shared" si="61"/>
        <v>8.0019515484885825E-2</v>
      </c>
      <c r="O248">
        <f t="shared" si="52"/>
        <v>6.7918963442044747E-2</v>
      </c>
      <c r="P248">
        <f t="shared" si="53"/>
        <v>0.5</v>
      </c>
      <c r="Q248">
        <f t="shared" si="62"/>
        <v>-2.2474363152733753E-2</v>
      </c>
      <c r="R248" s="6">
        <f t="shared" si="63"/>
        <v>2.2474363152733753E-2</v>
      </c>
      <c r="S248" s="18">
        <f t="shared" si="64"/>
        <v>1.0000000000000002</v>
      </c>
      <c r="T248" s="15"/>
      <c r="U248" s="15"/>
      <c r="V248" s="40">
        <f t="shared" si="65"/>
        <v>7.77</v>
      </c>
      <c r="W248" s="41">
        <f t="shared" si="54"/>
        <v>27.77</v>
      </c>
      <c r="X248">
        <f t="shared" si="66"/>
        <v>-5.9748312904069706E-2</v>
      </c>
      <c r="Y248">
        <f t="shared" si="67"/>
        <v>1.2482331928988524</v>
      </c>
      <c r="Z248" s="33">
        <f t="shared" si="55"/>
        <v>0.10947976280478564</v>
      </c>
      <c r="AA248" s="33">
        <f t="shared" si="56"/>
        <v>0.5</v>
      </c>
      <c r="AB248">
        <f t="shared" si="57"/>
        <v>-2.1805726956206056E-2</v>
      </c>
      <c r="AC248" s="1">
        <f t="shared" si="58"/>
        <v>-0.28359758745359631</v>
      </c>
      <c r="AD248" s="35">
        <f>IF(W248&gt;=FinalAgeForPremium, AE248*Delta-Z248*(Y248-AE248),AE248*Delta+PremiumRevisedForLimitedTerm-Z248*(Y248-AE248))</f>
        <v>4.7154860440108415E-3</v>
      </c>
      <c r="AE248" s="35">
        <f>AE247-StepSize*AD247</f>
        <v>1.8929865459395519E-2</v>
      </c>
      <c r="AF248" s="1"/>
    </row>
    <row r="249" spans="11:32" x14ac:dyDescent="0.45">
      <c r="K249" s="40">
        <f t="shared" si="59"/>
        <v>2.2400000000000002</v>
      </c>
      <c r="L249" s="41">
        <f t="shared" si="51"/>
        <v>22.240000000000002</v>
      </c>
      <c r="M249">
        <f t="shared" si="60"/>
        <v>0.91975574088358703</v>
      </c>
      <c r="N249">
        <f t="shared" si="61"/>
        <v>8.0244259116413169E-2</v>
      </c>
      <c r="O249">
        <f t="shared" si="52"/>
        <v>6.7977519667629077E-2</v>
      </c>
      <c r="P249">
        <f t="shared" si="53"/>
        <v>0.5</v>
      </c>
      <c r="Q249">
        <f t="shared" si="62"/>
        <v>-2.2400584407122212E-2</v>
      </c>
      <c r="R249" s="6">
        <f t="shared" si="63"/>
        <v>2.2400584407122212E-2</v>
      </c>
      <c r="S249" s="18">
        <f t="shared" si="64"/>
        <v>1.0000000000000002</v>
      </c>
      <c r="T249" s="15"/>
      <c r="U249" s="15"/>
      <c r="V249" s="40">
        <f t="shared" si="65"/>
        <v>7.76</v>
      </c>
      <c r="W249" s="41">
        <f t="shared" si="54"/>
        <v>27.759999999999998</v>
      </c>
      <c r="X249">
        <f t="shared" si="66"/>
        <v>-5.9530255634507645E-2</v>
      </c>
      <c r="Y249">
        <f t="shared" si="67"/>
        <v>1.2510691687733884</v>
      </c>
      <c r="Z249" s="33">
        <f t="shared" si="55"/>
        <v>0.10938545630876963</v>
      </c>
      <c r="AA249" s="33">
        <f t="shared" si="56"/>
        <v>0.5</v>
      </c>
      <c r="AB249">
        <f t="shared" si="57"/>
        <v>-2.1957835161246247E-2</v>
      </c>
      <c r="AC249" s="1">
        <f t="shared" si="58"/>
        <v>-0.28214682935738256</v>
      </c>
      <c r="AD249" s="35">
        <f>IF(W249&gt;=FinalAgeForPremium, AE249*Delta-Z249*(Y249-AE249),AE249*Delta+PremiumRevisedForLimitedTerm-Z249*(Y249-AE249))</f>
        <v>4.5136870192972744E-3</v>
      </c>
      <c r="AE249" s="35">
        <f>AE248-StepSize*AD248</f>
        <v>1.888271059895541E-2</v>
      </c>
      <c r="AF249" s="1"/>
    </row>
    <row r="250" spans="11:32" x14ac:dyDescent="0.45">
      <c r="K250" s="40">
        <f t="shared" si="59"/>
        <v>2.25</v>
      </c>
      <c r="L250" s="41">
        <f t="shared" si="51"/>
        <v>22.25</v>
      </c>
      <c r="M250">
        <f t="shared" si="60"/>
        <v>0.9195317350395158</v>
      </c>
      <c r="N250">
        <f t="shared" si="61"/>
        <v>8.0468264960484398E-2</v>
      </c>
      <c r="O250">
        <f t="shared" si="52"/>
        <v>6.8036126377369499E-2</v>
      </c>
      <c r="P250">
        <f t="shared" si="53"/>
        <v>0.5</v>
      </c>
      <c r="Q250">
        <f t="shared" si="62"/>
        <v>-2.2327244852908143E-2</v>
      </c>
      <c r="R250" s="6">
        <f t="shared" si="63"/>
        <v>2.2327244852908143E-2</v>
      </c>
      <c r="S250" s="18">
        <f t="shared" si="64"/>
        <v>1.0000000000000002</v>
      </c>
      <c r="T250" s="15"/>
      <c r="U250" s="15"/>
      <c r="V250" s="40">
        <f t="shared" si="65"/>
        <v>7.75</v>
      </c>
      <c r="W250" s="41">
        <f t="shared" si="54"/>
        <v>27.75</v>
      </c>
      <c r="X250">
        <f t="shared" si="66"/>
        <v>-5.9310677282895186E-2</v>
      </c>
      <c r="Y250">
        <f t="shared" si="67"/>
        <v>1.2538906370669622</v>
      </c>
      <c r="Z250" s="33">
        <f t="shared" si="55"/>
        <v>0.10929123104891053</v>
      </c>
      <c r="AA250" s="33">
        <f t="shared" si="56"/>
        <v>0.5</v>
      </c>
      <c r="AB250">
        <f t="shared" si="57"/>
        <v>-2.2107728427140372E-2</v>
      </c>
      <c r="AC250" s="1">
        <f t="shared" si="58"/>
        <v>-0.28070481097172317</v>
      </c>
      <c r="AD250" s="35">
        <f>IF(W250&gt;=FinalAgeForPremium, AE250*Delta-Z250*(Y250-AE250),AE250*Delta+PremiumRevisedForLimitedTerm-Z250*(Y250-AE250))</f>
        <v>4.314238457724745E-3</v>
      </c>
      <c r="AE250" s="35">
        <f>AE249-StepSize*AD249</f>
        <v>1.8837573728762436E-2</v>
      </c>
      <c r="AF250" s="1"/>
    </row>
    <row r="251" spans="11:32" x14ac:dyDescent="0.45">
      <c r="K251" s="40">
        <f t="shared" si="59"/>
        <v>2.2599999999999998</v>
      </c>
      <c r="L251" s="41">
        <f t="shared" si="51"/>
        <v>22.259999999999998</v>
      </c>
      <c r="M251">
        <f t="shared" si="60"/>
        <v>0.91930846259098675</v>
      </c>
      <c r="N251">
        <f t="shared" si="61"/>
        <v>8.0691537409013483E-2</v>
      </c>
      <c r="O251">
        <f t="shared" si="52"/>
        <v>6.8094783614790905E-2</v>
      </c>
      <c r="P251">
        <f t="shared" si="53"/>
        <v>0.5</v>
      </c>
      <c r="Q251">
        <f t="shared" si="62"/>
        <v>-2.2254342130872594E-2</v>
      </c>
      <c r="R251" s="6">
        <f t="shared" si="63"/>
        <v>2.2254342130872594E-2</v>
      </c>
      <c r="S251" s="18">
        <f t="shared" si="64"/>
        <v>1.0000000000000002</v>
      </c>
      <c r="T251" s="15"/>
      <c r="U251" s="15"/>
      <c r="V251" s="40">
        <f t="shared" si="65"/>
        <v>7.74</v>
      </c>
      <c r="W251" s="41">
        <f t="shared" si="54"/>
        <v>27.740000000000002</v>
      </c>
      <c r="X251">
        <f t="shared" si="66"/>
        <v>-5.908959999862378E-2</v>
      </c>
      <c r="Y251">
        <f t="shared" si="67"/>
        <v>1.2566976851766796</v>
      </c>
      <c r="Z251" s="33">
        <f t="shared" si="55"/>
        <v>0.10919708695523106</v>
      </c>
      <c r="AA251" s="33">
        <f t="shared" si="56"/>
        <v>0.5</v>
      </c>
      <c r="AB251">
        <f t="shared" si="57"/>
        <v>-2.2255424896458542E-2</v>
      </c>
      <c r="AC251" s="1">
        <f t="shared" si="58"/>
        <v>-0.2792714731535143</v>
      </c>
      <c r="AD251" s="35">
        <f>IF(W251&gt;=FinalAgeForPremium, AE251*Delta-Z251*(Y251-AE251),AE251*Delta+PremiumRevisedForLimitedTerm-Z251*(Y251-AE251))</f>
        <v>4.117121790545436E-3</v>
      </c>
      <c r="AE251" s="35">
        <f>AE250-StepSize*AD250</f>
        <v>1.8794431344185188E-2</v>
      </c>
      <c r="AF251" s="1"/>
    </row>
    <row r="252" spans="11:32" x14ac:dyDescent="0.45">
      <c r="K252" s="40">
        <f t="shared" si="59"/>
        <v>2.27</v>
      </c>
      <c r="L252" s="41">
        <f t="shared" si="51"/>
        <v>22.27</v>
      </c>
      <c r="M252">
        <f t="shared" si="60"/>
        <v>0.91908591916967808</v>
      </c>
      <c r="N252">
        <f t="shared" si="61"/>
        <v>8.0914080830322213E-2</v>
      </c>
      <c r="O252">
        <f t="shared" si="52"/>
        <v>6.8153491423455656E-2</v>
      </c>
      <c r="P252">
        <f t="shared" si="53"/>
        <v>0.5</v>
      </c>
      <c r="Q252">
        <f t="shared" si="62"/>
        <v>-2.2181873894388408E-2</v>
      </c>
      <c r="R252" s="6">
        <f t="shared" si="63"/>
        <v>2.2181873894388408E-2</v>
      </c>
      <c r="S252" s="18">
        <f t="shared" si="64"/>
        <v>1.0000000000000002</v>
      </c>
      <c r="T252" s="15"/>
      <c r="U252" s="15"/>
      <c r="V252" s="40">
        <f t="shared" si="65"/>
        <v>7.73</v>
      </c>
      <c r="W252" s="41">
        <f t="shared" si="54"/>
        <v>27.73</v>
      </c>
      <c r="X252">
        <f t="shared" si="66"/>
        <v>-5.8867045749659196E-2</v>
      </c>
      <c r="Y252">
        <f t="shared" si="67"/>
        <v>1.2594903999082148</v>
      </c>
      <c r="Z252" s="33">
        <f t="shared" si="55"/>
        <v>0.10910302395781417</v>
      </c>
      <c r="AA252" s="33">
        <f t="shared" si="56"/>
        <v>0.5</v>
      </c>
      <c r="AB252">
        <f t="shared" si="57"/>
        <v>-2.2400942568709017E-2</v>
      </c>
      <c r="AC252" s="1">
        <f t="shared" si="58"/>
        <v>-0.27784675717565233</v>
      </c>
      <c r="AD252" s="35">
        <f>IF(W252&gt;=FinalAgeForPremium, AE252*Delta-Z252*(Y252-AE252),AE252*Delta+PremiumRevisedForLimitedTerm-Z252*(Y252-AE252))</f>
        <v>3.9223185935822191E-3</v>
      </c>
      <c r="AE252" s="35">
        <f>AE251-StepSize*AD251</f>
        <v>1.8753260126279734E-2</v>
      </c>
      <c r="AF252" s="1"/>
    </row>
    <row r="253" spans="11:32" x14ac:dyDescent="0.45">
      <c r="K253" s="40">
        <f t="shared" si="59"/>
        <v>2.2799999999999998</v>
      </c>
      <c r="L253" s="41">
        <f t="shared" si="51"/>
        <v>22.28</v>
      </c>
      <c r="M253">
        <f t="shared" si="60"/>
        <v>0.91886410043073419</v>
      </c>
      <c r="N253">
        <f t="shared" si="61"/>
        <v>8.1135899569266104E-2</v>
      </c>
      <c r="O253">
        <f t="shared" si="52"/>
        <v>6.8212249846963641E-2</v>
      </c>
      <c r="P253">
        <f t="shared" si="53"/>
        <v>0.5</v>
      </c>
      <c r="Q253">
        <f t="shared" si="62"/>
        <v>-2.2109837809353682E-2</v>
      </c>
      <c r="R253" s="6">
        <f t="shared" si="63"/>
        <v>2.2109837809353682E-2</v>
      </c>
      <c r="S253" s="18">
        <f t="shared" si="64"/>
        <v>1.0000000000000002</v>
      </c>
      <c r="T253" s="15"/>
      <c r="U253" s="15"/>
      <c r="V253" s="40">
        <f t="shared" si="65"/>
        <v>7.72</v>
      </c>
      <c r="W253" s="41">
        <f t="shared" si="54"/>
        <v>27.72</v>
      </c>
      <c r="X253">
        <f t="shared" si="66"/>
        <v>-5.8643036323972109E-2</v>
      </c>
      <c r="Y253">
        <f t="shared" si="67"/>
        <v>1.2622688674799714</v>
      </c>
      <c r="Z253" s="33">
        <f t="shared" si="55"/>
        <v>0.10900904198680314</v>
      </c>
      <c r="AA253" s="33">
        <f t="shared" si="56"/>
        <v>0.5</v>
      </c>
      <c r="AB253">
        <f t="shared" si="57"/>
        <v>-2.2544299301483064E-2</v>
      </c>
      <c r="AC253" s="1">
        <f t="shared" si="58"/>
        <v>-0.27643060472402969</v>
      </c>
      <c r="AD253" s="35">
        <f>IF(W253&gt;=FinalAgeForPremium, AE253*Delta-Z253*(Y253-AE253),AE253*Delta+PremiumRevisedForLimitedTerm-Z253*(Y253-AE253))</f>
        <v>3.7298105860776309E-3</v>
      </c>
      <c r="AE253" s="35">
        <f>AE252-StepSize*AD252</f>
        <v>1.871403694034391E-2</v>
      </c>
      <c r="AF253" s="1"/>
    </row>
    <row r="254" spans="11:32" x14ac:dyDescent="0.45">
      <c r="K254" s="40">
        <f t="shared" si="59"/>
        <v>2.29</v>
      </c>
      <c r="L254" s="41">
        <f t="shared" si="51"/>
        <v>22.29</v>
      </c>
      <c r="M254">
        <f t="shared" si="60"/>
        <v>0.9186430020526406</v>
      </c>
      <c r="N254">
        <f t="shared" si="61"/>
        <v>8.1356997947359636E-2</v>
      </c>
      <c r="O254">
        <f t="shared" si="52"/>
        <v>6.8271058928952369E-2</v>
      </c>
      <c r="P254">
        <f t="shared" si="53"/>
        <v>0.5</v>
      </c>
      <c r="Q254">
        <f t="shared" si="62"/>
        <v>-2.2038231554125716E-2</v>
      </c>
      <c r="R254" s="6">
        <f t="shared" si="63"/>
        <v>2.2038231554125716E-2</v>
      </c>
      <c r="S254" s="18">
        <f t="shared" si="64"/>
        <v>1.0000000000000002</v>
      </c>
      <c r="T254" s="15"/>
      <c r="U254" s="15"/>
      <c r="V254" s="40">
        <f t="shared" si="65"/>
        <v>7.71</v>
      </c>
      <c r="W254" s="41">
        <f t="shared" si="54"/>
        <v>27.71</v>
      </c>
      <c r="X254">
        <f t="shared" si="66"/>
        <v>-5.8417593330957279E-2</v>
      </c>
      <c r="Y254">
        <f t="shared" si="67"/>
        <v>1.2650331735272116</v>
      </c>
      <c r="Z254" s="33">
        <f t="shared" si="55"/>
        <v>0.10891514097240133</v>
      </c>
      <c r="AA254" s="33">
        <f t="shared" si="56"/>
        <v>0.5</v>
      </c>
      <c r="AB254">
        <f t="shared" si="57"/>
        <v>-2.26855128115903E-2</v>
      </c>
      <c r="AC254" s="1">
        <f t="shared" si="58"/>
        <v>-0.275022957894555</v>
      </c>
      <c r="AD254" s="35">
        <f>IF(W254&gt;=FinalAgeForPremium, AE254*Delta-Z254*(Y254-AE254),AE254*Delta+PremiumRevisedForLimitedTerm-Z254*(Y254-AE254))</f>
        <v>3.5395796295526749E-3</v>
      </c>
      <c r="AE254" s="35">
        <f>AE253-StepSize*AD253</f>
        <v>1.8676738834483134E-2</v>
      </c>
      <c r="AF254" s="1"/>
    </row>
    <row r="255" spans="11:32" x14ac:dyDescent="0.45">
      <c r="K255" s="40">
        <f t="shared" si="59"/>
        <v>2.2999999999999998</v>
      </c>
      <c r="L255" s="41">
        <f t="shared" si="51"/>
        <v>22.3</v>
      </c>
      <c r="M255">
        <f t="shared" si="60"/>
        <v>0.91842261973709938</v>
      </c>
      <c r="N255">
        <f t="shared" si="61"/>
        <v>8.1577380262900887E-2</v>
      </c>
      <c r="O255">
        <f t="shared" si="52"/>
        <v>6.8329918713096988E-2</v>
      </c>
      <c r="P255">
        <f t="shared" si="53"/>
        <v>0.5</v>
      </c>
      <c r="Q255">
        <f t="shared" si="62"/>
        <v>-2.1967052819455136E-2</v>
      </c>
      <c r="R255" s="6">
        <f t="shared" si="63"/>
        <v>2.1967052819455136E-2</v>
      </c>
      <c r="S255" s="18">
        <f t="shared" si="64"/>
        <v>1.0000000000000002</v>
      </c>
      <c r="T255" s="15"/>
      <c r="U255" s="15"/>
      <c r="V255" s="40">
        <f t="shared" si="65"/>
        <v>7.7</v>
      </c>
      <c r="W255" s="41">
        <f t="shared" si="54"/>
        <v>27.7</v>
      </c>
      <c r="X255">
        <f t="shared" si="66"/>
        <v>-5.8190738202841374E-2</v>
      </c>
      <c r="Y255">
        <f t="shared" si="67"/>
        <v>1.267783403106157</v>
      </c>
      <c r="Z255" s="33">
        <f t="shared" si="55"/>
        <v>0.10882132084487221</v>
      </c>
      <c r="AA255" s="33">
        <f t="shared" si="56"/>
        <v>0.5</v>
      </c>
      <c r="AB255">
        <f t="shared" si="57"/>
        <v>-2.2824600676184817E-2</v>
      </c>
      <c r="AC255" s="1">
        <f t="shared" si="58"/>
        <v>-0.27362375919019299</v>
      </c>
      <c r="AD255" s="35">
        <f>IF(W255&gt;=FinalAgeForPremium, AE255*Delta-Z255*(Y255-AE255),AE255*Delta+PremiumRevisedForLimitedTerm-Z255*(Y255-AE255))</f>
        <v>3.3516077266747824E-3</v>
      </c>
      <c r="AE255" s="35">
        <f>AE254-StepSize*AD254</f>
        <v>1.8641343038187607E-2</v>
      </c>
      <c r="AF255" s="1"/>
    </row>
    <row r="256" spans="11:32" x14ac:dyDescent="0.45">
      <c r="K256" s="40">
        <f t="shared" si="59"/>
        <v>2.31</v>
      </c>
      <c r="L256" s="41">
        <f t="shared" si="51"/>
        <v>22.31</v>
      </c>
      <c r="M256">
        <f t="shared" si="60"/>
        <v>0.91820294920890477</v>
      </c>
      <c r="N256">
        <f t="shared" si="61"/>
        <v>8.1797050791095435E-2</v>
      </c>
      <c r="O256">
        <f t="shared" si="52"/>
        <v>6.8388829243110238E-2</v>
      </c>
      <c r="P256">
        <f t="shared" si="53"/>
        <v>0.5</v>
      </c>
      <c r="Q256">
        <f t="shared" si="62"/>
        <v>-2.189629930842029E-2</v>
      </c>
      <c r="R256" s="6">
        <f t="shared" si="63"/>
        <v>2.189629930842029E-2</v>
      </c>
      <c r="S256" s="18">
        <f t="shared" si="64"/>
        <v>1.0000000000000002</v>
      </c>
      <c r="T256" s="15"/>
      <c r="U256" s="15"/>
      <c r="V256" s="40">
        <f t="shared" si="65"/>
        <v>7.69</v>
      </c>
      <c r="W256" s="41">
        <f t="shared" si="54"/>
        <v>27.69</v>
      </c>
      <c r="X256">
        <f t="shared" si="66"/>
        <v>-5.7962492196079525E-2</v>
      </c>
      <c r="Y256">
        <f t="shared" si="67"/>
        <v>1.270519640698059</v>
      </c>
      <c r="Z256" s="33">
        <f t="shared" si="55"/>
        <v>0.10872758153453946</v>
      </c>
      <c r="AA256" s="33">
        <f t="shared" si="56"/>
        <v>0.5</v>
      </c>
      <c r="AB256">
        <f t="shared" si="57"/>
        <v>-2.2961580333882625E-2</v>
      </c>
      <c r="AC256" s="1">
        <f t="shared" si="58"/>
        <v>-0.27223295151802773</v>
      </c>
      <c r="AD256" s="35">
        <f>IF(W256&gt;=FinalAgeForPremium, AE256*Delta-Z256*(Y256-AE256),AE256*Delta+PremiumRevisedForLimitedTerm-Z256*(Y256-AE256))</f>
        <v>3.1658770201347108E-3</v>
      </c>
      <c r="AE256" s="35">
        <f>AE255-StepSize*AD255</f>
        <v>1.8607826960920858E-2</v>
      </c>
      <c r="AF256" s="1"/>
    </row>
    <row r="257" spans="11:32" x14ac:dyDescent="0.45">
      <c r="K257" s="40">
        <f t="shared" si="59"/>
        <v>2.3199999999999998</v>
      </c>
      <c r="L257" s="41">
        <f t="shared" si="51"/>
        <v>22.32</v>
      </c>
      <c r="M257">
        <f t="shared" si="60"/>
        <v>0.91798398621582056</v>
      </c>
      <c r="N257">
        <f t="shared" si="61"/>
        <v>8.2016013784179637E-2</v>
      </c>
      <c r="O257">
        <f t="shared" si="52"/>
        <v>6.8447790562742625E-2</v>
      </c>
      <c r="P257">
        <f t="shared" si="53"/>
        <v>0.5</v>
      </c>
      <c r="Q257">
        <f t="shared" si="62"/>
        <v>-2.1825968736362278E-2</v>
      </c>
      <c r="R257" s="6">
        <f t="shared" si="63"/>
        <v>2.1825968736362278E-2</v>
      </c>
      <c r="S257" s="18">
        <f t="shared" si="64"/>
        <v>1.0000000000000002</v>
      </c>
      <c r="T257" s="15"/>
      <c r="U257" s="15"/>
      <c r="V257" s="40">
        <f t="shared" si="65"/>
        <v>7.68</v>
      </c>
      <c r="W257" s="41">
        <f t="shared" si="54"/>
        <v>27.68</v>
      </c>
      <c r="X257">
        <f t="shared" si="66"/>
        <v>-5.7732876392740697E-2</v>
      </c>
      <c r="Y257">
        <f t="shared" si="67"/>
        <v>1.2732419702132394</v>
      </c>
      <c r="Z257" s="33">
        <f t="shared" si="55"/>
        <v>0.10863392297178662</v>
      </c>
      <c r="AA257" s="33">
        <f t="shared" si="56"/>
        <v>0.5</v>
      </c>
      <c r="AB257">
        <f t="shared" si="57"/>
        <v>-2.3096469085868931E-2</v>
      </c>
      <c r="AC257" s="1">
        <f t="shared" si="58"/>
        <v>-0.270850478186348</v>
      </c>
      <c r="AD257" s="35">
        <f>IF(W257&gt;=FinalAgeForPremium, AE257*Delta-Z257*(Y257-AE257),AE257*Delta+PremiumRevisedForLimitedTerm-Z257*(Y257-AE257))</f>
        <v>2.9823697915332126E-3</v>
      </c>
      <c r="AE257" s="35">
        <f>AE256-StepSize*AD256</f>
        <v>1.857616819071951E-2</v>
      </c>
      <c r="AF257" s="1"/>
    </row>
    <row r="258" spans="11:32" x14ac:dyDescent="0.45">
      <c r="K258" s="40">
        <f t="shared" si="59"/>
        <v>2.33</v>
      </c>
      <c r="L258" s="41">
        <f t="shared" si="51"/>
        <v>22.33</v>
      </c>
      <c r="M258">
        <f t="shared" si="60"/>
        <v>0.91776572652845689</v>
      </c>
      <c r="N258">
        <f t="shared" si="61"/>
        <v>8.2234273471543259E-2</v>
      </c>
      <c r="O258">
        <f t="shared" si="52"/>
        <v>6.8506802715782328E-2</v>
      </c>
      <c r="P258">
        <f t="shared" si="53"/>
        <v>0.5</v>
      </c>
      <c r="Q258">
        <f t="shared" si="62"/>
        <v>-2.1756058830819998E-2</v>
      </c>
      <c r="R258" s="6">
        <f t="shared" si="63"/>
        <v>2.1756058830819998E-2</v>
      </c>
      <c r="S258" s="18">
        <f t="shared" si="64"/>
        <v>1.0000000000000002</v>
      </c>
      <c r="T258" s="15"/>
      <c r="U258" s="15"/>
      <c r="V258" s="40">
        <f t="shared" si="65"/>
        <v>7.67</v>
      </c>
      <c r="W258" s="41">
        <f t="shared" si="54"/>
        <v>27.67</v>
      </c>
      <c r="X258">
        <f t="shared" si="66"/>
        <v>-5.7501911701882007E-2</v>
      </c>
      <c r="Y258">
        <f t="shared" si="67"/>
        <v>1.2759504749951029</v>
      </c>
      <c r="Z258" s="33">
        <f t="shared" si="55"/>
        <v>0.10854034508705727</v>
      </c>
      <c r="AA258" s="33">
        <f t="shared" si="56"/>
        <v>0.5</v>
      </c>
      <c r="AB258">
        <f t="shared" si="57"/>
        <v>-2.322928409699733E-2</v>
      </c>
      <c r="AC258" s="1">
        <f t="shared" si="58"/>
        <v>-0.26947628290175241</v>
      </c>
      <c r="AD258" s="35">
        <f>IF(W258&gt;=FinalAgeForPremium, AE258*Delta-Z258*(Y258-AE258),AE258*Delta+PremiumRevisedForLimitedTerm-Z258*(Y258-AE258))</f>
        <v>2.8010684602760572E-3</v>
      </c>
      <c r="AE258" s="35">
        <f>AE257-StepSize*AD257</f>
        <v>1.8546344492804179E-2</v>
      </c>
      <c r="AF258" s="1"/>
    </row>
    <row r="259" spans="11:32" x14ac:dyDescent="0.45">
      <c r="K259" s="40">
        <f t="shared" si="59"/>
        <v>2.34</v>
      </c>
      <c r="L259" s="41">
        <f t="shared" si="51"/>
        <v>22.34</v>
      </c>
      <c r="M259">
        <f t="shared" si="60"/>
        <v>0.91754816594014865</v>
      </c>
      <c r="N259">
        <f t="shared" si="61"/>
        <v>8.2451834059851459E-2</v>
      </c>
      <c r="O259">
        <f t="shared" si="52"/>
        <v>6.8565865746055291E-2</v>
      </c>
      <c r="P259">
        <f t="shared" si="53"/>
        <v>0.5</v>
      </c>
      <c r="Q259">
        <f t="shared" si="62"/>
        <v>-2.1686567331465761E-2</v>
      </c>
      <c r="R259" s="6">
        <f t="shared" si="63"/>
        <v>2.1686567331465761E-2</v>
      </c>
      <c r="S259" s="18">
        <f t="shared" si="64"/>
        <v>1</v>
      </c>
      <c r="T259" s="15"/>
      <c r="U259" s="15"/>
      <c r="V259" s="40">
        <f t="shared" si="65"/>
        <v>7.66</v>
      </c>
      <c r="W259" s="41">
        <f t="shared" si="54"/>
        <v>27.66</v>
      </c>
      <c r="X259">
        <f t="shared" si="66"/>
        <v>-5.726961886091203E-2</v>
      </c>
      <c r="Y259">
        <f t="shared" si="67"/>
        <v>1.2786452378241204</v>
      </c>
      <c r="Z259" s="33">
        <f t="shared" si="55"/>
        <v>0.10844684781085485</v>
      </c>
      <c r="AA259" s="33">
        <f t="shared" si="56"/>
        <v>0.5</v>
      </c>
      <c r="AB259">
        <f t="shared" si="57"/>
        <v>-2.3360042396879638E-2</v>
      </c>
      <c r="AC259" s="1">
        <f t="shared" si="58"/>
        <v>-0.2681103097662777</v>
      </c>
      <c r="AD259" s="35">
        <f>IF(W259&gt;=FinalAgeForPremium, AE259*Delta-Z259*(Y259-AE259),AE259*Delta+PremiumRevisedForLimitedTerm-Z259*(Y259-AE259))</f>
        <v>2.621955582478519E-3</v>
      </c>
      <c r="AE259" s="35">
        <f>AE258-StepSize*AD258</f>
        <v>1.8518333808201417E-2</v>
      </c>
      <c r="AF259" s="1"/>
    </row>
    <row r="260" spans="11:32" x14ac:dyDescent="0.45">
      <c r="K260" s="40">
        <f t="shared" si="59"/>
        <v>2.35</v>
      </c>
      <c r="L260" s="41">
        <f t="shared" si="51"/>
        <v>22.35</v>
      </c>
      <c r="M260">
        <f t="shared" si="60"/>
        <v>0.91733130026683396</v>
      </c>
      <c r="N260">
        <f t="shared" si="61"/>
        <v>8.2668699733166123E-2</v>
      </c>
      <c r="O260">
        <f t="shared" si="52"/>
        <v>6.8624979697425245E-2</v>
      </c>
      <c r="P260">
        <f t="shared" si="53"/>
        <v>0.5</v>
      </c>
      <c r="Q260">
        <f t="shared" si="62"/>
        <v>-2.1617491990041121E-2</v>
      </c>
      <c r="R260" s="6">
        <f t="shared" si="63"/>
        <v>2.1617491990041121E-2</v>
      </c>
      <c r="S260" s="18">
        <f t="shared" si="64"/>
        <v>1</v>
      </c>
      <c r="T260" s="15"/>
      <c r="U260" s="15"/>
      <c r="V260" s="40">
        <f t="shared" si="65"/>
        <v>7.65</v>
      </c>
      <c r="W260" s="41">
        <f t="shared" si="54"/>
        <v>27.65</v>
      </c>
      <c r="X260">
        <f t="shared" si="66"/>
        <v>-5.7036018436943232E-2</v>
      </c>
      <c r="Y260">
        <f t="shared" si="67"/>
        <v>1.2813263409217832</v>
      </c>
      <c r="Z260" s="33">
        <f t="shared" si="55"/>
        <v>0.1083534310737428</v>
      </c>
      <c r="AA260" s="33">
        <f t="shared" si="56"/>
        <v>0.5</v>
      </c>
      <c r="AB260">
        <f t="shared" si="57"/>
        <v>-2.3488760880967047E-2</v>
      </c>
      <c r="AC260" s="1">
        <f t="shared" si="58"/>
        <v>-0.26675250327454769</v>
      </c>
      <c r="AD260" s="35">
        <f>IF(W260&gt;=FinalAgeForPremium, AE260*Delta-Z260*(Y260-AE260),AE260*Delta+PremiumRevisedForLimitedTerm-Z260*(Y260-AE260))</f>
        <v>2.4450138498785245E-3</v>
      </c>
      <c r="AE260" s="35">
        <f>AE259-StepSize*AD259</f>
        <v>1.849211425237663E-2</v>
      </c>
      <c r="AF260" s="1"/>
    </row>
    <row r="261" spans="11:32" x14ac:dyDescent="0.45">
      <c r="K261" s="40">
        <f t="shared" si="59"/>
        <v>2.36</v>
      </c>
      <c r="L261" s="41">
        <f t="shared" si="51"/>
        <v>22.36</v>
      </c>
      <c r="M261">
        <f t="shared" si="60"/>
        <v>0.91711512534693351</v>
      </c>
      <c r="N261">
        <f t="shared" si="61"/>
        <v>8.2884874653066529E-2</v>
      </c>
      <c r="O261">
        <f t="shared" si="52"/>
        <v>6.8684144613793713E-2</v>
      </c>
      <c r="P261">
        <f t="shared" si="53"/>
        <v>0.5</v>
      </c>
      <c r="Q261">
        <f t="shared" si="62"/>
        <v>-2.1548830570293061E-2</v>
      </c>
      <c r="R261" s="6">
        <f t="shared" si="63"/>
        <v>2.1548830570293061E-2</v>
      </c>
      <c r="S261" s="18">
        <f t="shared" si="64"/>
        <v>1</v>
      </c>
      <c r="T261" s="15"/>
      <c r="U261" s="15"/>
      <c r="V261" s="40">
        <f t="shared" si="65"/>
        <v>7.64</v>
      </c>
      <c r="W261" s="41">
        <f t="shared" si="54"/>
        <v>27.64</v>
      </c>
      <c r="X261">
        <f t="shared" si="66"/>
        <v>-5.680113082813356E-2</v>
      </c>
      <c r="Y261">
        <f t="shared" si="67"/>
        <v>1.2839938659545287</v>
      </c>
      <c r="Z261" s="33">
        <f t="shared" si="55"/>
        <v>0.10826009480634424</v>
      </c>
      <c r="AA261" s="33">
        <f t="shared" si="56"/>
        <v>0.5</v>
      </c>
      <c r="AB261">
        <f t="shared" si="57"/>
        <v>-2.3615456311622054E-2</v>
      </c>
      <c r="AC261" s="1">
        <f t="shared" si="58"/>
        <v>-0.26540280831094243</v>
      </c>
      <c r="AD261" s="35">
        <f>IF(W261&gt;=FinalAgeForPremium, AE261*Delta-Z261*(Y261-AE261),AE261*Delta+PremiumRevisedForLimitedTerm-Z261*(Y261-AE261))</f>
        <v>2.2702260887588477E-3</v>
      </c>
      <c r="AE261" s="35">
        <f>AE260-StepSize*AD260</f>
        <v>1.8467664113877846E-2</v>
      </c>
      <c r="AF261" s="1"/>
    </row>
    <row r="262" spans="11:32" x14ac:dyDescent="0.45">
      <c r="K262" s="40">
        <f t="shared" si="59"/>
        <v>2.37</v>
      </c>
      <c r="L262" s="41">
        <f t="shared" si="51"/>
        <v>22.37</v>
      </c>
      <c r="M262">
        <f t="shared" si="60"/>
        <v>0.91689963704123056</v>
      </c>
      <c r="N262">
        <f t="shared" si="61"/>
        <v>8.3100362958769464E-2</v>
      </c>
      <c r="O262">
        <f t="shared" si="52"/>
        <v>6.8743360539100115E-2</v>
      </c>
      <c r="P262">
        <f t="shared" si="53"/>
        <v>0.5</v>
      </c>
      <c r="Q262">
        <f t="shared" si="62"/>
        <v>-2.1480580847910616E-2</v>
      </c>
      <c r="R262" s="6">
        <f t="shared" si="63"/>
        <v>2.1480580847910616E-2</v>
      </c>
      <c r="S262" s="18">
        <f t="shared" si="64"/>
        <v>1</v>
      </c>
      <c r="T262" s="15"/>
      <c r="U262" s="15"/>
      <c r="V262" s="40">
        <f t="shared" si="65"/>
        <v>7.63</v>
      </c>
      <c r="W262" s="41">
        <f t="shared" si="54"/>
        <v>27.63</v>
      </c>
      <c r="X262">
        <f t="shared" si="66"/>
        <v>-5.6564976265017337E-2</v>
      </c>
      <c r="Y262">
        <f t="shared" si="67"/>
        <v>1.286647894037638</v>
      </c>
      <c r="Z262" s="33">
        <f t="shared" si="55"/>
        <v>0.10816683893934206</v>
      </c>
      <c r="AA262" s="33">
        <f t="shared" si="56"/>
        <v>0.5</v>
      </c>
      <c r="AB262">
        <f t="shared" si="57"/>
        <v>-2.374014531918188E-2</v>
      </c>
      <c r="AC262" s="1">
        <f t="shared" si="58"/>
        <v>-0.26406117014679042</v>
      </c>
      <c r="AD262" s="35">
        <f>IF(W262&gt;=FinalAgeForPremium, AE262*Delta-Z262*(Y262-AE262),AE262*Delta+PremiumRevisedForLimitedTerm-Z262*(Y262-AE262))</f>
        <v>2.0975752588779095E-3</v>
      </c>
      <c r="AE262" s="35">
        <f>AE261-StepSize*AD261</f>
        <v>1.8444961852990258E-2</v>
      </c>
      <c r="AF262" s="1"/>
    </row>
    <row r="263" spans="11:32" x14ac:dyDescent="0.45">
      <c r="K263" s="40">
        <f t="shared" si="59"/>
        <v>2.38</v>
      </c>
      <c r="L263" s="41">
        <f t="shared" si="51"/>
        <v>22.38</v>
      </c>
      <c r="M263">
        <f t="shared" si="60"/>
        <v>0.91668483123275146</v>
      </c>
      <c r="N263">
        <f t="shared" si="61"/>
        <v>8.3315168767248565E-2</v>
      </c>
      <c r="O263">
        <f t="shared" si="52"/>
        <v>6.8802627517321677E-2</v>
      </c>
      <c r="P263">
        <f t="shared" si="53"/>
        <v>0.5</v>
      </c>
      <c r="Q263">
        <f t="shared" si="62"/>
        <v>-2.1412740610461597E-2</v>
      </c>
      <c r="R263" s="6">
        <f t="shared" si="63"/>
        <v>2.1412740610461597E-2</v>
      </c>
      <c r="S263" s="18">
        <f t="shared" si="64"/>
        <v>1</v>
      </c>
      <c r="T263" s="15"/>
      <c r="U263" s="15"/>
      <c r="V263" s="40">
        <f t="shared" si="65"/>
        <v>7.62</v>
      </c>
      <c r="W263" s="41">
        <f t="shared" si="54"/>
        <v>27.62</v>
      </c>
      <c r="X263">
        <f t="shared" si="66"/>
        <v>-5.6327574811825522E-2</v>
      </c>
      <c r="Y263">
        <f t="shared" si="67"/>
        <v>1.2892885057391059</v>
      </c>
      <c r="Z263" s="33">
        <f t="shared" si="55"/>
        <v>0.10807366340347904</v>
      </c>
      <c r="AA263" s="33">
        <f t="shared" si="56"/>
        <v>0.5</v>
      </c>
      <c r="AB263">
        <f t="shared" si="57"/>
        <v>-2.3862844403013728E-2</v>
      </c>
      <c r="AC263" s="1">
        <f t="shared" si="58"/>
        <v>-0.26272753443757901</v>
      </c>
      <c r="AD263" s="35">
        <f>IF(W263&gt;=FinalAgeForPremium, AE263*Delta-Z263*(Y263-AE263),AE263*Delta+PremiumRevisedForLimitedTerm-Z263*(Y263-AE263))</f>
        <v>1.9270444524091823E-3</v>
      </c>
      <c r="AE263" s="35">
        <f>AE262-StepSize*AD262</f>
        <v>1.8423986100401479E-2</v>
      </c>
      <c r="AF263" s="1"/>
    </row>
    <row r="264" spans="11:32" x14ac:dyDescent="0.45">
      <c r="K264" s="40">
        <f t="shared" si="59"/>
        <v>2.39</v>
      </c>
      <c r="L264" s="41">
        <f t="shared" si="51"/>
        <v>22.39</v>
      </c>
      <c r="M264">
        <f t="shared" si="60"/>
        <v>0.91647070382664686</v>
      </c>
      <c r="N264">
        <f t="shared" si="61"/>
        <v>8.3529296173353182E-2</v>
      </c>
      <c r="O264">
        <f t="shared" si="52"/>
        <v>6.8861945592473633E-2</v>
      </c>
      <c r="P264">
        <f t="shared" si="53"/>
        <v>0.5</v>
      </c>
      <c r="Q264">
        <f t="shared" si="62"/>
        <v>-2.1345307657329983E-2</v>
      </c>
      <c r="R264" s="6">
        <f t="shared" si="63"/>
        <v>2.1345307657329983E-2</v>
      </c>
      <c r="S264" s="18">
        <f t="shared" si="64"/>
        <v>1</v>
      </c>
      <c r="T264" s="15"/>
      <c r="U264" s="15"/>
      <c r="V264" s="40">
        <f t="shared" si="65"/>
        <v>7.61</v>
      </c>
      <c r="W264" s="41">
        <f t="shared" si="54"/>
        <v>27.61</v>
      </c>
      <c r="X264">
        <f t="shared" si="66"/>
        <v>-5.6088946367795385E-2</v>
      </c>
      <c r="Y264">
        <f t="shared" si="67"/>
        <v>1.2919157810834818</v>
      </c>
      <c r="Z264" s="33">
        <f t="shared" si="55"/>
        <v>0.10798056812955727</v>
      </c>
      <c r="AA264" s="33">
        <f t="shared" si="56"/>
        <v>0.5</v>
      </c>
      <c r="AB264">
        <f t="shared" si="57"/>
        <v>-2.3983569932560025E-2</v>
      </c>
      <c r="AC264" s="1">
        <f t="shared" si="58"/>
        <v>-0.26140184722018733</v>
      </c>
      <c r="AD264" s="35">
        <f>IF(W264&gt;=FinalAgeForPremium, AE264*Delta-Z264*(Y264-AE264),AE264*Delta+PremiumRevisedForLimitedTerm-Z264*(Y264-AE264))</f>
        <v>1.7586168928899193E-3</v>
      </c>
      <c r="AE264" s="35">
        <f>AE263-StepSize*AD263</f>
        <v>1.8404715655877386E-2</v>
      </c>
      <c r="AF264" s="1"/>
    </row>
    <row r="265" spans="11:32" x14ac:dyDescent="0.45">
      <c r="K265" s="40">
        <f t="shared" si="59"/>
        <v>2.4</v>
      </c>
      <c r="L265" s="41">
        <f t="shared" si="51"/>
        <v>22.4</v>
      </c>
      <c r="M265">
        <f t="shared" si="60"/>
        <v>0.91625725075007358</v>
      </c>
      <c r="N265">
        <f t="shared" si="61"/>
        <v>8.3742749249926487E-2</v>
      </c>
      <c r="O265">
        <f t="shared" si="52"/>
        <v>6.8921314808609108E-2</v>
      </c>
      <c r="P265">
        <f t="shared" si="53"/>
        <v>0.5</v>
      </c>
      <c r="Q265">
        <f t="shared" si="62"/>
        <v>-2.1278279799653264E-2</v>
      </c>
      <c r="R265" s="6">
        <f t="shared" si="63"/>
        <v>2.1278279799653264E-2</v>
      </c>
      <c r="S265" s="18">
        <f t="shared" si="64"/>
        <v>1</v>
      </c>
      <c r="T265" s="15"/>
      <c r="U265" s="15"/>
      <c r="V265" s="40">
        <f t="shared" si="65"/>
        <v>7.6</v>
      </c>
      <c r="W265" s="41">
        <f t="shared" si="54"/>
        <v>27.6</v>
      </c>
      <c r="X265">
        <f t="shared" si="66"/>
        <v>-5.5849110668469787E-2</v>
      </c>
      <c r="Y265">
        <f t="shared" si="67"/>
        <v>1.2945297995556837</v>
      </c>
      <c r="Z265" s="33">
        <f t="shared" si="55"/>
        <v>0.10788755304843881</v>
      </c>
      <c r="AA265" s="33">
        <f t="shared" si="56"/>
        <v>0.5</v>
      </c>
      <c r="AB265">
        <f t="shared" si="57"/>
        <v>-2.4102338148377173E-2</v>
      </c>
      <c r="AC265" s="1">
        <f t="shared" si="58"/>
        <v>-0.26008405491013908</v>
      </c>
      <c r="AD265" s="35">
        <f>IF(W265&gt;=FinalAgeForPremium, AE265*Delta-Z265*(Y265-AE265),AE265*Delta+PremiumRevisedForLimitedTerm-Z265*(Y265-AE265))</f>
        <v>1.5922759341769621E-3</v>
      </c>
      <c r="AE265" s="35">
        <f>AE264-StepSize*AD264</f>
        <v>1.8387129486948487E-2</v>
      </c>
      <c r="AF265" s="1"/>
    </row>
    <row r="266" spans="11:32" x14ac:dyDescent="0.45">
      <c r="K266" s="40">
        <f t="shared" si="59"/>
        <v>2.41</v>
      </c>
      <c r="L266" s="41">
        <f t="shared" si="51"/>
        <v>22.41</v>
      </c>
      <c r="M266">
        <f t="shared" si="60"/>
        <v>0.91604446795207706</v>
      </c>
      <c r="N266">
        <f t="shared" si="61"/>
        <v>8.3955532047923026E-2</v>
      </c>
      <c r="O266">
        <f t="shared" si="52"/>
        <v>6.8980735209819219E-2</v>
      </c>
      <c r="P266">
        <f t="shared" si="53"/>
        <v>0.5</v>
      </c>
      <c r="Q266">
        <f t="shared" si="62"/>
        <v>-2.1211654860260443E-2</v>
      </c>
      <c r="R266" s="6">
        <f t="shared" si="63"/>
        <v>2.1211654860260443E-2</v>
      </c>
      <c r="S266" s="18">
        <f t="shared" si="64"/>
        <v>1</v>
      </c>
      <c r="T266" s="15"/>
      <c r="U266" s="15"/>
      <c r="V266" s="40">
        <f t="shared" si="65"/>
        <v>7.59</v>
      </c>
      <c r="W266" s="41">
        <f t="shared" si="54"/>
        <v>27.59</v>
      </c>
      <c r="X266">
        <f t="shared" si="66"/>
        <v>-5.5608087286986012E-2</v>
      </c>
      <c r="Y266">
        <f t="shared" si="67"/>
        <v>1.2971306401047851</v>
      </c>
      <c r="Z266" s="33">
        <f t="shared" si="55"/>
        <v>0.10779461809104506</v>
      </c>
      <c r="AA266" s="33">
        <f t="shared" si="56"/>
        <v>0.5</v>
      </c>
      <c r="AB266">
        <f t="shared" si="57"/>
        <v>-2.4219165163163914E-2</v>
      </c>
      <c r="AC266" s="1">
        <f t="shared" si="58"/>
        <v>-0.25877410429887526</v>
      </c>
      <c r="AD266" s="35">
        <f>IF(W266&gt;=FinalAgeForPremium, AE266*Delta-Z266*(Y266-AE266),AE266*Delta+PremiumRevisedForLimitedTerm-Z266*(Y266-AE266))</f>
        <v>1.4280050594127625E-3</v>
      </c>
      <c r="AE266" s="35">
        <f>AE265-StepSize*AD265</f>
        <v>1.8371206727606719E-2</v>
      </c>
      <c r="AF266" s="1"/>
    </row>
    <row r="267" spans="11:32" x14ac:dyDescent="0.45">
      <c r="K267" s="40">
        <f t="shared" si="59"/>
        <v>2.42</v>
      </c>
      <c r="L267" s="41">
        <f t="shared" si="51"/>
        <v>22.42</v>
      </c>
      <c r="M267">
        <f t="shared" si="60"/>
        <v>0.91583235140347441</v>
      </c>
      <c r="N267">
        <f t="shared" si="61"/>
        <v>8.4167648596525632E-2</v>
      </c>
      <c r="O267">
        <f t="shared" si="52"/>
        <v>6.9040206840233098E-2</v>
      </c>
      <c r="P267">
        <f t="shared" si="53"/>
        <v>0.5</v>
      </c>
      <c r="Q267">
        <f t="shared" si="62"/>
        <v>-2.1145430673610098E-2</v>
      </c>
      <c r="R267" s="6">
        <f t="shared" si="63"/>
        <v>2.1145430673610098E-2</v>
      </c>
      <c r="S267" s="18">
        <f t="shared" si="64"/>
        <v>1</v>
      </c>
      <c r="T267" s="15"/>
      <c r="U267" s="15"/>
      <c r="V267" s="40">
        <f t="shared" si="65"/>
        <v>7.58</v>
      </c>
      <c r="W267" s="41">
        <f t="shared" si="54"/>
        <v>27.58</v>
      </c>
      <c r="X267">
        <f t="shared" si="66"/>
        <v>-5.5365895635354372E-2</v>
      </c>
      <c r="Y267">
        <f t="shared" si="67"/>
        <v>1.2997183811477737</v>
      </c>
      <c r="Z267" s="33">
        <f t="shared" si="55"/>
        <v>0.10770176318835695</v>
      </c>
      <c r="AA267" s="33">
        <f t="shared" si="56"/>
        <v>0.5</v>
      </c>
      <c r="AB267">
        <f t="shared" si="57"/>
        <v>-2.433406696278248E-2</v>
      </c>
      <c r="AC267" s="1">
        <f t="shared" si="58"/>
        <v>-0.25747194255104722</v>
      </c>
      <c r="AD267" s="35">
        <f>IF(W267&gt;=FinalAgeForPremium, AE267*Delta-Z267*(Y267-AE267),AE267*Delta+PremiumRevisedForLimitedTerm-Z267*(Y267-AE267))</f>
        <v>1.2657878799986477E-3</v>
      </c>
      <c r="AE267" s="35">
        <f>AE266-StepSize*AD266</f>
        <v>1.8356926677012591E-2</v>
      </c>
      <c r="AF267" s="1"/>
    </row>
    <row r="268" spans="11:32" x14ac:dyDescent="0.45">
      <c r="K268" s="40">
        <f t="shared" si="59"/>
        <v>2.4300000000000002</v>
      </c>
      <c r="L268" s="41">
        <f t="shared" si="51"/>
        <v>22.43</v>
      </c>
      <c r="M268">
        <f t="shared" si="60"/>
        <v>0.91562089709673833</v>
      </c>
      <c r="N268">
        <f t="shared" si="61"/>
        <v>8.4379102903261727E-2</v>
      </c>
      <c r="O268">
        <f t="shared" si="52"/>
        <v>6.9099729744017888E-2</v>
      </c>
      <c r="P268">
        <f t="shared" si="53"/>
        <v>0.5</v>
      </c>
      <c r="Q268">
        <f t="shared" si="62"/>
        <v>-2.1079605085728967E-2</v>
      </c>
      <c r="R268" s="6">
        <f t="shared" si="63"/>
        <v>2.1079605085728967E-2</v>
      </c>
      <c r="S268" s="18">
        <f t="shared" si="64"/>
        <v>1</v>
      </c>
      <c r="T268" s="15"/>
      <c r="U268" s="15"/>
      <c r="V268" s="40">
        <f t="shared" si="65"/>
        <v>7.57</v>
      </c>
      <c r="W268" s="41">
        <f t="shared" si="54"/>
        <v>27.57</v>
      </c>
      <c r="X268">
        <f t="shared" si="66"/>
        <v>-5.5122554965726545E-2</v>
      </c>
      <c r="Y268">
        <f t="shared" si="67"/>
        <v>1.3022931005732843</v>
      </c>
      <c r="Z268" s="33">
        <f t="shared" si="55"/>
        <v>0.10760898827141498</v>
      </c>
      <c r="AA268" s="33">
        <f t="shared" si="56"/>
        <v>0.5</v>
      </c>
      <c r="AB268">
        <f t="shared" si="57"/>
        <v>-2.4447059407271154E-2</v>
      </c>
      <c r="AC268" s="1">
        <f t="shared" si="58"/>
        <v>-0.25617751720183035</v>
      </c>
      <c r="AD268" s="35">
        <f>IF(W268&gt;=FinalAgeForPremium, AE268*Delta-Z268*(Y268-AE268),AE268*Delta+PremiumRevisedForLimitedTerm-Z268*(Y268-AE268))</f>
        <v>1.1056081345765523E-3</v>
      </c>
      <c r="AE268" s="35">
        <f>AE267-StepSize*AD267</f>
        <v>1.8344268798212604E-2</v>
      </c>
      <c r="AF268" s="1"/>
    </row>
    <row r="269" spans="11:32" x14ac:dyDescent="0.45">
      <c r="K269" s="40">
        <f t="shared" si="59"/>
        <v>2.44</v>
      </c>
      <c r="L269" s="41">
        <f t="shared" si="51"/>
        <v>22.44</v>
      </c>
      <c r="M269">
        <f t="shared" si="60"/>
        <v>0.91541010104588105</v>
      </c>
      <c r="N269">
        <f t="shared" si="61"/>
        <v>8.4589898954119017E-2</v>
      </c>
      <c r="O269">
        <f t="shared" si="52"/>
        <v>6.9159303965378907E-2</v>
      </c>
      <c r="P269">
        <f t="shared" si="53"/>
        <v>0.5</v>
      </c>
      <c r="Q269">
        <f t="shared" si="62"/>
        <v>-2.1014175954150803E-2</v>
      </c>
      <c r="R269" s="6">
        <f t="shared" si="63"/>
        <v>2.1014175954150803E-2</v>
      </c>
      <c r="S269" s="18">
        <f t="shared" si="64"/>
        <v>1</v>
      </c>
      <c r="T269" s="15"/>
      <c r="U269" s="15"/>
      <c r="V269" s="40">
        <f t="shared" si="65"/>
        <v>7.56</v>
      </c>
      <c r="W269" s="41">
        <f t="shared" si="54"/>
        <v>27.56</v>
      </c>
      <c r="X269">
        <f t="shared" si="66"/>
        <v>-5.4878084371653833E-2</v>
      </c>
      <c r="Y269">
        <f t="shared" si="67"/>
        <v>1.3048548757453027</v>
      </c>
      <c r="Z269" s="33">
        <f t="shared" si="55"/>
        <v>0.10751629327131892</v>
      </c>
      <c r="AA269" s="33">
        <f t="shared" si="56"/>
        <v>0.5</v>
      </c>
      <c r="AB269">
        <f t="shared" si="57"/>
        <v>-2.4558158231848315E-2</v>
      </c>
      <c r="AC269" s="1">
        <f t="shared" si="58"/>
        <v>-0.25489077615425659</v>
      </c>
      <c r="AD269" s="35">
        <f>IF(W269&gt;=FinalAgeForPremium, AE269*Delta-Z269*(Y269-AE269),AE269*Delta+PremiumRevisedForLimitedTerm-Z269*(Y269-AE269))</f>
        <v>9.4744968801963036E-4</v>
      </c>
      <c r="AE269" s="35">
        <f>AE268-StepSize*AD268</f>
        <v>1.8333212716866838E-2</v>
      </c>
      <c r="AF269" s="1"/>
    </row>
    <row r="270" spans="11:32" x14ac:dyDescent="0.45">
      <c r="K270" s="40">
        <f t="shared" si="59"/>
        <v>2.4500000000000002</v>
      </c>
      <c r="L270" s="41">
        <f t="shared" si="51"/>
        <v>22.45</v>
      </c>
      <c r="M270">
        <f t="shared" si="60"/>
        <v>0.91519995928633957</v>
      </c>
      <c r="N270">
        <f t="shared" si="61"/>
        <v>8.4800040713660527E-2</v>
      </c>
      <c r="O270">
        <f t="shared" si="52"/>
        <v>6.9218929548559446E-2</v>
      </c>
      <c r="P270">
        <f t="shared" si="53"/>
        <v>0.5</v>
      </c>
      <c r="Q270">
        <f t="shared" si="62"/>
        <v>-2.094914114785535E-2</v>
      </c>
      <c r="R270" s="6">
        <f t="shared" si="63"/>
        <v>2.094914114785535E-2</v>
      </c>
      <c r="S270" s="18">
        <f t="shared" si="64"/>
        <v>1</v>
      </c>
      <c r="T270" s="15"/>
      <c r="U270" s="15"/>
      <c r="V270" s="40">
        <f t="shared" si="65"/>
        <v>7.55</v>
      </c>
      <c r="W270" s="41">
        <f t="shared" si="54"/>
        <v>27.55</v>
      </c>
      <c r="X270">
        <f t="shared" si="66"/>
        <v>-5.4632502789335353E-2</v>
      </c>
      <c r="Y270">
        <f t="shared" si="67"/>
        <v>1.3074037835068453</v>
      </c>
      <c r="Z270" s="33">
        <f t="shared" si="55"/>
        <v>0.10742367811922796</v>
      </c>
      <c r="AA270" s="33">
        <f t="shared" si="56"/>
        <v>0.5</v>
      </c>
      <c r="AB270">
        <f t="shared" si="57"/>
        <v>-2.4667379047908611E-2</v>
      </c>
      <c r="AC270" s="1">
        <f t="shared" si="58"/>
        <v>-0.25361166767656751</v>
      </c>
      <c r="AD270" s="35">
        <f>IF(W270&gt;=FinalAgeForPremium, AE270*Delta-Z270*(Y270-AE270),AE270*Delta+PremiumRevisedForLimitedTerm-Z270*(Y270-AE270))</f>
        <v>7.9129653043058523E-4</v>
      </c>
      <c r="AE270" s="35">
        <f>AE269-StepSize*AD269</f>
        <v>1.8323738219986643E-2</v>
      </c>
      <c r="AF270" s="1"/>
    </row>
    <row r="271" spans="11:32" x14ac:dyDescent="0.45">
      <c r="K271" s="40">
        <f t="shared" si="59"/>
        <v>2.46</v>
      </c>
      <c r="L271" s="41">
        <f t="shared" si="51"/>
        <v>22.46</v>
      </c>
      <c r="M271">
        <f t="shared" si="60"/>
        <v>0.91499046787486105</v>
      </c>
      <c r="N271">
        <f t="shared" si="61"/>
        <v>8.5009532125139078E-2</v>
      </c>
      <c r="O271">
        <f t="shared" si="52"/>
        <v>6.9278606537841098E-2</v>
      </c>
      <c r="P271">
        <f t="shared" si="53"/>
        <v>0.5</v>
      </c>
      <c r="Q271">
        <f t="shared" si="62"/>
        <v>-2.0884498547208093E-2</v>
      </c>
      <c r="R271" s="6">
        <f t="shared" si="63"/>
        <v>2.0884498547208093E-2</v>
      </c>
      <c r="S271" s="18">
        <f t="shared" si="64"/>
        <v>1.0000000000000002</v>
      </c>
      <c r="T271" s="15"/>
      <c r="U271" s="15"/>
      <c r="V271" s="40">
        <f t="shared" si="65"/>
        <v>7.54</v>
      </c>
      <c r="W271" s="41">
        <f t="shared" si="54"/>
        <v>27.54</v>
      </c>
      <c r="X271">
        <f t="shared" si="66"/>
        <v>-5.4385828998856266E-2</v>
      </c>
      <c r="Y271">
        <f t="shared" si="67"/>
        <v>1.309939900183611</v>
      </c>
      <c r="Z271" s="33">
        <f t="shared" si="55"/>
        <v>0.10733114274636049</v>
      </c>
      <c r="AA271" s="33">
        <f t="shared" si="56"/>
        <v>0.5</v>
      </c>
      <c r="AB271">
        <f t="shared" si="57"/>
        <v>-2.4774737344010908E-2</v>
      </c>
      <c r="AC271" s="1">
        <f t="shared" si="58"/>
        <v>-0.25234014039958574</v>
      </c>
      <c r="AD271" s="35">
        <f>IF(W271&gt;=FinalAgeForPremium, AE271*Delta-Z271*(Y271-AE271),AE271*Delta+PremiumRevisedForLimitedTerm-Z271*(Y271-AE271))</f>
        <v>6.3713277614799169E-4</v>
      </c>
      <c r="AE271" s="35">
        <f>AE270-StepSize*AD270</f>
        <v>1.8315825254682335E-2</v>
      </c>
      <c r="AF271" s="1"/>
    </row>
    <row r="272" spans="11:32" x14ac:dyDescent="0.45">
      <c r="K272" s="40">
        <f t="shared" si="59"/>
        <v>2.4700000000000002</v>
      </c>
      <c r="L272" s="41">
        <f t="shared" si="51"/>
        <v>22.47</v>
      </c>
      <c r="M272">
        <f t="shared" si="60"/>
        <v>0.91478162288938891</v>
      </c>
      <c r="N272">
        <f t="shared" si="61"/>
        <v>8.5218377110611157E-2</v>
      </c>
      <c r="O272">
        <f t="shared" si="52"/>
        <v>6.9338334977543478E-2</v>
      </c>
      <c r="P272">
        <f t="shared" si="53"/>
        <v>0.5</v>
      </c>
      <c r="Q272">
        <f t="shared" si="62"/>
        <v>-2.0820246043899725E-2</v>
      </c>
      <c r="R272" s="6">
        <f t="shared" si="63"/>
        <v>2.0820246043899725E-2</v>
      </c>
      <c r="S272" s="18">
        <f t="shared" si="64"/>
        <v>1</v>
      </c>
      <c r="T272" s="15"/>
      <c r="U272" s="15"/>
      <c r="V272" s="40">
        <f t="shared" si="65"/>
        <v>7.53</v>
      </c>
      <c r="W272" s="41">
        <f t="shared" si="54"/>
        <v>27.53</v>
      </c>
      <c r="X272">
        <f t="shared" si="66"/>
        <v>-5.4138081625416154E-2</v>
      </c>
      <c r="Y272">
        <f t="shared" si="67"/>
        <v>1.3124633015876068</v>
      </c>
      <c r="Z272" s="33">
        <f t="shared" si="55"/>
        <v>0.10723868708399435</v>
      </c>
      <c r="AA272" s="33">
        <f t="shared" si="56"/>
        <v>0.5</v>
      </c>
      <c r="AB272">
        <f t="shared" si="57"/>
        <v>-2.4880248486858367E-2</v>
      </c>
      <c r="AC272" s="1">
        <f t="shared" si="58"/>
        <v>-0.2510761433141081</v>
      </c>
      <c r="AD272" s="35">
        <f>IF(W272&gt;=FinalAgeForPremium, AE272*Delta-Z272*(Y272-AE272),AE272*Delta+PremiumRevisedForLimitedTerm-Z272*(Y272-AE272))</f>
        <v>4.849426627609732E-4</v>
      </c>
      <c r="AE272" s="35">
        <f>AE271-StepSize*AD271</f>
        <v>1.8309453926920856E-2</v>
      </c>
      <c r="AF272" s="1"/>
    </row>
    <row r="273" spans="11:32" x14ac:dyDescent="0.45">
      <c r="K273" s="40">
        <f t="shared" si="59"/>
        <v>2.48</v>
      </c>
      <c r="L273" s="41">
        <f t="shared" si="51"/>
        <v>22.48</v>
      </c>
      <c r="M273">
        <f t="shared" si="60"/>
        <v>0.91457342042894996</v>
      </c>
      <c r="N273">
        <f t="shared" si="61"/>
        <v>8.5426579571050154E-2</v>
      </c>
      <c r="O273">
        <f t="shared" si="52"/>
        <v>6.9398114912024522E-2</v>
      </c>
      <c r="P273">
        <f t="shared" si="53"/>
        <v>0.5</v>
      </c>
      <c r="Q273">
        <f t="shared" si="62"/>
        <v>-2.0756381540886507E-2</v>
      </c>
      <c r="R273" s="6">
        <f t="shared" si="63"/>
        <v>2.0756381540886507E-2</v>
      </c>
      <c r="S273" s="18">
        <f t="shared" si="64"/>
        <v>1</v>
      </c>
      <c r="T273" s="15"/>
      <c r="U273" s="15"/>
      <c r="V273" s="40">
        <f t="shared" si="65"/>
        <v>7.52</v>
      </c>
      <c r="W273" s="41">
        <f t="shared" si="54"/>
        <v>27.52</v>
      </c>
      <c r="X273">
        <f t="shared" si="66"/>
        <v>-5.3889279140547572E-2</v>
      </c>
      <c r="Y273">
        <f t="shared" si="67"/>
        <v>1.3149740630207478</v>
      </c>
      <c r="Z273" s="33">
        <f t="shared" si="55"/>
        <v>0.10714631106346641</v>
      </c>
      <c r="AA273" s="33">
        <f t="shared" si="56"/>
        <v>0.5</v>
      </c>
      <c r="AB273">
        <f t="shared" si="57"/>
        <v>-2.4983927722270136E-2</v>
      </c>
      <c r="AC273" s="1">
        <f t="shared" si="58"/>
        <v>-0.24981962576831485</v>
      </c>
      <c r="AD273" s="35">
        <f>IF(W273&gt;=FinalAgeForPremium, AE273*Delta-Z273*(Y273-AE273),AE273*Delta+PremiumRevisedForLimitedTerm-Z273*(Y273-AE273))</f>
        <v>3.347105501320391E-4</v>
      </c>
      <c r="AE273" s="35">
        <f>AE272-StepSize*AD272</f>
        <v>1.8304604500293246E-2</v>
      </c>
      <c r="AF273" s="1"/>
    </row>
    <row r="274" spans="11:32" x14ac:dyDescent="0.45">
      <c r="K274" s="40">
        <f t="shared" si="59"/>
        <v>2.4900000000000002</v>
      </c>
      <c r="L274" s="41">
        <f t="shared" si="51"/>
        <v>22.490000000000002</v>
      </c>
      <c r="M274">
        <f t="shared" si="60"/>
        <v>0.91436585661354108</v>
      </c>
      <c r="N274">
        <f t="shared" si="61"/>
        <v>8.5634143386459013E-2</v>
      </c>
      <c r="O274">
        <f t="shared" si="52"/>
        <v>6.9457946385680383E-2</v>
      </c>
      <c r="P274">
        <f t="shared" si="53"/>
        <v>0.5</v>
      </c>
      <c r="Q274">
        <f t="shared" si="62"/>
        <v>-2.069290295233054E-2</v>
      </c>
      <c r="R274" s="6">
        <f t="shared" si="63"/>
        <v>2.069290295233054E-2</v>
      </c>
      <c r="S274" s="18">
        <f t="shared" si="64"/>
        <v>1</v>
      </c>
      <c r="T274" s="15"/>
      <c r="U274" s="15"/>
      <c r="V274" s="40">
        <f t="shared" si="65"/>
        <v>7.51</v>
      </c>
      <c r="W274" s="41">
        <f t="shared" si="54"/>
        <v>27.509999999999998</v>
      </c>
      <c r="X274">
        <f t="shared" si="66"/>
        <v>-5.3639439863324867E-2</v>
      </c>
      <c r="Y274">
        <f t="shared" si="67"/>
        <v>1.3174722592784309</v>
      </c>
      <c r="Z274" s="33">
        <f t="shared" si="55"/>
        <v>0.10705401461617267</v>
      </c>
      <c r="AA274" s="33">
        <f t="shared" si="56"/>
        <v>0.5</v>
      </c>
      <c r="AB274">
        <f t="shared" si="57"/>
        <v>-2.5085790176145442E-2</v>
      </c>
      <c r="AC274" s="1">
        <f t="shared" si="58"/>
        <v>-0.24857053746520053</v>
      </c>
      <c r="AD274" s="35">
        <f>IF(W274&gt;=FinalAgeForPremium, AE274*Delta-Z274*(Y274-AE274),AE274*Delta+PremiumRevisedForLimitedTerm-Z274*(Y274-AE274))</f>
        <v>1.8642091942736028E-4</v>
      </c>
      <c r="AE274" s="35">
        <f>AE273-StepSize*AD273</f>
        <v>1.8301257394791926E-2</v>
      </c>
      <c r="AF274" s="1"/>
    </row>
    <row r="275" spans="11:32" x14ac:dyDescent="0.45">
      <c r="K275" s="40">
        <f t="shared" si="59"/>
        <v>2.5</v>
      </c>
      <c r="L275" s="41">
        <f t="shared" si="51"/>
        <v>22.5</v>
      </c>
      <c r="M275">
        <f t="shared" si="60"/>
        <v>0.91415892758401773</v>
      </c>
      <c r="N275">
        <f t="shared" si="61"/>
        <v>8.5841072415982322E-2</v>
      </c>
      <c r="O275">
        <f t="shared" si="52"/>
        <v>6.9517829442945434E-2</v>
      </c>
      <c r="P275">
        <f t="shared" si="53"/>
        <v>0.5</v>
      </c>
      <c r="Q275">
        <f t="shared" si="62"/>
        <v>-2.0629808203540489E-2</v>
      </c>
      <c r="R275" s="6">
        <f t="shared" si="63"/>
        <v>2.0629808203540489E-2</v>
      </c>
      <c r="S275" s="18">
        <f t="shared" si="64"/>
        <v>1</v>
      </c>
      <c r="T275" s="15"/>
      <c r="U275" s="15"/>
      <c r="V275" s="40">
        <f t="shared" si="65"/>
        <v>7.5</v>
      </c>
      <c r="W275" s="41">
        <f t="shared" si="54"/>
        <v>27.5</v>
      </c>
      <c r="X275">
        <f t="shared" si="66"/>
        <v>-5.338858196156341E-2</v>
      </c>
      <c r="Y275">
        <f t="shared" si="67"/>
        <v>1.319957964653083</v>
      </c>
      <c r="Z275" s="33">
        <f t="shared" si="55"/>
        <v>0.10696179767356839</v>
      </c>
      <c r="AA275" s="33">
        <f t="shared" si="56"/>
        <v>0.5</v>
      </c>
      <c r="AB275">
        <f t="shared" si="57"/>
        <v>-2.5185850855420189E-2</v>
      </c>
      <c r="AC275" s="1">
        <f t="shared" si="58"/>
        <v>-0.24732882846002269</v>
      </c>
      <c r="AD275" s="35">
        <f>IF(W275&gt;=FinalAgeForPremium, AE275*Delta-Z275*(Y275-AE275),AE275*Delta+PremiumRevisedForLimitedTerm-Z275*(Y275-AE275))</f>
        <v>4.0058372155205024E-5</v>
      </c>
      <c r="AE275" s="35">
        <f>AE274-StepSize*AD274</f>
        <v>1.8299393185597652E-2</v>
      </c>
      <c r="AF275" s="1"/>
    </row>
    <row r="276" spans="11:32" x14ac:dyDescent="0.45">
      <c r="K276" s="40">
        <f t="shared" si="59"/>
        <v>2.5099999999999998</v>
      </c>
      <c r="L276" s="41">
        <f t="shared" si="51"/>
        <v>22.509999999999998</v>
      </c>
      <c r="M276">
        <f t="shared" si="60"/>
        <v>0.91395262950198231</v>
      </c>
      <c r="N276">
        <f t="shared" si="61"/>
        <v>8.6047370498017722E-2</v>
      </c>
      <c r="O276">
        <f t="shared" si="52"/>
        <v>6.9577764128292419E-2</v>
      </c>
      <c r="P276">
        <f t="shared" si="53"/>
        <v>0.5</v>
      </c>
      <c r="Q276">
        <f t="shared" si="62"/>
        <v>-2.0567095230912699E-2</v>
      </c>
      <c r="R276" s="6">
        <f t="shared" si="63"/>
        <v>2.0567095230912699E-2</v>
      </c>
      <c r="S276" s="18">
        <f t="shared" si="64"/>
        <v>1</v>
      </c>
      <c r="T276" s="15"/>
      <c r="U276" s="15"/>
      <c r="V276" s="40">
        <f t="shared" si="65"/>
        <v>7.49</v>
      </c>
      <c r="W276" s="41">
        <f t="shared" si="54"/>
        <v>27.490000000000002</v>
      </c>
      <c r="X276">
        <f t="shared" si="66"/>
        <v>-5.313672345300921E-2</v>
      </c>
      <c r="Y276">
        <f t="shared" si="67"/>
        <v>1.3224312529376832</v>
      </c>
      <c r="Z276" s="33">
        <f t="shared" si="55"/>
        <v>0.10686966016716774</v>
      </c>
      <c r="AA276" s="33">
        <f t="shared" si="56"/>
        <v>0.5</v>
      </c>
      <c r="AB276">
        <f t="shared" si="57"/>
        <v>-2.5284124649014694E-2</v>
      </c>
      <c r="AC276" s="1">
        <f t="shared" si="58"/>
        <v>-0.24609444915776968</v>
      </c>
      <c r="AD276" s="35">
        <f>IF(W276&gt;=FinalAgeForPremium, AE276*Delta-Z276*(Y276-AE276),AE276*Delta+PremiumRevisedForLimitedTerm-Z276*(Y276-AE276))</f>
        <v>-1.0439237078768704E-4</v>
      </c>
      <c r="AE276" s="35">
        <f>AE275-StepSize*AD275</f>
        <v>1.8298992601876101E-2</v>
      </c>
      <c r="AF276" s="1"/>
    </row>
    <row r="277" spans="11:32" x14ac:dyDescent="0.45">
      <c r="K277" s="40">
        <f t="shared" si="59"/>
        <v>2.52</v>
      </c>
      <c r="L277" s="41">
        <f t="shared" si="51"/>
        <v>22.52</v>
      </c>
      <c r="M277">
        <f t="shared" si="60"/>
        <v>0.91374695854967314</v>
      </c>
      <c r="N277">
        <f t="shared" si="61"/>
        <v>8.6253041450326848E-2</v>
      </c>
      <c r="O277">
        <f t="shared" si="52"/>
        <v>6.9637750486232428E-2</v>
      </c>
      <c r="P277">
        <f t="shared" si="53"/>
        <v>0.5</v>
      </c>
      <c r="Q277">
        <f t="shared" si="62"/>
        <v>-2.0504761981872476E-2</v>
      </c>
      <c r="R277" s="6">
        <f t="shared" si="63"/>
        <v>2.0504761981872476E-2</v>
      </c>
      <c r="S277" s="18">
        <f t="shared" si="64"/>
        <v>1</v>
      </c>
      <c r="T277" s="15"/>
      <c r="U277" s="15"/>
      <c r="V277" s="40">
        <f t="shared" si="65"/>
        <v>7.48</v>
      </c>
      <c r="W277" s="41">
        <f t="shared" si="54"/>
        <v>27.48</v>
      </c>
      <c r="X277">
        <f t="shared" si="66"/>
        <v>-5.2883882206519066E-2</v>
      </c>
      <c r="Y277">
        <f t="shared" si="67"/>
        <v>1.3248921974292609</v>
      </c>
      <c r="Z277" s="33">
        <f t="shared" si="55"/>
        <v>0.1067776020285439</v>
      </c>
      <c r="AA277" s="33">
        <f t="shared" si="56"/>
        <v>0.5</v>
      </c>
      <c r="AB277">
        <f t="shared" si="57"/>
        <v>-2.5380626328775011E-2</v>
      </c>
      <c r="AC277" s="1">
        <f t="shared" si="58"/>
        <v>-0.24486735031064699</v>
      </c>
      <c r="AD277" s="35">
        <f>IF(W277&gt;=FinalAgeForPremium, AE277*Delta-Z277*(Y277-AE277),AE277*Delta+PremiumRevisedForLimitedTerm-Z277*(Y277-AE277))</f>
        <v>-2.4694647006226478E-4</v>
      </c>
      <c r="AE277" s="35">
        <f>AE276-StepSize*AD276</f>
        <v>1.8300036525583978E-2</v>
      </c>
      <c r="AF277" s="1"/>
    </row>
    <row r="278" spans="11:32" x14ac:dyDescent="0.45">
      <c r="K278" s="40">
        <f t="shared" si="59"/>
        <v>2.5299999999999998</v>
      </c>
      <c r="L278" s="41">
        <f t="shared" si="51"/>
        <v>22.53</v>
      </c>
      <c r="M278">
        <f t="shared" si="60"/>
        <v>0.91354191092985437</v>
      </c>
      <c r="N278">
        <f t="shared" si="61"/>
        <v>8.6458089070145572E-2</v>
      </c>
      <c r="O278">
        <f t="shared" si="52"/>
        <v>6.9697788561314908E-2</v>
      </c>
      <c r="P278">
        <f t="shared" si="53"/>
        <v>0.5</v>
      </c>
      <c r="Q278">
        <f t="shared" si="62"/>
        <v>-2.0442806414815787E-2</v>
      </c>
      <c r="R278" s="6">
        <f t="shared" si="63"/>
        <v>2.0442806414815787E-2</v>
      </c>
      <c r="S278" s="18">
        <f t="shared" si="64"/>
        <v>1</v>
      </c>
      <c r="T278" s="15"/>
      <c r="U278" s="15"/>
      <c r="V278" s="40">
        <f t="shared" si="65"/>
        <v>7.47</v>
      </c>
      <c r="W278" s="41">
        <f t="shared" si="54"/>
        <v>27.47</v>
      </c>
      <c r="X278">
        <f t="shared" si="66"/>
        <v>-5.2630075943231318E-2</v>
      </c>
      <c r="Y278">
        <f t="shared" si="67"/>
        <v>1.3273408709323673</v>
      </c>
      <c r="Z278" s="33">
        <f t="shared" si="55"/>
        <v>0.10668562318932898</v>
      </c>
      <c r="AA278" s="33">
        <f t="shared" si="56"/>
        <v>0.5</v>
      </c>
      <c r="AB278">
        <f t="shared" si="57"/>
        <v>-2.547537055040551E-2</v>
      </c>
      <c r="AC278" s="1">
        <f t="shared" si="58"/>
        <v>-0.24364748301558237</v>
      </c>
      <c r="AD278" s="35">
        <f>IF(W278&gt;=FinalAgeForPremium, AE278*Delta-Z278*(Y278-AE278),AE278*Delta+PremiumRevisedForLimitedTerm-Z278*(Y278-AE278))</f>
        <v>-3.8761896882558156E-4</v>
      </c>
      <c r="AE278" s="35">
        <f>AE277-StepSize*AD277</f>
        <v>1.8302505990284601E-2</v>
      </c>
      <c r="AF278" s="1"/>
    </row>
    <row r="279" spans="11:32" x14ac:dyDescent="0.45">
      <c r="K279" s="40">
        <f t="shared" si="59"/>
        <v>2.54</v>
      </c>
      <c r="L279" s="41">
        <f t="shared" si="51"/>
        <v>22.54</v>
      </c>
      <c r="M279">
        <f t="shared" si="60"/>
        <v>0.91333748286570626</v>
      </c>
      <c r="N279">
        <f t="shared" si="61"/>
        <v>8.6662517134293723E-2</v>
      </c>
      <c r="O279">
        <f t="shared" si="52"/>
        <v>6.9757878398127651E-2</v>
      </c>
      <c r="P279">
        <f t="shared" si="53"/>
        <v>0.5</v>
      </c>
      <c r="Q279">
        <f t="shared" si="62"/>
        <v>-2.0381226499051074E-2</v>
      </c>
      <c r="R279" s="6">
        <f t="shared" si="63"/>
        <v>2.0381226499051074E-2</v>
      </c>
      <c r="S279" s="18">
        <f t="shared" si="64"/>
        <v>1</v>
      </c>
      <c r="T279" s="15"/>
      <c r="U279" s="15"/>
      <c r="V279" s="40">
        <f t="shared" si="65"/>
        <v>7.46</v>
      </c>
      <c r="W279" s="41">
        <f t="shared" si="54"/>
        <v>27.46</v>
      </c>
      <c r="X279">
        <f t="shared" si="66"/>
        <v>-5.2375322237727263E-2</v>
      </c>
      <c r="Y279">
        <f t="shared" si="67"/>
        <v>1.329777345762523</v>
      </c>
      <c r="Z279" s="33">
        <f t="shared" si="55"/>
        <v>0.10659372358121408</v>
      </c>
      <c r="AA279" s="33">
        <f t="shared" si="56"/>
        <v>0.5</v>
      </c>
      <c r="AB279">
        <f t="shared" si="57"/>
        <v>-2.5568371854394922E-2</v>
      </c>
      <c r="AC279" s="1">
        <f t="shared" si="58"/>
        <v>-0.24243479871174867</v>
      </c>
      <c r="AD279" s="35">
        <f>IF(W279&gt;=FinalAgeForPremium, AE279*Delta-Z279*(Y279-AE279),AE279*Delta+PremiumRevisedForLimitedTerm-Z279*(Y279-AE279))</f>
        <v>-5.2642479366163397E-4</v>
      </c>
      <c r="AE279" s="35">
        <f>AE278-StepSize*AD278</f>
        <v>1.8306382179972856E-2</v>
      </c>
      <c r="AF279" s="1"/>
    </row>
    <row r="280" spans="11:32" x14ac:dyDescent="0.45">
      <c r="K280" s="40">
        <f t="shared" si="59"/>
        <v>2.5499999999999998</v>
      </c>
      <c r="L280" s="41">
        <f t="shared" si="51"/>
        <v>22.55</v>
      </c>
      <c r="M280">
        <f t="shared" si="60"/>
        <v>0.91313367060071571</v>
      </c>
      <c r="N280">
        <f t="shared" si="61"/>
        <v>8.6866329399284237E-2</v>
      </c>
      <c r="O280">
        <f t="shared" si="52"/>
        <v>6.9818020041297016E-2</v>
      </c>
      <c r="P280">
        <f t="shared" si="53"/>
        <v>0.5</v>
      </c>
      <c r="Q280">
        <f t="shared" si="62"/>
        <v>-2.032002021474176E-2</v>
      </c>
      <c r="R280" s="6">
        <f t="shared" si="63"/>
        <v>2.032002021474176E-2</v>
      </c>
      <c r="S280" s="18">
        <f t="shared" si="64"/>
        <v>1</v>
      </c>
      <c r="T280" s="15"/>
      <c r="U280" s="15"/>
      <c r="V280" s="40">
        <f t="shared" si="65"/>
        <v>7.45</v>
      </c>
      <c r="W280" s="41">
        <f t="shared" si="54"/>
        <v>27.45</v>
      </c>
      <c r="X280">
        <f t="shared" si="66"/>
        <v>-5.2119638519183317E-2</v>
      </c>
      <c r="Y280">
        <f t="shared" si="67"/>
        <v>1.3322016937496406</v>
      </c>
      <c r="Z280" s="33">
        <f t="shared" si="55"/>
        <v>0.10650190313594907</v>
      </c>
      <c r="AA280" s="33">
        <f t="shared" si="56"/>
        <v>0.5</v>
      </c>
      <c r="AB280">
        <f t="shared" si="57"/>
        <v>-2.565964466693374E-2</v>
      </c>
      <c r="AC280" s="1">
        <f t="shared" si="58"/>
        <v>-0.24122924917810606</v>
      </c>
      <c r="AD280" s="35">
        <f>IF(W280&gt;=FinalAgeForPremium, AE280*Delta-Z280*(Y280-AE280),AE280*Delta+PremiumRevisedForLimitedTerm-Z280*(Y280-AE280))</f>
        <v>-6.6337875550454006E-4</v>
      </c>
      <c r="AE280" s="35">
        <f>AE279-StepSize*AD279</f>
        <v>1.8311646427909473E-2</v>
      </c>
      <c r="AF280" s="1"/>
    </row>
    <row r="281" spans="11:32" x14ac:dyDescent="0.45">
      <c r="K281" s="40">
        <f t="shared" si="59"/>
        <v>2.56</v>
      </c>
      <c r="L281" s="41">
        <f t="shared" ref="L281:L344" si="68">$L$5+K281</f>
        <v>22.56</v>
      </c>
      <c r="M281">
        <f t="shared" si="60"/>
        <v>0.91293047039856834</v>
      </c>
      <c r="N281">
        <f t="shared" si="61"/>
        <v>8.7069529601431661E-2</v>
      </c>
      <c r="O281">
        <f t="shared" ref="O281:O344" si="69">mu01Parameter_B*mu01Parameter_c^L281</f>
        <v>6.9878213535487732E-2</v>
      </c>
      <c r="P281">
        <f t="shared" ref="P281:P344" si="70">mu10Constant</f>
        <v>0.5</v>
      </c>
      <c r="Q281">
        <f t="shared" si="62"/>
        <v>-2.0259185552848585E-2</v>
      </c>
      <c r="R281" s="6">
        <f t="shared" si="63"/>
        <v>2.0259185552848585E-2</v>
      </c>
      <c r="S281" s="18">
        <f t="shared" si="64"/>
        <v>1</v>
      </c>
      <c r="T281" s="15"/>
      <c r="U281" s="15"/>
      <c r="V281" s="40">
        <f t="shared" si="65"/>
        <v>7.44</v>
      </c>
      <c r="W281" s="41">
        <f t="shared" ref="W281:W344" si="71">$L$5+V281</f>
        <v>27.44</v>
      </c>
      <c r="X281">
        <f t="shared" si="66"/>
        <v>-5.1863042072513979E-2</v>
      </c>
      <c r="Y281">
        <f t="shared" si="67"/>
        <v>1.3346139862414217</v>
      </c>
      <c r="Z281" s="33">
        <f t="shared" ref="Z281:Z344" si="72">mu01Parameter_B*mu01Parameter_c^W281</f>
        <v>0.10641016178534259</v>
      </c>
      <c r="AA281" s="33">
        <f t="shared" ref="AA281:AA344" si="73">mu10Constant</f>
        <v>0.5</v>
      </c>
      <c r="AB281">
        <f t="shared" ref="AB281:AB344" si="74">X281*Delta+Premium-Z281*(Y281-X281)</f>
        <v>-2.5749203300824919E-2</v>
      </c>
      <c r="AC281" s="1">
        <f t="shared" ref="AC281:AC344" si="75">Y281*Delta-AnnuityWhileSIck-AA281*(X281-Y281)</f>
        <v>-0.2400307865309611</v>
      </c>
      <c r="AD281" s="35">
        <f>IF(W281&gt;=FinalAgeForPremium, AE281*Delta-Z281*(Y281-AE281),AE281*Delta+PremiumRevisedForLimitedTerm-Z281*(Y281-AE281))</f>
        <v>-7.9849555055408472E-4</v>
      </c>
      <c r="AE281" s="35">
        <f>AE280-StepSize*AD280</f>
        <v>1.8318280215464517E-2</v>
      </c>
      <c r="AF281" s="1"/>
    </row>
    <row r="282" spans="11:32" x14ac:dyDescent="0.45">
      <c r="K282" s="40">
        <f t="shared" ref="K282:K345" si="76">ROUND(K281+StepSize,2)</f>
        <v>2.57</v>
      </c>
      <c r="L282" s="41">
        <f t="shared" si="68"/>
        <v>22.57</v>
      </c>
      <c r="M282">
        <f t="shared" ref="M282:M345" si="77">M281+StepSize*Q281</f>
        <v>0.91272787854303983</v>
      </c>
      <c r="N282">
        <f t="shared" ref="N282:N345" si="78">N281+StepSize*R281</f>
        <v>8.7272121456960144E-2</v>
      </c>
      <c r="O282">
        <f t="shared" si="69"/>
        <v>6.993845892540311E-2</v>
      </c>
      <c r="P282">
        <f t="shared" si="70"/>
        <v>0.5</v>
      </c>
      <c r="Q282">
        <f t="shared" ref="Q282:Q345" si="79">N282*P282-M282*O282</f>
        <v>-2.0198720515072641E-2</v>
      </c>
      <c r="R282" s="6">
        <f t="shared" ref="R282:R345" si="80">M282*O282-N282*P282</f>
        <v>2.0198720515072641E-2</v>
      </c>
      <c r="S282" s="18">
        <f t="shared" ref="S282:S345" si="81">M282+N282</f>
        <v>1</v>
      </c>
      <c r="T282" s="15"/>
      <c r="U282" s="15"/>
      <c r="V282" s="40">
        <f t="shared" ref="V282:V345" si="82">ROUND(V281-StepSize,2)</f>
        <v>7.43</v>
      </c>
      <c r="W282" s="41">
        <f t="shared" si="71"/>
        <v>27.43</v>
      </c>
      <c r="X282">
        <f t="shared" ref="X282:X345" si="83">X281-StepSize*AB281</f>
        <v>-5.1605550039505732E-2</v>
      </c>
      <c r="Y282">
        <f t="shared" ref="Y282:Y345" si="84">Y281-StepSize*AC281</f>
        <v>1.3370142941067313</v>
      </c>
      <c r="Z282" s="33">
        <f t="shared" si="72"/>
        <v>0.10631849946126198</v>
      </c>
      <c r="AA282" s="33">
        <f t="shared" si="73"/>
        <v>0.5</v>
      </c>
      <c r="AB282">
        <f t="shared" si="74"/>
        <v>-2.5837061956387034E-2</v>
      </c>
      <c r="AC282" s="1">
        <f t="shared" si="75"/>
        <v>-0.23883936322154486</v>
      </c>
      <c r="AD282" s="35">
        <f>IF(W282&gt;=FinalAgeForPremium, AE282*Delta-Z282*(Y282-AE282),AE282*Delta+PremiumRevisedForLimitedTerm-Z282*(Y282-AE282))</f>
        <v>-9.3178976118432622E-4</v>
      </c>
      <c r="AE282" s="35">
        <f>AE281-StepSize*AD281</f>
        <v>1.8326265170970059E-2</v>
      </c>
      <c r="AF282" s="1"/>
    </row>
    <row r="283" spans="11:32" x14ac:dyDescent="0.45">
      <c r="K283" s="40">
        <f t="shared" si="76"/>
        <v>2.58</v>
      </c>
      <c r="L283" s="41">
        <f t="shared" si="68"/>
        <v>22.58</v>
      </c>
      <c r="M283">
        <f t="shared" si="77"/>
        <v>0.91252589133788908</v>
      </c>
      <c r="N283">
        <f t="shared" si="78"/>
        <v>8.7474108662110875E-2</v>
      </c>
      <c r="O283">
        <f t="shared" si="69"/>
        <v>6.9998756255784916E-2</v>
      </c>
      <c r="P283">
        <f t="shared" si="70"/>
        <v>0.5</v>
      </c>
      <c r="Q283">
        <f t="shared" si="79"/>
        <v>-2.0138623113798333E-2</v>
      </c>
      <c r="R283" s="6">
        <f t="shared" si="80"/>
        <v>2.0138623113798333E-2</v>
      </c>
      <c r="S283" s="18">
        <f t="shared" si="81"/>
        <v>1</v>
      </c>
      <c r="T283" s="15"/>
      <c r="U283" s="15"/>
      <c r="V283" s="40">
        <f t="shared" si="82"/>
        <v>7.42</v>
      </c>
      <c r="W283" s="41">
        <f t="shared" si="71"/>
        <v>27.42</v>
      </c>
      <c r="X283">
        <f t="shared" si="83"/>
        <v>-5.1347179419941859E-2</v>
      </c>
      <c r="Y283">
        <f t="shared" si="84"/>
        <v>1.3394026877389469</v>
      </c>
      <c r="Z283" s="33">
        <f t="shared" si="72"/>
        <v>0.10622691609563355</v>
      </c>
      <c r="AA283" s="33">
        <f t="shared" si="73"/>
        <v>0.5</v>
      </c>
      <c r="AB283">
        <f t="shared" si="74"/>
        <v>-2.5923234722350197E-2</v>
      </c>
      <c r="AC283" s="1">
        <f t="shared" si="75"/>
        <v>-0.23765493203360832</v>
      </c>
      <c r="AD283" s="35">
        <f>IF(W283&gt;=FinalAgeForPremium, AE283*Delta-Z283*(Y283-AE283),AE283*Delta+PremiumRevisedForLimitedTerm-Z283*(Y283-AE283))</f>
        <v>-1.063275856844792E-3</v>
      </c>
      <c r="AE283" s="35">
        <f>AE282-StepSize*AD282</f>
        <v>1.8335583068581903E-2</v>
      </c>
      <c r="AF283" s="1"/>
    </row>
    <row r="284" spans="11:32" x14ac:dyDescent="0.45">
      <c r="K284" s="40">
        <f t="shared" si="76"/>
        <v>2.59</v>
      </c>
      <c r="L284" s="41">
        <f t="shared" si="68"/>
        <v>22.59</v>
      </c>
      <c r="M284">
        <f t="shared" si="77"/>
        <v>0.91232450510675112</v>
      </c>
      <c r="N284">
        <f t="shared" si="78"/>
        <v>8.7675494893248856E-2</v>
      </c>
      <c r="O284">
        <f t="shared" si="69"/>
        <v>7.0059105571413594E-2</v>
      </c>
      <c r="P284">
        <f t="shared" si="70"/>
        <v>0.5</v>
      </c>
      <c r="Q284">
        <f t="shared" si="79"/>
        <v>-2.0078891372037111E-2</v>
      </c>
      <c r="R284" s="6">
        <f t="shared" si="80"/>
        <v>2.0078891372037111E-2</v>
      </c>
      <c r="S284" s="18">
        <f t="shared" si="81"/>
        <v>1</v>
      </c>
      <c r="T284" s="15"/>
      <c r="U284" s="15"/>
      <c r="V284" s="40">
        <f t="shared" si="82"/>
        <v>7.41</v>
      </c>
      <c r="W284" s="41">
        <f t="shared" si="71"/>
        <v>27.41</v>
      </c>
      <c r="X284">
        <f t="shared" si="83"/>
        <v>-5.1087947072718354E-2</v>
      </c>
      <c r="Y284">
        <f t="shared" si="84"/>
        <v>1.3417792370592829</v>
      </c>
      <c r="Z284" s="33">
        <f t="shared" si="72"/>
        <v>0.10613541162044177</v>
      </c>
      <c r="AA284" s="33">
        <f t="shared" si="73"/>
        <v>0.5</v>
      </c>
      <c r="AB284">
        <f t="shared" si="74"/>
        <v>-2.6007735576743865E-2</v>
      </c>
      <c r="AC284" s="1">
        <f t="shared" si="75"/>
        <v>-0.23647744608103516</v>
      </c>
      <c r="AD284" s="35">
        <f>IF(W284&gt;=FinalAgeForPremium, AE284*Delta-Z284*(Y284-AE284),AE284*Delta+PremiumRevisedForLimitedTerm-Z284*(Y284-AE284))</f>
        <v>-1.1929681949531812E-3</v>
      </c>
      <c r="AE284" s="35">
        <f>AE283-StepSize*AD283</f>
        <v>1.8346215827150351E-2</v>
      </c>
      <c r="AF284" s="1"/>
    </row>
    <row r="285" spans="11:32" x14ac:dyDescent="0.45">
      <c r="K285" s="40">
        <f t="shared" si="76"/>
        <v>2.6</v>
      </c>
      <c r="L285" s="41">
        <f t="shared" si="68"/>
        <v>22.6</v>
      </c>
      <c r="M285">
        <f t="shared" si="77"/>
        <v>0.91212371619303079</v>
      </c>
      <c r="N285">
        <f t="shared" si="78"/>
        <v>8.7876283806969227E-2</v>
      </c>
      <c r="O285">
        <f t="shared" si="69"/>
        <v>7.0119506917108096E-2</v>
      </c>
      <c r="P285">
        <f t="shared" si="70"/>
        <v>0.5</v>
      </c>
      <c r="Q285">
        <f t="shared" si="79"/>
        <v>-2.0019523323370945E-2</v>
      </c>
      <c r="R285" s="6">
        <f t="shared" si="80"/>
        <v>2.0019523323370945E-2</v>
      </c>
      <c r="S285" s="18">
        <f t="shared" si="81"/>
        <v>1</v>
      </c>
      <c r="T285" s="15"/>
      <c r="U285" s="15"/>
      <c r="V285" s="40">
        <f t="shared" si="82"/>
        <v>7.4</v>
      </c>
      <c r="W285" s="41">
        <f t="shared" si="71"/>
        <v>27.4</v>
      </c>
      <c r="X285">
        <f t="shared" si="83"/>
        <v>-5.0827869716950913E-2</v>
      </c>
      <c r="Y285">
        <f t="shared" si="84"/>
        <v>1.3441440115200933</v>
      </c>
      <c r="Z285" s="33">
        <f t="shared" si="72"/>
        <v>0.1060439859677301</v>
      </c>
      <c r="AA285" s="33">
        <f t="shared" si="73"/>
        <v>0.5</v>
      </c>
      <c r="AB285">
        <f t="shared" si="74"/>
        <v>-2.6090578387779062E-2</v>
      </c>
      <c r="AC285" s="1">
        <f t="shared" si="75"/>
        <v>-0.2353068588054732</v>
      </c>
      <c r="AD285" s="35">
        <f>IF(W285&gt;=FinalAgeForPremium, AE285*Delta-Z285*(Y285-AE285),AE285*Delta+PremiumRevisedForLimitedTerm-Z285*(Y285-AE285))</f>
        <v>-1.3208810217831546E-3</v>
      </c>
      <c r="AE285" s="35">
        <f>AE284-StepSize*AD284</f>
        <v>1.8358145509099883E-2</v>
      </c>
      <c r="AF285" s="1"/>
    </row>
    <row r="286" spans="11:32" x14ac:dyDescent="0.45">
      <c r="K286" s="40">
        <f t="shared" si="76"/>
        <v>2.61</v>
      </c>
      <c r="L286" s="41">
        <f t="shared" si="68"/>
        <v>22.61</v>
      </c>
      <c r="M286">
        <f t="shared" si="77"/>
        <v>0.91192352095979712</v>
      </c>
      <c r="N286">
        <f t="shared" si="78"/>
        <v>8.8076479040202937E-2</v>
      </c>
      <c r="O286">
        <f t="shared" si="69"/>
        <v>7.0179960337726083E-2</v>
      </c>
      <c r="P286">
        <f t="shared" si="70"/>
        <v>0.5</v>
      </c>
      <c r="Q286">
        <f t="shared" si="79"/>
        <v>-1.996051701189662E-2</v>
      </c>
      <c r="R286" s="6">
        <f t="shared" si="80"/>
        <v>1.996051701189662E-2</v>
      </c>
      <c r="S286" s="18">
        <f t="shared" si="81"/>
        <v>1</v>
      </c>
      <c r="T286" s="15"/>
      <c r="U286" s="15"/>
      <c r="V286" s="40">
        <f t="shared" si="82"/>
        <v>7.39</v>
      </c>
      <c r="W286" s="41">
        <f t="shared" si="71"/>
        <v>27.39</v>
      </c>
      <c r="X286">
        <f t="shared" si="83"/>
        <v>-5.0566963933073125E-2</v>
      </c>
      <c r="Y286">
        <f t="shared" si="84"/>
        <v>1.3464970801081482</v>
      </c>
      <c r="Z286" s="33">
        <f t="shared" si="72"/>
        <v>0.10595263906960048</v>
      </c>
      <c r="AA286" s="33">
        <f t="shared" si="73"/>
        <v>0.5</v>
      </c>
      <c r="AB286">
        <f t="shared" si="74"/>
        <v>-2.6171776914721931E-2</v>
      </c>
      <c r="AC286" s="1">
        <f t="shared" si="75"/>
        <v>-0.23414312397398196</v>
      </c>
      <c r="AD286" s="35">
        <f>IF(W286&gt;=FinalAgeForPremium, AE286*Delta-Z286*(Y286-AE286),AE286*Delta+PremiumRevisedForLimitedTerm-Z286*(Y286-AE286))</f>
        <v>-1.4470284733426875E-3</v>
      </c>
      <c r="AE286" s="35">
        <f>AE285-StepSize*AD285</f>
        <v>1.8371354319317714E-2</v>
      </c>
      <c r="AF286" s="1"/>
    </row>
    <row r="287" spans="11:32" x14ac:dyDescent="0.45">
      <c r="K287" s="40">
        <f t="shared" si="76"/>
        <v>2.62</v>
      </c>
      <c r="L287" s="41">
        <f t="shared" si="68"/>
        <v>22.62</v>
      </c>
      <c r="M287">
        <f t="shared" si="77"/>
        <v>0.91172391578967815</v>
      </c>
      <c r="N287">
        <f t="shared" si="78"/>
        <v>8.8276084210321903E-2</v>
      </c>
      <c r="O287">
        <f t="shared" si="69"/>
        <v>7.0240465878163863E-2</v>
      </c>
      <c r="P287">
        <f t="shared" si="70"/>
        <v>0.5</v>
      </c>
      <c r="Q287">
        <f t="shared" si="79"/>
        <v>-1.9901870492169876E-2</v>
      </c>
      <c r="R287" s="6">
        <f t="shared" si="80"/>
        <v>1.9901870492169876E-2</v>
      </c>
      <c r="S287" s="18">
        <f t="shared" si="81"/>
        <v>1</v>
      </c>
      <c r="T287" s="15"/>
      <c r="U287" s="15"/>
      <c r="V287" s="40">
        <f t="shared" si="82"/>
        <v>7.38</v>
      </c>
      <c r="W287" s="41">
        <f t="shared" si="71"/>
        <v>27.38</v>
      </c>
      <c r="X287">
        <f t="shared" si="83"/>
        <v>-5.0305246163925905E-2</v>
      </c>
      <c r="Y287">
        <f t="shared" si="84"/>
        <v>1.348838511347888</v>
      </c>
      <c r="Z287" s="33">
        <f t="shared" si="72"/>
        <v>0.10586137085821308</v>
      </c>
      <c r="AA287" s="33">
        <f t="shared" si="73"/>
        <v>0.5</v>
      </c>
      <c r="AB287">
        <f t="shared" si="74"/>
        <v>-2.6251344808760527E-2</v>
      </c>
      <c r="AC287" s="1">
        <f t="shared" si="75"/>
        <v>-0.23298619567669865</v>
      </c>
      <c r="AD287" s="35">
        <f>IF(W287&gt;=FinalAgeForPremium, AE287*Delta-Z287*(Y287-AE287),AE287*Delta+PremiumRevisedForLimitedTerm-Z287*(Y287-AE287))</f>
        <v>-1.5714245762462054E-3</v>
      </c>
      <c r="AE287" s="35">
        <f>AE286-StepSize*AD286</f>
        <v>1.8385824604051141E-2</v>
      </c>
      <c r="AF287" s="1"/>
    </row>
    <row r="288" spans="11:32" x14ac:dyDescent="0.45">
      <c r="K288" s="40">
        <f t="shared" si="76"/>
        <v>2.63</v>
      </c>
      <c r="L288" s="41">
        <f t="shared" si="68"/>
        <v>22.63</v>
      </c>
      <c r="M288">
        <f t="shared" si="77"/>
        <v>0.91152489708475648</v>
      </c>
      <c r="N288">
        <f t="shared" si="78"/>
        <v>8.8475102915243603E-2</v>
      </c>
      <c r="O288">
        <f t="shared" si="69"/>
        <v>7.0301023583356437E-2</v>
      </c>
      <c r="P288">
        <f t="shared" si="70"/>
        <v>0.5</v>
      </c>
      <c r="Q288">
        <f t="shared" si="79"/>
        <v>-1.9843581829150206E-2</v>
      </c>
      <c r="R288" s="6">
        <f t="shared" si="80"/>
        <v>1.9843581829150206E-2</v>
      </c>
      <c r="S288" s="18">
        <f t="shared" si="81"/>
        <v>1</v>
      </c>
      <c r="T288" s="15"/>
      <c r="U288" s="15"/>
      <c r="V288" s="40">
        <f t="shared" si="82"/>
        <v>7.37</v>
      </c>
      <c r="W288" s="41">
        <f t="shared" si="71"/>
        <v>27.37</v>
      </c>
      <c r="X288">
        <f t="shared" si="83"/>
        <v>-5.0042732715838298E-2</v>
      </c>
      <c r="Y288">
        <f t="shared" si="84"/>
        <v>1.3511683733046549</v>
      </c>
      <c r="Z288" s="33">
        <f t="shared" si="72"/>
        <v>0.10577018126578684</v>
      </c>
      <c r="AA288" s="33">
        <f t="shared" si="73"/>
        <v>0.5</v>
      </c>
      <c r="AB288">
        <f t="shared" si="74"/>
        <v>-2.6329295613865489E-2</v>
      </c>
      <c r="AC288" s="1">
        <f t="shared" si="75"/>
        <v>-0.23183602832452066</v>
      </c>
      <c r="AD288" s="35">
        <f>IF(W288&gt;=FinalAgeForPremium, AE288*Delta-Z288*(Y288-AE288),AE288*Delta+PremiumRevisedForLimitedTerm-Z288*(Y288-AE288))</f>
        <v>-1.6940832485802526E-3</v>
      </c>
      <c r="AE288" s="35">
        <f>AE287-StepSize*AD287</f>
        <v>1.8401538849813603E-2</v>
      </c>
      <c r="AF288" s="1"/>
    </row>
    <row r="289" spans="11:32" x14ac:dyDescent="0.45">
      <c r="K289" s="40">
        <f t="shared" si="76"/>
        <v>2.64</v>
      </c>
      <c r="L289" s="41">
        <f t="shared" si="68"/>
        <v>22.64</v>
      </c>
      <c r="M289">
        <f t="shared" si="77"/>
        <v>0.91132646126646499</v>
      </c>
      <c r="N289">
        <f t="shared" si="78"/>
        <v>8.8673538733535104E-2</v>
      </c>
      <c r="O289">
        <f t="shared" si="69"/>
        <v>7.0361633498277606E-2</v>
      </c>
      <c r="P289">
        <f t="shared" si="70"/>
        <v>0.5</v>
      </c>
      <c r="Q289">
        <f t="shared" si="79"/>
        <v>-1.9785649098145737E-2</v>
      </c>
      <c r="R289" s="6">
        <f t="shared" si="80"/>
        <v>1.9785649098145737E-2</v>
      </c>
      <c r="S289" s="18">
        <f t="shared" si="81"/>
        <v>1</v>
      </c>
      <c r="T289" s="15"/>
      <c r="U289" s="15"/>
      <c r="V289" s="40">
        <f t="shared" si="82"/>
        <v>7.36</v>
      </c>
      <c r="W289" s="41">
        <f t="shared" si="71"/>
        <v>27.36</v>
      </c>
      <c r="X289">
        <f t="shared" si="83"/>
        <v>-4.9779439759699645E-2</v>
      </c>
      <c r="Y289">
        <f t="shared" si="84"/>
        <v>1.3534867335879002</v>
      </c>
      <c r="Z289" s="33">
        <f t="shared" si="72"/>
        <v>0.10567907022459888</v>
      </c>
      <c r="AA289" s="33">
        <f t="shared" si="73"/>
        <v>0.5</v>
      </c>
      <c r="AB289">
        <f t="shared" si="74"/>
        <v>-2.6405642767642443E-2</v>
      </c>
      <c r="AC289" s="1">
        <f t="shared" si="75"/>
        <v>-0.23069257664680509</v>
      </c>
      <c r="AD289" s="35">
        <f>IF(W289&gt;=FinalAgeForPremium, AE289*Delta-Z289*(Y289-AE289),AE289*Delta+PremiumRevisedForLimitedTerm-Z289*(Y289-AE289))</f>
        <v>-1.8150183007610565E-3</v>
      </c>
      <c r="AE289" s="35">
        <f>AE288-StepSize*AD288</f>
        <v>1.8418479682299406E-2</v>
      </c>
      <c r="AF289" s="1"/>
    </row>
    <row r="290" spans="11:32" x14ac:dyDescent="0.45">
      <c r="K290" s="40">
        <f t="shared" si="76"/>
        <v>2.65</v>
      </c>
      <c r="L290" s="41">
        <f t="shared" si="68"/>
        <v>22.65</v>
      </c>
      <c r="M290">
        <f t="shared" si="77"/>
        <v>0.91112860477548352</v>
      </c>
      <c r="N290">
        <f t="shared" si="78"/>
        <v>8.8871395224516564E-2</v>
      </c>
      <c r="O290">
        <f t="shared" si="69"/>
        <v>7.0422295667939866E-2</v>
      </c>
      <c r="P290">
        <f t="shared" si="70"/>
        <v>0.5</v>
      </c>
      <c r="Q290">
        <f t="shared" si="79"/>
        <v>-1.9728070384758351E-2</v>
      </c>
      <c r="R290" s="6">
        <f t="shared" si="80"/>
        <v>1.9728070384758351E-2</v>
      </c>
      <c r="S290" s="18">
        <f t="shared" si="81"/>
        <v>1</v>
      </c>
      <c r="T290" s="15"/>
      <c r="U290" s="15"/>
      <c r="V290" s="40">
        <f t="shared" si="82"/>
        <v>7.35</v>
      </c>
      <c r="W290" s="41">
        <f t="shared" si="71"/>
        <v>27.35</v>
      </c>
      <c r="X290">
        <f t="shared" si="83"/>
        <v>-4.9515383332023218E-2</v>
      </c>
      <c r="Y290">
        <f t="shared" si="84"/>
        <v>1.3557936593543682</v>
      </c>
      <c r="Z290" s="33">
        <f t="shared" si="72"/>
        <v>0.10558803766698471</v>
      </c>
      <c r="AA290" s="33">
        <f t="shared" si="73"/>
        <v>0.5</v>
      </c>
      <c r="AB290">
        <f t="shared" si="74"/>
        <v>-2.648039960217842E-2</v>
      </c>
      <c r="AC290" s="1">
        <f t="shared" si="75"/>
        <v>-0.22955579568908591</v>
      </c>
      <c r="AD290" s="35">
        <f>IF(W290&gt;=FinalAgeForPremium, AE290*Delta-Z290*(Y290-AE290),AE290*Delta+PremiumRevisedForLimitedTerm-Z290*(Y290-AE290))</f>
        <v>-1.9342434363859018E-3</v>
      </c>
      <c r="AE290" s="35">
        <f>AE289-StepSize*AD289</f>
        <v>1.8436629865307017E-2</v>
      </c>
      <c r="AF290" s="1"/>
    </row>
    <row r="291" spans="11:32" x14ac:dyDescent="0.45">
      <c r="K291" s="40">
        <f t="shared" si="76"/>
        <v>2.66</v>
      </c>
      <c r="L291" s="41">
        <f t="shared" si="68"/>
        <v>22.66</v>
      </c>
      <c r="M291">
        <f t="shared" si="77"/>
        <v>0.91093132407163591</v>
      </c>
      <c r="N291">
        <f t="shared" si="78"/>
        <v>8.9068675928364149E-2</v>
      </c>
      <c r="O291">
        <f t="shared" si="69"/>
        <v>7.0483010137394567E-2</v>
      </c>
      <c r="P291">
        <f t="shared" si="70"/>
        <v>0.5</v>
      </c>
      <c r="Q291">
        <f t="shared" si="79"/>
        <v>-1.9670843784829292E-2</v>
      </c>
      <c r="R291" s="6">
        <f t="shared" si="80"/>
        <v>1.9670843784829292E-2</v>
      </c>
      <c r="S291" s="18">
        <f t="shared" si="81"/>
        <v>1</v>
      </c>
      <c r="T291" s="15"/>
      <c r="U291" s="15"/>
      <c r="V291" s="40">
        <f t="shared" si="82"/>
        <v>7.34</v>
      </c>
      <c r="W291" s="41">
        <f t="shared" si="71"/>
        <v>27.34</v>
      </c>
      <c r="X291">
        <f t="shared" si="83"/>
        <v>-4.9250579336001431E-2</v>
      </c>
      <c r="Y291">
        <f t="shared" si="84"/>
        <v>1.3580892173112591</v>
      </c>
      <c r="Z291" s="33">
        <f t="shared" si="72"/>
        <v>0.10549708352533807</v>
      </c>
      <c r="AA291" s="33">
        <f t="shared" si="73"/>
        <v>0.5</v>
      </c>
      <c r="AB291">
        <f t="shared" si="74"/>
        <v>-2.6553579344880743E-2</v>
      </c>
      <c r="AC291" s="1">
        <f t="shared" si="75"/>
        <v>-0.22842564081080674</v>
      </c>
      <c r="AD291" s="35">
        <f>IF(W291&gt;=FinalAgeForPremium, AE291*Delta-Z291*(Y291-AE291),AE291*Delta+PremiumRevisedForLimitedTerm-Z291*(Y291-AE291))</f>
        <v>-2.0517722530771221E-3</v>
      </c>
      <c r="AE291" s="35">
        <f>AE290-StepSize*AD290</f>
        <v>1.8455972299670876E-2</v>
      </c>
      <c r="AF291" s="1"/>
    </row>
    <row r="292" spans="11:32" x14ac:dyDescent="0.45">
      <c r="K292" s="40">
        <f t="shared" si="76"/>
        <v>2.67</v>
      </c>
      <c r="L292" s="41">
        <f t="shared" si="68"/>
        <v>22.67</v>
      </c>
      <c r="M292">
        <f t="shared" si="77"/>
        <v>0.91073461563378766</v>
      </c>
      <c r="N292">
        <f t="shared" si="78"/>
        <v>8.9265384366212439E-2</v>
      </c>
      <c r="O292">
        <f t="shared" si="69"/>
        <v>7.0543776951731918E-2</v>
      </c>
      <c r="P292">
        <f t="shared" si="70"/>
        <v>0.5</v>
      </c>
      <c r="Q292">
        <f t="shared" si="79"/>
        <v>-1.9613967404385001E-2</v>
      </c>
      <c r="R292" s="6">
        <f t="shared" si="80"/>
        <v>1.9613967404385001E-2</v>
      </c>
      <c r="S292" s="18">
        <f t="shared" si="81"/>
        <v>1</v>
      </c>
      <c r="T292" s="15"/>
      <c r="U292" s="15"/>
      <c r="V292" s="40">
        <f t="shared" si="82"/>
        <v>7.33</v>
      </c>
      <c r="W292" s="41">
        <f t="shared" si="71"/>
        <v>27.33</v>
      </c>
      <c r="X292">
        <f t="shared" si="83"/>
        <v>-4.898504354255262E-2</v>
      </c>
      <c r="Y292">
        <f t="shared" si="84"/>
        <v>1.3603734737193671</v>
      </c>
      <c r="Z292" s="33">
        <f t="shared" si="72"/>
        <v>0.10540620773211114</v>
      </c>
      <c r="AA292" s="33">
        <f t="shared" si="73"/>
        <v>0.5</v>
      </c>
      <c r="AB292">
        <f t="shared" si="74"/>
        <v>-2.6625195119310011E-2</v>
      </c>
      <c r="AC292" s="1">
        <f t="shared" si="75"/>
        <v>-0.22730206768307182</v>
      </c>
      <c r="AD292" s="35">
        <f>IF(W292&gt;=FinalAgeForPremium, AE292*Delta-Z292*(Y292-AE292),AE292*Delta+PremiumRevisedForLimitedTerm-Z292*(Y292-AE292))</f>
        <v>-2.1676182433201518E-3</v>
      </c>
      <c r="AE292" s="35">
        <f>AE291-StepSize*AD291</f>
        <v>1.8476490022201648E-2</v>
      </c>
      <c r="AF292" s="1"/>
    </row>
    <row r="293" spans="11:32" x14ac:dyDescent="0.45">
      <c r="K293" s="40">
        <f t="shared" si="76"/>
        <v>2.68</v>
      </c>
      <c r="L293" s="41">
        <f t="shared" si="68"/>
        <v>22.68</v>
      </c>
      <c r="M293">
        <f t="shared" si="77"/>
        <v>0.9105384759597438</v>
      </c>
      <c r="N293">
        <f t="shared" si="78"/>
        <v>8.9461524040256285E-2</v>
      </c>
      <c r="O293">
        <f t="shared" si="69"/>
        <v>7.0604596156080918E-2</v>
      </c>
      <c r="P293">
        <f t="shared" si="70"/>
        <v>0.5</v>
      </c>
      <c r="Q293">
        <f t="shared" si="79"/>
        <v>-1.9557439359582957E-2</v>
      </c>
      <c r="R293" s="6">
        <f t="shared" si="80"/>
        <v>1.9557439359582957E-2</v>
      </c>
      <c r="S293" s="18">
        <f t="shared" si="81"/>
        <v>1</v>
      </c>
      <c r="T293" s="15"/>
      <c r="U293" s="15"/>
      <c r="V293" s="40">
        <f t="shared" si="82"/>
        <v>7.32</v>
      </c>
      <c r="W293" s="41">
        <f t="shared" si="71"/>
        <v>27.32</v>
      </c>
      <c r="X293">
        <f t="shared" si="83"/>
        <v>-4.8718791591359521E-2</v>
      </c>
      <c r="Y293">
        <f t="shared" si="84"/>
        <v>1.3626464943961978</v>
      </c>
      <c r="Z293" s="33">
        <f t="shared" si="72"/>
        <v>0.10531541021981403</v>
      </c>
      <c r="AA293" s="33">
        <f t="shared" si="73"/>
        <v>0.5</v>
      </c>
      <c r="AB293">
        <f t="shared" si="74"/>
        <v>-2.6695259946005065E-2</v>
      </c>
      <c r="AC293" s="1">
        <f t="shared" si="75"/>
        <v>-0.2261850322864114</v>
      </c>
      <c r="AD293" s="35">
        <f>IF(W293&gt;=FinalAgeForPremium, AE293*Delta-Z293*(Y293-AE293),AE293*Delta+PremiumRevisedForLimitedTerm-Z293*(Y293-AE293))</f>
        <v>-2.2817947952933904E-3</v>
      </c>
      <c r="AE293" s="35">
        <f>AE292-StepSize*AD292</f>
        <v>1.8498166204634851E-2</v>
      </c>
      <c r="AF293" s="1"/>
    </row>
    <row r="294" spans="11:32" x14ac:dyDescent="0.45">
      <c r="K294" s="40">
        <f t="shared" si="76"/>
        <v>2.69</v>
      </c>
      <c r="L294" s="41">
        <f t="shared" si="68"/>
        <v>22.69</v>
      </c>
      <c r="M294">
        <f t="shared" si="77"/>
        <v>0.91034290156614794</v>
      </c>
      <c r="N294">
        <f t="shared" si="78"/>
        <v>8.9657098433852112E-2</v>
      </c>
      <c r="O294">
        <f t="shared" si="69"/>
        <v>7.0665467795609616E-2</v>
      </c>
      <c r="P294">
        <f t="shared" si="70"/>
        <v>0.5</v>
      </c>
      <c r="Q294">
        <f t="shared" si="79"/>
        <v>-1.9501257776658384E-2</v>
      </c>
      <c r="R294" s="6">
        <f t="shared" si="80"/>
        <v>1.9501257776658384E-2</v>
      </c>
      <c r="S294" s="18">
        <f t="shared" si="81"/>
        <v>1</v>
      </c>
      <c r="T294" s="15"/>
      <c r="U294" s="15"/>
      <c r="V294" s="40">
        <f t="shared" si="82"/>
        <v>7.31</v>
      </c>
      <c r="W294" s="41">
        <f t="shared" si="71"/>
        <v>27.31</v>
      </c>
      <c r="X294">
        <f t="shared" si="83"/>
        <v>-4.8451838991899469E-2</v>
      </c>
      <c r="Y294">
        <f t="shared" si="84"/>
        <v>1.364908344719062</v>
      </c>
      <c r="Z294" s="33">
        <f t="shared" si="72"/>
        <v>0.10522469092101508</v>
      </c>
      <c r="AA294" s="33">
        <f t="shared" si="73"/>
        <v>0.5</v>
      </c>
      <c r="AB294">
        <f t="shared" si="74"/>
        <v>-2.676378674330232E-2</v>
      </c>
      <c r="AC294" s="1">
        <f t="shared" si="75"/>
        <v>-0.22507449090856613</v>
      </c>
      <c r="AD294" s="35">
        <f>IF(W294&gt;=FinalAgeForPremium, AE294*Delta-Z294*(Y294-AE294),AE294*Delta+PremiumRevisedForLimitedTerm-Z294*(Y294-AE294))</f>
        <v>-2.3943151936925977E-3</v>
      </c>
      <c r="AE294" s="35">
        <f>AE293-StepSize*AD293</f>
        <v>1.8520984152587783E-2</v>
      </c>
      <c r="AF294" s="1"/>
    </row>
    <row r="295" spans="11:32" x14ac:dyDescent="0.45">
      <c r="K295" s="40">
        <f t="shared" si="76"/>
        <v>2.7</v>
      </c>
      <c r="L295" s="41">
        <f t="shared" si="68"/>
        <v>22.7</v>
      </c>
      <c r="M295">
        <f t="shared" si="77"/>
        <v>0.91014788898838139</v>
      </c>
      <c r="N295">
        <f t="shared" si="78"/>
        <v>8.9852111011618691E-2</v>
      </c>
      <c r="O295">
        <f t="shared" si="69"/>
        <v>7.0726391915524822E-2</v>
      </c>
      <c r="P295">
        <f t="shared" si="70"/>
        <v>0.5</v>
      </c>
      <c r="Q295">
        <f t="shared" si="79"/>
        <v>-1.9445420791870491E-2</v>
      </c>
      <c r="R295" s="6">
        <f t="shared" si="80"/>
        <v>1.9445420791870491E-2</v>
      </c>
      <c r="S295" s="18">
        <f t="shared" si="81"/>
        <v>1</v>
      </c>
      <c r="T295" s="15"/>
      <c r="U295" s="15"/>
      <c r="V295" s="40">
        <f t="shared" si="82"/>
        <v>7.3</v>
      </c>
      <c r="W295" s="41">
        <f t="shared" si="71"/>
        <v>27.3</v>
      </c>
      <c r="X295">
        <f t="shared" si="83"/>
        <v>-4.8184201124466447E-2</v>
      </c>
      <c r="Y295">
        <f t="shared" si="84"/>
        <v>1.3671590896281476</v>
      </c>
      <c r="Z295" s="33">
        <f t="shared" si="72"/>
        <v>0.10513404976834084</v>
      </c>
      <c r="AA295" s="33">
        <f t="shared" si="73"/>
        <v>0.5</v>
      </c>
      <c r="AB295">
        <f t="shared" si="74"/>
        <v>-2.6830788328148295E-2</v>
      </c>
      <c r="AC295" s="1">
        <f t="shared" si="75"/>
        <v>-0.22397040014228564</v>
      </c>
      <c r="AD295" s="35">
        <f>IF(W295&gt;=FinalAgeForPremium, AE295*Delta-Z295*(Y295-AE295),AE295*Delta+PremiumRevisedForLimitedTerm-Z295*(Y295-AE295))</f>
        <v>-2.5051926205482966E-3</v>
      </c>
      <c r="AE295" s="35">
        <f>AE294-StepSize*AD294</f>
        <v>1.854492730452471E-2</v>
      </c>
      <c r="AF295" s="1"/>
    </row>
    <row r="296" spans="11:32" x14ac:dyDescent="0.45">
      <c r="K296" s="40">
        <f t="shared" si="76"/>
        <v>2.71</v>
      </c>
      <c r="L296" s="41">
        <f t="shared" si="68"/>
        <v>22.71</v>
      </c>
      <c r="M296">
        <f t="shared" si="77"/>
        <v>0.90995343478046264</v>
      </c>
      <c r="N296">
        <f t="shared" si="78"/>
        <v>9.0046565219537397E-2</v>
      </c>
      <c r="O296">
        <f t="shared" si="69"/>
        <v>7.0787368561072497E-2</v>
      </c>
      <c r="P296">
        <f t="shared" si="70"/>
        <v>0.5</v>
      </c>
      <c r="Q296">
        <f t="shared" si="79"/>
        <v>-1.9389926551449756E-2</v>
      </c>
      <c r="R296" s="6">
        <f t="shared" si="80"/>
        <v>1.9389926551449756E-2</v>
      </c>
      <c r="S296" s="18">
        <f t="shared" si="81"/>
        <v>1</v>
      </c>
      <c r="T296" s="15"/>
      <c r="U296" s="15"/>
      <c r="V296" s="40">
        <f t="shared" si="82"/>
        <v>7.29</v>
      </c>
      <c r="W296" s="41">
        <f t="shared" si="71"/>
        <v>27.29</v>
      </c>
      <c r="X296">
        <f t="shared" si="83"/>
        <v>-4.7915893241184962E-2</v>
      </c>
      <c r="Y296">
        <f t="shared" si="84"/>
        <v>1.3693987936295704</v>
      </c>
      <c r="Z296" s="33">
        <f t="shared" si="72"/>
        <v>0.10504348669447572</v>
      </c>
      <c r="AA296" s="33">
        <f t="shared" si="73"/>
        <v>0.5</v>
      </c>
      <c r="AB296">
        <f t="shared" si="74"/>
        <v>-2.6896277416904799E-2</v>
      </c>
      <c r="AC296" s="1">
        <f t="shared" si="75"/>
        <v>-0.22287271688314381</v>
      </c>
      <c r="AD296" s="35">
        <f>IF(W296&gt;=FinalAgeForPremium, AE296*Delta-Z296*(Y296-AE296),AE296*Delta+PremiumRevisedForLimitedTerm-Z296*(Y296-AE296))</f>
        <v>-2.6144401560359298E-3</v>
      </c>
      <c r="AE296" s="35">
        <f>AE295-StepSize*AD295</f>
        <v>1.8569979230730192E-2</v>
      </c>
      <c r="AF296" s="1"/>
    </row>
    <row r="297" spans="11:32" x14ac:dyDescent="0.45">
      <c r="K297" s="40">
        <f t="shared" si="76"/>
        <v>2.72</v>
      </c>
      <c r="L297" s="41">
        <f t="shared" si="68"/>
        <v>22.72</v>
      </c>
      <c r="M297">
        <f t="shared" si="77"/>
        <v>0.90975953551494815</v>
      </c>
      <c r="N297">
        <f t="shared" si="78"/>
        <v>9.0240464485051894E-2</v>
      </c>
      <c r="O297">
        <f t="shared" si="69"/>
        <v>7.0848397777537472E-2</v>
      </c>
      <c r="P297">
        <f t="shared" si="70"/>
        <v>0.5</v>
      </c>
      <c r="Q297">
        <f t="shared" si="79"/>
        <v>-1.933477321154483E-2</v>
      </c>
      <c r="R297" s="6">
        <f t="shared" si="80"/>
        <v>1.933477321154483E-2</v>
      </c>
      <c r="S297" s="18">
        <f t="shared" si="81"/>
        <v>1</v>
      </c>
      <c r="T297" s="15"/>
      <c r="U297" s="15"/>
      <c r="V297" s="40">
        <f t="shared" si="82"/>
        <v>7.28</v>
      </c>
      <c r="W297" s="41">
        <f t="shared" si="71"/>
        <v>27.28</v>
      </c>
      <c r="X297">
        <f t="shared" si="83"/>
        <v>-4.7646930467015916E-2</v>
      </c>
      <c r="Y297">
        <f t="shared" si="84"/>
        <v>1.3716275207984019</v>
      </c>
      <c r="Z297" s="33">
        <f t="shared" si="72"/>
        <v>0.10495300163216217</v>
      </c>
      <c r="AA297" s="33">
        <f t="shared" si="73"/>
        <v>0.5</v>
      </c>
      <c r="AB297">
        <f t="shared" si="74"/>
        <v>-2.6960266626148616E-2</v>
      </c>
      <c r="AC297" s="1">
        <f t="shared" si="75"/>
        <v>-0.22178139832737098</v>
      </c>
      <c r="AD297" s="35">
        <f>IF(W297&gt;=FinalAgeForPremium, AE297*Delta-Z297*(Y297-AE297),AE297*Delta+PremiumRevisedForLimitedTerm-Z297*(Y297-AE297))</f>
        <v>-2.7220707792804943E-3</v>
      </c>
      <c r="AE297" s="35">
        <f>AE296-StepSize*AD296</f>
        <v>1.8596123632290552E-2</v>
      </c>
      <c r="AF297" s="1"/>
    </row>
    <row r="298" spans="11:32" x14ac:dyDescent="0.45">
      <c r="K298" s="40">
        <f t="shared" si="76"/>
        <v>2.73</v>
      </c>
      <c r="L298" s="41">
        <f t="shared" si="68"/>
        <v>22.73</v>
      </c>
      <c r="M298">
        <f t="shared" si="77"/>
        <v>0.90956618778283271</v>
      </c>
      <c r="N298">
        <f t="shared" si="78"/>
        <v>9.0433812217167342E-2</v>
      </c>
      <c r="O298">
        <f t="shared" si="69"/>
        <v>7.0909479610243742E-2</v>
      </c>
      <c r="P298">
        <f t="shared" si="70"/>
        <v>0.5</v>
      </c>
      <c r="Q298">
        <f t="shared" si="79"/>
        <v>-1.9279958938170236E-2</v>
      </c>
      <c r="R298" s="6">
        <f t="shared" si="80"/>
        <v>1.9279958938170236E-2</v>
      </c>
      <c r="S298" s="18">
        <f t="shared" si="81"/>
        <v>1</v>
      </c>
      <c r="T298" s="15"/>
      <c r="U298" s="15"/>
      <c r="V298" s="40">
        <f t="shared" si="82"/>
        <v>7.27</v>
      </c>
      <c r="W298" s="41">
        <f t="shared" si="71"/>
        <v>27.27</v>
      </c>
      <c r="X298">
        <f t="shared" si="83"/>
        <v>-4.7377327800754432E-2</v>
      </c>
      <c r="Y298">
        <f t="shared" si="84"/>
        <v>1.3738453347816757</v>
      </c>
      <c r="Z298" s="33">
        <f t="shared" si="72"/>
        <v>0.10486259451420062</v>
      </c>
      <c r="AA298" s="33">
        <f t="shared" si="73"/>
        <v>0.5</v>
      </c>
      <c r="AB298">
        <f t="shared" si="74"/>
        <v>-2.7022768473463979E-2</v>
      </c>
      <c r="AC298" s="1">
        <f t="shared" si="75"/>
        <v>-0.22069640196970119</v>
      </c>
      <c r="AD298" s="35">
        <f>IF(W298&gt;=FinalAgeForPremium, AE298*Delta-Z298*(Y298-AE298),AE298*Delta+PremiumRevisedForLimitedTerm-Z298*(Y298-AE298))</f>
        <v>-2.828097369153848E-3</v>
      </c>
      <c r="AE298" s="35">
        <f>AE297-StepSize*AD297</f>
        <v>1.8623344340083357E-2</v>
      </c>
      <c r="AF298" s="1"/>
    </row>
    <row r="299" spans="11:32" x14ac:dyDescent="0.45">
      <c r="K299" s="40">
        <f t="shared" si="76"/>
        <v>2.74</v>
      </c>
      <c r="L299" s="41">
        <f t="shared" si="68"/>
        <v>22.740000000000002</v>
      </c>
      <c r="M299">
        <f t="shared" si="77"/>
        <v>0.90937338819345104</v>
      </c>
      <c r="N299">
        <f t="shared" si="78"/>
        <v>9.0626611806549046E-2</v>
      </c>
      <c r="O299">
        <f t="shared" si="69"/>
        <v>7.0970614104554269E-2</v>
      </c>
      <c r="P299">
        <f t="shared" si="70"/>
        <v>0.5</v>
      </c>
      <c r="Q299">
        <f t="shared" si="79"/>
        <v>-1.9225481907153924E-2</v>
      </c>
      <c r="R299" s="6">
        <f t="shared" si="80"/>
        <v>1.9225481907153924E-2</v>
      </c>
      <c r="S299" s="18">
        <f t="shared" si="81"/>
        <v>1</v>
      </c>
      <c r="T299" s="15"/>
      <c r="U299" s="15"/>
      <c r="V299" s="40">
        <f t="shared" si="82"/>
        <v>7.26</v>
      </c>
      <c r="W299" s="41">
        <f t="shared" si="71"/>
        <v>27.259999999999998</v>
      </c>
      <c r="X299">
        <f t="shared" si="83"/>
        <v>-4.710710011601979E-2</v>
      </c>
      <c r="Y299">
        <f t="shared" si="84"/>
        <v>1.3760522988013728</v>
      </c>
      <c r="Z299" s="33">
        <f t="shared" si="72"/>
        <v>0.10477226527344936</v>
      </c>
      <c r="AA299" s="33">
        <f t="shared" si="73"/>
        <v>0.5</v>
      </c>
      <c r="AB299">
        <f t="shared" si="74"/>
        <v>-2.7083795378229109E-2</v>
      </c>
      <c r="AC299" s="1">
        <f t="shared" si="75"/>
        <v>-0.21961768560123507</v>
      </c>
      <c r="AD299" s="35">
        <f>IF(W299&gt;=FinalAgeForPremium, AE299*Delta-Z299*(Y299-AE299),AE299*Delta+PremiumRevisedForLimitedTerm-Z299*(Y299-AE299))</f>
        <v>-2.9325327050661598E-3</v>
      </c>
      <c r="AE299" s="35">
        <f>AE298-StepSize*AD298</f>
        <v>1.8651625313774896E-2</v>
      </c>
      <c r="AF299" s="1"/>
    </row>
    <row r="300" spans="11:32" x14ac:dyDescent="0.45">
      <c r="K300" s="40">
        <f t="shared" si="76"/>
        <v>2.75</v>
      </c>
      <c r="L300" s="41">
        <f t="shared" si="68"/>
        <v>22.75</v>
      </c>
      <c r="M300">
        <f t="shared" si="77"/>
        <v>0.90918113337437945</v>
      </c>
      <c r="N300">
        <f t="shared" si="78"/>
        <v>9.0818866625620581E-2</v>
      </c>
      <c r="O300">
        <f t="shared" si="69"/>
        <v>7.1031801305871167E-2</v>
      </c>
      <c r="P300">
        <f t="shared" si="70"/>
        <v>0.5</v>
      </c>
      <c r="Q300">
        <f t="shared" si="79"/>
        <v>-1.9171340304085377E-2</v>
      </c>
      <c r="R300" s="6">
        <f t="shared" si="80"/>
        <v>1.9171340304085377E-2</v>
      </c>
      <c r="S300" s="18">
        <f t="shared" si="81"/>
        <v>1</v>
      </c>
      <c r="T300" s="15"/>
      <c r="U300" s="15"/>
      <c r="V300" s="40">
        <f t="shared" si="82"/>
        <v>7.25</v>
      </c>
      <c r="W300" s="41">
        <f t="shared" si="71"/>
        <v>27.25</v>
      </c>
      <c r="X300">
        <f t="shared" si="83"/>
        <v>-4.6836262162237498E-2</v>
      </c>
      <c r="Y300">
        <f t="shared" si="84"/>
        <v>1.3782484756573852</v>
      </c>
      <c r="Z300" s="33">
        <f t="shared" si="72"/>
        <v>0.10468201384282452</v>
      </c>
      <c r="AA300" s="33">
        <f t="shared" si="73"/>
        <v>0.5</v>
      </c>
      <c r="AB300">
        <f t="shared" si="74"/>
        <v>-2.7143359662395908E-2</v>
      </c>
      <c r="AC300" s="1">
        <f t="shared" si="75"/>
        <v>-0.21854520730731941</v>
      </c>
      <c r="AD300" s="35">
        <f>IF(W300&gt;=FinalAgeForPremium, AE300*Delta-Z300*(Y300-AE300),AE300*Delta+PremiumRevisedForLimitedTerm-Z300*(Y300-AE300))</f>
        <v>-3.0353894677503657E-3</v>
      </c>
      <c r="AE300" s="35">
        <f>AE299-StepSize*AD299</f>
        <v>1.8680950640825558E-2</v>
      </c>
      <c r="AF300" s="1"/>
    </row>
    <row r="301" spans="11:32" x14ac:dyDescent="0.45">
      <c r="K301" s="40">
        <f t="shared" si="76"/>
        <v>2.76</v>
      </c>
      <c r="L301" s="41">
        <f t="shared" si="68"/>
        <v>22.759999999999998</v>
      </c>
      <c r="M301">
        <f t="shared" si="77"/>
        <v>0.90898941997133864</v>
      </c>
      <c r="N301">
        <f t="shared" si="78"/>
        <v>9.1010580028661442E-2</v>
      </c>
      <c r="O301">
        <f t="shared" si="69"/>
        <v>7.1093041259635698E-2</v>
      </c>
      <c r="P301">
        <f t="shared" si="70"/>
        <v>0.5</v>
      </c>
      <c r="Q301">
        <f t="shared" si="79"/>
        <v>-1.9117532324263983E-2</v>
      </c>
      <c r="R301" s="6">
        <f t="shared" si="80"/>
        <v>1.9117532324263983E-2</v>
      </c>
      <c r="S301" s="18">
        <f t="shared" si="81"/>
        <v>1</v>
      </c>
      <c r="T301" s="15"/>
      <c r="U301" s="15"/>
      <c r="V301" s="40">
        <f t="shared" si="82"/>
        <v>7.24</v>
      </c>
      <c r="W301" s="41">
        <f t="shared" si="71"/>
        <v>27.240000000000002</v>
      </c>
      <c r="X301">
        <f t="shared" si="83"/>
        <v>-4.6564828565613538E-2</v>
      </c>
      <c r="Y301">
        <f t="shared" si="84"/>
        <v>1.3804339277304585</v>
      </c>
      <c r="Z301" s="33">
        <f t="shared" si="72"/>
        <v>0.10459184015530001</v>
      </c>
      <c r="AA301" s="33">
        <f t="shared" si="73"/>
        <v>0.5</v>
      </c>
      <c r="AB301">
        <f t="shared" si="74"/>
        <v>-2.7201473551263705E-2</v>
      </c>
      <c r="AC301" s="1">
        <f t="shared" si="75"/>
        <v>-0.21747892546544112</v>
      </c>
      <c r="AD301" s="35">
        <f>IF(W301&gt;=FinalAgeForPremium, AE301*Delta-Z301*(Y301-AE301),AE301*Delta+PremiumRevisedForLimitedTerm-Z301*(Y301-AE301))</f>
        <v>-3.1366802400409344E-3</v>
      </c>
      <c r="AE301" s="35">
        <f>AE300-StepSize*AD300</f>
        <v>1.871130453550306E-2</v>
      </c>
      <c r="AF301" s="1"/>
    </row>
    <row r="302" spans="11:32" x14ac:dyDescent="0.45">
      <c r="K302" s="40">
        <f t="shared" si="76"/>
        <v>2.77</v>
      </c>
      <c r="L302" s="41">
        <f t="shared" si="68"/>
        <v>22.77</v>
      </c>
      <c r="M302">
        <f t="shared" si="77"/>
        <v>0.908798244648096</v>
      </c>
      <c r="N302">
        <f t="shared" si="78"/>
        <v>9.1201755351904085E-2</v>
      </c>
      <c r="O302">
        <f t="shared" si="69"/>
        <v>7.1154334011328355E-2</v>
      </c>
      <c r="P302">
        <f t="shared" si="70"/>
        <v>0.5</v>
      </c>
      <c r="Q302">
        <f t="shared" si="79"/>
        <v>-1.9064056172647476E-2</v>
      </c>
      <c r="R302" s="6">
        <f t="shared" si="80"/>
        <v>1.9064056172647476E-2</v>
      </c>
      <c r="S302" s="18">
        <f t="shared" si="81"/>
        <v>1</v>
      </c>
      <c r="T302" s="15"/>
      <c r="U302" s="15"/>
      <c r="V302" s="40">
        <f t="shared" si="82"/>
        <v>7.23</v>
      </c>
      <c r="W302" s="41">
        <f t="shared" si="71"/>
        <v>27.23</v>
      </c>
      <c r="X302">
        <f t="shared" si="83"/>
        <v>-4.62928138301009E-2</v>
      </c>
      <c r="Y302">
        <f t="shared" si="84"/>
        <v>1.3826087169851129</v>
      </c>
      <c r="Z302" s="33">
        <f t="shared" si="72"/>
        <v>0.10450174414390741</v>
      </c>
      <c r="AA302" s="33">
        <f t="shared" si="73"/>
        <v>0.5</v>
      </c>
      <c r="AB302">
        <f t="shared" si="74"/>
        <v>-2.725814917424646E-2</v>
      </c>
      <c r="AC302" s="1">
        <f t="shared" si="75"/>
        <v>-0.21641879874313752</v>
      </c>
      <c r="AD302" s="35">
        <f>IF(W302&gt;=FinalAgeForPremium, AE302*Delta-Z302*(Y302-AE302),AE302*Delta+PremiumRevisedForLimitedTerm-Z302*(Y302-AE302))</f>
        <v>-3.2364175076456947E-3</v>
      </c>
      <c r="AE302" s="35">
        <f>AE301-StepSize*AD301</f>
        <v>1.8742671337903468E-2</v>
      </c>
      <c r="AF302" s="1"/>
    </row>
    <row r="303" spans="11:32" x14ac:dyDescent="0.45">
      <c r="K303" s="40">
        <f t="shared" si="76"/>
        <v>2.78</v>
      </c>
      <c r="L303" s="41">
        <f t="shared" si="68"/>
        <v>22.78</v>
      </c>
      <c r="M303">
        <f t="shared" si="77"/>
        <v>0.90860760408636954</v>
      </c>
      <c r="N303">
        <f t="shared" si="78"/>
        <v>9.1392395913630561E-2</v>
      </c>
      <c r="O303">
        <f t="shared" si="69"/>
        <v>7.1215679606468726E-2</v>
      </c>
      <c r="P303">
        <f t="shared" si="70"/>
        <v>0.5</v>
      </c>
      <c r="Q303">
        <f t="shared" si="79"/>
        <v>-1.9010910063800797E-2</v>
      </c>
      <c r="R303" s="6">
        <f t="shared" si="80"/>
        <v>1.9010910063800797E-2</v>
      </c>
      <c r="S303" s="18">
        <f t="shared" si="81"/>
        <v>1</v>
      </c>
      <c r="T303" s="15"/>
      <c r="U303" s="15"/>
      <c r="V303" s="40">
        <f t="shared" si="82"/>
        <v>7.22</v>
      </c>
      <c r="W303" s="41">
        <f t="shared" si="71"/>
        <v>27.22</v>
      </c>
      <c r="X303">
        <f t="shared" si="83"/>
        <v>-4.6020232338358433E-2</v>
      </c>
      <c r="Y303">
        <f t="shared" si="84"/>
        <v>1.3847729049725443</v>
      </c>
      <c r="Z303" s="33">
        <f t="shared" si="72"/>
        <v>0.10441172574173617</v>
      </c>
      <c r="AA303" s="33">
        <f t="shared" si="73"/>
        <v>0.5</v>
      </c>
      <c r="AB303">
        <f t="shared" si="74"/>
        <v>-2.7313398565634514E-2</v>
      </c>
      <c r="AC303" s="1">
        <f t="shared" si="75"/>
        <v>-0.21536478609592136</v>
      </c>
      <c r="AD303" s="35">
        <f>IF(W303&gt;=FinalAgeForPremium, AE303*Delta-Z303*(Y303-AE303),AE303*Delta+PremiumRevisedForLimitedTerm-Z303*(Y303-AE303))</f>
        <v>-3.3346136599124165E-3</v>
      </c>
      <c r="AE303" s="35">
        <f>AE302-StepSize*AD302</f>
        <v>1.8775035512979925E-2</v>
      </c>
      <c r="AF303" s="1"/>
    </row>
    <row r="304" spans="11:32" x14ac:dyDescent="0.45">
      <c r="K304" s="40">
        <f t="shared" si="76"/>
        <v>2.79</v>
      </c>
      <c r="L304" s="41">
        <f t="shared" si="68"/>
        <v>22.79</v>
      </c>
      <c r="M304">
        <f t="shared" si="77"/>
        <v>0.90841749498573154</v>
      </c>
      <c r="N304">
        <f t="shared" si="78"/>
        <v>9.1582505014268567E-2</v>
      </c>
      <c r="O304">
        <f t="shared" si="69"/>
        <v>7.1277078090615717E-2</v>
      </c>
      <c r="P304">
        <f t="shared" si="70"/>
        <v>0.5</v>
      </c>
      <c r="Q304">
        <f t="shared" si="79"/>
        <v>-1.8958092221845219E-2</v>
      </c>
      <c r="R304" s="6">
        <f t="shared" si="80"/>
        <v>1.8958092221845219E-2</v>
      </c>
      <c r="S304" s="18">
        <f t="shared" si="81"/>
        <v>1</v>
      </c>
      <c r="T304" s="15"/>
      <c r="U304" s="15"/>
      <c r="V304" s="40">
        <f t="shared" si="82"/>
        <v>7.21</v>
      </c>
      <c r="W304" s="41">
        <f t="shared" si="71"/>
        <v>27.21</v>
      </c>
      <c r="X304">
        <f t="shared" si="83"/>
        <v>-4.574709835270209E-2</v>
      </c>
      <c r="Y304">
        <f t="shared" si="84"/>
        <v>1.3869265528335035</v>
      </c>
      <c r="Z304" s="33">
        <f t="shared" si="72"/>
        <v>0.10432178488193319</v>
      </c>
      <c r="AA304" s="33">
        <f t="shared" si="73"/>
        <v>0.5</v>
      </c>
      <c r="AB304">
        <f t="shared" si="74"/>
        <v>-2.7367233665348586E-2</v>
      </c>
      <c r="AC304" s="1">
        <f t="shared" si="75"/>
        <v>-0.214316846765222</v>
      </c>
      <c r="AD304" s="35">
        <f>IF(W304&gt;=FinalAgeForPremium, AE304*Delta-Z304*(Y304-AE304),AE304*Delta+PremiumRevisedForLimitedTerm-Z304*(Y304-AE304))</f>
        <v>-3.4312809905877317E-3</v>
      </c>
      <c r="AE304" s="35">
        <f>AE303-StepSize*AD303</f>
        <v>1.8808381649579049E-2</v>
      </c>
      <c r="AF304" s="1"/>
    </row>
    <row r="305" spans="11:32" x14ac:dyDescent="0.45">
      <c r="K305" s="40">
        <f t="shared" si="76"/>
        <v>2.8</v>
      </c>
      <c r="L305" s="41">
        <f t="shared" si="68"/>
        <v>22.8</v>
      </c>
      <c r="M305">
        <f t="shared" si="77"/>
        <v>0.90822791406351311</v>
      </c>
      <c r="N305">
        <f t="shared" si="78"/>
        <v>9.1772085936487016E-2</v>
      </c>
      <c r="O305">
        <f t="shared" si="69"/>
        <v>7.1338529509367532E-2</v>
      </c>
      <c r="P305">
        <f t="shared" si="70"/>
        <v>0.5</v>
      </c>
      <c r="Q305">
        <f t="shared" si="79"/>
        <v>-1.8905600880407734E-2</v>
      </c>
      <c r="R305" s="6">
        <f t="shared" si="80"/>
        <v>1.8905600880407734E-2</v>
      </c>
      <c r="S305" s="18">
        <f t="shared" si="81"/>
        <v>1.0000000000000002</v>
      </c>
      <c r="T305" s="15"/>
      <c r="U305" s="15"/>
      <c r="V305" s="40">
        <f t="shared" si="82"/>
        <v>7.2</v>
      </c>
      <c r="W305" s="41">
        <f t="shared" si="71"/>
        <v>27.2</v>
      </c>
      <c r="X305">
        <f t="shared" si="83"/>
        <v>-4.5473426016048604E-2</v>
      </c>
      <c r="Y305">
        <f t="shared" si="84"/>
        <v>1.3890697213011558</v>
      </c>
      <c r="Z305" s="33">
        <f t="shared" si="72"/>
        <v>0.104231921497703</v>
      </c>
      <c r="AA305" s="33">
        <f t="shared" si="73"/>
        <v>0.5</v>
      </c>
      <c r="AB305">
        <f t="shared" si="74"/>
        <v>-2.7419666319689395E-2</v>
      </c>
      <c r="AC305" s="1">
        <f t="shared" si="75"/>
        <v>-0.21327494027634009</v>
      </c>
      <c r="AD305" s="35">
        <f>IF(W305&gt;=FinalAgeForPremium, AE305*Delta-Z305*(Y305-AE305),AE305*Delta+PremiumRevisedForLimitedTerm-Z305*(Y305-AE305))</f>
        <v>-3.5264316985712252E-3</v>
      </c>
      <c r="AE305" s="35">
        <f>AE304-StepSize*AD304</f>
        <v>1.8842694459484926E-2</v>
      </c>
      <c r="AF305" s="1"/>
    </row>
    <row r="306" spans="11:32" x14ac:dyDescent="0.45">
      <c r="K306" s="40">
        <f t="shared" si="76"/>
        <v>2.81</v>
      </c>
      <c r="L306" s="41">
        <f t="shared" si="68"/>
        <v>22.81</v>
      </c>
      <c r="M306">
        <f t="shared" si="77"/>
        <v>0.90803885805470907</v>
      </c>
      <c r="N306">
        <f t="shared" si="78"/>
        <v>9.1961141945291092E-2</v>
      </c>
      <c r="O306">
        <f t="shared" si="69"/>
        <v>7.1400033908361596E-2</v>
      </c>
      <c r="P306">
        <f t="shared" si="70"/>
        <v>0.5</v>
      </c>
      <c r="Q306">
        <f t="shared" si="79"/>
        <v>-1.8853434282570622E-2</v>
      </c>
      <c r="R306" s="6">
        <f t="shared" si="80"/>
        <v>1.8853434282570622E-2</v>
      </c>
      <c r="S306" s="18">
        <f t="shared" si="81"/>
        <v>1.0000000000000002</v>
      </c>
      <c r="T306" s="15"/>
      <c r="U306" s="15"/>
      <c r="V306" s="40">
        <f t="shared" si="82"/>
        <v>7.19</v>
      </c>
      <c r="W306" s="41">
        <f t="shared" si="71"/>
        <v>27.19</v>
      </c>
      <c r="X306">
        <f t="shared" si="83"/>
        <v>-4.5199229352851714E-2</v>
      </c>
      <c r="Y306">
        <f t="shared" si="84"/>
        <v>1.3912024707039192</v>
      </c>
      <c r="Z306" s="33">
        <f t="shared" si="72"/>
        <v>0.10414213552230782</v>
      </c>
      <c r="AA306" s="33">
        <f t="shared" si="73"/>
        <v>0.5</v>
      </c>
      <c r="AB306">
        <f t="shared" si="74"/>
        <v>-2.7470708282080508E-2</v>
      </c>
      <c r="AC306" s="1">
        <f t="shared" si="75"/>
        <v>-0.21223902643641857</v>
      </c>
      <c r="AD306" s="35">
        <f>IF(W306&gt;=FinalAgeForPremium, AE306*Delta-Z306*(Y306-AE306),AE306*Delta+PremiumRevisedForLimitedTerm-Z306*(Y306-AE306))</f>
        <v>-3.6200778886631979E-3</v>
      </c>
      <c r="AE306" s="35">
        <f>AE305-StepSize*AD305</f>
        <v>1.8877958776470638E-2</v>
      </c>
      <c r="AF306" s="1"/>
    </row>
    <row r="307" spans="11:32" x14ac:dyDescent="0.45">
      <c r="K307" s="40">
        <f t="shared" si="76"/>
        <v>2.82</v>
      </c>
      <c r="L307" s="41">
        <f t="shared" si="68"/>
        <v>22.82</v>
      </c>
      <c r="M307">
        <f t="shared" si="77"/>
        <v>0.90785032371188334</v>
      </c>
      <c r="N307">
        <f t="shared" si="78"/>
        <v>9.2149676288116794E-2</v>
      </c>
      <c r="O307">
        <f t="shared" si="69"/>
        <v>7.1461591333274802E-2</v>
      </c>
      <c r="P307">
        <f t="shared" si="70"/>
        <v>0.5</v>
      </c>
      <c r="Q307">
        <f t="shared" si="79"/>
        <v>-1.8801590680821448E-2</v>
      </c>
      <c r="R307" s="6">
        <f t="shared" si="80"/>
        <v>1.8801590680821448E-2</v>
      </c>
      <c r="S307" s="18">
        <f t="shared" si="81"/>
        <v>1.0000000000000002</v>
      </c>
      <c r="T307" s="15"/>
      <c r="U307" s="15"/>
      <c r="V307" s="40">
        <f t="shared" si="82"/>
        <v>7.18</v>
      </c>
      <c r="W307" s="41">
        <f t="shared" si="71"/>
        <v>27.18</v>
      </c>
      <c r="X307">
        <f t="shared" si="83"/>
        <v>-4.4924522270030909E-2</v>
      </c>
      <c r="Y307">
        <f t="shared" si="84"/>
        <v>1.3933248609682833</v>
      </c>
      <c r="Z307" s="33">
        <f t="shared" si="72"/>
        <v>0.10405242688906707</v>
      </c>
      <c r="AA307" s="33">
        <f t="shared" si="73"/>
        <v>0.5</v>
      </c>
      <c r="AB307">
        <f t="shared" si="74"/>
        <v>-2.7520371213804379E-2</v>
      </c>
      <c r="AC307" s="1">
        <f t="shared" si="75"/>
        <v>-0.21120906533242867</v>
      </c>
      <c r="AD307" s="35">
        <f>IF(W307&gt;=FinalAgeForPremium, AE307*Delta-Z307*(Y307-AE307),AE307*Delta+PremiumRevisedForLimitedTerm-Z307*(Y307-AE307))</f>
        <v>-3.7122315723054911E-3</v>
      </c>
      <c r="AE307" s="35">
        <f>AE306-StepSize*AD306</f>
        <v>1.891415955535727E-2</v>
      </c>
      <c r="AF307" s="1"/>
    </row>
    <row r="308" spans="11:32" x14ac:dyDescent="0.45">
      <c r="K308" s="40">
        <f t="shared" si="76"/>
        <v>2.83</v>
      </c>
      <c r="L308" s="41">
        <f t="shared" si="68"/>
        <v>22.83</v>
      </c>
      <c r="M308">
        <f t="shared" si="77"/>
        <v>0.90766230780507517</v>
      </c>
      <c r="N308">
        <f t="shared" si="78"/>
        <v>9.2337692194925006E-2</v>
      </c>
      <c r="O308">
        <f t="shared" si="69"/>
        <v>7.152320182982333E-2</v>
      </c>
      <c r="P308">
        <f t="shared" si="70"/>
        <v>0.5</v>
      </c>
      <c r="Q308">
        <f t="shared" si="79"/>
        <v>-1.8750068337003122E-2</v>
      </c>
      <c r="R308" s="6">
        <f t="shared" si="80"/>
        <v>1.8750068337003122E-2</v>
      </c>
      <c r="S308" s="18">
        <f t="shared" si="81"/>
        <v>1.0000000000000002</v>
      </c>
      <c r="T308" s="15"/>
      <c r="U308" s="15"/>
      <c r="V308" s="40">
        <f t="shared" si="82"/>
        <v>7.17</v>
      </c>
      <c r="W308" s="41">
        <f t="shared" si="71"/>
        <v>27.17</v>
      </c>
      <c r="X308">
        <f t="shared" si="83"/>
        <v>-4.4649318557892864E-2</v>
      </c>
      <c r="Y308">
        <f t="shared" si="84"/>
        <v>1.3954369516216076</v>
      </c>
      <c r="Z308" s="33">
        <f t="shared" si="72"/>
        <v>0.1039627955313579</v>
      </c>
      <c r="AA308" s="33">
        <f t="shared" si="73"/>
        <v>0.5</v>
      </c>
      <c r="AB308">
        <f t="shared" si="74"/>
        <v>-2.7568666684734219E-2</v>
      </c>
      <c r="AC308" s="1">
        <f t="shared" si="75"/>
        <v>-0.21018501732916939</v>
      </c>
      <c r="AD308" s="35">
        <f>IF(W308&gt;=FinalAgeForPremium, AE308*Delta-Z308*(Y308-AE308),AE308*Delta+PremiumRevisedForLimitedTerm-Z308*(Y308-AE308))</f>
        <v>-3.8029046683177581E-3</v>
      </c>
      <c r="AE308" s="35">
        <f>AE307-StepSize*AD307</f>
        <v>1.8951281871080326E-2</v>
      </c>
      <c r="AF308" s="1"/>
    </row>
    <row r="309" spans="11:32" x14ac:dyDescent="0.45">
      <c r="K309" s="40">
        <f t="shared" si="76"/>
        <v>2.84</v>
      </c>
      <c r="L309" s="41">
        <f t="shared" si="68"/>
        <v>22.84</v>
      </c>
      <c r="M309">
        <f t="shared" si="77"/>
        <v>0.90747480712170514</v>
      </c>
      <c r="N309">
        <f t="shared" si="78"/>
        <v>9.252519287829504E-2</v>
      </c>
      <c r="O309">
        <f t="shared" si="69"/>
        <v>7.1584865443762816E-2</v>
      </c>
      <c r="P309">
        <f t="shared" si="70"/>
        <v>0.5</v>
      </c>
      <c r="Q309">
        <f t="shared" si="79"/>
        <v>-1.8698865522264359E-2</v>
      </c>
      <c r="R309" s="6">
        <f t="shared" si="80"/>
        <v>1.8698865522264359E-2</v>
      </c>
      <c r="S309" s="18">
        <f t="shared" si="81"/>
        <v>1.0000000000000002</v>
      </c>
      <c r="T309" s="15"/>
      <c r="U309" s="15"/>
      <c r="V309" s="40">
        <f t="shared" si="82"/>
        <v>7.16</v>
      </c>
      <c r="W309" s="41">
        <f t="shared" si="71"/>
        <v>27.16</v>
      </c>
      <c r="X309">
        <f t="shared" si="83"/>
        <v>-4.4373631891045519E-2</v>
      </c>
      <c r="Y309">
        <f t="shared" si="84"/>
        <v>1.3975388017948993</v>
      </c>
      <c r="Z309" s="33">
        <f t="shared" si="72"/>
        <v>0.10387324138261469</v>
      </c>
      <c r="AA309" s="33">
        <f t="shared" si="73"/>
        <v>0.5</v>
      </c>
      <c r="AB309">
        <f t="shared" si="74"/>
        <v>-2.7615606174058172E-2</v>
      </c>
      <c r="AC309" s="1">
        <f t="shared" si="75"/>
        <v>-0.20916684306728262</v>
      </c>
      <c r="AD309" s="35">
        <f>IF(W309&gt;=FinalAgeForPremium, AE309*Delta-Z309*(Y309-AE309),AE309*Delta+PremiumRevisedForLimitedTerm-Z309*(Y309-AE309))</f>
        <v>-3.8921090036266037E-3</v>
      </c>
      <c r="AE309" s="35">
        <f>AE308-StepSize*AD308</f>
        <v>1.8989310917763503E-2</v>
      </c>
      <c r="AF309" s="1"/>
    </row>
    <row r="310" spans="11:32" x14ac:dyDescent="0.45">
      <c r="K310" s="40">
        <f t="shared" si="76"/>
        <v>2.85</v>
      </c>
      <c r="L310" s="41">
        <f t="shared" si="68"/>
        <v>22.85</v>
      </c>
      <c r="M310">
        <f t="shared" si="77"/>
        <v>0.90728781846648254</v>
      </c>
      <c r="N310">
        <f t="shared" si="78"/>
        <v>9.2712181533517679E-2</v>
      </c>
      <c r="O310">
        <f t="shared" si="69"/>
        <v>7.1646582220888336E-2</v>
      </c>
      <c r="P310">
        <f t="shared" si="70"/>
        <v>0.5</v>
      </c>
      <c r="Q310">
        <f t="shared" si="79"/>
        <v>-1.8647980517010415E-2</v>
      </c>
      <c r="R310" s="6">
        <f t="shared" si="80"/>
        <v>1.8647980517010415E-2</v>
      </c>
      <c r="S310" s="18">
        <f t="shared" si="81"/>
        <v>1.0000000000000002</v>
      </c>
      <c r="T310" s="15"/>
      <c r="U310" s="15"/>
      <c r="V310" s="40">
        <f t="shared" si="82"/>
        <v>7.15</v>
      </c>
      <c r="W310" s="41">
        <f t="shared" si="71"/>
        <v>27.15</v>
      </c>
      <c r="X310">
        <f t="shared" si="83"/>
        <v>-4.4097475829304934E-2</v>
      </c>
      <c r="Y310">
        <f t="shared" si="84"/>
        <v>1.3996304702255722</v>
      </c>
      <c r="Z310" s="33">
        <f t="shared" si="72"/>
        <v>0.10378376437632912</v>
      </c>
      <c r="AA310" s="33">
        <f t="shared" si="73"/>
        <v>0.5</v>
      </c>
      <c r="AB310">
        <f t="shared" si="74"/>
        <v>-2.7661201070998551E-2</v>
      </c>
      <c r="AC310" s="1">
        <f t="shared" si="75"/>
        <v>-0.20815450346128284</v>
      </c>
      <c r="AD310" s="35">
        <f>IF(W310&gt;=FinalAgeForPremium, AE310*Delta-Z310*(Y310-AE310),AE310*Delta+PremiumRevisedForLimitedTerm-Z310*(Y310-AE310))</f>
        <v>-3.9798563139893661E-3</v>
      </c>
      <c r="AE310" s="35">
        <f>AE309-StepSize*AD309</f>
        <v>1.902823200779977E-2</v>
      </c>
      <c r="AF310" s="1"/>
    </row>
    <row r="311" spans="11:32" x14ac:dyDescent="0.45">
      <c r="K311" s="40">
        <f t="shared" si="76"/>
        <v>2.86</v>
      </c>
      <c r="L311" s="41">
        <f t="shared" si="68"/>
        <v>22.86</v>
      </c>
      <c r="M311">
        <f t="shared" si="77"/>
        <v>0.90710133866131248</v>
      </c>
      <c r="N311">
        <f t="shared" si="78"/>
        <v>9.289866133868778E-2</v>
      </c>
      <c r="O311">
        <f t="shared" si="69"/>
        <v>7.1708352207034406E-2</v>
      </c>
      <c r="P311">
        <f t="shared" si="70"/>
        <v>0.5</v>
      </c>
      <c r="Q311">
        <f t="shared" si="79"/>
        <v>-1.8597411610853896E-2</v>
      </c>
      <c r="R311" s="6">
        <f t="shared" si="80"/>
        <v>1.8597411610853896E-2</v>
      </c>
      <c r="S311" s="18">
        <f t="shared" si="81"/>
        <v>1.0000000000000002</v>
      </c>
      <c r="T311" s="15"/>
      <c r="U311" s="15"/>
      <c r="V311" s="40">
        <f t="shared" si="82"/>
        <v>7.14</v>
      </c>
      <c r="W311" s="41">
        <f t="shared" si="71"/>
        <v>27.14</v>
      </c>
      <c r="X311">
        <f t="shared" si="83"/>
        <v>-4.382086381859495E-2</v>
      </c>
      <c r="Y311">
        <f t="shared" si="84"/>
        <v>1.401712015260185</v>
      </c>
      <c r="Z311" s="33">
        <f t="shared" si="72"/>
        <v>0.10369436444605036</v>
      </c>
      <c r="AA311" s="33">
        <f t="shared" si="73"/>
        <v>0.5</v>
      </c>
      <c r="AB311">
        <f t="shared" si="74"/>
        <v>-2.7705462675525525E-2</v>
      </c>
      <c r="AC311" s="1">
        <f t="shared" si="75"/>
        <v>-0.2071479596976008</v>
      </c>
      <c r="AD311" s="35">
        <f>IF(W311&gt;=FinalAgeForPremium, AE311*Delta-Z311*(Y311-AE311),AE311*Delta+PremiumRevisedForLimitedTerm-Z311*(Y311-AE311))</f>
        <v>-4.0661582447123479E-3</v>
      </c>
      <c r="AE311" s="35">
        <f>AE310-StepSize*AD310</f>
        <v>1.9068030570939663E-2</v>
      </c>
      <c r="AF311" s="1"/>
    </row>
    <row r="312" spans="11:32" x14ac:dyDescent="0.45">
      <c r="K312" s="40">
        <f t="shared" si="76"/>
        <v>2.87</v>
      </c>
      <c r="L312" s="41">
        <f t="shared" si="68"/>
        <v>22.87</v>
      </c>
      <c r="M312">
        <f t="shared" si="77"/>
        <v>0.90691536454520394</v>
      </c>
      <c r="N312">
        <f t="shared" si="78"/>
        <v>9.3084635454796325E-2</v>
      </c>
      <c r="O312">
        <f t="shared" si="69"/>
        <v>7.1770175448075166E-2</v>
      </c>
      <c r="P312">
        <f t="shared" si="70"/>
        <v>0.5</v>
      </c>
      <c r="Q312">
        <f t="shared" si="79"/>
        <v>-1.8547157102566166E-2</v>
      </c>
      <c r="R312" s="6">
        <f t="shared" si="80"/>
        <v>1.8547157102566166E-2</v>
      </c>
      <c r="S312" s="18">
        <f t="shared" si="81"/>
        <v>1.0000000000000002</v>
      </c>
      <c r="T312" s="15"/>
      <c r="U312" s="15"/>
      <c r="V312" s="40">
        <f t="shared" si="82"/>
        <v>7.13</v>
      </c>
      <c r="W312" s="41">
        <f t="shared" si="71"/>
        <v>27.13</v>
      </c>
      <c r="X312">
        <f t="shared" si="83"/>
        <v>-4.3543809191839693E-2</v>
      </c>
      <c r="Y312">
        <f t="shared" si="84"/>
        <v>1.403783494857161</v>
      </c>
      <c r="Z312" s="33">
        <f t="shared" si="72"/>
        <v>0.10360504152538465</v>
      </c>
      <c r="AA312" s="33">
        <f t="shared" si="73"/>
        <v>0.5</v>
      </c>
      <c r="AB312">
        <f t="shared" si="74"/>
        <v>-2.7748402199064048E-2</v>
      </c>
      <c r="AC312" s="1">
        <f t="shared" si="75"/>
        <v>-0.20614717323264165</v>
      </c>
      <c r="AD312" s="35">
        <f>IF(W312&gt;=FinalAgeForPremium, AE312*Delta-Z312*(Y312-AE312),AE312*Delta+PremiumRevisedForLimitedTerm-Z312*(Y312-AE312))</f>
        <v>-4.1510263513624412E-3</v>
      </c>
      <c r="AE312" s="35">
        <f>AE311-StepSize*AD311</f>
        <v>1.9108692153386786E-2</v>
      </c>
      <c r="AF312" s="1"/>
    </row>
    <row r="313" spans="11:32" x14ac:dyDescent="0.45">
      <c r="K313" s="40">
        <f t="shared" si="76"/>
        <v>2.88</v>
      </c>
      <c r="L313" s="41">
        <f t="shared" si="68"/>
        <v>22.88</v>
      </c>
      <c r="M313">
        <f t="shared" si="77"/>
        <v>0.90672989297417828</v>
      </c>
      <c r="N313">
        <f t="shared" si="78"/>
        <v>9.3270107025821988E-2</v>
      </c>
      <c r="O313">
        <f t="shared" si="69"/>
        <v>7.1832051989924178E-2</v>
      </c>
      <c r="P313">
        <f t="shared" si="70"/>
        <v>0.5</v>
      </c>
      <c r="Q313">
        <f t="shared" si="79"/>
        <v>-1.8497215300028562E-2</v>
      </c>
      <c r="R313" s="6">
        <f t="shared" si="80"/>
        <v>1.8497215300028562E-2</v>
      </c>
      <c r="S313" s="18">
        <f t="shared" si="81"/>
        <v>1.0000000000000002</v>
      </c>
      <c r="T313" s="15"/>
      <c r="U313" s="15"/>
      <c r="V313" s="40">
        <f t="shared" si="82"/>
        <v>7.12</v>
      </c>
      <c r="W313" s="41">
        <f t="shared" si="71"/>
        <v>27.12</v>
      </c>
      <c r="X313">
        <f t="shared" si="83"/>
        <v>-4.3266325169849053E-2</v>
      </c>
      <c r="Y313">
        <f t="shared" si="84"/>
        <v>1.4058449665894874</v>
      </c>
      <c r="Z313" s="33">
        <f t="shared" si="72"/>
        <v>0.10351579554799542</v>
      </c>
      <c r="AA313" s="33">
        <f t="shared" si="73"/>
        <v>0.5</v>
      </c>
      <c r="AB313">
        <f t="shared" si="74"/>
        <v>-2.7790030765195803E-2</v>
      </c>
      <c r="AC313" s="1">
        <f t="shared" si="75"/>
        <v>-0.20515210579085741</v>
      </c>
      <c r="AD313" s="35">
        <f>IF(W313&gt;=FinalAgeForPremium, AE313*Delta-Z313*(Y313-AE313),AE313*Delta+PremiumRevisedForLimitedTerm-Z313*(Y313-AE313))</f>
        <v>-4.2344721004736741E-3</v>
      </c>
      <c r="AE313" s="35">
        <f>AE312-StepSize*AD312</f>
        <v>1.9150202416900412E-2</v>
      </c>
      <c r="AF313" s="1"/>
    </row>
    <row r="314" spans="11:32" x14ac:dyDescent="0.45">
      <c r="K314" s="40">
        <f t="shared" si="76"/>
        <v>2.89</v>
      </c>
      <c r="L314" s="41">
        <f t="shared" si="68"/>
        <v>22.89</v>
      </c>
      <c r="M314">
        <f t="shared" si="77"/>
        <v>0.90654492082117799</v>
      </c>
      <c r="N314">
        <f t="shared" si="78"/>
        <v>9.3455079178822273E-2</v>
      </c>
      <c r="O314">
        <f t="shared" si="69"/>
        <v>7.1893981878534671E-2</v>
      </c>
      <c r="P314">
        <f t="shared" si="70"/>
        <v>0.5</v>
      </c>
      <c r="Q314">
        <f t="shared" si="79"/>
        <v>-1.8447584520184281E-2</v>
      </c>
      <c r="R314" s="6">
        <f t="shared" si="80"/>
        <v>1.8447584520184281E-2</v>
      </c>
      <c r="S314" s="18">
        <f t="shared" si="81"/>
        <v>1.0000000000000002</v>
      </c>
      <c r="T314" s="15"/>
      <c r="U314" s="15"/>
      <c r="V314" s="40">
        <f t="shared" si="82"/>
        <v>7.11</v>
      </c>
      <c r="W314" s="41">
        <f t="shared" si="71"/>
        <v>27.11</v>
      </c>
      <c r="X314">
        <f t="shared" si="83"/>
        <v>-4.2988424862197096E-2</v>
      </c>
      <c r="Y314">
        <f t="shared" si="84"/>
        <v>1.4078964876473961</v>
      </c>
      <c r="Z314" s="33">
        <f t="shared" si="72"/>
        <v>0.10342662644760328</v>
      </c>
      <c r="AA314" s="33">
        <f t="shared" si="73"/>
        <v>0.5</v>
      </c>
      <c r="AB314">
        <f t="shared" si="74"/>
        <v>-2.7830359410355429E-2</v>
      </c>
      <c r="AC314" s="1">
        <f t="shared" si="75"/>
        <v>-0.2041627193628337</v>
      </c>
      <c r="AD314" s="35">
        <f>IF(W314&gt;=FinalAgeForPremium, AE314*Delta-Z314*(Y314-AE314),AE314*Delta+PremiumRevisedForLimitedTerm-Z314*(Y314-AE314))</f>
        <v>-4.3165068702480103E-3</v>
      </c>
      <c r="AE314" s="35">
        <f>AE313-StepSize*AD313</f>
        <v>1.919254713790515E-2</v>
      </c>
      <c r="AF314" s="1"/>
    </row>
    <row r="315" spans="11:32" x14ac:dyDescent="0.45">
      <c r="K315" s="40">
        <f t="shared" si="76"/>
        <v>2.9</v>
      </c>
      <c r="L315" s="41">
        <f t="shared" si="68"/>
        <v>22.9</v>
      </c>
      <c r="M315">
        <f t="shared" si="77"/>
        <v>0.90636044497597612</v>
      </c>
      <c r="N315">
        <f t="shared" si="78"/>
        <v>9.3639555024024115E-2</v>
      </c>
      <c r="O315">
        <f t="shared" si="69"/>
        <v>7.1955965159899465E-2</v>
      </c>
      <c r="P315">
        <f t="shared" si="70"/>
        <v>0.5</v>
      </c>
      <c r="Q315">
        <f t="shared" si="79"/>
        <v>-1.8398263088990251E-2</v>
      </c>
      <c r="R315" s="6">
        <f t="shared" si="80"/>
        <v>1.8398263088990251E-2</v>
      </c>
      <c r="S315" s="18">
        <f t="shared" si="81"/>
        <v>1.0000000000000002</v>
      </c>
      <c r="T315" s="15"/>
      <c r="U315" s="15"/>
      <c r="V315" s="40">
        <f t="shared" si="82"/>
        <v>7.1</v>
      </c>
      <c r="W315" s="41">
        <f t="shared" si="71"/>
        <v>27.1</v>
      </c>
      <c r="X315">
        <f t="shared" si="83"/>
        <v>-4.2710121268093544E-2</v>
      </c>
      <c r="Y315">
        <f t="shared" si="84"/>
        <v>1.4099381148410244</v>
      </c>
      <c r="Z315" s="33">
        <f t="shared" si="72"/>
        <v>0.10333753415798605</v>
      </c>
      <c r="AA315" s="33">
        <f t="shared" si="73"/>
        <v>0.5</v>
      </c>
      <c r="AB315">
        <f t="shared" si="74"/>
        <v>-2.7869399084521171E-2</v>
      </c>
      <c r="AC315" s="1">
        <f t="shared" si="75"/>
        <v>-0.20317897620338976</v>
      </c>
      <c r="AD315" s="35">
        <f>IF(W315&gt;=FinalAgeForPremium, AE315*Delta-Z315*(Y315-AE315),AE315*Delta+PremiumRevisedForLimitedTerm-Z315*(Y315-AE315))</f>
        <v>-4.3971419512503773E-3</v>
      </c>
      <c r="AE315" s="35">
        <f>AE314-StepSize*AD314</f>
        <v>1.9235712206607629E-2</v>
      </c>
      <c r="AF315" s="1"/>
    </row>
    <row r="316" spans="11:32" x14ac:dyDescent="0.45">
      <c r="K316" s="40">
        <f t="shared" si="76"/>
        <v>2.91</v>
      </c>
      <c r="L316" s="41">
        <f t="shared" si="68"/>
        <v>22.91</v>
      </c>
      <c r="M316">
        <f t="shared" si="77"/>
        <v>0.9061764623450862</v>
      </c>
      <c r="N316">
        <f t="shared" si="78"/>
        <v>9.3823537654914024E-2</v>
      </c>
      <c r="O316">
        <f t="shared" si="69"/>
        <v>7.2018001880051058E-2</v>
      </c>
      <c r="P316">
        <f t="shared" si="70"/>
        <v>0.5</v>
      </c>
      <c r="Q316">
        <f t="shared" si="79"/>
        <v>-1.8349249341369417E-2</v>
      </c>
      <c r="R316" s="6">
        <f t="shared" si="80"/>
        <v>1.8349249341369417E-2</v>
      </c>
      <c r="S316" s="18">
        <f t="shared" si="81"/>
        <v>1.0000000000000002</v>
      </c>
      <c r="T316" s="15"/>
      <c r="U316" s="15"/>
      <c r="V316" s="40">
        <f t="shared" si="82"/>
        <v>7.09</v>
      </c>
      <c r="W316" s="41">
        <f t="shared" si="71"/>
        <v>27.09</v>
      </c>
      <c r="X316">
        <f t="shared" si="83"/>
        <v>-4.2431427277248329E-2</v>
      </c>
      <c r="Y316">
        <f t="shared" si="84"/>
        <v>1.4119699046030583</v>
      </c>
      <c r="Z316" s="33">
        <f t="shared" si="72"/>
        <v>0.10324851861297842</v>
      </c>
      <c r="AA316" s="33">
        <f t="shared" si="73"/>
        <v>0.5</v>
      </c>
      <c r="AB316">
        <f t="shared" si="74"/>
        <v>-2.7907160651899188E-2</v>
      </c>
      <c r="AC316" s="1">
        <f t="shared" si="75"/>
        <v>-0.20220083882969375</v>
      </c>
      <c r="AD316" s="35">
        <f>IF(W316&gt;=FinalAgeForPremium, AE316*Delta-Z316*(Y316-AE316),AE316*Delta+PremiumRevisedForLimitedTerm-Z316*(Y316-AE316))</f>
        <v>-4.4763885470978648E-3</v>
      </c>
      <c r="AE316" s="35">
        <f>AE315-StepSize*AD315</f>
        <v>1.9279683626120134E-2</v>
      </c>
      <c r="AF316" s="1"/>
    </row>
    <row r="317" spans="11:32" x14ac:dyDescent="0.45">
      <c r="K317" s="40">
        <f t="shared" si="76"/>
        <v>2.92</v>
      </c>
      <c r="L317" s="41">
        <f t="shared" si="68"/>
        <v>22.92</v>
      </c>
      <c r="M317">
        <f t="shared" si="77"/>
        <v>0.90599296985167255</v>
      </c>
      <c r="N317">
        <f t="shared" si="78"/>
        <v>9.4007030148327717E-2</v>
      </c>
      <c r="O317">
        <f t="shared" si="69"/>
        <v>7.2080092085061637E-2</v>
      </c>
      <c r="P317">
        <f t="shared" si="70"/>
        <v>0.5</v>
      </c>
      <c r="Q317">
        <f t="shared" si="79"/>
        <v>-1.8300541621163173E-2</v>
      </c>
      <c r="R317" s="6">
        <f t="shared" si="80"/>
        <v>1.8300541621163173E-2</v>
      </c>
      <c r="S317" s="18">
        <f t="shared" si="81"/>
        <v>1.0000000000000002</v>
      </c>
      <c r="T317" s="15"/>
      <c r="U317" s="15"/>
      <c r="V317" s="40">
        <f t="shared" si="82"/>
        <v>7.08</v>
      </c>
      <c r="W317" s="41">
        <f t="shared" si="71"/>
        <v>27.08</v>
      </c>
      <c r="X317">
        <f t="shared" si="83"/>
        <v>-4.2152355670729336E-2</v>
      </c>
      <c r="Y317">
        <f t="shared" si="84"/>
        <v>1.4139919129913552</v>
      </c>
      <c r="Z317" s="33">
        <f t="shared" si="72"/>
        <v>0.10315957974647207</v>
      </c>
      <c r="AA317" s="33">
        <f t="shared" si="73"/>
        <v>0.5</v>
      </c>
      <c r="AB317">
        <f t="shared" si="74"/>
        <v>-2.7943654891603345E-2</v>
      </c>
      <c r="AC317" s="1">
        <f t="shared" si="75"/>
        <v>-0.20122827001939003</v>
      </c>
      <c r="AD317" s="35">
        <f>IF(W317&gt;=FinalAgeForPremium, AE317*Delta-Z317*(Y317-AE317),AE317*Delta+PremiumRevisedForLimitedTerm-Z317*(Y317-AE317))</f>
        <v>-4.5542577751437052E-3</v>
      </c>
      <c r="AE317" s="35">
        <f>AE316-StepSize*AD316</f>
        <v>1.9324447511591111E-2</v>
      </c>
      <c r="AF317" s="1"/>
    </row>
    <row r="318" spans="11:32" x14ac:dyDescent="0.45">
      <c r="K318" s="40">
        <f t="shared" si="76"/>
        <v>2.93</v>
      </c>
      <c r="L318" s="41">
        <f t="shared" si="68"/>
        <v>22.93</v>
      </c>
      <c r="M318">
        <f t="shared" si="77"/>
        <v>0.90580996443546091</v>
      </c>
      <c r="N318">
        <f t="shared" si="78"/>
        <v>9.4190035564539351E-2</v>
      </c>
      <c r="O318">
        <f t="shared" si="69"/>
        <v>7.2142235821042983E-2</v>
      </c>
      <c r="P318">
        <f t="shared" si="70"/>
        <v>0.5</v>
      </c>
      <c r="Q318">
        <f t="shared" si="79"/>
        <v>-1.82521382810839E-2</v>
      </c>
      <c r="R318" s="6">
        <f t="shared" si="80"/>
        <v>1.82521382810839E-2</v>
      </c>
      <c r="S318" s="18">
        <f t="shared" si="81"/>
        <v>1.0000000000000002</v>
      </c>
      <c r="T318" s="15"/>
      <c r="U318" s="15"/>
      <c r="V318" s="40">
        <f t="shared" si="82"/>
        <v>7.07</v>
      </c>
      <c r="W318" s="41">
        <f t="shared" si="71"/>
        <v>27.07</v>
      </c>
      <c r="X318">
        <f t="shared" si="83"/>
        <v>-4.1872919121813304E-2</v>
      </c>
      <c r="Y318">
        <f t="shared" si="84"/>
        <v>1.416004195691549</v>
      </c>
      <c r="Z318" s="33">
        <f t="shared" si="72"/>
        <v>0.10307071749241585</v>
      </c>
      <c r="AA318" s="33">
        <f t="shared" si="73"/>
        <v>0.5</v>
      </c>
      <c r="AB318">
        <f t="shared" si="74"/>
        <v>-2.7978892498329383E-2</v>
      </c>
      <c r="AC318" s="1">
        <f t="shared" si="75"/>
        <v>-0.20026123280874142</v>
      </c>
      <c r="AD318" s="35">
        <f>IF(W318&gt;=FinalAgeForPremium, AE318*Delta-Z318*(Y318-AE318),AE318*Delta+PremiumRevisedForLimitedTerm-Z318*(Y318-AE318))</f>
        <v>-4.6307606671560086E-3</v>
      </c>
      <c r="AE318" s="35">
        <f>AE317-StepSize*AD317</f>
        <v>1.9369990089342547E-2</v>
      </c>
      <c r="AF318" s="1"/>
    </row>
    <row r="319" spans="11:32" x14ac:dyDescent="0.45">
      <c r="K319" s="40">
        <f t="shared" si="76"/>
        <v>2.94</v>
      </c>
      <c r="L319" s="41">
        <f t="shared" si="68"/>
        <v>22.94</v>
      </c>
      <c r="M319">
        <f t="shared" si="77"/>
        <v>0.90562744305265008</v>
      </c>
      <c r="N319">
        <f t="shared" si="78"/>
        <v>9.4372556947350195E-2</v>
      </c>
      <c r="O319">
        <f t="shared" si="69"/>
        <v>7.2204433134146845E-2</v>
      </c>
      <c r="P319">
        <f t="shared" si="70"/>
        <v>0.5</v>
      </c>
      <c r="Q319">
        <f t="shared" si="79"/>
        <v>-1.8204037682668359E-2</v>
      </c>
      <c r="R319" s="6">
        <f t="shared" si="80"/>
        <v>1.8204037682668359E-2</v>
      </c>
      <c r="S319" s="18">
        <f t="shared" si="81"/>
        <v>1.0000000000000002</v>
      </c>
      <c r="T319" s="15"/>
      <c r="U319" s="15"/>
      <c r="V319" s="40">
        <f t="shared" si="82"/>
        <v>7.06</v>
      </c>
      <c r="W319" s="41">
        <f t="shared" si="71"/>
        <v>27.06</v>
      </c>
      <c r="X319">
        <f t="shared" si="83"/>
        <v>-4.159313019683001E-2</v>
      </c>
      <c r="Y319">
        <f t="shared" si="84"/>
        <v>1.4180068080196364</v>
      </c>
      <c r="Z319" s="33">
        <f t="shared" si="72"/>
        <v>0.10298193178481527</v>
      </c>
      <c r="AA319" s="33">
        <f t="shared" si="73"/>
        <v>0.5</v>
      </c>
      <c r="AB319">
        <f t="shared" si="74"/>
        <v>-2.8012884083022549E-2</v>
      </c>
      <c r="AC319" s="1">
        <f t="shared" si="75"/>
        <v>-0.199299690490785</v>
      </c>
      <c r="AD319" s="35">
        <f>IF(W319&gt;=FinalAgeForPremium, AE319*Delta-Z319*(Y319-AE319),AE319*Delta+PremiumRevisedForLimitedTerm-Z319*(Y319-AE319))</f>
        <v>-4.7059081699899752E-3</v>
      </c>
      <c r="AE319" s="35">
        <f>AE318-StepSize*AD318</f>
        <v>1.9416297696014106E-2</v>
      </c>
      <c r="AF319" s="1"/>
    </row>
    <row r="320" spans="11:32" x14ac:dyDescent="0.45">
      <c r="K320" s="40">
        <f t="shared" si="76"/>
        <v>2.95</v>
      </c>
      <c r="L320" s="41">
        <f t="shared" si="68"/>
        <v>22.95</v>
      </c>
      <c r="M320">
        <f t="shared" si="77"/>
        <v>0.90544540267582341</v>
      </c>
      <c r="N320">
        <f t="shared" si="78"/>
        <v>9.4554597324176884E-2</v>
      </c>
      <c r="O320">
        <f t="shared" si="69"/>
        <v>7.2266684070564607E-2</v>
      </c>
      <c r="P320">
        <f t="shared" si="70"/>
        <v>0.5</v>
      </c>
      <c r="Q320">
        <f t="shared" si="79"/>
        <v>-1.8156238196230447E-2</v>
      </c>
      <c r="R320" s="6">
        <f t="shared" si="80"/>
        <v>1.8156238196230447E-2</v>
      </c>
      <c r="S320" s="18">
        <f t="shared" si="81"/>
        <v>1.0000000000000002</v>
      </c>
      <c r="T320" s="15"/>
      <c r="U320" s="15"/>
      <c r="V320" s="40">
        <f t="shared" si="82"/>
        <v>7.05</v>
      </c>
      <c r="W320" s="41">
        <f t="shared" si="71"/>
        <v>27.05</v>
      </c>
      <c r="X320">
        <f t="shared" si="83"/>
        <v>-4.1313001355999787E-2</v>
      </c>
      <c r="Y320">
        <f t="shared" si="84"/>
        <v>1.4199998049245444</v>
      </c>
      <c r="Z320" s="33">
        <f t="shared" si="72"/>
        <v>0.10289322255773278</v>
      </c>
      <c r="AA320" s="33">
        <f t="shared" si="73"/>
        <v>0.5</v>
      </c>
      <c r="AB320">
        <f t="shared" si="74"/>
        <v>-2.80456401735414E-2</v>
      </c>
      <c r="AC320" s="1">
        <f t="shared" si="75"/>
        <v>-0.1983436066135007</v>
      </c>
      <c r="AD320" s="35">
        <f>IF(W320&gt;=FinalAgeForPremium, AE320*Delta-Z320*(Y320-AE320),AE320*Delta+PremiumRevisedForLimitedTerm-Z320*(Y320-AE320))</f>
        <v>-4.7797111462561381E-3</v>
      </c>
      <c r="AE320" s="35">
        <f>AE319-StepSize*AD319</f>
        <v>1.9463356777714005E-2</v>
      </c>
      <c r="AF320" s="1"/>
    </row>
    <row r="321" spans="11:32" x14ac:dyDescent="0.45">
      <c r="K321" s="40">
        <f t="shared" si="76"/>
        <v>2.96</v>
      </c>
      <c r="L321" s="41">
        <f t="shared" si="68"/>
        <v>22.96</v>
      </c>
      <c r="M321">
        <f t="shared" si="77"/>
        <v>0.90526384029386109</v>
      </c>
      <c r="N321">
        <f t="shared" si="78"/>
        <v>9.4736159706139189E-2</v>
      </c>
      <c r="O321">
        <f t="shared" si="69"/>
        <v>7.2328988676527539E-2</v>
      </c>
      <c r="P321">
        <f t="shared" si="70"/>
        <v>0.5</v>
      </c>
      <c r="Q321">
        <f t="shared" si="79"/>
        <v>-1.8108738200814919E-2</v>
      </c>
      <c r="R321" s="6">
        <f t="shared" si="80"/>
        <v>1.8108738200814919E-2</v>
      </c>
      <c r="S321" s="18">
        <f t="shared" si="81"/>
        <v>1.0000000000000002</v>
      </c>
      <c r="T321" s="15"/>
      <c r="U321" s="15"/>
      <c r="V321" s="40">
        <f t="shared" si="82"/>
        <v>7.04</v>
      </c>
      <c r="W321" s="41">
        <f t="shared" si="71"/>
        <v>27.04</v>
      </c>
      <c r="X321">
        <f t="shared" si="83"/>
        <v>-4.1032544954264373E-2</v>
      </c>
      <c r="Y321">
        <f t="shared" si="84"/>
        <v>1.4219832409906794</v>
      </c>
      <c r="Z321" s="33">
        <f t="shared" si="72"/>
        <v>0.1028045897452876</v>
      </c>
      <c r="AA321" s="33">
        <f t="shared" si="73"/>
        <v>0.5</v>
      </c>
      <c r="AB321">
        <f t="shared" si="74"/>
        <v>-2.8077171215315E-2</v>
      </c>
      <c r="AC321" s="1">
        <f t="shared" si="75"/>
        <v>-0.1973929449779942</v>
      </c>
      <c r="AD321" s="35">
        <f>IF(W321&gt;=FinalAgeForPremium, AE321*Delta-Z321*(Y321-AE321),AE321*Delta+PremiumRevisedForLimitedTerm-Z321*(Y321-AE321))</f>
        <v>-4.8521803749818626E-3</v>
      </c>
      <c r="AE321" s="35">
        <f>AE320-StepSize*AD320</f>
        <v>1.9511153889176566E-2</v>
      </c>
      <c r="AF321" s="1"/>
    </row>
    <row r="322" spans="11:32" x14ac:dyDescent="0.45">
      <c r="K322" s="40">
        <f t="shared" si="76"/>
        <v>2.97</v>
      </c>
      <c r="L322" s="41">
        <f t="shared" si="68"/>
        <v>22.97</v>
      </c>
      <c r="M322">
        <f t="shared" si="77"/>
        <v>0.90508275291185292</v>
      </c>
      <c r="N322">
        <f t="shared" si="78"/>
        <v>9.4917247088147333E-2</v>
      </c>
      <c r="O322">
        <f t="shared" si="69"/>
        <v>7.2391346998306724E-2</v>
      </c>
      <c r="P322">
        <f t="shared" si="70"/>
        <v>0.5</v>
      </c>
      <c r="Q322">
        <f t="shared" si="79"/>
        <v>-1.8061536084150981E-2</v>
      </c>
      <c r="R322" s="6">
        <f t="shared" si="80"/>
        <v>1.8061536084150981E-2</v>
      </c>
      <c r="S322" s="18">
        <f t="shared" si="81"/>
        <v>1.0000000000000002</v>
      </c>
      <c r="T322" s="15"/>
      <c r="U322" s="15"/>
      <c r="V322" s="40">
        <f t="shared" si="82"/>
        <v>7.03</v>
      </c>
      <c r="W322" s="41">
        <f t="shared" si="71"/>
        <v>27.03</v>
      </c>
      <c r="X322">
        <f t="shared" si="83"/>
        <v>-4.0751773242111225E-2</v>
      </c>
      <c r="Y322">
        <f t="shared" si="84"/>
        <v>1.4239571704404594</v>
      </c>
      <c r="Z322" s="33">
        <f t="shared" si="72"/>
        <v>0.10271603328165578</v>
      </c>
      <c r="AA322" s="33">
        <f t="shared" si="73"/>
        <v>0.5</v>
      </c>
      <c r="AB322">
        <f t="shared" si="74"/>
        <v>-2.8107487571995715E-2</v>
      </c>
      <c r="AC322" s="1">
        <f t="shared" si="75"/>
        <v>-0.19644766963669169</v>
      </c>
      <c r="AD322" s="35">
        <f>IF(W322&gt;=FinalAgeForPremium, AE322*Delta-Z322*(Y322-AE322),AE322*Delta+PremiumRevisedForLimitedTerm-Z322*(Y322-AE322))</f>
        <v>-4.9233265522687641E-3</v>
      </c>
      <c r="AE322" s="35">
        <f>AE321-StepSize*AD321</f>
        <v>1.9559675692926385E-2</v>
      </c>
      <c r="AF322" s="1"/>
    </row>
    <row r="323" spans="11:32" x14ac:dyDescent="0.45">
      <c r="K323" s="40">
        <f t="shared" si="76"/>
        <v>2.98</v>
      </c>
      <c r="L323" s="41">
        <f t="shared" si="68"/>
        <v>22.98</v>
      </c>
      <c r="M323">
        <f t="shared" si="77"/>
        <v>0.90490213755101145</v>
      </c>
      <c r="N323">
        <f t="shared" si="78"/>
        <v>9.5097862448988837E-2</v>
      </c>
      <c r="O323">
        <f t="shared" si="69"/>
        <v>7.2453759082213201E-2</v>
      </c>
      <c r="P323">
        <f t="shared" si="70"/>
        <v>0.5</v>
      </c>
      <c r="Q323">
        <f t="shared" si="79"/>
        <v>-1.8014630242606321E-2</v>
      </c>
      <c r="R323" s="6">
        <f t="shared" si="80"/>
        <v>1.8014630242606321E-2</v>
      </c>
      <c r="S323" s="18">
        <f t="shared" si="81"/>
        <v>1.0000000000000002</v>
      </c>
      <c r="T323" s="15"/>
      <c r="U323" s="15"/>
      <c r="V323" s="40">
        <f t="shared" si="82"/>
        <v>7.02</v>
      </c>
      <c r="W323" s="41">
        <f t="shared" si="71"/>
        <v>27.02</v>
      </c>
      <c r="X323">
        <f t="shared" si="83"/>
        <v>-4.0470698366391271E-2</v>
      </c>
      <c r="Y323">
        <f t="shared" si="84"/>
        <v>1.4259216471368263</v>
      </c>
      <c r="Z323" s="33">
        <f t="shared" si="72"/>
        <v>0.10262755310106997</v>
      </c>
      <c r="AA323" s="33">
        <f t="shared" si="73"/>
        <v>0.5</v>
      </c>
      <c r="AB323">
        <f t="shared" si="74"/>
        <v>-2.8136599526105893E-2</v>
      </c>
      <c r="AC323" s="1">
        <f t="shared" si="75"/>
        <v>-0.19550774489154987</v>
      </c>
      <c r="AD323" s="35">
        <f>IF(W323&gt;=FinalAgeForPremium, AE323*Delta-Z323*(Y323-AE323),AE323*Delta+PremiumRevisedForLimitedTerm-Z323*(Y323-AE323))</f>
        <v>-4.9931602919435492E-3</v>
      </c>
      <c r="AE323" s="35">
        <f>AE322-StepSize*AD322</f>
        <v>1.9608908958449071E-2</v>
      </c>
      <c r="AF323" s="1"/>
    </row>
    <row r="324" spans="11:32" x14ac:dyDescent="0.45">
      <c r="K324" s="40">
        <f t="shared" si="76"/>
        <v>2.99</v>
      </c>
      <c r="L324" s="41">
        <f t="shared" si="68"/>
        <v>22.990000000000002</v>
      </c>
      <c r="M324">
        <f t="shared" si="77"/>
        <v>0.90472199124858543</v>
      </c>
      <c r="N324">
        <f t="shared" si="78"/>
        <v>9.52780087514149E-2</v>
      </c>
      <c r="O324">
        <f t="shared" si="69"/>
        <v>7.2516224974597893E-2</v>
      </c>
      <c r="P324">
        <f t="shared" si="70"/>
        <v>0.5</v>
      </c>
      <c r="Q324">
        <f t="shared" si="79"/>
        <v>-1.7968019081141151E-2</v>
      </c>
      <c r="R324" s="6">
        <f t="shared" si="80"/>
        <v>1.7968019081141151E-2</v>
      </c>
      <c r="S324" s="18">
        <f t="shared" si="81"/>
        <v>1.0000000000000004</v>
      </c>
      <c r="T324" s="15"/>
      <c r="U324" s="15"/>
      <c r="V324" s="40">
        <f t="shared" si="82"/>
        <v>7.01</v>
      </c>
      <c r="W324" s="41">
        <f t="shared" si="71"/>
        <v>27.009999999999998</v>
      </c>
      <c r="X324">
        <f t="shared" si="83"/>
        <v>-4.0189332371130211E-2</v>
      </c>
      <c r="Y324">
        <f t="shared" si="84"/>
        <v>1.4278767245857418</v>
      </c>
      <c r="Z324" s="33">
        <f t="shared" si="72"/>
        <v>0.1025391491378195</v>
      </c>
      <c r="AA324" s="33">
        <f t="shared" si="73"/>
        <v>0.5</v>
      </c>
      <c r="AB324">
        <f t="shared" si="74"/>
        <v>-2.8164517279680168E-2</v>
      </c>
      <c r="AC324" s="1">
        <f t="shared" si="75"/>
        <v>-0.19457313529227693</v>
      </c>
      <c r="AD324" s="35">
        <f>IF(W324&gt;=FinalAgeForPremium, AE324*Delta-Z324*(Y324-AE324),AE324*Delta+PremiumRevisedForLimitedTerm-Z324*(Y324-AE324))</f>
        <v>-5.0616921262048586E-3</v>
      </c>
      <c r="AE324" s="35">
        <f>AE323-StepSize*AD323</f>
        <v>1.9658840561368508E-2</v>
      </c>
      <c r="AF324" s="1"/>
    </row>
    <row r="325" spans="11:32" x14ac:dyDescent="0.45">
      <c r="K325" s="40">
        <f t="shared" si="76"/>
        <v>3</v>
      </c>
      <c r="L325" s="41">
        <f t="shared" si="68"/>
        <v>23</v>
      </c>
      <c r="M325">
        <f t="shared" si="77"/>
        <v>0.90454231105777405</v>
      </c>
      <c r="N325">
        <f t="shared" si="78"/>
        <v>9.545768894222631E-2</v>
      </c>
      <c r="O325">
        <f t="shared" si="69"/>
        <v>7.2578744721851621E-2</v>
      </c>
      <c r="P325">
        <f t="shared" si="70"/>
        <v>0.5</v>
      </c>
      <c r="Q325">
        <f t="shared" si="79"/>
        <v>-1.7921701013262736E-2</v>
      </c>
      <c r="R325" s="6">
        <f t="shared" si="80"/>
        <v>1.7921701013262736E-2</v>
      </c>
      <c r="S325" s="18">
        <f t="shared" si="81"/>
        <v>1.0000000000000004</v>
      </c>
      <c r="T325" s="15"/>
      <c r="U325" s="15"/>
      <c r="V325" s="40">
        <f t="shared" si="82"/>
        <v>7</v>
      </c>
      <c r="W325" s="41">
        <f t="shared" si="71"/>
        <v>27</v>
      </c>
      <c r="X325">
        <f t="shared" si="83"/>
        <v>-3.9907687198333409E-2</v>
      </c>
      <c r="Y325">
        <f t="shared" si="84"/>
        <v>1.4298224559386645</v>
      </c>
      <c r="Z325" s="33">
        <f t="shared" si="72"/>
        <v>0.10245082132625034</v>
      </c>
      <c r="AA325" s="33">
        <f t="shared" si="73"/>
        <v>0.5</v>
      </c>
      <c r="AB325">
        <f t="shared" si="74"/>
        <v>-2.8191250954901922E-2</v>
      </c>
      <c r="AC325" s="1">
        <f t="shared" si="75"/>
        <v>-0.19364380563456773</v>
      </c>
      <c r="AD325" s="35">
        <f>IF(W325&gt;=FinalAgeForPremium, AE325*Delta-Z325*(Y325-AE325),AE325*Delta+PremiumRevisedForLimitedTerm-Z325*(Y325-AE325))</f>
        <v>-5.1289325062641722E-3</v>
      </c>
      <c r="AE325" s="35">
        <f>AE324-StepSize*AD324</f>
        <v>1.9709457482630557E-2</v>
      </c>
      <c r="AF325" s="1"/>
    </row>
    <row r="326" spans="11:32" x14ac:dyDescent="0.45">
      <c r="K326" s="40">
        <f t="shared" si="76"/>
        <v>3.01</v>
      </c>
      <c r="L326" s="41">
        <f t="shared" si="68"/>
        <v>23.009999999999998</v>
      </c>
      <c r="M326">
        <f t="shared" si="77"/>
        <v>0.90436309404764137</v>
      </c>
      <c r="N326">
        <f t="shared" si="78"/>
        <v>9.5636905952358936E-2</v>
      </c>
      <c r="O326">
        <f t="shared" si="69"/>
        <v>7.2641318370405439E-2</v>
      </c>
      <c r="P326">
        <f t="shared" si="70"/>
        <v>0.5</v>
      </c>
      <c r="Q326">
        <f t="shared" si="79"/>
        <v>-1.7875674460980165E-2</v>
      </c>
      <c r="R326" s="6">
        <f t="shared" si="80"/>
        <v>1.7875674460980165E-2</v>
      </c>
      <c r="S326" s="18">
        <f t="shared" si="81"/>
        <v>1.0000000000000002</v>
      </c>
      <c r="T326" s="15"/>
      <c r="U326" s="15"/>
      <c r="V326" s="40">
        <f t="shared" si="82"/>
        <v>6.99</v>
      </c>
      <c r="W326" s="41">
        <f t="shared" si="71"/>
        <v>26.990000000000002</v>
      </c>
      <c r="X326">
        <f t="shared" si="83"/>
        <v>-3.9625774688784393E-2</v>
      </c>
      <c r="Y326">
        <f t="shared" si="84"/>
        <v>1.4317588939950101</v>
      </c>
      <c r="Z326" s="33">
        <f t="shared" si="72"/>
        <v>0.10236256960076516</v>
      </c>
      <c r="AA326" s="33">
        <f t="shared" si="73"/>
        <v>0.5</v>
      </c>
      <c r="AB326">
        <f t="shared" si="74"/>
        <v>-2.821681059473527E-2</v>
      </c>
      <c r="AC326" s="1">
        <f t="shared" si="75"/>
        <v>-0.19271972095835221</v>
      </c>
      <c r="AD326" s="35">
        <f>IF(W326&gt;=FinalAgeForPremium, AE326*Delta-Z326*(Y326-AE326),AE326*Delta+PremiumRevisedForLimitedTerm-Z326*(Y326-AE326))</f>
        <v>-5.1948918029819657E-3</v>
      </c>
      <c r="AE326" s="35">
        <f>AE325-StepSize*AD325</f>
        <v>1.97607468076932E-2</v>
      </c>
      <c r="AF326" s="1"/>
    </row>
    <row r="327" spans="11:32" x14ac:dyDescent="0.45">
      <c r="K327" s="40">
        <f t="shared" si="76"/>
        <v>3.02</v>
      </c>
      <c r="L327" s="41">
        <f t="shared" si="68"/>
        <v>23.02</v>
      </c>
      <c r="M327">
        <f t="shared" si="77"/>
        <v>0.9041843373030316</v>
      </c>
      <c r="N327">
        <f t="shared" si="78"/>
        <v>9.5815662696968742E-2</v>
      </c>
      <c r="O327">
        <f t="shared" si="69"/>
        <v>7.2703945966730132E-2</v>
      </c>
      <c r="P327">
        <f t="shared" si="70"/>
        <v>0.5</v>
      </c>
      <c r="Q327">
        <f t="shared" si="79"/>
        <v>-1.7829937854758927E-2</v>
      </c>
      <c r="R327" s="6">
        <f t="shared" si="80"/>
        <v>1.7829937854758927E-2</v>
      </c>
      <c r="S327" s="18">
        <f t="shared" si="81"/>
        <v>1.0000000000000004</v>
      </c>
      <c r="T327" s="15"/>
      <c r="U327" s="15"/>
      <c r="V327" s="40">
        <f t="shared" si="82"/>
        <v>6.98</v>
      </c>
      <c r="W327" s="41">
        <f t="shared" si="71"/>
        <v>26.98</v>
      </c>
      <c r="X327">
        <f t="shared" si="83"/>
        <v>-3.9343606582837039E-2</v>
      </c>
      <c r="Y327">
        <f t="shared" si="84"/>
        <v>1.4336860912045937</v>
      </c>
      <c r="Z327" s="33">
        <f t="shared" si="72"/>
        <v>0.10227439389582267</v>
      </c>
      <c r="AA327" s="33">
        <f t="shared" si="73"/>
        <v>0.5</v>
      </c>
      <c r="AB327">
        <f t="shared" si="74"/>
        <v>-2.8241206163550497E-2</v>
      </c>
      <c r="AC327" s="1">
        <f t="shared" si="75"/>
        <v>-0.191800846546055</v>
      </c>
      <c r="AD327" s="35">
        <f>IF(W327&gt;=FinalAgeForPremium, AE327*Delta-Z327*(Y327-AE327),AE327*Delta+PremiumRevisedForLimitedTerm-Z327*(Y327-AE327))</f>
        <v>-5.2595803074975966E-3</v>
      </c>
      <c r="AE327" s="35">
        <f>AE326-StepSize*AD326</f>
        <v>1.9812695725723018E-2</v>
      </c>
      <c r="AF327" s="1"/>
    </row>
    <row r="328" spans="11:32" x14ac:dyDescent="0.45">
      <c r="K328" s="40">
        <f t="shared" si="76"/>
        <v>3.03</v>
      </c>
      <c r="L328" s="41">
        <f t="shared" si="68"/>
        <v>23.03</v>
      </c>
      <c r="M328">
        <f t="shared" si="77"/>
        <v>0.90400603792448397</v>
      </c>
      <c r="N328">
        <f t="shared" si="78"/>
        <v>9.5993962075516331E-2</v>
      </c>
      <c r="O328">
        <f t="shared" si="69"/>
        <v>7.2766627557336733E-2</v>
      </c>
      <c r="P328">
        <f t="shared" si="70"/>
        <v>0.5</v>
      </c>
      <c r="Q328">
        <f t="shared" si="79"/>
        <v>-1.7784489633476383E-2</v>
      </c>
      <c r="R328" s="6">
        <f t="shared" si="80"/>
        <v>1.7784489633476383E-2</v>
      </c>
      <c r="S328" s="18">
        <f t="shared" si="81"/>
        <v>1.0000000000000002</v>
      </c>
      <c r="T328" s="15"/>
      <c r="U328" s="15"/>
      <c r="V328" s="40">
        <f t="shared" si="82"/>
        <v>6.97</v>
      </c>
      <c r="W328" s="41">
        <f t="shared" si="71"/>
        <v>26.97</v>
      </c>
      <c r="X328">
        <f t="shared" si="83"/>
        <v>-3.9061194521201534E-2</v>
      </c>
      <c r="Y328">
        <f t="shared" si="84"/>
        <v>1.4356040996700543</v>
      </c>
      <c r="Z328" s="33">
        <f t="shared" si="72"/>
        <v>0.10218629414593849</v>
      </c>
      <c r="AA328" s="33">
        <f t="shared" si="73"/>
        <v>0.5</v>
      </c>
      <c r="AB328">
        <f t="shared" si="74"/>
        <v>-2.8264447547747026E-2</v>
      </c>
      <c r="AC328" s="1">
        <f t="shared" si="75"/>
        <v>-0.19088714792086936</v>
      </c>
      <c r="AD328" s="35">
        <f>IF(W328&gt;=FinalAgeForPremium, AE328*Delta-Z328*(Y328-AE328),AE328*Delta+PremiumRevisedForLimitedTerm-Z328*(Y328-AE328))</f>
        <v>-5.3230082318563576E-3</v>
      </c>
      <c r="AE328" s="35">
        <f>AE327-StepSize*AD327</f>
        <v>1.9865291528797995E-2</v>
      </c>
      <c r="AF328" s="1"/>
    </row>
    <row r="329" spans="11:32" x14ac:dyDescent="0.45">
      <c r="K329" s="40">
        <f t="shared" si="76"/>
        <v>3.04</v>
      </c>
      <c r="L329" s="41">
        <f t="shared" si="68"/>
        <v>23.04</v>
      </c>
      <c r="M329">
        <f t="shared" si="77"/>
        <v>0.90382819302814921</v>
      </c>
      <c r="N329">
        <f t="shared" si="78"/>
        <v>9.6171806971851098E-2</v>
      </c>
      <c r="O329">
        <f t="shared" si="69"/>
        <v>7.2829363188776294E-2</v>
      </c>
      <c r="P329">
        <f t="shared" si="70"/>
        <v>0.5</v>
      </c>
      <c r="Q329">
        <f t="shared" si="79"/>
        <v>-1.7739328244376934E-2</v>
      </c>
      <c r="R329" s="6">
        <f t="shared" si="80"/>
        <v>1.7739328244376934E-2</v>
      </c>
      <c r="S329" s="18">
        <f t="shared" si="81"/>
        <v>1.0000000000000002</v>
      </c>
      <c r="T329" s="15"/>
      <c r="U329" s="15"/>
      <c r="V329" s="40">
        <f t="shared" si="82"/>
        <v>6.96</v>
      </c>
      <c r="W329" s="41">
        <f t="shared" si="71"/>
        <v>26.96</v>
      </c>
      <c r="X329">
        <f t="shared" si="83"/>
        <v>-3.8778550045724065E-2</v>
      </c>
      <c r="Y329">
        <f t="shared" si="84"/>
        <v>1.4375129711492629</v>
      </c>
      <c r="Z329" s="33">
        <f t="shared" si="72"/>
        <v>0.10209827028568456</v>
      </c>
      <c r="AA329" s="33">
        <f t="shared" si="73"/>
        <v>0.5</v>
      </c>
      <c r="AB329">
        <f t="shared" si="74"/>
        <v>-2.8286544556368753E-2</v>
      </c>
      <c r="AC329" s="1">
        <f t="shared" si="75"/>
        <v>-0.18997859084504332</v>
      </c>
      <c r="AD329" s="35">
        <f>IF(W329&gt;=FinalAgeForPremium, AE329*Delta-Z329*(Y329-AE329),AE329*Delta+PremiumRevisedForLimitedTerm-Z329*(Y329-AE329))</f>
        <v>-5.3851857096295364E-3</v>
      </c>
      <c r="AE329" s="35">
        <f>AE328-StepSize*AD328</f>
        <v>1.9918521611116558E-2</v>
      </c>
      <c r="AF329" s="1"/>
    </row>
    <row r="330" spans="11:32" x14ac:dyDescent="0.45">
      <c r="K330" s="40">
        <f t="shared" si="76"/>
        <v>3.05</v>
      </c>
      <c r="L330" s="41">
        <f t="shared" si="68"/>
        <v>23.05</v>
      </c>
      <c r="M330">
        <f t="shared" si="77"/>
        <v>0.90365079974570539</v>
      </c>
      <c r="N330">
        <f t="shared" si="78"/>
        <v>9.6349200254294873E-2</v>
      </c>
      <c r="O330">
        <f t="shared" si="69"/>
        <v>7.2892152907640062E-2</v>
      </c>
      <c r="P330">
        <f t="shared" si="70"/>
        <v>0.5</v>
      </c>
      <c r="Q330">
        <f t="shared" si="79"/>
        <v>-1.7694452143027749E-2</v>
      </c>
      <c r="R330" s="6">
        <f t="shared" si="80"/>
        <v>1.7694452143027749E-2</v>
      </c>
      <c r="S330" s="18">
        <f t="shared" si="81"/>
        <v>1.0000000000000002</v>
      </c>
      <c r="T330" s="15"/>
      <c r="U330" s="15"/>
      <c r="V330" s="40">
        <f t="shared" si="82"/>
        <v>6.95</v>
      </c>
      <c r="W330" s="41">
        <f t="shared" si="71"/>
        <v>26.95</v>
      </c>
      <c r="X330">
        <f t="shared" si="83"/>
        <v>-3.8495684600160375E-2</v>
      </c>
      <c r="Y330">
        <f t="shared" si="84"/>
        <v>1.4394127570577133</v>
      </c>
      <c r="Z330" s="33">
        <f t="shared" si="72"/>
        <v>0.10201032224968898</v>
      </c>
      <c r="AA330" s="33">
        <f t="shared" si="73"/>
        <v>0.5</v>
      </c>
      <c r="AB330">
        <f t="shared" si="74"/>
        <v>-2.83075069217157E-2</v>
      </c>
      <c r="AC330" s="1">
        <f t="shared" si="75"/>
        <v>-0.18907514131817749</v>
      </c>
      <c r="AD330" s="35">
        <f>IF(W330&gt;=FinalAgeForPremium, AE330*Delta-Z330*(Y330-AE330),AE330*Delta+PremiumRevisedForLimitedTerm-Z330*(Y330-AE330))</f>
        <v>-5.4461227965298953E-3</v>
      </c>
      <c r="AE330" s="35">
        <f>AE329-StepSize*AD329</f>
        <v>1.9972373468212852E-2</v>
      </c>
      <c r="AF330" s="1"/>
    </row>
    <row r="331" spans="11:32" x14ac:dyDescent="0.45">
      <c r="K331" s="40">
        <f t="shared" si="76"/>
        <v>3.06</v>
      </c>
      <c r="L331" s="41">
        <f t="shared" si="68"/>
        <v>23.06</v>
      </c>
      <c r="M331">
        <f t="shared" si="77"/>
        <v>0.90347385522427515</v>
      </c>
      <c r="N331">
        <f t="shared" si="78"/>
        <v>9.6526144775725145E-2</v>
      </c>
      <c r="O331">
        <f t="shared" si="69"/>
        <v>7.2954996760559401E-2</v>
      </c>
      <c r="P331">
        <f t="shared" si="70"/>
        <v>0.5</v>
      </c>
      <c r="Q331">
        <f t="shared" si="79"/>
        <v>-1.764985979327454E-2</v>
      </c>
      <c r="R331" s="6">
        <f t="shared" si="80"/>
        <v>1.764985979327454E-2</v>
      </c>
      <c r="S331" s="18">
        <f t="shared" si="81"/>
        <v>1.0000000000000002</v>
      </c>
      <c r="T331" s="15"/>
      <c r="U331" s="15"/>
      <c r="V331" s="40">
        <f t="shared" si="82"/>
        <v>6.94</v>
      </c>
      <c r="W331" s="41">
        <f t="shared" si="71"/>
        <v>26.94</v>
      </c>
      <c r="X331">
        <f t="shared" si="83"/>
        <v>-3.8212609530943215E-2</v>
      </c>
      <c r="Y331">
        <f t="shared" si="84"/>
        <v>1.4413035084708952</v>
      </c>
      <c r="Z331" s="33">
        <f t="shared" si="72"/>
        <v>0.1019224499726364</v>
      </c>
      <c r="AA331" s="33">
        <f t="shared" si="73"/>
        <v>0.5</v>
      </c>
      <c r="AB331">
        <f t="shared" si="74"/>
        <v>-2.8327344299951082E-2</v>
      </c>
      <c r="AC331" s="1">
        <f t="shared" si="75"/>
        <v>-0.18817676557553609</v>
      </c>
      <c r="AD331" s="35">
        <f>IF(W331&gt;=FinalAgeForPremium, AE331*Delta-Z331*(Y331-AE331),AE331*Delta+PremiumRevisedForLimitedTerm-Z331*(Y331-AE331))</f>
        <v>-5.5058294710232381E-3</v>
      </c>
      <c r="AE331" s="35">
        <f>AE330-StepSize*AD330</f>
        <v>2.002683469617815E-2</v>
      </c>
      <c r="AF331" s="1"/>
    </row>
    <row r="332" spans="11:32" x14ac:dyDescent="0.45">
      <c r="K332" s="40">
        <f t="shared" si="76"/>
        <v>3.07</v>
      </c>
      <c r="L332" s="41">
        <f t="shared" si="68"/>
        <v>23.07</v>
      </c>
      <c r="M332">
        <f t="shared" si="77"/>
        <v>0.90329735662634236</v>
      </c>
      <c r="N332">
        <f t="shared" si="78"/>
        <v>9.6702643373657887E-2</v>
      </c>
      <c r="O332">
        <f t="shared" si="69"/>
        <v>7.3017894794205937E-2</v>
      </c>
      <c r="P332">
        <f t="shared" si="70"/>
        <v>0.5</v>
      </c>
      <c r="Q332">
        <f t="shared" si="79"/>
        <v>-1.7605549667197642E-2</v>
      </c>
      <c r="R332" s="6">
        <f t="shared" si="80"/>
        <v>1.7605549667197642E-2</v>
      </c>
      <c r="S332" s="18">
        <f t="shared" si="81"/>
        <v>1.0000000000000002</v>
      </c>
      <c r="T332" s="15"/>
      <c r="U332" s="15"/>
      <c r="V332" s="40">
        <f t="shared" si="82"/>
        <v>6.93</v>
      </c>
      <c r="W332" s="41">
        <f t="shared" si="71"/>
        <v>26.93</v>
      </c>
      <c r="X332">
        <f t="shared" si="83"/>
        <v>-3.7929336087943702E-2</v>
      </c>
      <c r="Y332">
        <f t="shared" si="84"/>
        <v>1.4431852761266506</v>
      </c>
      <c r="Z332" s="33">
        <f t="shared" si="72"/>
        <v>0.10183465338926759</v>
      </c>
      <c r="AA332" s="33">
        <f t="shared" si="73"/>
        <v>0.5</v>
      </c>
      <c r="AB332">
        <f t="shared" si="74"/>
        <v>-2.8346066271702219E-2</v>
      </c>
      <c r="AC332" s="1">
        <f t="shared" si="75"/>
        <v>-0.18728343008637027</v>
      </c>
      <c r="AD332" s="35">
        <f>IF(W332&gt;=FinalAgeForPremium, AE332*Delta-Z332*(Y332-AE332),AE332*Delta+PremiumRevisedForLimitedTerm-Z332*(Y332-AE332))</f>
        <v>-5.5643156349334533E-3</v>
      </c>
      <c r="AE332" s="35">
        <f>AE331-StepSize*AD331</f>
        <v>2.0081892990888382E-2</v>
      </c>
      <c r="AF332" s="1"/>
    </row>
    <row r="333" spans="11:32" x14ac:dyDescent="0.45">
      <c r="K333" s="40">
        <f t="shared" si="76"/>
        <v>3.08</v>
      </c>
      <c r="L333" s="41">
        <f t="shared" si="68"/>
        <v>23.08</v>
      </c>
      <c r="M333">
        <f t="shared" si="77"/>
        <v>0.90312130112967037</v>
      </c>
      <c r="N333">
        <f t="shared" si="78"/>
        <v>9.6878698870329863E-2</v>
      </c>
      <c r="O333">
        <f t="shared" si="69"/>
        <v>7.3080847055291442E-2</v>
      </c>
      <c r="P333">
        <f t="shared" si="70"/>
        <v>0.5</v>
      </c>
      <c r="Q333">
        <f t="shared" si="79"/>
        <v>-1.7561520245068317E-2</v>
      </c>
      <c r="R333" s="6">
        <f t="shared" si="80"/>
        <v>1.7561520245068317E-2</v>
      </c>
      <c r="S333" s="18">
        <f t="shared" si="81"/>
        <v>1.0000000000000002</v>
      </c>
      <c r="T333" s="15"/>
      <c r="U333" s="15"/>
      <c r="V333" s="40">
        <f t="shared" si="82"/>
        <v>6.92</v>
      </c>
      <c r="W333" s="41">
        <f t="shared" si="71"/>
        <v>26.92</v>
      </c>
      <c r="X333">
        <f t="shared" si="83"/>
        <v>-3.7645875425226683E-2</v>
      </c>
      <c r="Y333">
        <f t="shared" si="84"/>
        <v>1.4450581104275142</v>
      </c>
      <c r="Z333" s="33">
        <f t="shared" si="72"/>
        <v>0.1017469324343796</v>
      </c>
      <c r="AA333" s="33">
        <f t="shared" si="73"/>
        <v>0.5</v>
      </c>
      <c r="AB333">
        <f t="shared" si="74"/>
        <v>-2.8363682342657834E-2</v>
      </c>
      <c r="AC333" s="1">
        <f t="shared" si="75"/>
        <v>-0.18639510155225381</v>
      </c>
      <c r="AD333" s="35">
        <f>IF(W333&gt;=FinalAgeForPremium, AE333*Delta-Z333*(Y333-AE333),AE333*Delta+PremiumRevisedForLimitedTerm-Z333*(Y333-AE333))</f>
        <v>-5.6215911140442276E-3</v>
      </c>
      <c r="AE333" s="35">
        <f>AE332-StepSize*AD332</f>
        <v>2.0137536147237716E-2</v>
      </c>
      <c r="AF333" s="1"/>
    </row>
    <row r="334" spans="11:32" x14ac:dyDescent="0.45">
      <c r="K334" s="40">
        <f t="shared" si="76"/>
        <v>3.09</v>
      </c>
      <c r="L334" s="41">
        <f t="shared" si="68"/>
        <v>23.09</v>
      </c>
      <c r="M334">
        <f t="shared" si="77"/>
        <v>0.90294568592721969</v>
      </c>
      <c r="N334">
        <f t="shared" si="78"/>
        <v>9.7054314072780548E-2</v>
      </c>
      <c r="O334">
        <f t="shared" si="69"/>
        <v>7.3143853590568075E-2</v>
      </c>
      <c r="P334">
        <f t="shared" si="70"/>
        <v>0.5</v>
      </c>
      <c r="Q334">
        <f t="shared" si="79"/>
        <v>-1.7517770015305349E-2</v>
      </c>
      <c r="R334" s="6">
        <f t="shared" si="80"/>
        <v>1.7517770015305349E-2</v>
      </c>
      <c r="S334" s="18">
        <f t="shared" si="81"/>
        <v>1.0000000000000002</v>
      </c>
      <c r="T334" s="15"/>
      <c r="U334" s="15"/>
      <c r="V334" s="40">
        <f t="shared" si="82"/>
        <v>6.91</v>
      </c>
      <c r="W334" s="41">
        <f t="shared" si="71"/>
        <v>26.91</v>
      </c>
      <c r="X334">
        <f t="shared" si="83"/>
        <v>-3.7362238601800102E-2</v>
      </c>
      <c r="Y334">
        <f t="shared" si="84"/>
        <v>1.4469220614430367</v>
      </c>
      <c r="Z334" s="33">
        <f t="shared" si="72"/>
        <v>0.10165928704282555</v>
      </c>
      <c r="AA334" s="33">
        <f t="shared" si="73"/>
        <v>0.5</v>
      </c>
      <c r="AB334">
        <f t="shared" si="74"/>
        <v>-2.8380201944159814E-2</v>
      </c>
      <c r="AC334" s="1">
        <f t="shared" si="75"/>
        <v>-0.18551174690542982</v>
      </c>
      <c r="AD334" s="35">
        <f>IF(W334&gt;=FinalAgeForPremium, AE334*Delta-Z334*(Y334-AE334),AE334*Delta+PremiumRevisedForLimitedTerm-Z334*(Y334-AE334))</f>
        <v>-5.6776656586947638E-3</v>
      </c>
      <c r="AE334" s="35">
        <f>AE333-StepSize*AD333</f>
        <v>2.0193752058378159E-2</v>
      </c>
      <c r="AF334" s="1"/>
    </row>
    <row r="335" spans="11:32" x14ac:dyDescent="0.45">
      <c r="K335" s="40">
        <f t="shared" si="76"/>
        <v>3.1</v>
      </c>
      <c r="L335" s="41">
        <f t="shared" si="68"/>
        <v>23.1</v>
      </c>
      <c r="M335">
        <f t="shared" si="77"/>
        <v>0.90277050822706661</v>
      </c>
      <c r="N335">
        <f t="shared" si="78"/>
        <v>9.7229491772933607E-2</v>
      </c>
      <c r="O335">
        <f t="shared" si="69"/>
        <v>7.3206914446828211E-2</v>
      </c>
      <c r="P335">
        <f t="shared" si="70"/>
        <v>0.5</v>
      </c>
      <c r="Q335">
        <f t="shared" si="79"/>
        <v>-1.7474297474431688E-2</v>
      </c>
      <c r="R335" s="6">
        <f t="shared" si="80"/>
        <v>1.7474297474431688E-2</v>
      </c>
      <c r="S335" s="18">
        <f t="shared" si="81"/>
        <v>1.0000000000000002</v>
      </c>
      <c r="T335" s="15"/>
      <c r="U335" s="15"/>
      <c r="V335" s="40">
        <f t="shared" si="82"/>
        <v>6.9</v>
      </c>
      <c r="W335" s="41">
        <f t="shared" si="71"/>
        <v>26.9</v>
      </c>
      <c r="X335">
        <f t="shared" si="83"/>
        <v>-3.7078436582358501E-2</v>
      </c>
      <c r="Y335">
        <f t="shared" si="84"/>
        <v>1.4487771789120909</v>
      </c>
      <c r="Z335" s="33">
        <f t="shared" si="72"/>
        <v>0.10157171714951485</v>
      </c>
      <c r="AA335" s="33">
        <f t="shared" si="73"/>
        <v>0.5</v>
      </c>
      <c r="AB335">
        <f t="shared" si="74"/>
        <v>-2.839563443379077E-2</v>
      </c>
      <c r="AC335" s="1">
        <f t="shared" si="75"/>
        <v>-0.1846333333071708</v>
      </c>
      <c r="AD335" s="35">
        <f>IF(W335&gt;=FinalAgeForPremium, AE335*Delta-Z335*(Y335-AE335),AE335*Delta+PremiumRevisedForLimitedTerm-Z335*(Y335-AE335))</f>
        <v>-5.7325489443716127E-3</v>
      </c>
      <c r="AE335" s="35">
        <f>AE334-StepSize*AD334</f>
        <v>2.0250528714965105E-2</v>
      </c>
      <c r="AF335" s="1"/>
    </row>
    <row r="336" spans="11:32" x14ac:dyDescent="0.45">
      <c r="K336" s="40">
        <f t="shared" si="76"/>
        <v>3.11</v>
      </c>
      <c r="L336" s="41">
        <f t="shared" si="68"/>
        <v>23.11</v>
      </c>
      <c r="M336">
        <f t="shared" si="77"/>
        <v>0.90259576525232232</v>
      </c>
      <c r="N336">
        <f t="shared" si="78"/>
        <v>9.7404234747677926E-2</v>
      </c>
      <c r="O336">
        <f t="shared" si="69"/>
        <v>7.3270029670904568E-2</v>
      </c>
      <c r="P336">
        <f t="shared" si="70"/>
        <v>0.5</v>
      </c>
      <c r="Q336">
        <f t="shared" si="79"/>
        <v>-1.7431101127031515E-2</v>
      </c>
      <c r="R336" s="6">
        <f t="shared" si="80"/>
        <v>1.7431101127031515E-2</v>
      </c>
      <c r="S336" s="18">
        <f t="shared" si="81"/>
        <v>1.0000000000000002</v>
      </c>
      <c r="T336" s="15"/>
      <c r="U336" s="15"/>
      <c r="V336" s="40">
        <f t="shared" si="82"/>
        <v>6.89</v>
      </c>
      <c r="W336" s="41">
        <f t="shared" si="71"/>
        <v>26.89</v>
      </c>
      <c r="X336">
        <f t="shared" si="83"/>
        <v>-3.6794480238020594E-2</v>
      </c>
      <c r="Y336">
        <f t="shared" si="84"/>
        <v>1.4506235122451625</v>
      </c>
      <c r="Z336" s="33">
        <f t="shared" si="72"/>
        <v>0.10148422268941286</v>
      </c>
      <c r="AA336" s="33">
        <f t="shared" si="73"/>
        <v>0.5</v>
      </c>
      <c r="AB336">
        <f t="shared" si="74"/>
        <v>-2.8409989095956156E-2</v>
      </c>
      <c r="AC336" s="1">
        <f t="shared" si="75"/>
        <v>-0.18375982814615033</v>
      </c>
      <c r="AD336" s="35">
        <f>IF(W336&gt;=FinalAgeForPremium, AE336*Delta-Z336*(Y336-AE336),AE336*Delta+PremiumRevisedForLimitedTerm-Z336*(Y336-AE336))</f>
        <v>-5.7862505722949542E-3</v>
      </c>
      <c r="AE336" s="35">
        <f>AE335-StepSize*AD335</f>
        <v>2.030785420440882E-2</v>
      </c>
      <c r="AF336" s="1"/>
    </row>
    <row r="337" spans="11:32" x14ac:dyDescent="0.45">
      <c r="K337" s="40">
        <f t="shared" si="76"/>
        <v>3.12</v>
      </c>
      <c r="L337" s="41">
        <f t="shared" si="68"/>
        <v>23.12</v>
      </c>
      <c r="M337">
        <f t="shared" si="77"/>
        <v>0.90242145424105202</v>
      </c>
      <c r="N337">
        <f t="shared" si="78"/>
        <v>9.757854575894824E-2</v>
      </c>
      <c r="O337">
        <f t="shared" si="69"/>
        <v>7.333319930967036E-2</v>
      </c>
      <c r="P337">
        <f t="shared" si="70"/>
        <v>0.5</v>
      </c>
      <c r="Q337">
        <f t="shared" si="79"/>
        <v>-1.7388179485707513E-2</v>
      </c>
      <c r="R337" s="6">
        <f t="shared" si="80"/>
        <v>1.7388179485707513E-2</v>
      </c>
      <c r="S337" s="18">
        <f t="shared" si="81"/>
        <v>1.0000000000000002</v>
      </c>
      <c r="T337" s="15"/>
      <c r="U337" s="15"/>
      <c r="V337" s="40">
        <f t="shared" si="82"/>
        <v>6.88</v>
      </c>
      <c r="W337" s="41">
        <f t="shared" si="71"/>
        <v>26.88</v>
      </c>
      <c r="X337">
        <f t="shared" si="83"/>
        <v>-3.6510380347061035E-2</v>
      </c>
      <c r="Y337">
        <f t="shared" si="84"/>
        <v>1.4524611105266241</v>
      </c>
      <c r="Z337" s="33">
        <f t="shared" si="72"/>
        <v>0.10139680359754089</v>
      </c>
      <c r="AA337" s="33">
        <f t="shared" si="73"/>
        <v>0.5</v>
      </c>
      <c r="AB337">
        <f t="shared" si="74"/>
        <v>-2.8423275142462068E-2</v>
      </c>
      <c r="AC337" s="1">
        <f t="shared" si="75"/>
        <v>-0.18289119903682627</v>
      </c>
      <c r="AD337" s="35">
        <f>IF(W337&gt;=FinalAgeForPremium, AE337*Delta-Z337*(Y337-AE337),AE337*Delta+PremiumRevisedForLimitedTerm-Z337*(Y337-AE337))</f>
        <v>-5.8387800700006875E-3</v>
      </c>
      <c r="AE337" s="35">
        <f>AE336-StepSize*AD336</f>
        <v>2.0365716710131768E-2</v>
      </c>
      <c r="AF337" s="1"/>
    </row>
    <row r="338" spans="11:32" x14ac:dyDescent="0.45">
      <c r="K338" s="40">
        <f t="shared" si="76"/>
        <v>3.13</v>
      </c>
      <c r="L338" s="41">
        <f t="shared" si="68"/>
        <v>23.13</v>
      </c>
      <c r="M338">
        <f t="shared" si="77"/>
        <v>0.90224757244619491</v>
      </c>
      <c r="N338">
        <f t="shared" si="78"/>
        <v>9.775242755380531E-2</v>
      </c>
      <c r="O338">
        <f t="shared" si="69"/>
        <v>7.3396423410039019E-2</v>
      </c>
      <c r="P338">
        <f t="shared" si="70"/>
        <v>0.5</v>
      </c>
      <c r="Q338">
        <f t="shared" si="79"/>
        <v>-1.7345531071038117E-2</v>
      </c>
      <c r="R338" s="6">
        <f t="shared" si="80"/>
        <v>1.7345531071038117E-2</v>
      </c>
      <c r="S338" s="18">
        <f t="shared" si="81"/>
        <v>1.0000000000000002</v>
      </c>
      <c r="T338" s="15"/>
      <c r="U338" s="15"/>
      <c r="V338" s="40">
        <f t="shared" si="82"/>
        <v>6.87</v>
      </c>
      <c r="W338" s="41">
        <f t="shared" si="71"/>
        <v>26.87</v>
      </c>
      <c r="X338">
        <f t="shared" si="83"/>
        <v>-3.6226147595636415E-2</v>
      </c>
      <c r="Y338">
        <f t="shared" si="84"/>
        <v>1.4542900225169924</v>
      </c>
      <c r="Z338" s="33">
        <f t="shared" si="72"/>
        <v>0.10130945980897643</v>
      </c>
      <c r="AA338" s="33">
        <f t="shared" si="73"/>
        <v>0.5</v>
      </c>
      <c r="AB338">
        <f t="shared" si="74"/>
        <v>-2.8435501713089006E-2</v>
      </c>
      <c r="AC338" s="1">
        <f t="shared" si="75"/>
        <v>-0.18202741381783594</v>
      </c>
      <c r="AD338" s="35">
        <f>IF(W338&gt;=FinalAgeForPremium, AE338*Delta-Z338*(Y338-AE338),AE338*Delta+PremiumRevisedForLimitedTerm-Z338*(Y338-AE338))</f>
        <v>-5.8901468919181077E-3</v>
      </c>
      <c r="AE338" s="35">
        <f>AE337-StepSize*AD337</f>
        <v>2.0424104510831775E-2</v>
      </c>
      <c r="AF338" s="1"/>
    </row>
    <row r="339" spans="11:32" x14ac:dyDescent="0.45">
      <c r="K339" s="40">
        <f t="shared" si="76"/>
        <v>3.14</v>
      </c>
      <c r="L339" s="41">
        <f t="shared" si="68"/>
        <v>23.14</v>
      </c>
      <c r="M339">
        <f t="shared" si="77"/>
        <v>0.90207411713548458</v>
      </c>
      <c r="N339">
        <f t="shared" si="78"/>
        <v>9.7925882864515687E-2</v>
      </c>
      <c r="O339">
        <f t="shared" si="69"/>
        <v>7.3459702018964623E-2</v>
      </c>
      <c r="P339">
        <f t="shared" si="70"/>
        <v>0.5</v>
      </c>
      <c r="Q339">
        <f t="shared" si="79"/>
        <v>-1.7303154411535439E-2</v>
      </c>
      <c r="R339" s="6">
        <f t="shared" si="80"/>
        <v>1.7303154411535439E-2</v>
      </c>
      <c r="S339" s="18">
        <f t="shared" si="81"/>
        <v>1.0000000000000002</v>
      </c>
      <c r="T339" s="15"/>
      <c r="U339" s="15"/>
      <c r="V339" s="40">
        <f t="shared" si="82"/>
        <v>6.86</v>
      </c>
      <c r="W339" s="41">
        <f t="shared" si="71"/>
        <v>26.86</v>
      </c>
      <c r="X339">
        <f t="shared" si="83"/>
        <v>-3.5941792578505528E-2</v>
      </c>
      <c r="Y339">
        <f t="shared" si="84"/>
        <v>1.4561102966551707</v>
      </c>
      <c r="Z339" s="33">
        <f t="shared" si="72"/>
        <v>0.10122219125885272</v>
      </c>
      <c r="AA339" s="33">
        <f t="shared" si="73"/>
        <v>0.5</v>
      </c>
      <c r="AB339">
        <f t="shared" si="74"/>
        <v>-2.8446677876159551E-2</v>
      </c>
      <c r="AC339" s="1">
        <f t="shared" si="75"/>
        <v>-0.18116844055040338</v>
      </c>
      <c r="AD339" s="35">
        <f>IF(W339&gt;=FinalAgeForPremium, AE339*Delta-Z339*(Y339-AE339),AE339*Delta+PremiumRevisedForLimitedTerm-Z339*(Y339-AE339))</f>
        <v>-5.9403604199417814E-3</v>
      </c>
      <c r="AE339" s="35">
        <f>AE338-StepSize*AD338</f>
        <v>2.0483005979750956E-2</v>
      </c>
      <c r="AF339" s="1"/>
    </row>
    <row r="340" spans="11:32" x14ac:dyDescent="0.45">
      <c r="K340" s="40">
        <f t="shared" si="76"/>
        <v>3.15</v>
      </c>
      <c r="L340" s="41">
        <f t="shared" si="68"/>
        <v>23.15</v>
      </c>
      <c r="M340">
        <f t="shared" si="77"/>
        <v>0.90190108559136917</v>
      </c>
      <c r="N340">
        <f t="shared" si="78"/>
        <v>9.8098914408631041E-2</v>
      </c>
      <c r="O340">
        <f t="shared" si="69"/>
        <v>7.3523035183441568E-2</v>
      </c>
      <c r="P340">
        <f t="shared" si="70"/>
        <v>0.5</v>
      </c>
      <c r="Q340">
        <f t="shared" si="79"/>
        <v>-1.7261048043602865E-2</v>
      </c>
      <c r="R340" s="6">
        <f t="shared" si="80"/>
        <v>1.7261048043602865E-2</v>
      </c>
      <c r="S340" s="18">
        <f t="shared" si="81"/>
        <v>1.0000000000000002</v>
      </c>
      <c r="T340" s="15"/>
      <c r="U340" s="15"/>
      <c r="V340" s="40">
        <f t="shared" si="82"/>
        <v>6.85</v>
      </c>
      <c r="W340" s="41">
        <f t="shared" si="71"/>
        <v>26.85</v>
      </c>
      <c r="X340">
        <f t="shared" si="83"/>
        <v>-3.5657325799743934E-2</v>
      </c>
      <c r="Y340">
        <f t="shared" si="84"/>
        <v>1.4579219810606747</v>
      </c>
      <c r="Z340" s="33">
        <f t="shared" si="72"/>
        <v>0.10113499788235895</v>
      </c>
      <c r="AA340" s="33">
        <f t="shared" si="73"/>
        <v>0.5</v>
      </c>
      <c r="AB340">
        <f t="shared" si="74"/>
        <v>-2.8456812629103115E-2</v>
      </c>
      <c r="AC340" s="1">
        <f t="shared" si="75"/>
        <v>-0.18031424751675695</v>
      </c>
      <c r="AD340" s="35">
        <f>IF(W340&gt;=FinalAgeForPremium, AE340*Delta-Z340*(Y340-AE340),AE340*Delta+PremiumRevisedForLimitedTerm-Z340*(Y340-AE340))</f>
        <v>-5.9894299640004811E-3</v>
      </c>
      <c r="AE340" s="35">
        <f>AE339-StepSize*AD339</f>
        <v>2.0542409583950375E-2</v>
      </c>
      <c r="AF340" s="1"/>
    </row>
    <row r="341" spans="11:32" x14ac:dyDescent="0.45">
      <c r="K341" s="40">
        <f t="shared" si="76"/>
        <v>3.16</v>
      </c>
      <c r="L341" s="41">
        <f t="shared" si="68"/>
        <v>23.16</v>
      </c>
      <c r="M341">
        <f t="shared" si="77"/>
        <v>0.90172847511093313</v>
      </c>
      <c r="N341">
        <f t="shared" si="78"/>
        <v>9.8271524889067069E-2</v>
      </c>
      <c r="O341">
        <f t="shared" si="69"/>
        <v>7.3586422950504882E-2</v>
      </c>
      <c r="P341">
        <f t="shared" si="70"/>
        <v>0.5</v>
      </c>
      <c r="Q341">
        <f t="shared" si="79"/>
        <v>-1.7219210511493402E-2</v>
      </c>
      <c r="R341" s="6">
        <f t="shared" si="80"/>
        <v>1.7219210511493402E-2</v>
      </c>
      <c r="S341" s="18">
        <f t="shared" si="81"/>
        <v>1.0000000000000002</v>
      </c>
      <c r="T341" s="15"/>
      <c r="U341" s="15"/>
      <c r="V341" s="40">
        <f t="shared" si="82"/>
        <v>6.84</v>
      </c>
      <c r="W341" s="41">
        <f t="shared" si="71"/>
        <v>26.84</v>
      </c>
      <c r="X341">
        <f t="shared" si="83"/>
        <v>-3.5372757673452902E-2</v>
      </c>
      <c r="Y341">
        <f t="shared" si="84"/>
        <v>1.4597251235358424</v>
      </c>
      <c r="Z341" s="33">
        <f t="shared" si="72"/>
        <v>0.1010478796147401</v>
      </c>
      <c r="AA341" s="33">
        <f t="shared" si="73"/>
        <v>0.5</v>
      </c>
      <c r="AB341">
        <f t="shared" si="74"/>
        <v>-2.8465914899014844E-2</v>
      </c>
      <c r="AC341" s="1">
        <f t="shared" si="75"/>
        <v>-0.17946480321856029</v>
      </c>
      <c r="AD341" s="35">
        <f>IF(W341&gt;=FinalAgeForPremium, AE341*Delta-Z341*(Y341-AE341),AE341*Delta+PremiumRevisedForLimitedTerm-Z341*(Y341-AE341))</f>
        <v>-6.0373647626200122E-3</v>
      </c>
      <c r="AE341" s="35">
        <f>AE340-StepSize*AD340</f>
        <v>2.060230388359038E-2</v>
      </c>
      <c r="AF341" s="1"/>
    </row>
    <row r="342" spans="11:32" x14ac:dyDescent="0.45">
      <c r="K342" s="40">
        <f t="shared" si="76"/>
        <v>3.17</v>
      </c>
      <c r="L342" s="41">
        <f t="shared" si="68"/>
        <v>23.17</v>
      </c>
      <c r="M342">
        <f t="shared" si="77"/>
        <v>0.90155628300581814</v>
      </c>
      <c r="N342">
        <f t="shared" si="78"/>
        <v>9.8443716994182001E-2</v>
      </c>
      <c r="O342">
        <f t="shared" si="69"/>
        <v>7.3649865367230075E-2</v>
      </c>
      <c r="P342">
        <f t="shared" si="70"/>
        <v>0.5</v>
      </c>
      <c r="Q342">
        <f t="shared" si="79"/>
        <v>-1.7177640367267877E-2</v>
      </c>
      <c r="R342" s="6">
        <f t="shared" si="80"/>
        <v>1.7177640367267877E-2</v>
      </c>
      <c r="S342" s="18">
        <f t="shared" si="81"/>
        <v>1.0000000000000002</v>
      </c>
      <c r="T342" s="15"/>
      <c r="U342" s="15"/>
      <c r="V342" s="40">
        <f t="shared" si="82"/>
        <v>6.83</v>
      </c>
      <c r="W342" s="41">
        <f t="shared" si="71"/>
        <v>26.83</v>
      </c>
      <c r="X342">
        <f t="shared" si="83"/>
        <v>-3.5088098524462756E-2</v>
      </c>
      <c r="Y342">
        <f t="shared" si="84"/>
        <v>1.4615197715680279</v>
      </c>
      <c r="Z342" s="33">
        <f t="shared" si="72"/>
        <v>0.10096083639129701</v>
      </c>
      <c r="AA342" s="33">
        <f t="shared" si="73"/>
        <v>0.5</v>
      </c>
      <c r="AB342">
        <f t="shared" si="74"/>
        <v>-2.847399354321091E-2</v>
      </c>
      <c r="AC342" s="1">
        <f t="shared" si="75"/>
        <v>-0.17862007637535326</v>
      </c>
      <c r="AD342" s="35">
        <f>IF(W342&gt;=FinalAgeForPremium, AE342*Delta-Z342*(Y342-AE342),AE342*Delta+PremiumRevisedForLimitedTerm-Z342*(Y342-AE342))</f>
        <v>-6.0841739834827935E-3</v>
      </c>
      <c r="AE342" s="35">
        <f>AE341-StepSize*AD341</f>
        <v>2.0662677531216582E-2</v>
      </c>
      <c r="AF342" s="1"/>
    </row>
    <row r="343" spans="11:32" x14ac:dyDescent="0.45">
      <c r="K343" s="40">
        <f t="shared" si="76"/>
        <v>3.18</v>
      </c>
      <c r="L343" s="41">
        <f t="shared" si="68"/>
        <v>23.18</v>
      </c>
      <c r="M343">
        <f t="shared" si="77"/>
        <v>0.90138450660214542</v>
      </c>
      <c r="N343">
        <f t="shared" si="78"/>
        <v>9.8615493397854678E-2</v>
      </c>
      <c r="O343">
        <f t="shared" si="69"/>
        <v>7.3713362480733249E-2</v>
      </c>
      <c r="P343">
        <f t="shared" si="70"/>
        <v>0.5</v>
      </c>
      <c r="Q343">
        <f t="shared" si="79"/>
        <v>-1.7136336170753504E-2</v>
      </c>
      <c r="R343" s="6">
        <f t="shared" si="80"/>
        <v>1.7136336170753504E-2</v>
      </c>
      <c r="S343" s="18">
        <f t="shared" si="81"/>
        <v>1</v>
      </c>
      <c r="T343" s="15"/>
      <c r="U343" s="15"/>
      <c r="V343" s="40">
        <f t="shared" si="82"/>
        <v>6.82</v>
      </c>
      <c r="W343" s="41">
        <f t="shared" si="71"/>
        <v>26.82</v>
      </c>
      <c r="X343">
        <f t="shared" si="83"/>
        <v>-3.480335858903065E-2</v>
      </c>
      <c r="Y343">
        <f t="shared" si="84"/>
        <v>1.4633059723317814</v>
      </c>
      <c r="Z343" s="33">
        <f t="shared" si="72"/>
        <v>0.10087386814738614</v>
      </c>
      <c r="AA343" s="33">
        <f t="shared" si="73"/>
        <v>0.5</v>
      </c>
      <c r="AB343">
        <f t="shared" si="74"/>
        <v>-2.8481057349778724E-2</v>
      </c>
      <c r="AC343" s="1">
        <f t="shared" si="75"/>
        <v>-0.17778003592300495</v>
      </c>
      <c r="AD343" s="35">
        <f>IF(W343&gt;=FinalAgeForPremium, AE343*Delta-Z343*(Y343-AE343),AE343*Delta+PremiumRevisedForLimitedTerm-Z343*(Y343-AE343))</f>
        <v>-6.1298667239818305E-3</v>
      </c>
      <c r="AE343" s="35">
        <f>AE342-StepSize*AD342</f>
        <v>2.072351927105141E-2</v>
      </c>
      <c r="AF343" s="1"/>
    </row>
    <row r="344" spans="11:32" x14ac:dyDescent="0.45">
      <c r="K344" s="40">
        <f t="shared" si="76"/>
        <v>3.19</v>
      </c>
      <c r="L344" s="41">
        <f t="shared" si="68"/>
        <v>23.19</v>
      </c>
      <c r="M344">
        <f t="shared" si="77"/>
        <v>0.90121314324043789</v>
      </c>
      <c r="N344">
        <f t="shared" si="78"/>
        <v>9.8786856759562211E-2</v>
      </c>
      <c r="O344">
        <f t="shared" si="69"/>
        <v>7.3776914338171184E-2</v>
      </c>
      <c r="P344">
        <f t="shared" si="70"/>
        <v>0.5</v>
      </c>
      <c r="Q344">
        <f t="shared" si="79"/>
        <v>-1.7095296489502677E-2</v>
      </c>
      <c r="R344" s="6">
        <f t="shared" si="80"/>
        <v>1.7095296489502677E-2</v>
      </c>
      <c r="S344" s="18">
        <f t="shared" si="81"/>
        <v>1</v>
      </c>
      <c r="T344" s="15"/>
      <c r="U344" s="15"/>
      <c r="V344" s="40">
        <f t="shared" si="82"/>
        <v>6.81</v>
      </c>
      <c r="W344" s="41">
        <f t="shared" si="71"/>
        <v>26.81</v>
      </c>
      <c r="X344">
        <f t="shared" si="83"/>
        <v>-3.4518548015532863E-2</v>
      </c>
      <c r="Y344">
        <f t="shared" si="84"/>
        <v>1.4650837726910115</v>
      </c>
      <c r="Z344" s="33">
        <f t="shared" si="72"/>
        <v>0.10078697481841968</v>
      </c>
      <c r="AA344" s="33">
        <f t="shared" si="73"/>
        <v>0.5</v>
      </c>
      <c r="AB344">
        <f t="shared" si="74"/>
        <v>-2.8487115038123179E-2</v>
      </c>
      <c r="AC344" s="1">
        <f t="shared" si="75"/>
        <v>-0.17694465101217727</v>
      </c>
      <c r="AD344" s="35">
        <f>IF(W344&gt;=FinalAgeForPremium, AE344*Delta-Z344*(Y344-AE344),AE344*Delta+PremiumRevisedForLimitedTerm-Z344*(Y344-AE344))</f>
        <v>-6.1744520117711643E-3</v>
      </c>
      <c r="AE344" s="35">
        <f>AE343-StepSize*AD343</f>
        <v>2.0784817938291227E-2</v>
      </c>
      <c r="AF344" s="1"/>
    </row>
    <row r="345" spans="11:32" x14ac:dyDescent="0.45">
      <c r="K345" s="40">
        <f t="shared" si="76"/>
        <v>3.2</v>
      </c>
      <c r="L345" s="41">
        <f t="shared" ref="L345:L408" si="85">$L$5+K345</f>
        <v>23.2</v>
      </c>
      <c r="M345">
        <f t="shared" si="77"/>
        <v>0.90104219027554289</v>
      </c>
      <c r="N345">
        <f t="shared" si="78"/>
        <v>9.8957809724457238E-2</v>
      </c>
      <c r="O345">
        <f t="shared" ref="O345:O408" si="86">mu01Parameter_B*mu01Parameter_c^L345</f>
        <v>7.3840520986741237E-2</v>
      </c>
      <c r="P345">
        <f t="shared" ref="P345:P408" si="87">mu10Constant</f>
        <v>0.5</v>
      </c>
      <c r="Q345">
        <f t="shared" si="79"/>
        <v>-1.7054519898751903E-2</v>
      </c>
      <c r="R345" s="6">
        <f t="shared" si="80"/>
        <v>1.7054519898751903E-2</v>
      </c>
      <c r="S345" s="18">
        <f t="shared" si="81"/>
        <v>1.0000000000000002</v>
      </c>
      <c r="T345" s="15"/>
      <c r="U345" s="15"/>
      <c r="V345" s="40">
        <f t="shared" si="82"/>
        <v>6.8</v>
      </c>
      <c r="W345" s="41">
        <f t="shared" ref="W345:W408" si="88">$L$5+V345</f>
        <v>26.8</v>
      </c>
      <c r="X345">
        <f t="shared" si="83"/>
        <v>-3.4233676865151628E-2</v>
      </c>
      <c r="Y345">
        <f t="shared" si="84"/>
        <v>1.4668532192011332</v>
      </c>
      <c r="Z345" s="33">
        <f t="shared" ref="Z345:Z408" si="89">mu01Parameter_B*mu01Parameter_c^W345</f>
        <v>0.10070015633986554</v>
      </c>
      <c r="AA345" s="33">
        <f t="shared" ref="AA345:AA408" si="90">mu10Constant</f>
        <v>0.5</v>
      </c>
      <c r="AB345">
        <f t="shared" ref="AB345:AB408" si="91">X345*Delta+Premium-Z345*(Y345-X345)</f>
        <v>-2.8492175259508284E-2</v>
      </c>
      <c r="AC345" s="1">
        <f t="shared" ref="AC345:AC408" si="92">Y345*Delta-AnnuityWhileSIck-AA345*(X345-Y345)</f>
        <v>-0.17611389100680086</v>
      </c>
      <c r="AD345" s="35">
        <f>IF(W345&gt;=FinalAgeForPremium, AE345*Delta-Z345*(Y345-AE345),AE345*Delta+PremiumRevisedForLimitedTerm-Z345*(Y345-AE345))</f>
        <v>-6.2179388053116291E-3</v>
      </c>
      <c r="AE345" s="35">
        <f>AE344-StepSize*AD344</f>
        <v>2.0846562458408938E-2</v>
      </c>
      <c r="AF345" s="1"/>
    </row>
    <row r="346" spans="11:32" x14ac:dyDescent="0.45">
      <c r="K346" s="40">
        <f t="shared" ref="K346:K409" si="93">ROUND(K345+StepSize,2)</f>
        <v>3.21</v>
      </c>
      <c r="L346" s="41">
        <f t="shared" si="85"/>
        <v>23.21</v>
      </c>
      <c r="M346">
        <f t="shared" ref="M346:M409" si="94">M345+StepSize*Q345</f>
        <v>0.90087164507655537</v>
      </c>
      <c r="N346">
        <f t="shared" ref="N346:N409" si="95">N345+StepSize*R345</f>
        <v>9.9128354923444753E-2</v>
      </c>
      <c r="O346">
        <f t="shared" si="86"/>
        <v>7.3904182473681523E-2</v>
      </c>
      <c r="P346">
        <f t="shared" si="87"/>
        <v>0.5</v>
      </c>
      <c r="Q346">
        <f t="shared" ref="Q346:Q409" si="96">N346*P346-M346*O346</f>
        <v>-1.7014004981381024E-2</v>
      </c>
      <c r="R346" s="6">
        <f t="shared" ref="R346:R409" si="97">M346*O346-N346*P346</f>
        <v>1.7014004981381024E-2</v>
      </c>
      <c r="S346" s="18">
        <f t="shared" ref="S346:S409" si="98">M346+N346</f>
        <v>1.0000000000000002</v>
      </c>
      <c r="T346" s="15"/>
      <c r="U346" s="15"/>
      <c r="V346" s="40">
        <f t="shared" ref="V346:V409" si="99">ROUND(V345-StepSize,2)</f>
        <v>6.79</v>
      </c>
      <c r="W346" s="41">
        <f t="shared" si="88"/>
        <v>26.79</v>
      </c>
      <c r="X346">
        <f t="shared" ref="X346:X409" si="100">X345-StepSize*AB345</f>
        <v>-3.3948755112556545E-2</v>
      </c>
      <c r="Y346">
        <f t="shared" ref="Y346:Y409" si="101">Y345-StepSize*AC345</f>
        <v>1.4686143581112012</v>
      </c>
      <c r="Z346" s="33">
        <f t="shared" si="89"/>
        <v>0.1006134126472471</v>
      </c>
      <c r="AA346" s="33">
        <f t="shared" si="90"/>
        <v>0.5</v>
      </c>
      <c r="AB346">
        <f t="shared" si="91"/>
        <v>-2.8496246597594366E-2</v>
      </c>
      <c r="AC346" s="1">
        <f t="shared" si="92"/>
        <v>-0.175287725482561</v>
      </c>
      <c r="AD346" s="35">
        <f>IF(W346&gt;=FinalAgeForPremium, AE346*Delta-Z346*(Y346-AE346),AE346*Delta+PremiumRevisedForLimitedTerm-Z346*(Y346-AE346))</f>
        <v>-6.2603359944117254E-3</v>
      </c>
      <c r="AE346" s="35">
        <f>AE345-StepSize*AD345</f>
        <v>2.0908741846462055E-2</v>
      </c>
      <c r="AF346" s="1"/>
    </row>
    <row r="347" spans="11:32" x14ac:dyDescent="0.45">
      <c r="K347" s="40">
        <f t="shared" si="93"/>
        <v>3.22</v>
      </c>
      <c r="L347" s="41">
        <f t="shared" si="85"/>
        <v>23.22</v>
      </c>
      <c r="M347">
        <f t="shared" si="94"/>
        <v>0.90070150502674151</v>
      </c>
      <c r="N347">
        <f t="shared" si="95"/>
        <v>9.9298494973258558E-2</v>
      </c>
      <c r="O347">
        <f t="shared" si="86"/>
        <v>7.3967898846270835E-2</v>
      </c>
      <c r="P347">
        <f t="shared" si="87"/>
        <v>0.5</v>
      </c>
      <c r="Q347">
        <f t="shared" si="96"/>
        <v>-1.6973750327872635E-2</v>
      </c>
      <c r="R347" s="6">
        <f t="shared" si="97"/>
        <v>1.6973750327872635E-2</v>
      </c>
      <c r="S347" s="18">
        <f t="shared" si="98"/>
        <v>1</v>
      </c>
      <c r="T347" s="15"/>
      <c r="U347" s="15"/>
      <c r="V347" s="40">
        <f t="shared" si="99"/>
        <v>6.78</v>
      </c>
      <c r="W347" s="41">
        <f t="shared" si="88"/>
        <v>26.78</v>
      </c>
      <c r="X347">
        <f t="shared" si="100"/>
        <v>-3.3663792646580599E-2</v>
      </c>
      <c r="Y347">
        <f t="shared" si="101"/>
        <v>1.4703672353660269</v>
      </c>
      <c r="Z347" s="33">
        <f t="shared" si="89"/>
        <v>0.10052674367614334</v>
      </c>
      <c r="AA347" s="33">
        <f t="shared" si="90"/>
        <v>0.5</v>
      </c>
      <c r="AB347">
        <f t="shared" si="91"/>
        <v>-2.849933756897112E-2</v>
      </c>
      <c r="AC347" s="1">
        <f t="shared" si="92"/>
        <v>-0.17446612422539498</v>
      </c>
      <c r="AD347" s="35">
        <f>IF(W347&gt;=FinalAgeForPremium, AE347*Delta-Z347*(Y347-AE347),AE347*Delta+PremiumRevisedForLimitedTerm-Z347*(Y347-AE347))</f>
        <v>-6.3016524007649399E-3</v>
      </c>
      <c r="AE347" s="35">
        <f>AE346-StepSize*AD346</f>
        <v>2.0971345206406172E-2</v>
      </c>
      <c r="AF347" s="1"/>
    </row>
    <row r="348" spans="11:32" x14ac:dyDescent="0.45">
      <c r="K348" s="40">
        <f t="shared" si="93"/>
        <v>3.23</v>
      </c>
      <c r="L348" s="41">
        <f t="shared" si="85"/>
        <v>23.23</v>
      </c>
      <c r="M348">
        <f t="shared" si="94"/>
        <v>0.90053176752346276</v>
      </c>
      <c r="N348">
        <f t="shared" si="95"/>
        <v>9.9468232476537286E-2</v>
      </c>
      <c r="O348">
        <f t="shared" si="86"/>
        <v>7.4031670151828793E-2</v>
      </c>
      <c r="P348">
        <f t="shared" si="87"/>
        <v>0.5</v>
      </c>
      <c r="Q348">
        <f t="shared" si="96"/>
        <v>-1.6933754536271724E-2</v>
      </c>
      <c r="R348" s="6">
        <f t="shared" si="97"/>
        <v>1.6933754536271724E-2</v>
      </c>
      <c r="S348" s="18">
        <f t="shared" si="98"/>
        <v>1</v>
      </c>
      <c r="T348" s="15"/>
      <c r="U348" s="15"/>
      <c r="V348" s="40">
        <f t="shared" si="99"/>
        <v>6.77</v>
      </c>
      <c r="W348" s="41">
        <f t="shared" si="88"/>
        <v>26.77</v>
      </c>
      <c r="X348">
        <f t="shared" si="100"/>
        <v>-3.3378799270890887E-2</v>
      </c>
      <c r="Y348">
        <f t="shared" si="101"/>
        <v>1.4721118966082809</v>
      </c>
      <c r="Z348" s="33">
        <f t="shared" si="89"/>
        <v>0.10044014936218865</v>
      </c>
      <c r="AA348" s="33">
        <f t="shared" si="90"/>
        <v>0.5</v>
      </c>
      <c r="AB348">
        <f t="shared" si="91"/>
        <v>-2.8501456623686222E-2</v>
      </c>
      <c r="AC348" s="1">
        <f t="shared" si="92"/>
        <v>-0.17364905723000001</v>
      </c>
      <c r="AD348" s="35">
        <f>IF(W348&gt;=FinalAgeForPremium, AE348*Delta-Z348*(Y348-AE348),AE348*Delta+PremiumRevisedForLimitedTerm-Z348*(Y348-AE348))</f>
        <v>-6.3418967784822367E-3</v>
      </c>
      <c r="AE348" s="35">
        <f>AE347-StepSize*AD347</f>
        <v>2.1034361730413821E-2</v>
      </c>
      <c r="AF348" s="1"/>
    </row>
    <row r="349" spans="11:32" x14ac:dyDescent="0.45">
      <c r="K349" s="40">
        <f t="shared" si="93"/>
        <v>3.24</v>
      </c>
      <c r="L349" s="41">
        <f t="shared" si="85"/>
        <v>23.240000000000002</v>
      </c>
      <c r="M349">
        <f t="shared" si="94"/>
        <v>0.90036242997810001</v>
      </c>
      <c r="N349">
        <f t="shared" si="95"/>
        <v>9.9637570021900004E-2</v>
      </c>
      <c r="O349">
        <f t="shared" si="86"/>
        <v>7.4095496437715694E-2</v>
      </c>
      <c r="P349">
        <f t="shared" si="87"/>
        <v>0.5</v>
      </c>
      <c r="Q349">
        <f t="shared" si="96"/>
        <v>-1.6894016212145348E-2</v>
      </c>
      <c r="R349" s="6">
        <f t="shared" si="97"/>
        <v>1.6894016212145348E-2</v>
      </c>
      <c r="S349" s="18">
        <f t="shared" si="98"/>
        <v>1</v>
      </c>
      <c r="T349" s="15"/>
      <c r="U349" s="15"/>
      <c r="V349" s="40">
        <f t="shared" si="99"/>
        <v>6.76</v>
      </c>
      <c r="W349" s="41">
        <f t="shared" si="88"/>
        <v>26.759999999999998</v>
      </c>
      <c r="X349">
        <f t="shared" si="100"/>
        <v>-3.3093784704654024E-2</v>
      </c>
      <c r="Y349">
        <f t="shared" si="101"/>
        <v>1.473848387180581</v>
      </c>
      <c r="Z349" s="33">
        <f t="shared" si="89"/>
        <v>0.10035362964107304</v>
      </c>
      <c r="AA349" s="33">
        <f t="shared" si="90"/>
        <v>0.5</v>
      </c>
      <c r="AB349">
        <f t="shared" si="91"/>
        <v>-2.8502612145770129E-2</v>
      </c>
      <c r="AC349" s="1">
        <f t="shared" si="92"/>
        <v>-0.17283649469835349</v>
      </c>
      <c r="AD349" s="35">
        <f>IF(W349&gt;=FinalAgeForPremium, AE349*Delta-Z349*(Y349-AE349),AE349*Delta+PremiumRevisedForLimitedTerm-Z349*(Y349-AE349))</f>
        <v>-6.3810778146207447E-3</v>
      </c>
      <c r="AE349" s="35">
        <f>AE348-StepSize*AD348</f>
        <v>2.1097780698198645E-2</v>
      </c>
      <c r="AF349" s="1"/>
    </row>
    <row r="350" spans="11:32" x14ac:dyDescent="0.45">
      <c r="K350" s="40">
        <f t="shared" si="93"/>
        <v>3.25</v>
      </c>
      <c r="L350" s="41">
        <f t="shared" si="85"/>
        <v>23.25</v>
      </c>
      <c r="M350">
        <f t="shared" si="94"/>
        <v>0.90019348981597858</v>
      </c>
      <c r="N350">
        <f t="shared" si="95"/>
        <v>9.9806510184021452E-2</v>
      </c>
      <c r="O350">
        <f t="shared" si="86"/>
        <v>7.4159377751332758E-2</v>
      </c>
      <c r="P350">
        <f t="shared" si="87"/>
        <v>0.5</v>
      </c>
      <c r="Q350">
        <f t="shared" si="96"/>
        <v>-1.6854533968542945E-2</v>
      </c>
      <c r="R350" s="6">
        <f t="shared" si="97"/>
        <v>1.6854533968542945E-2</v>
      </c>
      <c r="S350" s="18">
        <f t="shared" si="98"/>
        <v>1</v>
      </c>
      <c r="T350" s="15"/>
      <c r="U350" s="15"/>
      <c r="V350" s="40">
        <f t="shared" si="99"/>
        <v>6.75</v>
      </c>
      <c r="W350" s="41">
        <f t="shared" si="88"/>
        <v>26.75</v>
      </c>
      <c r="X350">
        <f t="shared" si="100"/>
        <v>-3.2808758583196325E-2</v>
      </c>
      <c r="Y350">
        <f t="shared" si="101"/>
        <v>1.4755767521275645</v>
      </c>
      <c r="Z350" s="33">
        <f t="shared" si="89"/>
        <v>0.10026718444854175</v>
      </c>
      <c r="AA350" s="33">
        <f t="shared" si="90"/>
        <v>0.5</v>
      </c>
      <c r="AB350">
        <f t="shared" si="91"/>
        <v>-2.8502812453755855E-2</v>
      </c>
      <c r="AC350" s="1">
        <f t="shared" si="92"/>
        <v>-0.17202840703824129</v>
      </c>
      <c r="AD350" s="35">
        <f>IF(W350&gt;=FinalAgeForPremium, AE350*Delta-Z350*(Y350-AE350),AE350*Delta+PremiumRevisedForLimitedTerm-Z350*(Y350-AE350))</f>
        <v>-6.4192041297075619E-3</v>
      </c>
      <c r="AE350" s="35">
        <f>AE349-StepSize*AD349</f>
        <v>2.1161591476344853E-2</v>
      </c>
      <c r="AF350" s="1"/>
    </row>
    <row r="351" spans="11:32" x14ac:dyDescent="0.45">
      <c r="K351" s="40">
        <f t="shared" si="93"/>
        <v>3.26</v>
      </c>
      <c r="L351" s="41">
        <f t="shared" si="85"/>
        <v>23.259999999999998</v>
      </c>
      <c r="M351">
        <f t="shared" si="94"/>
        <v>0.90002494447629311</v>
      </c>
      <c r="N351">
        <f t="shared" si="95"/>
        <v>9.9975055523706877E-2</v>
      </c>
      <c r="O351">
        <f t="shared" si="86"/>
        <v>7.4223314140122107E-2</v>
      </c>
      <c r="P351">
        <f t="shared" si="87"/>
        <v>0.5</v>
      </c>
      <c r="Q351">
        <f t="shared" si="96"/>
        <v>-1.6815306425956418E-2</v>
      </c>
      <c r="R351" s="6">
        <f t="shared" si="97"/>
        <v>1.6815306425956418E-2</v>
      </c>
      <c r="S351" s="18">
        <f t="shared" si="98"/>
        <v>1</v>
      </c>
      <c r="T351" s="15"/>
      <c r="U351" s="15"/>
      <c r="V351" s="40">
        <f t="shared" si="99"/>
        <v>6.74</v>
      </c>
      <c r="W351" s="41">
        <f t="shared" si="88"/>
        <v>26.740000000000002</v>
      </c>
      <c r="X351">
        <f t="shared" si="100"/>
        <v>-3.2523730458658764E-2</v>
      </c>
      <c r="Y351">
        <f t="shared" si="101"/>
        <v>1.4772970361979469</v>
      </c>
      <c r="Z351" s="33">
        <f t="shared" si="89"/>
        <v>0.10018081372039545</v>
      </c>
      <c r="AA351" s="33">
        <f t="shared" si="90"/>
        <v>0.5</v>
      </c>
      <c r="AB351">
        <f t="shared" si="91"/>
        <v>-2.8502065801195325E-2</v>
      </c>
      <c r="AC351" s="1">
        <f t="shared" si="92"/>
        <v>-0.17122476486179983</v>
      </c>
      <c r="AD351" s="35">
        <f>IF(W351&gt;=FinalAgeForPremium, AE351*Delta-Z351*(Y351-AE351),AE351*Delta+PremiumRevisedForLimitedTerm-Z351*(Y351-AE351))</f>
        <v>-6.4562842782598384E-3</v>
      </c>
      <c r="AE351" s="35">
        <f>AE350-StepSize*AD350</f>
        <v>2.1225783517641927E-2</v>
      </c>
      <c r="AF351" s="1"/>
    </row>
    <row r="352" spans="11:32" x14ac:dyDescent="0.45">
      <c r="K352" s="40">
        <f t="shared" si="93"/>
        <v>3.27</v>
      </c>
      <c r="L352" s="41">
        <f t="shared" si="85"/>
        <v>23.27</v>
      </c>
      <c r="M352">
        <f t="shared" si="94"/>
        <v>0.89985679141203356</v>
      </c>
      <c r="N352">
        <f t="shared" si="95"/>
        <v>0.10014320858796644</v>
      </c>
      <c r="O352">
        <f t="shared" si="86"/>
        <v>7.428730565156666E-2</v>
      </c>
      <c r="P352">
        <f t="shared" si="87"/>
        <v>0.5</v>
      </c>
      <c r="Q352">
        <f t="shared" si="96"/>
        <v>-1.6776332212280587E-2</v>
      </c>
      <c r="R352" s="6">
        <f t="shared" si="97"/>
        <v>1.6776332212280587E-2</v>
      </c>
      <c r="S352" s="18">
        <f t="shared" si="98"/>
        <v>1</v>
      </c>
      <c r="T352" s="15"/>
      <c r="U352" s="15"/>
      <c r="V352" s="40">
        <f t="shared" si="99"/>
        <v>6.73</v>
      </c>
      <c r="W352" s="41">
        <f t="shared" si="88"/>
        <v>26.73</v>
      </c>
      <c r="X352">
        <f t="shared" si="100"/>
        <v>-3.223870980064681E-2</v>
      </c>
      <c r="Y352">
        <f t="shared" si="101"/>
        <v>1.4790092838465649</v>
      </c>
      <c r="Z352" s="33">
        <f t="shared" si="89"/>
        <v>0.10009451739249009</v>
      </c>
      <c r="AA352" s="33">
        <f t="shared" si="90"/>
        <v>0.5</v>
      </c>
      <c r="AB352">
        <f t="shared" si="91"/>
        <v>-2.8500380377171286E-2</v>
      </c>
      <c r="AC352" s="1">
        <f t="shared" si="92"/>
        <v>-0.17042553898406587</v>
      </c>
      <c r="AD352" s="35">
        <f>IF(W352&gt;=FinalAgeForPremium, AE352*Delta-Z352*(Y352-AE352),AE352*Delta+PremiumRevisedForLimitedTerm-Z352*(Y352-AE352))</f>
        <v>-6.4923267493008641E-3</v>
      </c>
      <c r="AE352" s="35">
        <f>AE351-StepSize*AD351</f>
        <v>2.1290346360424525E-2</v>
      </c>
      <c r="AF352" s="1"/>
    </row>
    <row r="353" spans="11:32" x14ac:dyDescent="0.45">
      <c r="K353" s="40">
        <f t="shared" si="93"/>
        <v>3.28</v>
      </c>
      <c r="L353" s="41">
        <f t="shared" si="85"/>
        <v>23.28</v>
      </c>
      <c r="M353">
        <f t="shared" si="94"/>
        <v>0.8996890280899108</v>
      </c>
      <c r="N353">
        <f t="shared" si="95"/>
        <v>0.10031097191008924</v>
      </c>
      <c r="O353">
        <f t="shared" si="86"/>
        <v>7.4351352333190388E-2</v>
      </c>
      <c r="P353">
        <f t="shared" si="87"/>
        <v>0.5</v>
      </c>
      <c r="Q353">
        <f t="shared" si="96"/>
        <v>-1.6737609962773965E-2</v>
      </c>
      <c r="R353" s="6">
        <f t="shared" si="97"/>
        <v>1.6737609962773965E-2</v>
      </c>
      <c r="S353" s="18">
        <f t="shared" si="98"/>
        <v>1</v>
      </c>
      <c r="T353" s="15"/>
      <c r="U353" s="15"/>
      <c r="V353" s="40">
        <f t="shared" si="99"/>
        <v>6.72</v>
      </c>
      <c r="W353" s="41">
        <f t="shared" si="88"/>
        <v>26.72</v>
      </c>
      <c r="X353">
        <f t="shared" si="100"/>
        <v>-3.1953705996875095E-2</v>
      </c>
      <c r="Y353">
        <f t="shared" si="101"/>
        <v>1.4807135392364057</v>
      </c>
      <c r="Z353" s="33">
        <f t="shared" si="89"/>
        <v>0.10000829540073682</v>
      </c>
      <c r="AA353" s="33">
        <f t="shared" si="90"/>
        <v>0.5</v>
      </c>
      <c r="AB353">
        <f t="shared" si="91"/>
        <v>-2.8497764306804826E-2</v>
      </c>
      <c r="AC353" s="1">
        <f t="shared" si="92"/>
        <v>-0.16963070042153938</v>
      </c>
      <c r="AD353" s="35">
        <f>IF(W353&gt;=FinalAgeForPremium, AE353*Delta-Z353*(Y353-AE353),AE353*Delta+PremiumRevisedForLimitedTerm-Z353*(Y353-AE353))</f>
        <v>-6.5273399668713816E-3</v>
      </c>
      <c r="AE353" s="35">
        <f>AE352-StepSize*AD352</f>
        <v>2.1355269627917534E-2</v>
      </c>
      <c r="AF353" s="1"/>
    </row>
    <row r="354" spans="11:32" x14ac:dyDescent="0.45">
      <c r="K354" s="40">
        <f t="shared" si="93"/>
        <v>3.29</v>
      </c>
      <c r="L354" s="41">
        <f t="shared" si="85"/>
        <v>23.29</v>
      </c>
      <c r="M354">
        <f t="shared" si="94"/>
        <v>0.89952165199028311</v>
      </c>
      <c r="N354">
        <f t="shared" si="95"/>
        <v>0.10047834800971697</v>
      </c>
      <c r="O354">
        <f t="shared" si="86"/>
        <v>7.4415454232558104E-2</v>
      </c>
      <c r="P354">
        <f t="shared" si="87"/>
        <v>0.5</v>
      </c>
      <c r="Q354">
        <f t="shared" si="96"/>
        <v>-1.6699138320019485E-2</v>
      </c>
      <c r="R354" s="6">
        <f t="shared" si="97"/>
        <v>1.6699138320019485E-2</v>
      </c>
      <c r="S354" s="18">
        <f t="shared" si="98"/>
        <v>1</v>
      </c>
      <c r="T354" s="15"/>
      <c r="U354" s="15"/>
      <c r="V354" s="40">
        <f t="shared" si="99"/>
        <v>6.71</v>
      </c>
      <c r="W354" s="41">
        <f t="shared" si="88"/>
        <v>26.71</v>
      </c>
      <c r="X354">
        <f t="shared" si="100"/>
        <v>-3.1668728353807046E-2</v>
      </c>
      <c r="Y354">
        <f t="shared" si="101"/>
        <v>1.482409846240621</v>
      </c>
      <c r="Z354" s="33">
        <f t="shared" si="89"/>
        <v>9.9922147681102122E-2</v>
      </c>
      <c r="AA354" s="33">
        <f t="shared" si="90"/>
        <v>0.5</v>
      </c>
      <c r="AB354">
        <f t="shared" si="91"/>
        <v>-2.8494225651759728E-2</v>
      </c>
      <c r="AC354" s="1">
        <f t="shared" si="92"/>
        <v>-0.16884022039075486</v>
      </c>
      <c r="AD354" s="35">
        <f>IF(W354&gt;=FinalAgeForPremium, AE354*Delta-Z354*(Y354-AE354),AE354*Delta+PremiumRevisedForLimitedTerm-Z354*(Y354-AE354))</f>
        <v>-6.5613322905375138E-3</v>
      </c>
      <c r="AE354" s="35">
        <f>AE353-StepSize*AD353</f>
        <v>2.1420543027586246E-2</v>
      </c>
      <c r="AF354" s="1"/>
    </row>
    <row r="355" spans="11:32" x14ac:dyDescent="0.45">
      <c r="K355" s="40">
        <f t="shared" si="93"/>
        <v>3.3</v>
      </c>
      <c r="L355" s="41">
        <f t="shared" si="85"/>
        <v>23.3</v>
      </c>
      <c r="M355">
        <f t="shared" si="94"/>
        <v>0.89935466060708291</v>
      </c>
      <c r="N355">
        <f t="shared" si="95"/>
        <v>0.10064533939291717</v>
      </c>
      <c r="O355">
        <f t="shared" si="86"/>
        <v>7.44796113972757E-2</v>
      </c>
      <c r="P355">
        <f t="shared" si="87"/>
        <v>0.5</v>
      </c>
      <c r="Q355">
        <f t="shared" si="96"/>
        <v>-1.6660915933885731E-2</v>
      </c>
      <c r="R355" s="6">
        <f t="shared" si="97"/>
        <v>1.6660915933885731E-2</v>
      </c>
      <c r="S355" s="18">
        <f t="shared" si="98"/>
        <v>1</v>
      </c>
      <c r="T355" s="15"/>
      <c r="U355" s="15"/>
      <c r="V355" s="40">
        <f t="shared" si="99"/>
        <v>6.7</v>
      </c>
      <c r="W355" s="41">
        <f t="shared" si="88"/>
        <v>26.7</v>
      </c>
      <c r="X355">
        <f t="shared" si="100"/>
        <v>-3.1383786097289451E-2</v>
      </c>
      <c r="Y355">
        <f t="shared" si="101"/>
        <v>1.4840982484445286</v>
      </c>
      <c r="Z355" s="33">
        <f t="shared" si="89"/>
        <v>9.9836074169607575E-2</v>
      </c>
      <c r="AA355" s="33">
        <f t="shared" si="90"/>
        <v>0.5</v>
      </c>
      <c r="AB355">
        <f t="shared" si="91"/>
        <v>-2.8489772410741548E-2</v>
      </c>
      <c r="AC355" s="1">
        <f t="shared" si="92"/>
        <v>-0.16805407030686459</v>
      </c>
      <c r="AD355" s="35">
        <f>IF(W355&gt;=FinalAgeForPremium, AE355*Delta-Z355*(Y355-AE355),AE355*Delta+PremiumRevisedForLimitedTerm-Z355*(Y355-AE355))</f>
        <v>-6.5943120158940827E-3</v>
      </c>
      <c r="AE355" s="35">
        <f>AE354-StepSize*AD354</f>
        <v>2.1486156350491621E-2</v>
      </c>
      <c r="AF355" s="1"/>
    </row>
    <row r="356" spans="11:32" x14ac:dyDescent="0.45">
      <c r="K356" s="40">
        <f t="shared" si="93"/>
        <v>3.31</v>
      </c>
      <c r="L356" s="41">
        <f t="shared" si="85"/>
        <v>23.31</v>
      </c>
      <c r="M356">
        <f t="shared" si="94"/>
        <v>0.89918805144774405</v>
      </c>
      <c r="N356">
        <f t="shared" si="95"/>
        <v>0.10081194855225603</v>
      </c>
      <c r="O356">
        <f t="shared" si="86"/>
        <v>7.4543823874990145E-2</v>
      </c>
      <c r="P356">
        <f t="shared" si="87"/>
        <v>0.5</v>
      </c>
      <c r="Q356">
        <f t="shared" si="96"/>
        <v>-1.6622941461488197E-2</v>
      </c>
      <c r="R356" s="6">
        <f t="shared" si="97"/>
        <v>1.6622941461488197E-2</v>
      </c>
      <c r="S356" s="18">
        <f t="shared" si="98"/>
        <v>1</v>
      </c>
      <c r="T356" s="15"/>
      <c r="U356" s="15"/>
      <c r="V356" s="40">
        <f t="shared" si="99"/>
        <v>6.69</v>
      </c>
      <c r="W356" s="41">
        <f t="shared" si="88"/>
        <v>26.69</v>
      </c>
      <c r="X356">
        <f t="shared" si="100"/>
        <v>-3.1098888373182035E-2</v>
      </c>
      <c r="Y356">
        <f t="shared" si="101"/>
        <v>1.4857787891475973</v>
      </c>
      <c r="Z356" s="33">
        <f t="shared" si="89"/>
        <v>9.9750074802329808E-2</v>
      </c>
      <c r="AA356" s="33">
        <f t="shared" si="90"/>
        <v>0.5</v>
      </c>
      <c r="AB356">
        <f t="shared" si="91"/>
        <v>-2.8484412519993479E-2</v>
      </c>
      <c r="AC356" s="1">
        <f t="shared" si="92"/>
        <v>-0.16727222178223045</v>
      </c>
      <c r="AD356" s="35">
        <f>IF(W356&gt;=FinalAgeForPremium, AE356*Delta-Z356*(Y356-AE356),AE356*Delta+PremiumRevisedForLimitedTerm-Z356*(Y356-AE356))</f>
        <v>-6.6262873750641271E-3</v>
      </c>
      <c r="AE356" s="35">
        <f>AE355-StepSize*AD355</f>
        <v>2.1552099470650562E-2</v>
      </c>
      <c r="AF356" s="1"/>
    </row>
    <row r="357" spans="11:32" x14ac:dyDescent="0.45">
      <c r="K357" s="40">
        <f t="shared" si="93"/>
        <v>3.32</v>
      </c>
      <c r="L357" s="41">
        <f t="shared" si="85"/>
        <v>23.32</v>
      </c>
      <c r="M357">
        <f t="shared" si="94"/>
        <v>0.89902182203312919</v>
      </c>
      <c r="N357">
        <f t="shared" si="95"/>
        <v>0.10097817796687092</v>
      </c>
      <c r="O357">
        <f t="shared" si="86"/>
        <v>7.4608091713389474E-2</v>
      </c>
      <c r="P357">
        <f t="shared" si="87"/>
        <v>0.5</v>
      </c>
      <c r="Q357">
        <f t="shared" si="96"/>
        <v>-1.6585213567150758E-2</v>
      </c>
      <c r="R357" s="6">
        <f t="shared" si="97"/>
        <v>1.6585213567150758E-2</v>
      </c>
      <c r="S357" s="18">
        <f t="shared" si="98"/>
        <v>1</v>
      </c>
      <c r="T357" s="15"/>
      <c r="U357" s="15"/>
      <c r="V357" s="40">
        <f t="shared" si="99"/>
        <v>6.68</v>
      </c>
      <c r="W357" s="41">
        <f t="shared" si="88"/>
        <v>26.68</v>
      </c>
      <c r="X357">
        <f t="shared" si="100"/>
        <v>-3.0814044247982102E-2</v>
      </c>
      <c r="Y357">
        <f t="shared" si="101"/>
        <v>1.4874515113654196</v>
      </c>
      <c r="Z357" s="33">
        <f t="shared" si="89"/>
        <v>9.9664149515400549E-2</v>
      </c>
      <c r="AA357" s="33">
        <f t="shared" si="90"/>
        <v>0.5</v>
      </c>
      <c r="AB357">
        <f t="shared" si="91"/>
        <v>-2.8478153853788199E-2</v>
      </c>
      <c r="AC357" s="1">
        <f t="shared" si="92"/>
        <v>-0.16649464662502822</v>
      </c>
      <c r="AD357" s="35">
        <f>IF(W357&gt;=FinalAgeForPremium, AE357*Delta-Z357*(Y357-AE357),AE357*Delta+PremiumRevisedForLimitedTerm-Z357*(Y357-AE357))</f>
        <v>-6.6572665371945894E-3</v>
      </c>
      <c r="AE357" s="35">
        <f>AE356-StepSize*AD356</f>
        <v>2.1618362344401204E-2</v>
      </c>
      <c r="AF357" s="1"/>
    </row>
    <row r="358" spans="11:32" x14ac:dyDescent="0.45">
      <c r="K358" s="40">
        <f t="shared" si="93"/>
        <v>3.33</v>
      </c>
      <c r="L358" s="41">
        <f t="shared" si="85"/>
        <v>23.33</v>
      </c>
      <c r="M358">
        <f t="shared" si="94"/>
        <v>0.89885596989745764</v>
      </c>
      <c r="N358">
        <f t="shared" si="95"/>
        <v>0.10114403010254243</v>
      </c>
      <c r="O358">
        <f t="shared" si="86"/>
        <v>7.4672414960202757E-2</v>
      </c>
      <c r="P358">
        <f t="shared" si="87"/>
        <v>0.5</v>
      </c>
      <c r="Q358">
        <f t="shared" si="96"/>
        <v>-1.6547730922367256E-2</v>
      </c>
      <c r="R358" s="6">
        <f t="shared" si="97"/>
        <v>1.6547730922367256E-2</v>
      </c>
      <c r="S358" s="18">
        <f t="shared" si="98"/>
        <v>1</v>
      </c>
      <c r="T358" s="15"/>
      <c r="U358" s="15"/>
      <c r="V358" s="40">
        <f t="shared" si="99"/>
        <v>6.67</v>
      </c>
      <c r="W358" s="41">
        <f t="shared" si="88"/>
        <v>26.67</v>
      </c>
      <c r="X358">
        <f t="shared" si="100"/>
        <v>-3.052926270944422E-2</v>
      </c>
      <c r="Y358">
        <f t="shared" si="101"/>
        <v>1.48911645783167</v>
      </c>
      <c r="Z358" s="33">
        <f t="shared" si="89"/>
        <v>9.957829824500665E-2</v>
      </c>
      <c r="AA358" s="33">
        <f t="shared" si="90"/>
        <v>0.5</v>
      </c>
      <c r="AB358">
        <f t="shared" si="91"/>
        <v>-2.8471004224915636E-2</v>
      </c>
      <c r="AC358" s="1">
        <f t="shared" si="92"/>
        <v>-0.1657213168378594</v>
      </c>
      <c r="AD358" s="35">
        <f>IF(W358&gt;=FinalAgeForPremium, AE358*Delta-Z358*(Y358-AE358),AE358*Delta+PremiumRevisedForLimitedTerm-Z358*(Y358-AE358))</f>
        <v>-6.6872576089479219E-3</v>
      </c>
      <c r="AE358" s="35">
        <f>AE357-StepSize*AD357</f>
        <v>2.168493500977315E-2</v>
      </c>
      <c r="AF358" s="1"/>
    </row>
    <row r="359" spans="11:32" x14ac:dyDescent="0.45">
      <c r="K359" s="40">
        <f t="shared" si="93"/>
        <v>3.34</v>
      </c>
      <c r="L359" s="41">
        <f t="shared" si="85"/>
        <v>23.34</v>
      </c>
      <c r="M359">
        <f t="shared" si="94"/>
        <v>0.89869049258823397</v>
      </c>
      <c r="N359">
        <f t="shared" si="95"/>
        <v>0.1013095074117661</v>
      </c>
      <c r="O359">
        <f t="shared" si="86"/>
        <v>7.4736793663200282E-2</v>
      </c>
      <c r="P359">
        <f t="shared" si="87"/>
        <v>0.5</v>
      </c>
      <c r="Q359">
        <f t="shared" si="96"/>
        <v>-1.6510492205763609E-2</v>
      </c>
      <c r="R359" s="6">
        <f t="shared" si="97"/>
        <v>1.6510492205763609E-2</v>
      </c>
      <c r="S359" s="18">
        <f t="shared" si="98"/>
        <v>1</v>
      </c>
      <c r="T359" s="15"/>
      <c r="U359" s="15"/>
      <c r="V359" s="40">
        <f t="shared" si="99"/>
        <v>6.66</v>
      </c>
      <c r="W359" s="41">
        <f t="shared" si="88"/>
        <v>26.66</v>
      </c>
      <c r="X359">
        <f t="shared" si="100"/>
        <v>-3.0244552667195064E-2</v>
      </c>
      <c r="Y359">
        <f t="shared" si="101"/>
        <v>1.4907736710000485</v>
      </c>
      <c r="Z359" s="33">
        <f t="shared" si="89"/>
        <v>9.9492520927389791E-2</v>
      </c>
      <c r="AA359" s="33">
        <f t="shared" si="90"/>
        <v>0.5</v>
      </c>
      <c r="AB359">
        <f t="shared" si="91"/>
        <v>-2.8462971385166583E-2</v>
      </c>
      <c r="AC359" s="1">
        <f t="shared" si="92"/>
        <v>-0.16495220461637583</v>
      </c>
      <c r="AD359" s="35">
        <f>IF(W359&gt;=FinalAgeForPremium, AE359*Delta-Z359*(Y359-AE359),AE359*Delta+PremiumRevisedForLimitedTerm-Z359*(Y359-AE359))</f>
        <v>-6.7162686349893641E-3</v>
      </c>
      <c r="AE359" s="35">
        <f>AE358-StepSize*AD358</f>
        <v>2.1751807585862631E-2</v>
      </c>
      <c r="AF359" s="1"/>
    </row>
    <row r="360" spans="11:32" x14ac:dyDescent="0.45">
      <c r="K360" s="40">
        <f t="shared" si="93"/>
        <v>3.35</v>
      </c>
      <c r="L360" s="41">
        <f t="shared" si="85"/>
        <v>23.35</v>
      </c>
      <c r="M360">
        <f t="shared" si="94"/>
        <v>0.89852538766617629</v>
      </c>
      <c r="N360">
        <f t="shared" si="95"/>
        <v>0.10147461233382374</v>
      </c>
      <c r="O360">
        <f t="shared" si="86"/>
        <v>7.480122787019354E-2</v>
      </c>
      <c r="P360">
        <f t="shared" si="87"/>
        <v>0.5</v>
      </c>
      <c r="Q360">
        <f t="shared" si="96"/>
        <v>-1.6473496103059773E-2</v>
      </c>
      <c r="R360" s="6">
        <f t="shared" si="97"/>
        <v>1.6473496103059773E-2</v>
      </c>
      <c r="S360" s="18">
        <f t="shared" si="98"/>
        <v>1</v>
      </c>
      <c r="T360" s="15"/>
      <c r="U360" s="15"/>
      <c r="V360" s="40">
        <f t="shared" si="99"/>
        <v>6.65</v>
      </c>
      <c r="W360" s="41">
        <f t="shared" si="88"/>
        <v>26.65</v>
      </c>
      <c r="X360">
        <f t="shared" si="100"/>
        <v>-2.9959922953343397E-2</v>
      </c>
      <c r="Y360">
        <f t="shared" si="101"/>
        <v>1.4924231930462124</v>
      </c>
      <c r="Z360" s="33">
        <f t="shared" si="89"/>
        <v>9.9406817498846597E-2</v>
      </c>
      <c r="AA360" s="33">
        <f t="shared" si="90"/>
        <v>0.5</v>
      </c>
      <c r="AB360">
        <f t="shared" si="91"/>
        <v>-2.845406302581277E-2</v>
      </c>
      <c r="AC360" s="1">
        <f t="shared" si="92"/>
        <v>-0.16418728234791147</v>
      </c>
      <c r="AD360" s="35">
        <f>IF(W360&gt;=FinalAgeForPremium, AE360*Delta-Z360*(Y360-AE360),AE360*Delta+PremiumRevisedForLimitedTerm-Z360*(Y360-AE360))</f>
        <v>-6.7443075984709722E-3</v>
      </c>
      <c r="AE360" s="35">
        <f>AE359-StepSize*AD359</f>
        <v>2.1818970272212523E-2</v>
      </c>
      <c r="AF360" s="1"/>
    </row>
    <row r="361" spans="11:32" x14ac:dyDescent="0.45">
      <c r="K361" s="40">
        <f t="shared" si="93"/>
        <v>3.36</v>
      </c>
      <c r="L361" s="41">
        <f t="shared" si="85"/>
        <v>23.36</v>
      </c>
      <c r="M361">
        <f t="shared" si="94"/>
        <v>0.89836065270514565</v>
      </c>
      <c r="N361">
        <f t="shared" si="95"/>
        <v>0.10163934729485434</v>
      </c>
      <c r="O361">
        <f t="shared" si="86"/>
        <v>7.4865717629035156E-2</v>
      </c>
      <c r="P361">
        <f t="shared" si="87"/>
        <v>0.5</v>
      </c>
      <c r="Q361">
        <f t="shared" si="96"/>
        <v>-1.6436741307031981E-2</v>
      </c>
      <c r="R361" s="6">
        <f t="shared" si="97"/>
        <v>1.6436741307031981E-2</v>
      </c>
      <c r="S361" s="18">
        <f t="shared" si="98"/>
        <v>1</v>
      </c>
      <c r="T361" s="15"/>
      <c r="U361" s="15"/>
      <c r="V361" s="40">
        <f t="shared" si="99"/>
        <v>6.64</v>
      </c>
      <c r="W361" s="41">
        <f t="shared" si="88"/>
        <v>26.64</v>
      </c>
      <c r="X361">
        <f t="shared" si="100"/>
        <v>-2.967538232308527E-2</v>
      </c>
      <c r="Y361">
        <f t="shared" si="101"/>
        <v>1.4940650658696915</v>
      </c>
      <c r="Z361" s="33">
        <f t="shared" si="89"/>
        <v>9.9321187895728649E-2</v>
      </c>
      <c r="AA361" s="33">
        <f t="shared" si="90"/>
        <v>0.5</v>
      </c>
      <c r="AB361">
        <f t="shared" si="91"/>
        <v>-2.8444286778083167E-2</v>
      </c>
      <c r="AC361" s="1">
        <f t="shared" si="92"/>
        <v>-0.16342652261012702</v>
      </c>
      <c r="AD361" s="35">
        <f>IF(W361&gt;=FinalAgeForPremium, AE361*Delta-Z361*(Y361-AE361),AE361*Delta+PremiumRevisedForLimitedTerm-Z361*(Y361-AE361))</f>
        <v>-6.7713824215115404E-3</v>
      </c>
      <c r="AE361" s="35">
        <f>AE360-StepSize*AD360</f>
        <v>2.1886413348197232E-2</v>
      </c>
      <c r="AF361" s="1"/>
    </row>
    <row r="362" spans="11:32" x14ac:dyDescent="0.45">
      <c r="K362" s="40">
        <f t="shared" si="93"/>
        <v>3.37</v>
      </c>
      <c r="L362" s="41">
        <f t="shared" si="85"/>
        <v>23.37</v>
      </c>
      <c r="M362">
        <f t="shared" si="94"/>
        <v>0.89819628529207529</v>
      </c>
      <c r="N362">
        <f t="shared" si="95"/>
        <v>0.10180371470792467</v>
      </c>
      <c r="O362">
        <f t="shared" si="86"/>
        <v>7.4930262987619123E-2</v>
      </c>
      <c r="P362">
        <f t="shared" si="87"/>
        <v>0.5</v>
      </c>
      <c r="Q362">
        <f t="shared" si="96"/>
        <v>-1.6400226517475448E-2</v>
      </c>
      <c r="R362" s="6">
        <f t="shared" si="97"/>
        <v>1.6400226517475448E-2</v>
      </c>
      <c r="S362" s="18">
        <f t="shared" si="98"/>
        <v>1</v>
      </c>
      <c r="T362" s="15"/>
      <c r="U362" s="15"/>
      <c r="V362" s="40">
        <f t="shared" si="99"/>
        <v>6.63</v>
      </c>
      <c r="W362" s="41">
        <f t="shared" si="88"/>
        <v>26.63</v>
      </c>
      <c r="X362">
        <f t="shared" si="100"/>
        <v>-2.9390939455304438E-2</v>
      </c>
      <c r="Y362">
        <f t="shared" si="101"/>
        <v>1.4956993310957927</v>
      </c>
      <c r="Z362" s="33">
        <f t="shared" si="89"/>
        <v>9.9235632054442288E-2</v>
      </c>
      <c r="AA362" s="33">
        <f t="shared" si="90"/>
        <v>0.5</v>
      </c>
      <c r="AB362">
        <f t="shared" si="91"/>
        <v>-2.8433650213636072E-2</v>
      </c>
      <c r="AC362" s="1">
        <f t="shared" si="92"/>
        <v>-0.16266989816966182</v>
      </c>
      <c r="AD362" s="35">
        <f>IF(W362&gt;=FinalAgeForPremium, AE362*Delta-Z362*(Y362-AE362),AE362*Delta+PremiumRevisedForLimitedTerm-Z362*(Y362-AE362))</f>
        <v>-6.7975009656724428E-3</v>
      </c>
      <c r="AE362" s="35">
        <f>AE361-StepSize*AD361</f>
        <v>2.1954127172412349E-2</v>
      </c>
      <c r="AF362" s="1"/>
    </row>
    <row r="363" spans="11:32" x14ac:dyDescent="0.45">
      <c r="K363" s="40">
        <f t="shared" si="93"/>
        <v>3.38</v>
      </c>
      <c r="L363" s="41">
        <f t="shared" si="85"/>
        <v>23.38</v>
      </c>
      <c r="M363">
        <f t="shared" si="94"/>
        <v>0.89803228302690052</v>
      </c>
      <c r="N363">
        <f t="shared" si="95"/>
        <v>0.10196771697309942</v>
      </c>
      <c r="O363">
        <f t="shared" si="86"/>
        <v>7.4994863993880626E-2</v>
      </c>
      <c r="P363">
        <f t="shared" si="87"/>
        <v>0.5</v>
      </c>
      <c r="Q363">
        <f t="shared" si="96"/>
        <v>-1.6363950441166814E-2</v>
      </c>
      <c r="R363" s="6">
        <f t="shared" si="97"/>
        <v>1.6363950441166814E-2</v>
      </c>
      <c r="S363" s="18">
        <f t="shared" si="98"/>
        <v>1</v>
      </c>
      <c r="T363" s="15"/>
      <c r="U363" s="15"/>
      <c r="V363" s="40">
        <f t="shared" si="99"/>
        <v>6.62</v>
      </c>
      <c r="W363" s="41">
        <f t="shared" si="88"/>
        <v>26.62</v>
      </c>
      <c r="X363">
        <f t="shared" si="100"/>
        <v>-2.9106602953168078E-2</v>
      </c>
      <c r="Y363">
        <f t="shared" si="101"/>
        <v>1.4973260300774893</v>
      </c>
      <c r="Z363" s="33">
        <f t="shared" si="89"/>
        <v>9.9150149911448632E-2</v>
      </c>
      <c r="AA363" s="33">
        <f t="shared" si="90"/>
        <v>0.5</v>
      </c>
      <c r="AB363">
        <f t="shared" si="91"/>
        <v>-2.8422160845027689E-2</v>
      </c>
      <c r="AC363" s="1">
        <f t="shared" si="92"/>
        <v>-0.16191738198079686</v>
      </c>
      <c r="AD363" s="35">
        <f>IF(W363&gt;=FinalAgeForPremium, AE363*Delta-Z363*(Y363-AE363),AE363*Delta+PremiumRevisedForLimitedTerm-Z363*(Y363-AE363))</f>
        <v>-6.8226710324299222E-3</v>
      </c>
      <c r="AE363" s="35">
        <f>AE362-StepSize*AD362</f>
        <v>2.2022102182069073E-2</v>
      </c>
      <c r="AF363" s="1"/>
    </row>
    <row r="364" spans="11:32" x14ac:dyDescent="0.45">
      <c r="K364" s="40">
        <f t="shared" si="93"/>
        <v>3.39</v>
      </c>
      <c r="L364" s="41">
        <f t="shared" si="85"/>
        <v>23.39</v>
      </c>
      <c r="M364">
        <f t="shared" si="94"/>
        <v>0.89786864352248885</v>
      </c>
      <c r="N364">
        <f t="shared" si="95"/>
        <v>0.10213135647751109</v>
      </c>
      <c r="O364">
        <f t="shared" si="86"/>
        <v>7.5059520695796286E-2</v>
      </c>
      <c r="P364">
        <f t="shared" si="87"/>
        <v>0.5</v>
      </c>
      <c r="Q364">
        <f t="shared" si="96"/>
        <v>-1.6327911791827243E-2</v>
      </c>
      <c r="R364" s="6">
        <f t="shared" si="97"/>
        <v>1.6327911791827243E-2</v>
      </c>
      <c r="S364" s="18">
        <f t="shared" si="98"/>
        <v>1</v>
      </c>
      <c r="T364" s="15"/>
      <c r="U364" s="15"/>
      <c r="V364" s="40">
        <f t="shared" si="99"/>
        <v>6.61</v>
      </c>
      <c r="W364" s="41">
        <f t="shared" si="88"/>
        <v>26.61</v>
      </c>
      <c r="X364">
        <f t="shared" si="100"/>
        <v>-2.8822381344717801E-2</v>
      </c>
      <c r="Y364">
        <f t="shared" si="101"/>
        <v>1.4989452038972972</v>
      </c>
      <c r="Z364" s="33">
        <f t="shared" si="89"/>
        <v>9.9064741403263532E-2</v>
      </c>
      <c r="AA364" s="33">
        <f t="shared" si="90"/>
        <v>0.5</v>
      </c>
      <c r="AB364">
        <f t="shared" si="91"/>
        <v>-2.8409826126176818E-2</v>
      </c>
      <c r="AC364" s="1">
        <f t="shared" si="92"/>
        <v>-0.16116894718412766</v>
      </c>
      <c r="AD364" s="35">
        <f>IF(W364&gt;=FinalAgeForPremium, AE364*Delta-Z364*(Y364-AE364),AE364*Delta+PremiumRevisedForLimitedTerm-Z364*(Y364-AE364))</f>
        <v>-6.8469003636436876E-3</v>
      </c>
      <c r="AE364" s="35">
        <f>AE363-StepSize*AD363</f>
        <v>2.2090328892393374E-2</v>
      </c>
      <c r="AF364" s="1"/>
    </row>
    <row r="365" spans="11:32" x14ac:dyDescent="0.45">
      <c r="K365" s="40">
        <f t="shared" si="93"/>
        <v>3.4</v>
      </c>
      <c r="L365" s="41">
        <f t="shared" si="85"/>
        <v>23.4</v>
      </c>
      <c r="M365">
        <f t="shared" si="94"/>
        <v>0.8977053644045706</v>
      </c>
      <c r="N365">
        <f t="shared" si="95"/>
        <v>0.10229463559542937</v>
      </c>
      <c r="O365">
        <f t="shared" si="86"/>
        <v>7.5124233141383931E-2</v>
      </c>
      <c r="P365">
        <f t="shared" si="87"/>
        <v>0.5</v>
      </c>
      <c r="Q365">
        <f t="shared" si="96"/>
        <v>-1.6292109290085302E-2</v>
      </c>
      <c r="R365" s="6">
        <f t="shared" si="97"/>
        <v>1.6292109290085302E-2</v>
      </c>
      <c r="S365" s="18">
        <f t="shared" si="98"/>
        <v>1</v>
      </c>
      <c r="T365" s="15"/>
      <c r="U365" s="15"/>
      <c r="V365" s="40">
        <f t="shared" si="99"/>
        <v>6.6</v>
      </c>
      <c r="W365" s="41">
        <f t="shared" si="88"/>
        <v>26.6</v>
      </c>
      <c r="X365">
        <f t="shared" si="100"/>
        <v>-2.8538283083456031E-2</v>
      </c>
      <c r="Y365">
        <f t="shared" si="101"/>
        <v>1.5005568933691384</v>
      </c>
      <c r="Z365" s="33">
        <f t="shared" si="89"/>
        <v>9.8979406466457615E-2</v>
      </c>
      <c r="AA365" s="33">
        <f t="shared" si="90"/>
        <v>0.5</v>
      </c>
      <c r="AB365">
        <f t="shared" si="91"/>
        <v>-2.8396653452826215E-2</v>
      </c>
      <c r="AC365" s="1">
        <f t="shared" si="92"/>
        <v>-0.16042456710524589</v>
      </c>
      <c r="AD365" s="35">
        <f>IF(W365&gt;=FinalAgeForPremium, AE365*Delta-Z365*(Y365-AE365),AE365*Delta+PremiumRevisedForLimitedTerm-Z365*(Y365-AE365))</f>
        <v>-6.8701966420215976E-3</v>
      </c>
      <c r="AE365" s="35">
        <f>AE364-StepSize*AD364</f>
        <v>2.215879789602981E-2</v>
      </c>
      <c r="AF365" s="1"/>
    </row>
    <row r="366" spans="11:32" x14ac:dyDescent="0.45">
      <c r="K366" s="40">
        <f t="shared" si="93"/>
        <v>3.41</v>
      </c>
      <c r="L366" s="41">
        <f t="shared" si="85"/>
        <v>23.41</v>
      </c>
      <c r="M366">
        <f t="shared" si="94"/>
        <v>0.89754244331166977</v>
      </c>
      <c r="N366">
        <f t="shared" si="95"/>
        <v>0.10245755668833022</v>
      </c>
      <c r="O366">
        <f t="shared" si="86"/>
        <v>7.5189001378702949E-2</v>
      </c>
      <c r="P366">
        <f t="shared" si="87"/>
        <v>0.5</v>
      </c>
      <c r="Q366">
        <f t="shared" si="96"/>
        <v>-1.6256541663440448E-2</v>
      </c>
      <c r="R366" s="6">
        <f t="shared" si="97"/>
        <v>1.6256541663440448E-2</v>
      </c>
      <c r="S366" s="18">
        <f t="shared" si="98"/>
        <v>1</v>
      </c>
      <c r="T366" s="15"/>
      <c r="U366" s="15"/>
      <c r="V366" s="40">
        <f t="shared" si="99"/>
        <v>6.59</v>
      </c>
      <c r="W366" s="41">
        <f t="shared" si="88"/>
        <v>26.59</v>
      </c>
      <c r="X366">
        <f t="shared" si="100"/>
        <v>-2.8254316548927769E-2</v>
      </c>
      <c r="Y366">
        <f t="shared" si="101"/>
        <v>1.502161139040191</v>
      </c>
      <c r="Z366" s="33">
        <f t="shared" si="89"/>
        <v>9.8894145037656006E-2</v>
      </c>
      <c r="AA366" s="33">
        <f t="shared" si="90"/>
        <v>0.5</v>
      </c>
      <c r="AB366">
        <f t="shared" si="91"/>
        <v>-2.8382650162999429E-2</v>
      </c>
      <c r="AC366" s="1">
        <f t="shared" si="92"/>
        <v>-0.15968421525343113</v>
      </c>
      <c r="AD366" s="35">
        <f>IF(W366&gt;=FinalAgeForPremium, AE366*Delta-Z366*(Y366-AE366),AE366*Delta+PremiumRevisedForLimitedTerm-Z366*(Y366-AE366))</f>
        <v>-6.8925674915805424E-3</v>
      </c>
      <c r="AE366" s="35">
        <f>AE365-StepSize*AD365</f>
        <v>2.2227499862450026E-2</v>
      </c>
      <c r="AF366" s="1"/>
    </row>
    <row r="367" spans="11:32" x14ac:dyDescent="0.45">
      <c r="K367" s="40">
        <f t="shared" si="93"/>
        <v>3.42</v>
      </c>
      <c r="L367" s="41">
        <f t="shared" si="85"/>
        <v>23.42</v>
      </c>
      <c r="M367">
        <f t="shared" si="94"/>
        <v>0.89737987789503537</v>
      </c>
      <c r="N367">
        <f t="shared" si="95"/>
        <v>0.10262012210496463</v>
      </c>
      <c r="O367">
        <f t="shared" si="86"/>
        <v>7.5253825455854087E-2</v>
      </c>
      <c r="P367">
        <f t="shared" si="87"/>
        <v>0.5</v>
      </c>
      <c r="Q367">
        <f t="shared" si="96"/>
        <v>-1.6221207646226338E-2</v>
      </c>
      <c r="R367" s="6">
        <f t="shared" si="97"/>
        <v>1.6221207646226338E-2</v>
      </c>
      <c r="S367" s="18">
        <f t="shared" si="98"/>
        <v>1</v>
      </c>
      <c r="T367" s="15"/>
      <c r="U367" s="15"/>
      <c r="V367" s="40">
        <f t="shared" si="99"/>
        <v>6.58</v>
      </c>
      <c r="W367" s="41">
        <f t="shared" si="88"/>
        <v>26.58</v>
      </c>
      <c r="X367">
        <f t="shared" si="100"/>
        <v>-2.7970490047297774E-2</v>
      </c>
      <c r="Y367">
        <f t="shared" si="101"/>
        <v>1.5037579811927253</v>
      </c>
      <c r="Z367" s="33">
        <f t="shared" si="89"/>
        <v>9.8808957053538468E-2</v>
      </c>
      <c r="AA367" s="33">
        <f t="shared" si="90"/>
        <v>0.5</v>
      </c>
      <c r="AB367">
        <f t="shared" si="91"/>
        <v>-2.8367823537454775E-2</v>
      </c>
      <c r="AC367" s="1">
        <f t="shared" si="92"/>
        <v>-0.15894786532035221</v>
      </c>
      <c r="AD367" s="35">
        <f>IF(W367&gt;=FinalAgeForPremium, AE367*Delta-Z367*(Y367-AE367),AE367*Delta+PremiumRevisedForLimitedTerm-Z367*(Y367-AE367))</f>
        <v>-6.914020478103855E-3</v>
      </c>
      <c r="AE367" s="35">
        <f>AE366-StepSize*AD366</f>
        <v>2.2296425537365831E-2</v>
      </c>
      <c r="AF367" s="1"/>
    </row>
    <row r="368" spans="11:32" x14ac:dyDescent="0.45">
      <c r="K368" s="40">
        <f t="shared" si="93"/>
        <v>3.43</v>
      </c>
      <c r="L368" s="41">
        <f t="shared" si="85"/>
        <v>23.43</v>
      </c>
      <c r="M368">
        <f t="shared" si="94"/>
        <v>0.8972176658185731</v>
      </c>
      <c r="N368">
        <f t="shared" si="95"/>
        <v>0.10278233418142689</v>
      </c>
      <c r="O368">
        <f t="shared" si="86"/>
        <v>7.5318705420979515E-2</v>
      </c>
      <c r="P368">
        <f t="shared" si="87"/>
        <v>0.5</v>
      </c>
      <c r="Q368">
        <f t="shared" si="96"/>
        <v>-1.6186105979574504E-2</v>
      </c>
      <c r="R368" s="6">
        <f t="shared" si="97"/>
        <v>1.6186105979574504E-2</v>
      </c>
      <c r="S368" s="18">
        <f t="shared" si="98"/>
        <v>1</v>
      </c>
      <c r="T368" s="15"/>
      <c r="U368" s="15"/>
      <c r="V368" s="40">
        <f t="shared" si="99"/>
        <v>6.57</v>
      </c>
      <c r="W368" s="41">
        <f t="shared" si="88"/>
        <v>26.57</v>
      </c>
      <c r="X368">
        <f t="shared" si="100"/>
        <v>-2.7686811811923225E-2</v>
      </c>
      <c r="Y368">
        <f t="shared" si="101"/>
        <v>1.5053474598459289</v>
      </c>
      <c r="Z368" s="33">
        <f t="shared" si="89"/>
        <v>9.8723842450839414E-2</v>
      </c>
      <c r="AA368" s="33">
        <f t="shared" si="90"/>
        <v>0.5</v>
      </c>
      <c r="AB368">
        <f t="shared" si="91"/>
        <v>-2.8352180800135643E-2</v>
      </c>
      <c r="AC368" s="1">
        <f t="shared" si="92"/>
        <v>-0.15821549117877753</v>
      </c>
      <c r="AD368" s="35">
        <f>IF(W368&gt;=FinalAgeForPremium, AE368*Delta-Z368*(Y368-AE368),AE368*Delta+PremiumRevisedForLimitedTerm-Z368*(Y368-AE368))</f>
        <v>-6.9345631095953097E-3</v>
      </c>
      <c r="AE368" s="35">
        <f>AE367-StepSize*AD367</f>
        <v>2.2365565742146869E-2</v>
      </c>
      <c r="AF368" s="1"/>
    </row>
    <row r="369" spans="11:32" x14ac:dyDescent="0.45">
      <c r="K369" s="40">
        <f t="shared" si="93"/>
        <v>3.44</v>
      </c>
      <c r="L369" s="41">
        <f t="shared" si="85"/>
        <v>23.44</v>
      </c>
      <c r="M369">
        <f t="shared" si="94"/>
        <v>0.89705580475877733</v>
      </c>
      <c r="N369">
        <f t="shared" si="95"/>
        <v>0.10294419524122264</v>
      </c>
      <c r="O369">
        <f t="shared" si="86"/>
        <v>7.5383641322263009E-2</v>
      </c>
      <c r="P369">
        <f t="shared" si="87"/>
        <v>0.5</v>
      </c>
      <c r="Q369">
        <f t="shared" si="96"/>
        <v>-1.6151235411378348E-2</v>
      </c>
      <c r="R369" s="6">
        <f t="shared" si="97"/>
        <v>1.6151235411378348E-2</v>
      </c>
      <c r="S369" s="18">
        <f t="shared" si="98"/>
        <v>1</v>
      </c>
      <c r="T369" s="15"/>
      <c r="U369" s="15"/>
      <c r="V369" s="40">
        <f t="shared" si="99"/>
        <v>6.56</v>
      </c>
      <c r="W369" s="41">
        <f t="shared" si="88"/>
        <v>26.56</v>
      </c>
      <c r="X369">
        <f t="shared" si="100"/>
        <v>-2.740329000392187E-2</v>
      </c>
      <c r="Y369">
        <f t="shared" si="101"/>
        <v>1.5069296147577167</v>
      </c>
      <c r="Z369" s="33">
        <f t="shared" si="89"/>
        <v>9.8638801166347601E-2</v>
      </c>
      <c r="AA369" s="33">
        <f t="shared" si="90"/>
        <v>0.5</v>
      </c>
      <c r="AB369">
        <f t="shared" si="91"/>
        <v>-2.833572911861626E-2</v>
      </c>
      <c r="AC369" s="1">
        <f t="shared" si="92"/>
        <v>-0.15748706688129488</v>
      </c>
      <c r="AD369" s="35">
        <f>IF(W369&gt;=FinalAgeForPremium, AE369*Delta-Z369*(Y369-AE369),AE369*Delta+PremiumRevisedForLimitedTerm-Z369*(Y369-AE369))</f>
        <v>-6.9542028367285957E-3</v>
      </c>
      <c r="AE369" s="35">
        <f>AE368-StepSize*AD368</f>
        <v>2.243491137324282E-2</v>
      </c>
      <c r="AF369" s="1"/>
    </row>
    <row r="370" spans="11:32" x14ac:dyDescent="0.45">
      <c r="K370" s="40">
        <f t="shared" si="93"/>
        <v>3.45</v>
      </c>
      <c r="L370" s="41">
        <f t="shared" si="85"/>
        <v>23.45</v>
      </c>
      <c r="M370">
        <f t="shared" si="94"/>
        <v>0.89689429240466356</v>
      </c>
      <c r="N370">
        <f t="shared" si="95"/>
        <v>0.10310570759533642</v>
      </c>
      <c r="O370">
        <f t="shared" si="86"/>
        <v>7.5448633207929813E-2</v>
      </c>
      <c r="P370">
        <f t="shared" si="87"/>
        <v>0.5</v>
      </c>
      <c r="Q370">
        <f t="shared" si="96"/>
        <v>-1.6116594696257001E-2</v>
      </c>
      <c r="R370" s="6">
        <f t="shared" si="97"/>
        <v>1.6116594696257001E-2</v>
      </c>
      <c r="S370" s="18">
        <f t="shared" si="98"/>
        <v>1</v>
      </c>
      <c r="T370" s="15"/>
      <c r="U370" s="15"/>
      <c r="V370" s="40">
        <f t="shared" si="99"/>
        <v>6.55</v>
      </c>
      <c r="W370" s="41">
        <f t="shared" si="88"/>
        <v>26.55</v>
      </c>
      <c r="X370">
        <f t="shared" si="100"/>
        <v>-2.7119932712735707E-2</v>
      </c>
      <c r="Y370">
        <f t="shared" si="101"/>
        <v>1.5085044854265297</v>
      </c>
      <c r="Z370" s="33">
        <f t="shared" si="89"/>
        <v>9.8553833136906355E-2</v>
      </c>
      <c r="AA370" s="33">
        <f t="shared" si="90"/>
        <v>0.5</v>
      </c>
      <c r="AB370">
        <f t="shared" si="91"/>
        <v>-2.8318475604545187E-2</v>
      </c>
      <c r="AC370" s="1">
        <f t="shared" si="92"/>
        <v>-0.15676256665904087</v>
      </c>
      <c r="AD370" s="35">
        <f>IF(W370&gt;=FinalAgeForPremium, AE370*Delta-Z370*(Y370-AE370),AE370*Delta+PremiumRevisedForLimitedTerm-Z370*(Y370-AE370))</f>
        <v>-6.972947053294376E-3</v>
      </c>
      <c r="AE370" s="35">
        <f>AE369-StepSize*AD369</f>
        <v>2.2504453401610107E-2</v>
      </c>
      <c r="AF370" s="1"/>
    </row>
    <row r="371" spans="11:32" x14ac:dyDescent="0.45">
      <c r="K371" s="40">
        <f t="shared" si="93"/>
        <v>3.46</v>
      </c>
      <c r="L371" s="41">
        <f t="shared" si="85"/>
        <v>23.46</v>
      </c>
      <c r="M371">
        <f t="shared" si="94"/>
        <v>0.89673312645770098</v>
      </c>
      <c r="N371">
        <f t="shared" si="95"/>
        <v>0.10326687354229899</v>
      </c>
      <c r="O371">
        <f t="shared" si="86"/>
        <v>7.5513681126246818E-2</v>
      </c>
      <c r="P371">
        <f t="shared" si="87"/>
        <v>0.5</v>
      </c>
      <c r="Q371">
        <f t="shared" si="96"/>
        <v>-1.6082182595519703E-2</v>
      </c>
      <c r="R371" s="6">
        <f t="shared" si="97"/>
        <v>1.6082182595519703E-2</v>
      </c>
      <c r="S371" s="18">
        <f t="shared" si="98"/>
        <v>1</v>
      </c>
      <c r="T371" s="15"/>
      <c r="U371" s="15"/>
      <c r="V371" s="40">
        <f t="shared" si="99"/>
        <v>6.54</v>
      </c>
      <c r="W371" s="41">
        <f t="shared" si="88"/>
        <v>26.54</v>
      </c>
      <c r="X371">
        <f t="shared" si="100"/>
        <v>-2.6836747956690256E-2</v>
      </c>
      <c r="Y371">
        <f t="shared" si="101"/>
        <v>1.5100721110931201</v>
      </c>
      <c r="Z371" s="33">
        <f t="shared" si="89"/>
        <v>9.8468938299413278E-2</v>
      </c>
      <c r="AA371" s="33">
        <f t="shared" si="90"/>
        <v>0.5</v>
      </c>
      <c r="AB371">
        <f t="shared" si="91"/>
        <v>-2.8300427314084275E-2</v>
      </c>
      <c r="AC371" s="1">
        <f t="shared" si="92"/>
        <v>-0.15604196492043876</v>
      </c>
      <c r="AD371" s="35">
        <f>IF(W371&gt;=FinalAgeForPremium, AE371*Delta-Z371*(Y371-AE371),AE371*Delta+PremiumRevisedForLimitedTerm-Z371*(Y371-AE371))</f>
        <v>-6.990803096642767E-3</v>
      </c>
      <c r="AE371" s="35">
        <f>AE370-StepSize*AD370</f>
        <v>2.257418287214305E-2</v>
      </c>
      <c r="AF371" s="1"/>
    </row>
    <row r="372" spans="11:32" x14ac:dyDescent="0.45">
      <c r="K372" s="40">
        <f t="shared" si="93"/>
        <v>3.47</v>
      </c>
      <c r="L372" s="41">
        <f t="shared" si="85"/>
        <v>23.47</v>
      </c>
      <c r="M372">
        <f t="shared" si="94"/>
        <v>0.89657230463174575</v>
      </c>
      <c r="N372">
        <f t="shared" si="95"/>
        <v>0.10342769536825419</v>
      </c>
      <c r="O372">
        <f t="shared" si="86"/>
        <v>7.557878512552238E-2</v>
      </c>
      <c r="P372">
        <f t="shared" si="87"/>
        <v>0.5</v>
      </c>
      <c r="Q372">
        <f t="shared" si="96"/>
        <v>-1.6047997877130016E-2</v>
      </c>
      <c r="R372" s="6">
        <f t="shared" si="97"/>
        <v>1.6047997877130016E-2</v>
      </c>
      <c r="S372" s="18">
        <f t="shared" si="98"/>
        <v>1</v>
      </c>
      <c r="T372" s="15"/>
      <c r="U372" s="15"/>
      <c r="V372" s="40">
        <f t="shared" si="99"/>
        <v>6.53</v>
      </c>
      <c r="W372" s="41">
        <f t="shared" si="88"/>
        <v>26.53</v>
      </c>
      <c r="X372">
        <f t="shared" si="100"/>
        <v>-2.6553743683549413E-2</v>
      </c>
      <c r="Y372">
        <f t="shared" si="101"/>
        <v>1.5116325307423244</v>
      </c>
      <c r="Z372" s="33">
        <f t="shared" si="89"/>
        <v>9.8384116590820539E-2</v>
      </c>
      <c r="AA372" s="33">
        <f t="shared" si="90"/>
        <v>0.5</v>
      </c>
      <c r="AB372">
        <f t="shared" si="91"/>
        <v>-2.8281591248344853E-2</v>
      </c>
      <c r="AC372" s="1">
        <f t="shared" si="92"/>
        <v>-0.15532523624994687</v>
      </c>
      <c r="AD372" s="35">
        <f>IF(W372&gt;=FinalAgeForPremium, AE372*Delta-Z372*(Y372-AE372),AE372*Delta+PremiumRevisedForLimitedTerm-Z372*(Y372-AE372))</f>
        <v>-7.007778248123292E-3</v>
      </c>
      <c r="AE372" s="35">
        <f>AE371-StepSize*AD371</f>
        <v>2.2644090903109478E-2</v>
      </c>
      <c r="AF372" s="1"/>
    </row>
    <row r="373" spans="11:32" x14ac:dyDescent="0.45">
      <c r="K373" s="40">
        <f t="shared" si="93"/>
        <v>3.48</v>
      </c>
      <c r="L373" s="41">
        <f t="shared" si="85"/>
        <v>23.48</v>
      </c>
      <c r="M373">
        <f t="shared" si="94"/>
        <v>0.89641182465297442</v>
      </c>
      <c r="N373">
        <f t="shared" si="95"/>
        <v>0.1035881753470255</v>
      </c>
      <c r="O373">
        <f t="shared" si="86"/>
        <v>7.564394525410674E-2</v>
      </c>
      <c r="P373">
        <f t="shared" si="87"/>
        <v>0.5</v>
      </c>
      <c r="Q373">
        <f t="shared" si="96"/>
        <v>-1.6014039315670775E-2</v>
      </c>
      <c r="R373" s="6">
        <f t="shared" si="97"/>
        <v>1.6014039315670775E-2</v>
      </c>
      <c r="S373" s="18">
        <f t="shared" si="98"/>
        <v>0.99999999999999989</v>
      </c>
      <c r="T373" s="15"/>
      <c r="U373" s="15"/>
      <c r="V373" s="40">
        <f t="shared" si="99"/>
        <v>6.52</v>
      </c>
      <c r="W373" s="41">
        <f t="shared" si="88"/>
        <v>26.52</v>
      </c>
      <c r="X373">
        <f t="shared" si="100"/>
        <v>-2.6270927771065964E-2</v>
      </c>
      <c r="Y373">
        <f t="shared" si="101"/>
        <v>1.5131857831048239</v>
      </c>
      <c r="Z373" s="33">
        <f t="shared" si="89"/>
        <v>9.8299367948134292E-2</v>
      </c>
      <c r="AA373" s="33">
        <f t="shared" si="90"/>
        <v>0.5</v>
      </c>
      <c r="AB373">
        <f t="shared" si="91"/>
        <v>-2.8261974353819316E-2</v>
      </c>
      <c r="AC373" s="1">
        <f t="shared" si="92"/>
        <v>-0.15461235540681384</v>
      </c>
      <c r="AD373" s="35">
        <f>IF(W373&gt;=FinalAgeForPremium, AE373*Delta-Z373*(Y373-AE373),AE373*Delta+PremiumRevisedForLimitedTerm-Z373*(Y373-AE373))</f>
        <v>-7.0238797335198666E-3</v>
      </c>
      <c r="AE373" s="35">
        <f>AE372-StepSize*AD372</f>
        <v>2.2714168685590713E-2</v>
      </c>
      <c r="AF373" s="1"/>
    </row>
    <row r="374" spans="11:32" x14ac:dyDescent="0.45">
      <c r="K374" s="40">
        <f t="shared" si="93"/>
        <v>3.49</v>
      </c>
      <c r="L374" s="41">
        <f t="shared" si="85"/>
        <v>23.490000000000002</v>
      </c>
      <c r="M374">
        <f t="shared" si="94"/>
        <v>0.89625168425981772</v>
      </c>
      <c r="N374">
        <f t="shared" si="95"/>
        <v>0.1037483157401822</v>
      </c>
      <c r="O374">
        <f t="shared" si="86"/>
        <v>7.5709161560391647E-2</v>
      </c>
      <c r="P374">
        <f t="shared" si="87"/>
        <v>0.5</v>
      </c>
      <c r="Q374">
        <f t="shared" si="96"/>
        <v>-1.5980305692308558E-2</v>
      </c>
      <c r="R374" s="6">
        <f t="shared" si="97"/>
        <v>1.5980305692308558E-2</v>
      </c>
      <c r="S374" s="18">
        <f t="shared" si="98"/>
        <v>0.99999999999999989</v>
      </c>
      <c r="T374" s="15"/>
      <c r="U374" s="15"/>
      <c r="V374" s="40">
        <f t="shared" si="99"/>
        <v>6.51</v>
      </c>
      <c r="W374" s="41">
        <f t="shared" si="88"/>
        <v>26.509999999999998</v>
      </c>
      <c r="X374">
        <f t="shared" si="100"/>
        <v>-2.598830802752777E-2</v>
      </c>
      <c r="Y374">
        <f t="shared" si="101"/>
        <v>1.514731906658892</v>
      </c>
      <c r="Z374" s="33">
        <f t="shared" si="89"/>
        <v>9.8214692308415286E-2</v>
      </c>
      <c r="AA374" s="33">
        <f t="shared" si="90"/>
        <v>0.5</v>
      </c>
      <c r="AB374">
        <f t="shared" si="91"/>
        <v>-2.8241583522811003E-2</v>
      </c>
      <c r="AC374" s="1">
        <f t="shared" si="92"/>
        <v>-0.15390329732384544</v>
      </c>
      <c r="AD374" s="35">
        <f>IF(W374&gt;=FinalAgeForPremium, AE374*Delta-Z374*(Y374-AE374),AE374*Delta+PremiumRevisedForLimitedTerm-Z374*(Y374-AE374))</f>
        <v>-7.039114723484341E-3</v>
      </c>
      <c r="AE374" s="35">
        <f>AE373-StepSize*AD373</f>
        <v>2.2784407482925911E-2</v>
      </c>
      <c r="AF374" s="1"/>
    </row>
    <row r="375" spans="11:32" x14ac:dyDescent="0.45">
      <c r="K375" s="40">
        <f t="shared" si="93"/>
        <v>3.5</v>
      </c>
      <c r="L375" s="41">
        <f t="shared" si="85"/>
        <v>23.5</v>
      </c>
      <c r="M375">
        <f t="shared" si="94"/>
        <v>0.89609188120289462</v>
      </c>
      <c r="N375">
        <f t="shared" si="95"/>
        <v>0.10390811879710529</v>
      </c>
      <c r="O375">
        <f t="shared" si="86"/>
        <v>7.5774434092810511E-2</v>
      </c>
      <c r="P375">
        <f t="shared" si="87"/>
        <v>0.5</v>
      </c>
      <c r="Q375">
        <f t="shared" si="96"/>
        <v>-1.5946795794758675E-2</v>
      </c>
      <c r="R375" s="6">
        <f t="shared" si="97"/>
        <v>1.5946795794758675E-2</v>
      </c>
      <c r="S375" s="18">
        <f t="shared" si="98"/>
        <v>0.99999999999999989</v>
      </c>
      <c r="T375" s="15"/>
      <c r="U375" s="15"/>
      <c r="V375" s="40">
        <f t="shared" si="99"/>
        <v>6.5</v>
      </c>
      <c r="W375" s="41">
        <f t="shared" si="88"/>
        <v>26.5</v>
      </c>
      <c r="X375">
        <f t="shared" si="100"/>
        <v>-2.570589219229966E-2</v>
      </c>
      <c r="Y375">
        <f t="shared" si="101"/>
        <v>1.5162709396321306</v>
      </c>
      <c r="Z375" s="33">
        <f t="shared" si="89"/>
        <v>9.8130089608778365E-2</v>
      </c>
      <c r="AA375" s="33">
        <f t="shared" si="90"/>
        <v>0.5</v>
      </c>
      <c r="AB375">
        <f t="shared" si="91"/>
        <v>-2.8220425593858831E-2</v>
      </c>
      <c r="AC375" s="1">
        <f t="shared" si="92"/>
        <v>-0.1531980371061783</v>
      </c>
      <c r="AD375" s="35">
        <f>IF(W375&gt;=FinalAgeForPremium, AE375*Delta-Z375*(Y375-AE375),AE375*Delta+PremiumRevisedForLimitedTerm-Z375*(Y375-AE375))</f>
        <v>-7.0534903339646848E-3</v>
      </c>
      <c r="AE375" s="35">
        <f>AE374-StepSize*AD374</f>
        <v>2.2854798630160753E-2</v>
      </c>
      <c r="AF375" s="1"/>
    </row>
    <row r="376" spans="11:32" x14ac:dyDescent="0.45">
      <c r="K376" s="40">
        <f t="shared" si="93"/>
        <v>3.51</v>
      </c>
      <c r="L376" s="41">
        <f t="shared" si="85"/>
        <v>23.509999999999998</v>
      </c>
      <c r="M376">
        <f t="shared" si="94"/>
        <v>0.89593241324494699</v>
      </c>
      <c r="N376">
        <f t="shared" si="95"/>
        <v>0.10406758675505288</v>
      </c>
      <c r="O376">
        <f t="shared" si="86"/>
        <v>7.5839762899838736E-2</v>
      </c>
      <c r="P376">
        <f t="shared" si="87"/>
        <v>0.5</v>
      </c>
      <c r="Q376">
        <f t="shared" si="96"/>
        <v>-1.5913508417250678E-2</v>
      </c>
      <c r="R376" s="6">
        <f t="shared" si="97"/>
        <v>1.5913508417250678E-2</v>
      </c>
      <c r="S376" s="18">
        <f t="shared" si="98"/>
        <v>0.99999999999999989</v>
      </c>
      <c r="T376" s="15"/>
      <c r="U376" s="15"/>
      <c r="V376" s="40">
        <f t="shared" si="99"/>
        <v>6.49</v>
      </c>
      <c r="W376" s="41">
        <f t="shared" si="88"/>
        <v>26.490000000000002</v>
      </c>
      <c r="X376">
        <f t="shared" si="100"/>
        <v>-2.5423687936361072E-2</v>
      </c>
      <c r="Y376">
        <f t="shared" si="101"/>
        <v>1.5178029200031924</v>
      </c>
      <c r="Z376" s="33">
        <f t="shared" si="89"/>
        <v>9.8045559786392456E-2</v>
      </c>
      <c r="AA376" s="33">
        <f t="shared" si="90"/>
        <v>0.5</v>
      </c>
      <c r="AB376">
        <f t="shared" si="91"/>
        <v>-2.8198507352159521E-2</v>
      </c>
      <c r="AC376" s="1">
        <f t="shared" si="92"/>
        <v>-0.15249655003006357</v>
      </c>
      <c r="AD376" s="35">
        <f>IF(W376&gt;=FinalAgeForPremium, AE376*Delta-Z376*(Y376-AE376),AE376*Delta+PremiumRevisedForLimitedTerm-Z376*(Y376-AE376))</f>
        <v>-7.0670136266306749E-3</v>
      </c>
      <c r="AE376" s="35">
        <f>AE375-StepSize*AD375</f>
        <v>2.2925333533500399E-2</v>
      </c>
      <c r="AF376" s="1"/>
    </row>
    <row r="377" spans="11:32" x14ac:dyDescent="0.45">
      <c r="K377" s="40">
        <f t="shared" si="93"/>
        <v>3.52</v>
      </c>
      <c r="L377" s="41">
        <f t="shared" si="85"/>
        <v>23.52</v>
      </c>
      <c r="M377">
        <f t="shared" si="94"/>
        <v>0.89577327816077446</v>
      </c>
      <c r="N377">
        <f t="shared" si="95"/>
        <v>0.10422672183922539</v>
      </c>
      <c r="O377">
        <f t="shared" si="86"/>
        <v>7.5905148029993375E-2</v>
      </c>
      <c r="P377">
        <f t="shared" si="87"/>
        <v>0.5</v>
      </c>
      <c r="Q377">
        <f t="shared" si="96"/>
        <v>-1.5880442360493317E-2</v>
      </c>
      <c r="R377" s="6">
        <f t="shared" si="97"/>
        <v>1.5880442360493317E-2</v>
      </c>
      <c r="S377" s="18">
        <f t="shared" si="98"/>
        <v>0.99999999999999989</v>
      </c>
      <c r="T377" s="15"/>
      <c r="U377" s="15"/>
      <c r="V377" s="40">
        <f t="shared" si="99"/>
        <v>6.48</v>
      </c>
      <c r="W377" s="41">
        <f t="shared" si="88"/>
        <v>26.48</v>
      </c>
      <c r="X377">
        <f t="shared" si="100"/>
        <v>-2.5141702862839479E-2</v>
      </c>
      <c r="Y377">
        <f t="shared" si="101"/>
        <v>1.5193278855034931</v>
      </c>
      <c r="Z377" s="33">
        <f t="shared" si="89"/>
        <v>9.7961102778480622E-2</v>
      </c>
      <c r="AA377" s="33">
        <f t="shared" si="90"/>
        <v>0.5</v>
      </c>
      <c r="AB377">
        <f t="shared" si="91"/>
        <v>-2.8175835529986287E-2</v>
      </c>
      <c r="AC377" s="1">
        <f t="shared" si="92"/>
        <v>-0.15179881154165897</v>
      </c>
      <c r="AD377" s="35">
        <f>IF(W377&gt;=FinalAgeForPremium, AE377*Delta-Z377*(Y377-AE377),AE377*Delta+PremiumRevisedForLimitedTerm-Z377*(Y377-AE377))</f>
        <v>-7.0796916092961126E-3</v>
      </c>
      <c r="AE377" s="35">
        <f>AE376-StepSize*AD376</f>
        <v>2.2996003669766705E-2</v>
      </c>
      <c r="AF377" s="1"/>
    </row>
    <row r="378" spans="11:32" x14ac:dyDescent="0.45">
      <c r="K378" s="40">
        <f t="shared" si="93"/>
        <v>3.53</v>
      </c>
      <c r="L378" s="41">
        <f t="shared" si="85"/>
        <v>23.53</v>
      </c>
      <c r="M378">
        <f t="shared" si="94"/>
        <v>0.89561447373716951</v>
      </c>
      <c r="N378">
        <f t="shared" si="95"/>
        <v>0.10438552626283032</v>
      </c>
      <c r="O378">
        <f t="shared" si="86"/>
        <v>7.5970589531833235E-2</v>
      </c>
      <c r="P378">
        <f t="shared" si="87"/>
        <v>0.5</v>
      </c>
      <c r="Q378">
        <f t="shared" si="96"/>
        <v>-1.5847596431640187E-2</v>
      </c>
      <c r="R378" s="6">
        <f t="shared" si="97"/>
        <v>1.5847596431640187E-2</v>
      </c>
      <c r="S378" s="18">
        <f t="shared" si="98"/>
        <v>0.99999999999999978</v>
      </c>
      <c r="T378" s="15"/>
      <c r="U378" s="15"/>
      <c r="V378" s="40">
        <f t="shared" si="99"/>
        <v>6.47</v>
      </c>
      <c r="W378" s="41">
        <f t="shared" si="88"/>
        <v>26.47</v>
      </c>
      <c r="X378">
        <f t="shared" si="100"/>
        <v>-2.4859944507539616E-2</v>
      </c>
      <c r="Y378">
        <f t="shared" si="101"/>
        <v>1.5208458736189097</v>
      </c>
      <c r="Z378" s="33">
        <f t="shared" si="89"/>
        <v>9.7876718522320175E-2</v>
      </c>
      <c r="AA378" s="33">
        <f t="shared" si="90"/>
        <v>0.5</v>
      </c>
      <c r="AB378">
        <f t="shared" si="91"/>
        <v>-2.8152416807104425E-2</v>
      </c>
      <c r="AC378" s="1">
        <f t="shared" si="92"/>
        <v>-0.15110479725582981</v>
      </c>
      <c r="AD378" s="35">
        <f>IF(W378&gt;=FinalAgeForPremium, AE378*Delta-Z378*(Y378-AE378),AE378*Delta+PremiumRevisedForLimitedTerm-Z378*(Y378-AE378))</f>
        <v>-7.0915312363379335E-3</v>
      </c>
      <c r="AE378" s="35">
        <f>AE377-StepSize*AD377</f>
        <v>2.3066800585859665E-2</v>
      </c>
      <c r="AF378" s="1"/>
    </row>
    <row r="379" spans="11:32" x14ac:dyDescent="0.45">
      <c r="K379" s="40">
        <f t="shared" si="93"/>
        <v>3.54</v>
      </c>
      <c r="L379" s="41">
        <f t="shared" si="85"/>
        <v>23.54</v>
      </c>
      <c r="M379">
        <f t="shared" si="94"/>
        <v>0.89545599777285312</v>
      </c>
      <c r="N379">
        <f t="shared" si="95"/>
        <v>0.10454400222714672</v>
      </c>
      <c r="O379">
        <f t="shared" si="86"/>
        <v>7.603608745395915E-2</v>
      </c>
      <c r="P379">
        <f t="shared" si="87"/>
        <v>0.5</v>
      </c>
      <c r="Q379">
        <f t="shared" si="96"/>
        <v>-1.5814969444255547E-2</v>
      </c>
      <c r="R379" s="6">
        <f t="shared" si="97"/>
        <v>1.5814969444255547E-2</v>
      </c>
      <c r="S379" s="18">
        <f t="shared" si="98"/>
        <v>0.99999999999999978</v>
      </c>
      <c r="T379" s="15"/>
      <c r="U379" s="15"/>
      <c r="V379" s="40">
        <f t="shared" si="99"/>
        <v>6.46</v>
      </c>
      <c r="W379" s="41">
        <f t="shared" si="88"/>
        <v>26.46</v>
      </c>
      <c r="X379">
        <f t="shared" si="100"/>
        <v>-2.4578420339468571E-2</v>
      </c>
      <c r="Y379">
        <f t="shared" si="101"/>
        <v>1.5223569215914678</v>
      </c>
      <c r="Z379" s="33">
        <f t="shared" si="89"/>
        <v>9.77924069552423E-2</v>
      </c>
      <c r="AA379" s="33">
        <f t="shared" si="90"/>
        <v>0.5</v>
      </c>
      <c r="AB379">
        <f t="shared" si="91"/>
        <v>-2.8128257811182805E-2</v>
      </c>
      <c r="AC379" s="1">
        <f t="shared" si="92"/>
        <v>-0.15041448295495841</v>
      </c>
      <c r="AD379" s="35">
        <f>IF(W379&gt;=FinalAgeForPremium, AE379*Delta-Z379*(Y379-AE379),AE379*Delta+PremiumRevisedForLimitedTerm-Z379*(Y379-AE379))</f>
        <v>-7.1025394091112082E-3</v>
      </c>
      <c r="AE379" s="35">
        <f>AE378-StepSize*AD378</f>
        <v>2.3137715898223044E-2</v>
      </c>
      <c r="AF379" s="1"/>
    </row>
    <row r="380" spans="11:32" x14ac:dyDescent="0.45">
      <c r="K380" s="40">
        <f t="shared" si="93"/>
        <v>3.55</v>
      </c>
      <c r="L380" s="41">
        <f t="shared" si="85"/>
        <v>23.55</v>
      </c>
      <c r="M380">
        <f t="shared" si="94"/>
        <v>0.89529784807841051</v>
      </c>
      <c r="N380">
        <f t="shared" si="95"/>
        <v>0.10470215192158927</v>
      </c>
      <c r="O380">
        <f t="shared" si="86"/>
        <v>7.6101641845013765E-2</v>
      </c>
      <c r="P380">
        <f t="shared" si="87"/>
        <v>0.5</v>
      </c>
      <c r="Q380">
        <f t="shared" si="96"/>
        <v>-1.5782560218280103E-2</v>
      </c>
      <c r="R380" s="6">
        <f t="shared" si="97"/>
        <v>1.5782560218280103E-2</v>
      </c>
      <c r="S380" s="18">
        <f t="shared" si="98"/>
        <v>0.99999999999999978</v>
      </c>
      <c r="T380" s="15"/>
      <c r="U380" s="15"/>
      <c r="V380" s="40">
        <f t="shared" si="99"/>
        <v>6.45</v>
      </c>
      <c r="W380" s="41">
        <f t="shared" si="88"/>
        <v>26.45</v>
      </c>
      <c r="X380">
        <f t="shared" si="100"/>
        <v>-2.4297137761356745E-2</v>
      </c>
      <c r="Y380">
        <f t="shared" si="101"/>
        <v>1.5238610664210175</v>
      </c>
      <c r="Z380" s="33">
        <f t="shared" si="89"/>
        <v>9.7708168014632141E-2</v>
      </c>
      <c r="AA380" s="33">
        <f t="shared" si="90"/>
        <v>0.5</v>
      </c>
      <c r="AB380">
        <f t="shared" si="91"/>
        <v>-2.8103365118202772E-2</v>
      </c>
      <c r="AC380" s="1">
        <f t="shared" si="92"/>
        <v>-0.149727844587762</v>
      </c>
      <c r="AD380" s="35">
        <f>IF(W380&gt;=FinalAgeForPremium, AE380*Delta-Z380*(Y380-AE380),AE380*Delta+PremiumRevisedForLimitedTerm-Z380*(Y380-AE380))</f>
        <v>-7.1127229763614797E-3</v>
      </c>
      <c r="AE380" s="35">
        <f>AE379-StepSize*AD379</f>
        <v>2.3208741292314157E-2</v>
      </c>
      <c r="AF380" s="1"/>
    </row>
    <row r="381" spans="11:32" x14ac:dyDescent="0.45">
      <c r="K381" s="40">
        <f t="shared" si="93"/>
        <v>3.56</v>
      </c>
      <c r="L381" s="41">
        <f t="shared" si="85"/>
        <v>23.56</v>
      </c>
      <c r="M381">
        <f t="shared" si="94"/>
        <v>0.8951400224762277</v>
      </c>
      <c r="N381">
        <f t="shared" si="95"/>
        <v>0.10485997752377207</v>
      </c>
      <c r="O381">
        <f t="shared" si="86"/>
        <v>7.616725275368165E-2</v>
      </c>
      <c r="P381">
        <f t="shared" si="87"/>
        <v>0.5</v>
      </c>
      <c r="Q381">
        <f t="shared" si="96"/>
        <v>-1.5750367579997065E-2</v>
      </c>
      <c r="R381" s="6">
        <f t="shared" si="97"/>
        <v>1.5750367579997065E-2</v>
      </c>
      <c r="S381" s="18">
        <f t="shared" si="98"/>
        <v>0.99999999999999978</v>
      </c>
      <c r="T381" s="15"/>
      <c r="U381" s="15"/>
      <c r="V381" s="40">
        <f t="shared" si="99"/>
        <v>6.44</v>
      </c>
      <c r="W381" s="41">
        <f t="shared" si="88"/>
        <v>26.44</v>
      </c>
      <c r="X381">
        <f t="shared" si="100"/>
        <v>-2.4016104110174716E-2</v>
      </c>
      <c r="Y381">
        <f t="shared" si="101"/>
        <v>1.525358344866895</v>
      </c>
      <c r="Z381" s="33">
        <f t="shared" si="89"/>
        <v>9.7624001637928948E-2</v>
      </c>
      <c r="AA381" s="33">
        <f t="shared" si="90"/>
        <v>0.5</v>
      </c>
      <c r="AB381">
        <f t="shared" si="91"/>
        <v>-2.8077745252863801E-2</v>
      </c>
      <c r="AC381" s="1">
        <f t="shared" si="92"/>
        <v>-0.14904485826812042</v>
      </c>
      <c r="AD381" s="35">
        <f>IF(W381&gt;=FinalAgeForPremium, AE381*Delta-Z381*(Y381-AE381),AE381*Delta+PremiumRevisedForLimitedTerm-Z381*(Y381-AE381))</f>
        <v>-7.1220887346338246E-3</v>
      </c>
      <c r="AE381" s="35">
        <f>AE380-StepSize*AD380</f>
        <v>2.3279868522077772E-2</v>
      </c>
      <c r="AF381" s="1"/>
    </row>
    <row r="382" spans="11:32" x14ac:dyDescent="0.45">
      <c r="K382" s="40">
        <f t="shared" si="93"/>
        <v>3.57</v>
      </c>
      <c r="L382" s="41">
        <f t="shared" si="85"/>
        <v>23.57</v>
      </c>
      <c r="M382">
        <f t="shared" si="94"/>
        <v>0.89498251880042778</v>
      </c>
      <c r="N382">
        <f t="shared" si="95"/>
        <v>0.10501748119957205</v>
      </c>
      <c r="O382">
        <f t="shared" si="86"/>
        <v>7.6232920228689396E-2</v>
      </c>
      <c r="P382">
        <f t="shared" si="87"/>
        <v>0.5</v>
      </c>
      <c r="Q382">
        <f t="shared" si="96"/>
        <v>-1.5718390361998499E-2</v>
      </c>
      <c r="R382" s="6">
        <f t="shared" si="97"/>
        <v>1.5718390361998499E-2</v>
      </c>
      <c r="S382" s="18">
        <f t="shared" si="98"/>
        <v>0.99999999999999978</v>
      </c>
      <c r="T382" s="15"/>
      <c r="U382" s="15"/>
      <c r="V382" s="40">
        <f t="shared" si="99"/>
        <v>6.43</v>
      </c>
      <c r="W382" s="41">
        <f t="shared" si="88"/>
        <v>26.43</v>
      </c>
      <c r="X382">
        <f t="shared" si="100"/>
        <v>-2.3735326657646078E-2</v>
      </c>
      <c r="Y382">
        <f t="shared" si="101"/>
        <v>1.5268487934495762</v>
      </c>
      <c r="Z382" s="33">
        <f t="shared" si="89"/>
        <v>9.7539907762625708E-2</v>
      </c>
      <c r="AA382" s="33">
        <f t="shared" si="90"/>
        <v>0.5</v>
      </c>
      <c r="AB382">
        <f t="shared" si="91"/>
        <v>-2.8051404688985232E-2</v>
      </c>
      <c r="AC382" s="1">
        <f t="shared" si="92"/>
        <v>-0.14836550027391004</v>
      </c>
      <c r="AD382" s="35">
        <f>IF(W382&gt;=FinalAgeForPremium, AE382*Delta-Z382*(Y382-AE382),AE382*Delta+PremiumRevisedForLimitedTerm-Z382*(Y382-AE382))</f>
        <v>-7.1306434286781961E-3</v>
      </c>
      <c r="AE382" s="35">
        <f>AE381-StepSize*AD381</f>
        <v>2.3351089409424111E-2</v>
      </c>
      <c r="AF382" s="1"/>
    </row>
    <row r="383" spans="11:32" x14ac:dyDescent="0.45">
      <c r="K383" s="40">
        <f t="shared" si="93"/>
        <v>3.58</v>
      </c>
      <c r="L383" s="41">
        <f t="shared" si="85"/>
        <v>23.58</v>
      </c>
      <c r="M383">
        <f t="shared" si="94"/>
        <v>0.89482533489680782</v>
      </c>
      <c r="N383">
        <f t="shared" si="95"/>
        <v>0.10517466510319204</v>
      </c>
      <c r="O383">
        <f t="shared" si="86"/>
        <v>7.6298644318805564E-2</v>
      </c>
      <c r="P383">
        <f t="shared" si="87"/>
        <v>0.5</v>
      </c>
      <c r="Q383">
        <f t="shared" si="96"/>
        <v>-1.568662740315159E-2</v>
      </c>
      <c r="R383" s="6">
        <f t="shared" si="97"/>
        <v>1.568662740315159E-2</v>
      </c>
      <c r="S383" s="18">
        <f t="shared" si="98"/>
        <v>0.99999999999999989</v>
      </c>
      <c r="T383" s="15"/>
      <c r="U383" s="15"/>
      <c r="V383" s="40">
        <f t="shared" si="99"/>
        <v>6.42</v>
      </c>
      <c r="W383" s="41">
        <f t="shared" si="88"/>
        <v>26.42</v>
      </c>
      <c r="X383">
        <f t="shared" si="100"/>
        <v>-2.3454812610756225E-2</v>
      </c>
      <c r="Y383">
        <f t="shared" si="101"/>
        <v>1.5283324484523153</v>
      </c>
      <c r="Z383" s="33">
        <f t="shared" si="89"/>
        <v>9.7455886326269281E-2</v>
      </c>
      <c r="AA383" s="33">
        <f t="shared" si="90"/>
        <v>0.5</v>
      </c>
      <c r="AB383">
        <f t="shared" si="91"/>
        <v>-2.8024349849905594E-2</v>
      </c>
      <c r="AC383" s="1">
        <f t="shared" si="92"/>
        <v>-0.14768974704584847</v>
      </c>
      <c r="AD383" s="35">
        <f>IF(W383&gt;=FinalAgeForPremium, AE383*Delta-Z383*(Y383-AE383),AE383*Delta+PremiumRevisedForLimitedTerm-Z383*(Y383-AE383))</f>
        <v>-7.1383937518519902E-3</v>
      </c>
      <c r="AE383" s="35">
        <f>AE382-StepSize*AD382</f>
        <v>2.3422395843710891E-2</v>
      </c>
      <c r="AF383" s="1"/>
    </row>
    <row r="384" spans="11:32" x14ac:dyDescent="0.45">
      <c r="K384" s="40">
        <f t="shared" si="93"/>
        <v>3.59</v>
      </c>
      <c r="L384" s="41">
        <f t="shared" si="85"/>
        <v>23.59</v>
      </c>
      <c r="M384">
        <f t="shared" si="94"/>
        <v>0.89466846862277627</v>
      </c>
      <c r="N384">
        <f t="shared" si="95"/>
        <v>0.10533153137722355</v>
      </c>
      <c r="O384">
        <f t="shared" si="86"/>
        <v>7.636442507284083E-2</v>
      </c>
      <c r="P384">
        <f t="shared" si="87"/>
        <v>0.5</v>
      </c>
      <c r="Q384">
        <f t="shared" si="96"/>
        <v>-1.5655077548565467E-2</v>
      </c>
      <c r="R384" s="6">
        <f t="shared" si="97"/>
        <v>1.5655077548565467E-2</v>
      </c>
      <c r="S384" s="18">
        <f t="shared" si="98"/>
        <v>0.99999999999999978</v>
      </c>
      <c r="T384" s="15"/>
      <c r="U384" s="15"/>
      <c r="V384" s="40">
        <f t="shared" si="99"/>
        <v>6.41</v>
      </c>
      <c r="W384" s="41">
        <f t="shared" si="88"/>
        <v>26.41</v>
      </c>
      <c r="X384">
        <f t="shared" si="100"/>
        <v>-2.3174569112257168E-2</v>
      </c>
      <c r="Y384">
        <f t="shared" si="101"/>
        <v>1.5298093459227737</v>
      </c>
      <c r="Z384" s="33">
        <f t="shared" si="89"/>
        <v>9.7371937266460318E-2</v>
      </c>
      <c r="AA384" s="33">
        <f t="shared" si="90"/>
        <v>0.5</v>
      </c>
      <c r="AB384">
        <f t="shared" si="91"/>
        <v>-2.7996587108878174E-2</v>
      </c>
      <c r="AC384" s="1">
        <f t="shared" si="92"/>
        <v>-0.14701757518634584</v>
      </c>
      <c r="AD384" s="35">
        <f>IF(W384&gt;=FinalAgeForPremium, AE384*Delta-Z384*(Y384-AE384),AE384*Delta+PremiumRevisedForLimitedTerm-Z384*(Y384-AE384))</f>
        <v>-7.1453463465190881E-3</v>
      </c>
      <c r="AE384" s="35">
        <f>AE383-StepSize*AD383</f>
        <v>2.349377978122941E-2</v>
      </c>
      <c r="AF384" s="1"/>
    </row>
    <row r="385" spans="11:32" x14ac:dyDescent="0.45">
      <c r="K385" s="40">
        <f t="shared" si="93"/>
        <v>3.6</v>
      </c>
      <c r="L385" s="41">
        <f t="shared" si="85"/>
        <v>23.6</v>
      </c>
      <c r="M385">
        <f t="shared" si="94"/>
        <v>0.89451191784729056</v>
      </c>
      <c r="N385">
        <f t="shared" si="95"/>
        <v>0.1054880821527092</v>
      </c>
      <c r="O385">
        <f t="shared" si="86"/>
        <v>7.6430262539647825E-2</v>
      </c>
      <c r="P385">
        <f t="shared" si="87"/>
        <v>0.5</v>
      </c>
      <c r="Q385">
        <f t="shared" si="96"/>
        <v>-1.5623739649557704E-2</v>
      </c>
      <c r="R385" s="6">
        <f t="shared" si="97"/>
        <v>1.5623739649557704E-2</v>
      </c>
      <c r="S385" s="18">
        <f t="shared" si="98"/>
        <v>0.99999999999999978</v>
      </c>
      <c r="T385" s="15"/>
      <c r="U385" s="15"/>
      <c r="V385" s="40">
        <f t="shared" si="99"/>
        <v>6.4</v>
      </c>
      <c r="W385" s="41">
        <f t="shared" si="88"/>
        <v>26.4</v>
      </c>
      <c r="X385">
        <f t="shared" si="100"/>
        <v>-2.2894603241168387E-2</v>
      </c>
      <c r="Y385">
        <f t="shared" si="101"/>
        <v>1.5312795216746371</v>
      </c>
      <c r="Z385" s="33">
        <f t="shared" si="89"/>
        <v>9.7288060520853328E-2</v>
      </c>
      <c r="AA385" s="33">
        <f t="shared" si="90"/>
        <v>0.5</v>
      </c>
      <c r="AB385">
        <f t="shared" si="91"/>
        <v>-2.7968122789463895E-2</v>
      </c>
      <c r="AC385" s="1">
        <f t="shared" si="92"/>
        <v>-0.1463489614583654</v>
      </c>
      <c r="AD385" s="35">
        <f>IF(W385&gt;=FinalAgeForPremium, AE385*Delta-Z385*(Y385-AE385),AE385*Delta+PremiumRevisedForLimitedTerm-Z385*(Y385-AE385))</f>
        <v>-7.1515078044462888E-3</v>
      </c>
      <c r="AE385" s="35">
        <f>AE384-StepSize*AD384</f>
        <v>2.3565233244694603E-2</v>
      </c>
      <c r="AF385" s="1"/>
    </row>
    <row r="386" spans="11:32" x14ac:dyDescent="0.45">
      <c r="K386" s="40">
        <f t="shared" si="93"/>
        <v>3.61</v>
      </c>
      <c r="L386" s="41">
        <f t="shared" si="85"/>
        <v>23.61</v>
      </c>
      <c r="M386">
        <f t="shared" si="94"/>
        <v>0.89435568045079494</v>
      </c>
      <c r="N386">
        <f t="shared" si="95"/>
        <v>0.10564431954920478</v>
      </c>
      <c r="O386">
        <f t="shared" si="86"/>
        <v>7.6496156768121423E-2</v>
      </c>
      <c r="P386">
        <f t="shared" si="87"/>
        <v>0.5</v>
      </c>
      <c r="Q386">
        <f t="shared" si="96"/>
        <v>-1.559261256362153E-2</v>
      </c>
      <c r="R386" s="6">
        <f t="shared" si="97"/>
        <v>1.559261256362153E-2</v>
      </c>
      <c r="S386" s="18">
        <f t="shared" si="98"/>
        <v>0.99999999999999978</v>
      </c>
      <c r="T386" s="15"/>
      <c r="U386" s="15"/>
      <c r="V386" s="40">
        <f t="shared" si="99"/>
        <v>6.39</v>
      </c>
      <c r="W386" s="41">
        <f t="shared" si="88"/>
        <v>26.39</v>
      </c>
      <c r="X386">
        <f t="shared" si="100"/>
        <v>-2.2614922013273749E-2</v>
      </c>
      <c r="Y386">
        <f t="shared" si="101"/>
        <v>1.5327430112892209</v>
      </c>
      <c r="Z386" s="33">
        <f t="shared" si="89"/>
        <v>9.7204256027156377E-2</v>
      </c>
      <c r="AA386" s="33">
        <f t="shared" si="90"/>
        <v>0.5</v>
      </c>
      <c r="AB386">
        <f t="shared" si="91"/>
        <v>-2.7938963165920497E-2</v>
      </c>
      <c r="AC386" s="1">
        <f t="shared" si="92"/>
        <v>-0.14568388278429167</v>
      </c>
      <c r="AD386" s="35">
        <f>IF(W386&gt;=FinalAgeForPremium, AE386*Delta-Z386*(Y386-AE386),AE386*Delta+PremiumRevisedForLimitedTerm-Z386*(Y386-AE386))</f>
        <v>-7.1568846671955788E-3</v>
      </c>
      <c r="AE386" s="35">
        <f>AE385-StepSize*AD385</f>
        <v>2.3636748322739067E-2</v>
      </c>
      <c r="AF386" s="1"/>
    </row>
    <row r="387" spans="11:32" x14ac:dyDescent="0.45">
      <c r="K387" s="40">
        <f t="shared" si="93"/>
        <v>3.62</v>
      </c>
      <c r="L387" s="41">
        <f t="shared" si="85"/>
        <v>23.62</v>
      </c>
      <c r="M387">
        <f t="shared" si="94"/>
        <v>0.89419975432515875</v>
      </c>
      <c r="N387">
        <f t="shared" si="95"/>
        <v>0.10580024567484099</v>
      </c>
      <c r="O387">
        <f t="shared" si="86"/>
        <v>7.6562107807198618E-2</v>
      </c>
      <c r="P387">
        <f t="shared" si="87"/>
        <v>0.5</v>
      </c>
      <c r="Q387">
        <f t="shared" si="96"/>
        <v>-1.5561695154392825E-2</v>
      </c>
      <c r="R387" s="6">
        <f t="shared" si="97"/>
        <v>1.5561695154392825E-2</v>
      </c>
      <c r="S387" s="18">
        <f t="shared" si="98"/>
        <v>0.99999999999999978</v>
      </c>
      <c r="T387" s="15"/>
      <c r="U387" s="15"/>
      <c r="V387" s="40">
        <f t="shared" si="99"/>
        <v>6.38</v>
      </c>
      <c r="W387" s="41">
        <f t="shared" si="88"/>
        <v>26.38</v>
      </c>
      <c r="X387">
        <f t="shared" si="100"/>
        <v>-2.2335532381614544E-2</v>
      </c>
      <c r="Y387">
        <f t="shared" si="101"/>
        <v>1.5341998501170637</v>
      </c>
      <c r="Z387" s="33">
        <f t="shared" si="89"/>
        <v>9.712052372313125E-2</v>
      </c>
      <c r="AA387" s="33">
        <f t="shared" si="90"/>
        <v>0.5</v>
      </c>
      <c r="AB387">
        <f t="shared" si="91"/>
        <v>-2.7909114463589124E-2</v>
      </c>
      <c r="AC387" s="1">
        <f t="shared" si="92"/>
        <v>-0.14502231624480766</v>
      </c>
      <c r="AD387" s="35">
        <f>IF(W387&gt;=FinalAgeForPremium, AE387*Delta-Z387*(Y387-AE387),AE387*Delta+PremiumRevisedForLimitedTerm-Z387*(Y387-AE387))</f>
        <v>-7.1614834265143201E-3</v>
      </c>
      <c r="AE387" s="35">
        <f>AE386-StepSize*AD386</f>
        <v>2.3708317169411023E-2</v>
      </c>
      <c r="AF387" s="1"/>
    </row>
    <row r="388" spans="11:32" x14ac:dyDescent="0.45">
      <c r="K388" s="40">
        <f t="shared" si="93"/>
        <v>3.63</v>
      </c>
      <c r="L388" s="41">
        <f t="shared" si="85"/>
        <v>23.63</v>
      </c>
      <c r="M388">
        <f t="shared" si="94"/>
        <v>0.89404413737361477</v>
      </c>
      <c r="N388">
        <f t="shared" si="95"/>
        <v>0.10595586262638491</v>
      </c>
      <c r="O388">
        <f t="shared" si="86"/>
        <v>7.6628115705858535E-2</v>
      </c>
      <c r="P388">
        <f t="shared" si="87"/>
        <v>0.5</v>
      </c>
      <c r="Q388">
        <f t="shared" si="96"/>
        <v>-1.5530986291617373E-2</v>
      </c>
      <c r="R388" s="6">
        <f t="shared" si="97"/>
        <v>1.5530986291617373E-2</v>
      </c>
      <c r="S388" s="18">
        <f t="shared" si="98"/>
        <v>0.99999999999999967</v>
      </c>
      <c r="T388" s="15"/>
      <c r="U388" s="15"/>
      <c r="V388" s="40">
        <f t="shared" si="99"/>
        <v>6.37</v>
      </c>
      <c r="W388" s="41">
        <f t="shared" si="88"/>
        <v>26.37</v>
      </c>
      <c r="X388">
        <f t="shared" si="100"/>
        <v>-2.2056441236978652E-2</v>
      </c>
      <c r="Y388">
        <f t="shared" si="101"/>
        <v>1.5356500732795118</v>
      </c>
      <c r="Z388" s="33">
        <f t="shared" si="89"/>
        <v>9.703686354659341E-2</v>
      </c>
      <c r="AA388" s="33">
        <f t="shared" si="90"/>
        <v>0.5</v>
      </c>
      <c r="AB388">
        <f t="shared" si="91"/>
        <v>-2.7878582859277579E-2</v>
      </c>
      <c r="AC388" s="1">
        <f t="shared" si="92"/>
        <v>-0.14436423907777929</v>
      </c>
      <c r="AD388" s="35">
        <f>IF(W388&gt;=FinalAgeForPremium, AE388*Delta-Z388*(Y388-AE388),AE388*Delta+PremiumRevisedForLimitedTerm-Z388*(Y388-AE388))</f>
        <v>-7.1653105247218019E-3</v>
      </c>
      <c r="AE388" s="35">
        <f>AE387-StepSize*AD387</f>
        <v>2.3779932003676167E-2</v>
      </c>
      <c r="AF388" s="1"/>
    </row>
    <row r="389" spans="11:32" x14ac:dyDescent="0.45">
      <c r="K389" s="40">
        <f t="shared" si="93"/>
        <v>3.64</v>
      </c>
      <c r="L389" s="41">
        <f t="shared" si="85"/>
        <v>23.64</v>
      </c>
      <c r="M389">
        <f t="shared" si="94"/>
        <v>0.89388882751069865</v>
      </c>
      <c r="N389">
        <f t="shared" si="95"/>
        <v>0.10611117248930109</v>
      </c>
      <c r="O389">
        <f t="shared" si="86"/>
        <v>7.6694180513122587E-2</v>
      </c>
      <c r="P389">
        <f t="shared" si="87"/>
        <v>0.5</v>
      </c>
      <c r="Q389">
        <f t="shared" si="96"/>
        <v>-1.5500484851118483E-2</v>
      </c>
      <c r="R389" s="6">
        <f t="shared" si="97"/>
        <v>1.5500484851118483E-2</v>
      </c>
      <c r="S389" s="18">
        <f t="shared" si="98"/>
        <v>0.99999999999999978</v>
      </c>
      <c r="T389" s="15"/>
      <c r="U389" s="15"/>
      <c r="V389" s="40">
        <f t="shared" si="99"/>
        <v>6.36</v>
      </c>
      <c r="W389" s="41">
        <f t="shared" si="88"/>
        <v>26.36</v>
      </c>
      <c r="X389">
        <f t="shared" si="100"/>
        <v>-2.1777655408385877E-2</v>
      </c>
      <c r="Y389">
        <f t="shared" si="101"/>
        <v>1.5370937156702895</v>
      </c>
      <c r="Z389" s="33">
        <f t="shared" si="89"/>
        <v>9.6953275435411795E-2</v>
      </c>
      <c r="AA389" s="33">
        <f t="shared" si="90"/>
        <v>0.5</v>
      </c>
      <c r="AB389">
        <f t="shared" si="91"/>
        <v>-2.7847374481640472E-2</v>
      </c>
      <c r="AC389" s="1">
        <f t="shared" si="92"/>
        <v>-0.14370962867714776</v>
      </c>
      <c r="AD389" s="35">
        <f>IF(W389&gt;=FinalAgeForPremium, AE389*Delta-Z389*(Y389-AE389),AE389*Delta+PremiumRevisedForLimitedTerm-Z389*(Y389-AE389))</f>
        <v>-7.1683723550927947E-3</v>
      </c>
      <c r="AE389" s="35">
        <f>AE388-StepSize*AD388</f>
        <v>2.3851585108923386E-2</v>
      </c>
      <c r="AF389" s="1"/>
    </row>
    <row r="390" spans="11:32" x14ac:dyDescent="0.45">
      <c r="K390" s="40">
        <f t="shared" si="93"/>
        <v>3.65</v>
      </c>
      <c r="L390" s="41">
        <f t="shared" si="85"/>
        <v>23.65</v>
      </c>
      <c r="M390">
        <f t="shared" si="94"/>
        <v>0.89373382266218748</v>
      </c>
      <c r="N390">
        <f t="shared" si="95"/>
        <v>0.10626617733781227</v>
      </c>
      <c r="O390">
        <f t="shared" si="86"/>
        <v>7.6760302278054443E-2</v>
      </c>
      <c r="P390">
        <f t="shared" si="87"/>
        <v>0.5</v>
      </c>
      <c r="Q390">
        <f t="shared" si="96"/>
        <v>-1.5470189714764479E-2</v>
      </c>
      <c r="R390" s="6">
        <f t="shared" si="97"/>
        <v>1.5470189714764479E-2</v>
      </c>
      <c r="S390" s="18">
        <f t="shared" si="98"/>
        <v>0.99999999999999978</v>
      </c>
      <c r="T390" s="15"/>
      <c r="U390" s="15"/>
      <c r="V390" s="40">
        <f t="shared" si="99"/>
        <v>6.35</v>
      </c>
      <c r="W390" s="41">
        <f t="shared" si="88"/>
        <v>26.35</v>
      </c>
      <c r="X390">
        <f t="shared" si="100"/>
        <v>-2.1499181663569473E-2</v>
      </c>
      <c r="Y390">
        <f t="shared" si="101"/>
        <v>1.5385308119570611</v>
      </c>
      <c r="Z390" s="33">
        <f t="shared" si="89"/>
        <v>9.6869759327508881E-2</v>
      </c>
      <c r="AA390" s="33">
        <f t="shared" si="90"/>
        <v>0.5</v>
      </c>
      <c r="AB390">
        <f t="shared" si="91"/>
        <v>-2.7815495411556521E-2</v>
      </c>
      <c r="AC390" s="1">
        <f t="shared" si="92"/>
        <v>-0.14305846259183164</v>
      </c>
      <c r="AD390" s="35">
        <f>IF(W390&gt;=FinalAgeForPremium, AE390*Delta-Z390*(Y390-AE390),AE390*Delta+PremiumRevisedForLimitedTerm-Z390*(Y390-AE390))</f>
        <v>-7.1706752622379966E-3</v>
      </c>
      <c r="AE390" s="35">
        <f>AE389-StepSize*AD389</f>
        <v>2.3923268832474313E-2</v>
      </c>
      <c r="AF390" s="1"/>
    </row>
    <row r="391" spans="11:32" x14ac:dyDescent="0.45">
      <c r="K391" s="40">
        <f t="shared" si="93"/>
        <v>3.66</v>
      </c>
      <c r="L391" s="41">
        <f t="shared" si="85"/>
        <v>23.66</v>
      </c>
      <c r="M391">
        <f t="shared" si="94"/>
        <v>0.89357912076503987</v>
      </c>
      <c r="N391">
        <f t="shared" si="95"/>
        <v>0.10642087923495991</v>
      </c>
      <c r="O391">
        <f t="shared" si="86"/>
        <v>7.6826481049760101E-2</v>
      </c>
      <c r="P391">
        <f t="shared" si="87"/>
        <v>0.5</v>
      </c>
      <c r="Q391">
        <f t="shared" si="96"/>
        <v>-1.5440099770436672E-2</v>
      </c>
      <c r="R391" s="6">
        <f t="shared" si="97"/>
        <v>1.5440099770436672E-2</v>
      </c>
      <c r="S391" s="18">
        <f t="shared" si="98"/>
        <v>0.99999999999999978</v>
      </c>
      <c r="T391" s="15"/>
      <c r="U391" s="15"/>
      <c r="V391" s="40">
        <f t="shared" si="99"/>
        <v>6.34</v>
      </c>
      <c r="W391" s="41">
        <f t="shared" si="88"/>
        <v>26.34</v>
      </c>
      <c r="X391">
        <f t="shared" si="100"/>
        <v>-2.1221026709453909E-2</v>
      </c>
      <c r="Y391">
        <f t="shared" si="101"/>
        <v>1.5399613965829795</v>
      </c>
      <c r="Z391" s="33">
        <f t="shared" si="89"/>
        <v>9.67863151608606E-2</v>
      </c>
      <c r="AA391" s="33">
        <f t="shared" si="90"/>
        <v>0.5</v>
      </c>
      <c r="AB391">
        <f t="shared" si="91"/>
        <v>-2.7782951682502582E-2</v>
      </c>
      <c r="AC391" s="1">
        <f t="shared" si="92"/>
        <v>-0.14241071852463427</v>
      </c>
      <c r="AD391" s="35">
        <f>IF(W391&gt;=FinalAgeForPremium, AE391*Delta-Z391*(Y391-AE391),AE391*Delta+PremiumRevisedForLimitedTerm-Z391*(Y391-AE391))</f>
        <v>-7.1722255424815917E-3</v>
      </c>
      <c r="AE391" s="35">
        <f>AE390-StepSize*AD390</f>
        <v>2.3994975585096692E-2</v>
      </c>
      <c r="AF391" s="1"/>
    </row>
    <row r="392" spans="11:32" x14ac:dyDescent="0.45">
      <c r="K392" s="40">
        <f t="shared" si="93"/>
        <v>3.67</v>
      </c>
      <c r="L392" s="41">
        <f t="shared" si="85"/>
        <v>23.67</v>
      </c>
      <c r="M392">
        <f t="shared" si="94"/>
        <v>0.89342471976733551</v>
      </c>
      <c r="N392">
        <f t="shared" si="95"/>
        <v>0.10657528023266427</v>
      </c>
      <c r="O392">
        <f t="shared" si="86"/>
        <v>7.6892716877387787E-2</v>
      </c>
      <c r="P392">
        <f t="shared" si="87"/>
        <v>0.5</v>
      </c>
      <c r="Q392">
        <f t="shared" si="96"/>
        <v>-1.5410213911997123E-2</v>
      </c>
      <c r="R392" s="6">
        <f t="shared" si="97"/>
        <v>1.5410213911997123E-2</v>
      </c>
      <c r="S392" s="18">
        <f t="shared" si="98"/>
        <v>0.99999999999999978</v>
      </c>
      <c r="T392" s="15"/>
      <c r="U392" s="15"/>
      <c r="V392" s="40">
        <f t="shared" si="99"/>
        <v>6.33</v>
      </c>
      <c r="W392" s="41">
        <f t="shared" si="88"/>
        <v>26.33</v>
      </c>
      <c r="X392">
        <f t="shared" si="100"/>
        <v>-2.0943197192628882E-2</v>
      </c>
      <c r="Y392">
        <f t="shared" si="101"/>
        <v>1.5413855037682258</v>
      </c>
      <c r="Z392" s="33">
        <f t="shared" si="89"/>
        <v>9.6702942873496428E-2</v>
      </c>
      <c r="AA392" s="33">
        <f t="shared" si="90"/>
        <v>0.5</v>
      </c>
      <c r="AB392">
        <f t="shared" si="91"/>
        <v>-2.7749749280925176E-2</v>
      </c>
      <c r="AC392" s="1">
        <f t="shared" si="92"/>
        <v>-0.14176637433116135</v>
      </c>
      <c r="AD392" s="35">
        <f>IF(W392&gt;=FinalAgeForPremium, AE392*Delta-Z392*(Y392-AE392),AE392*Delta+PremiumRevisedForLimitedTerm-Z392*(Y392-AE392))</f>
        <v>-7.1730294442360065E-3</v>
      </c>
      <c r="AE392" s="35">
        <f>AE391-StepSize*AD391</f>
        <v>2.4066697840521508E-2</v>
      </c>
      <c r="AF392" s="1"/>
    </row>
    <row r="393" spans="11:32" x14ac:dyDescent="0.45">
      <c r="K393" s="40">
        <f t="shared" si="93"/>
        <v>3.68</v>
      </c>
      <c r="L393" s="41">
        <f t="shared" si="85"/>
        <v>23.68</v>
      </c>
      <c r="M393">
        <f t="shared" si="94"/>
        <v>0.89327061762821558</v>
      </c>
      <c r="N393">
        <f t="shared" si="95"/>
        <v>0.10672938237178424</v>
      </c>
      <c r="O393">
        <f t="shared" si="86"/>
        <v>7.6959009810128209E-2</v>
      </c>
      <c r="P393">
        <f t="shared" si="87"/>
        <v>0.5</v>
      </c>
      <c r="Q393">
        <f t="shared" si="96"/>
        <v>-1.538053103925701E-2</v>
      </c>
      <c r="R393" s="6">
        <f t="shared" si="97"/>
        <v>1.538053103925701E-2</v>
      </c>
      <c r="S393" s="18">
        <f t="shared" si="98"/>
        <v>0.99999999999999978</v>
      </c>
      <c r="T393" s="15"/>
      <c r="U393" s="15"/>
      <c r="V393" s="40">
        <f t="shared" si="99"/>
        <v>6.32</v>
      </c>
      <c r="W393" s="41">
        <f t="shared" si="88"/>
        <v>26.32</v>
      </c>
      <c r="X393">
        <f t="shared" si="100"/>
        <v>-2.0665699699819629E-2</v>
      </c>
      <c r="Y393">
        <f t="shared" si="101"/>
        <v>1.5428031675115375</v>
      </c>
      <c r="Z393" s="33">
        <f t="shared" si="89"/>
        <v>9.6619642403499087E-2</v>
      </c>
      <c r="AA393" s="33">
        <f t="shared" si="90"/>
        <v>0.5</v>
      </c>
      <c r="AB393">
        <f t="shared" si="91"/>
        <v>-2.7715894146608439E-2</v>
      </c>
      <c r="AC393" s="1">
        <f t="shared" si="92"/>
        <v>-0.14112540801874462</v>
      </c>
      <c r="AD393" s="35">
        <f>IF(W393&gt;=FinalAgeForPremium, AE393*Delta-Z393*(Y393-AE393),AE393*Delta+PremiumRevisedForLimitedTerm-Z393*(Y393-AE393))</f>
        <v>-7.173093168372946E-3</v>
      </c>
      <c r="AE393" s="35">
        <f>AE392-StepSize*AD392</f>
        <v>2.4138428134963866E-2</v>
      </c>
      <c r="AF393" s="1"/>
    </row>
    <row r="394" spans="11:32" x14ac:dyDescent="0.45">
      <c r="K394" s="40">
        <f t="shared" si="93"/>
        <v>3.69</v>
      </c>
      <c r="L394" s="41">
        <f t="shared" si="85"/>
        <v>23.69</v>
      </c>
      <c r="M394">
        <f t="shared" si="94"/>
        <v>0.89311681231782303</v>
      </c>
      <c r="N394">
        <f t="shared" si="95"/>
        <v>0.10688318768217681</v>
      </c>
      <c r="O394">
        <f t="shared" si="86"/>
        <v>7.7025359897214485E-2</v>
      </c>
      <c r="P394">
        <f t="shared" si="87"/>
        <v>0.5</v>
      </c>
      <c r="Q394">
        <f t="shared" si="96"/>
        <v>-1.5351050057944876E-2</v>
      </c>
      <c r="R394" s="6">
        <f t="shared" si="97"/>
        <v>1.5351050057944876E-2</v>
      </c>
      <c r="S394" s="18">
        <f t="shared" si="98"/>
        <v>0.99999999999999978</v>
      </c>
      <c r="T394" s="15"/>
      <c r="U394" s="15"/>
      <c r="V394" s="40">
        <f t="shared" si="99"/>
        <v>6.31</v>
      </c>
      <c r="W394" s="41">
        <f t="shared" si="88"/>
        <v>26.31</v>
      </c>
      <c r="X394">
        <f t="shared" si="100"/>
        <v>-2.0388540758353543E-2</v>
      </c>
      <c r="Y394">
        <f t="shared" si="101"/>
        <v>1.5442144215917248</v>
      </c>
      <c r="Z394" s="33">
        <f t="shared" si="89"/>
        <v>9.6536413689004646E-2</v>
      </c>
      <c r="AA394" s="33">
        <f t="shared" si="90"/>
        <v>0.5</v>
      </c>
      <c r="AB394">
        <f t="shared" si="91"/>
        <v>-2.7681392173039332E-2</v>
      </c>
      <c r="AC394" s="1">
        <f t="shared" si="92"/>
        <v>-0.14048779774537457</v>
      </c>
      <c r="AD394" s="35">
        <f>IF(W394&gt;=FinalAgeForPremium, AE394*Delta-Z394*(Y394-AE394),AE394*Delta+PremiumRevisedForLimitedTerm-Z394*(Y394-AE394))</f>
        <v>-7.1724228685923486E-3</v>
      </c>
      <c r="AE394" s="35">
        <f>AE393-StepSize*AD393</f>
        <v>2.4210159066647596E-2</v>
      </c>
      <c r="AF394" s="1"/>
    </row>
    <row r="395" spans="11:32" x14ac:dyDescent="0.45">
      <c r="K395" s="40">
        <f t="shared" si="93"/>
        <v>3.7</v>
      </c>
      <c r="L395" s="41">
        <f t="shared" si="85"/>
        <v>23.7</v>
      </c>
      <c r="M395">
        <f t="shared" si="94"/>
        <v>0.89296330181724359</v>
      </c>
      <c r="N395">
        <f t="shared" si="95"/>
        <v>0.10703669818275625</v>
      </c>
      <c r="O395">
        <f t="shared" si="86"/>
        <v>7.7091767187922045E-2</v>
      </c>
      <c r="P395">
        <f t="shared" si="87"/>
        <v>0.5</v>
      </c>
      <c r="Q395">
        <f t="shared" si="96"/>
        <v>-1.5321769879674978E-2</v>
      </c>
      <c r="R395" s="6">
        <f t="shared" si="97"/>
        <v>1.5321769879674978E-2</v>
      </c>
      <c r="S395" s="18">
        <f t="shared" si="98"/>
        <v>0.99999999999999989</v>
      </c>
      <c r="T395" s="15"/>
      <c r="U395" s="15"/>
      <c r="V395" s="40">
        <f t="shared" si="99"/>
        <v>6.3</v>
      </c>
      <c r="W395" s="41">
        <f t="shared" si="88"/>
        <v>26.3</v>
      </c>
      <c r="X395">
        <f t="shared" si="100"/>
        <v>-2.0111726836623149E-2</v>
      </c>
      <c r="Y395">
        <f t="shared" si="101"/>
        <v>1.5456192995691787</v>
      </c>
      <c r="Z395" s="33">
        <f t="shared" si="89"/>
        <v>9.6453256668202605E-2</v>
      </c>
      <c r="AA395" s="33">
        <f t="shared" si="90"/>
        <v>0.5</v>
      </c>
      <c r="AB395">
        <f t="shared" si="91"/>
        <v>-2.7646249207770618E-2</v>
      </c>
      <c r="AC395" s="1">
        <f t="shared" si="92"/>
        <v>-0.13985352181864019</v>
      </c>
      <c r="AD395" s="35">
        <f>IF(W395&gt;=FinalAgeForPremium, AE395*Delta-Z395*(Y395-AE395),AE395*Delta+PremiumRevisedForLimitedTerm-Z395*(Y395-AE395))</f>
        <v>-7.1710246517881493E-3</v>
      </c>
      <c r="AE395" s="35">
        <f>AE394-StepSize*AD394</f>
        <v>2.4281883295333519E-2</v>
      </c>
      <c r="AF395" s="1"/>
    </row>
    <row r="396" spans="11:32" x14ac:dyDescent="0.45">
      <c r="K396" s="40">
        <f t="shared" si="93"/>
        <v>3.71</v>
      </c>
      <c r="L396" s="41">
        <f t="shared" si="85"/>
        <v>23.71</v>
      </c>
      <c r="M396">
        <f t="shared" si="94"/>
        <v>0.89281008411844687</v>
      </c>
      <c r="N396">
        <f t="shared" si="95"/>
        <v>0.10718991588155301</v>
      </c>
      <c r="O396">
        <f t="shared" si="86"/>
        <v>7.7158231731569035E-2</v>
      </c>
      <c r="P396">
        <f t="shared" si="87"/>
        <v>0.5</v>
      </c>
      <c r="Q396">
        <f t="shared" si="96"/>
        <v>-1.5292689421916257E-2</v>
      </c>
      <c r="R396" s="6">
        <f t="shared" si="97"/>
        <v>1.5292689421916257E-2</v>
      </c>
      <c r="S396" s="18">
        <f t="shared" si="98"/>
        <v>0.99999999999999989</v>
      </c>
      <c r="T396" s="15"/>
      <c r="U396" s="15"/>
      <c r="V396" s="40">
        <f t="shared" si="99"/>
        <v>6.29</v>
      </c>
      <c r="W396" s="41">
        <f t="shared" si="88"/>
        <v>26.29</v>
      </c>
      <c r="X396">
        <f t="shared" si="100"/>
        <v>-1.9835264344545443E-2</v>
      </c>
      <c r="Y396">
        <f t="shared" si="101"/>
        <v>1.5470178347873651</v>
      </c>
      <c r="Z396" s="33">
        <f t="shared" si="89"/>
        <v>9.637017127933549E-2</v>
      </c>
      <c r="AA396" s="33">
        <f t="shared" si="90"/>
        <v>0.5</v>
      </c>
      <c r="AB396">
        <f t="shared" si="91"/>
        <v>-2.7610471052779459E-2</v>
      </c>
      <c r="AC396" s="1">
        <f t="shared" si="92"/>
        <v>-0.13922255869467648</v>
      </c>
      <c r="AD396" s="35">
        <f>IF(W396&gt;=FinalAgeForPremium, AE396*Delta-Z396*(Y396-AE396),AE396*Delta+PremiumRevisedForLimitedTerm-Z396*(Y396-AE396))</f>
        <v>-7.1689045784104621E-3</v>
      </c>
      <c r="AE396" s="35">
        <f>AE395-StepSize*AD395</f>
        <v>2.43535935418514E-2</v>
      </c>
      <c r="AF396" s="1"/>
    </row>
    <row r="397" spans="11:32" x14ac:dyDescent="0.45">
      <c r="K397" s="40">
        <f t="shared" si="93"/>
        <v>3.72</v>
      </c>
      <c r="L397" s="41">
        <f t="shared" si="85"/>
        <v>23.72</v>
      </c>
      <c r="M397">
        <f t="shared" si="94"/>
        <v>0.89265715722422767</v>
      </c>
      <c r="N397">
        <f t="shared" si="95"/>
        <v>0.10734284277577218</v>
      </c>
      <c r="O397">
        <f t="shared" si="86"/>
        <v>7.7224753577515876E-2</v>
      </c>
      <c r="P397">
        <f t="shared" si="87"/>
        <v>0.5</v>
      </c>
      <c r="Q397">
        <f t="shared" si="96"/>
        <v>-1.5263807607960735E-2</v>
      </c>
      <c r="R397" s="6">
        <f t="shared" si="97"/>
        <v>1.5263807607960735E-2</v>
      </c>
      <c r="S397" s="18">
        <f t="shared" si="98"/>
        <v>0.99999999999999989</v>
      </c>
      <c r="T397" s="15"/>
      <c r="U397" s="15"/>
      <c r="V397" s="40">
        <f t="shared" si="99"/>
        <v>6.28</v>
      </c>
      <c r="W397" s="41">
        <f t="shared" si="88"/>
        <v>26.28</v>
      </c>
      <c r="X397">
        <f t="shared" si="100"/>
        <v>-1.9559159634017647E-2</v>
      </c>
      <c r="Y397">
        <f t="shared" si="101"/>
        <v>1.5484100603743118</v>
      </c>
      <c r="Z397" s="33">
        <f t="shared" si="89"/>
        <v>9.6287157460699227E-2</v>
      </c>
      <c r="AA397" s="33">
        <f t="shared" si="90"/>
        <v>0.5</v>
      </c>
      <c r="AB397">
        <f t="shared" si="91"/>
        <v>-2.7574063464825008E-2</v>
      </c>
      <c r="AC397" s="1">
        <f t="shared" si="92"/>
        <v>-0.13859488697711964</v>
      </c>
      <c r="AD397" s="35">
        <f>IF(W397&gt;=FinalAgeForPremium, AE397*Delta-Z397*(Y397-AE397),AE397*Delta+PremiumRevisedForLimitedTerm-Z397*(Y397-AE397))</f>
        <v>-7.1660686628260972E-3</v>
      </c>
      <c r="AE397" s="35">
        <f>AE396-StepSize*AD396</f>
        <v>2.4425282587635506E-2</v>
      </c>
      <c r="AF397" s="1"/>
    </row>
    <row r="398" spans="11:32" x14ac:dyDescent="0.45">
      <c r="K398" s="40">
        <f t="shared" si="93"/>
        <v>3.73</v>
      </c>
      <c r="L398" s="41">
        <f t="shared" si="85"/>
        <v>23.73</v>
      </c>
      <c r="M398">
        <f t="shared" si="94"/>
        <v>0.8925045191481481</v>
      </c>
      <c r="N398">
        <f t="shared" si="95"/>
        <v>0.10749548085185179</v>
      </c>
      <c r="O398">
        <f t="shared" si="86"/>
        <v>7.7291332775165672E-2</v>
      </c>
      <c r="P398">
        <f t="shared" si="87"/>
        <v>0.5</v>
      </c>
      <c r="Q398">
        <f t="shared" si="96"/>
        <v>-1.5235123366892839E-2</v>
      </c>
      <c r="R398" s="6">
        <f t="shared" si="97"/>
        <v>1.5235123366892839E-2</v>
      </c>
      <c r="S398" s="18">
        <f t="shared" si="98"/>
        <v>0.99999999999999989</v>
      </c>
      <c r="T398" s="15"/>
      <c r="U398" s="15"/>
      <c r="V398" s="40">
        <f t="shared" si="99"/>
        <v>6.27</v>
      </c>
      <c r="W398" s="41">
        <f t="shared" si="88"/>
        <v>26.27</v>
      </c>
      <c r="X398">
        <f t="shared" si="100"/>
        <v>-1.9283418999369396E-2</v>
      </c>
      <c r="Y398">
        <f t="shared" si="101"/>
        <v>1.549796009244083</v>
      </c>
      <c r="Z398" s="33">
        <f t="shared" si="89"/>
        <v>9.6204215150642786E-2</v>
      </c>
      <c r="AA398" s="33">
        <f t="shared" si="90"/>
        <v>0.5</v>
      </c>
      <c r="AB398">
        <f t="shared" si="91"/>
        <v>-2.7537032155801472E-2</v>
      </c>
      <c r="AC398" s="1">
        <f t="shared" si="92"/>
        <v>-0.1379704854160696</v>
      </c>
      <c r="AD398" s="35">
        <f>IF(W398&gt;=FinalAgeForPremium, AE398*Delta-Z398*(Y398-AE398),AE398*Delta+PremiumRevisedForLimitedTerm-Z398*(Y398-AE398))</f>
        <v>-7.1625228736752478E-3</v>
      </c>
      <c r="AE398" s="35">
        <f>AE397-StepSize*AD397</f>
        <v>2.4496943274263768E-2</v>
      </c>
      <c r="AF398" s="1"/>
    </row>
    <row r="399" spans="11:32" x14ac:dyDescent="0.45">
      <c r="K399" s="40">
        <f t="shared" si="93"/>
        <v>3.74</v>
      </c>
      <c r="L399" s="41">
        <f t="shared" si="85"/>
        <v>23.740000000000002</v>
      </c>
      <c r="M399">
        <f t="shared" si="94"/>
        <v>0.89235216791447913</v>
      </c>
      <c r="N399">
        <f t="shared" si="95"/>
        <v>0.10764783208552071</v>
      </c>
      <c r="O399">
        <f t="shared" si="86"/>
        <v>7.7357969373964164E-2</v>
      </c>
      <c r="P399">
        <f t="shared" si="87"/>
        <v>0.5</v>
      </c>
      <c r="Q399">
        <f t="shared" si="96"/>
        <v>-1.5206635633558445E-2</v>
      </c>
      <c r="R399" s="6">
        <f t="shared" si="97"/>
        <v>1.5206635633558445E-2</v>
      </c>
      <c r="S399" s="18">
        <f t="shared" si="98"/>
        <v>0.99999999999999989</v>
      </c>
      <c r="T399" s="15"/>
      <c r="U399" s="15"/>
      <c r="V399" s="40">
        <f t="shared" si="99"/>
        <v>6.26</v>
      </c>
      <c r="W399" s="41">
        <f t="shared" si="88"/>
        <v>26.259999999999998</v>
      </c>
      <c r="X399">
        <f t="shared" si="100"/>
        <v>-1.9008048677811383E-2</v>
      </c>
      <c r="Y399">
        <f t="shared" si="101"/>
        <v>1.5511757140982436</v>
      </c>
      <c r="Z399" s="33">
        <f t="shared" si="89"/>
        <v>9.6121344287568203E-2</v>
      </c>
      <c r="AA399" s="33">
        <f t="shared" si="90"/>
        <v>0.5</v>
      </c>
      <c r="AB399">
        <f t="shared" si="91"/>
        <v>-2.7499382793089416E-2</v>
      </c>
      <c r="AC399" s="1">
        <f t="shared" si="92"/>
        <v>-0.13734933290706031</v>
      </c>
      <c r="AD399" s="35">
        <f>IF(W399&gt;=FinalAgeForPremium, AE399*Delta-Z399*(Y399-AE399),AE399*Delta+PremiumRevisedForLimitedTerm-Z399*(Y399-AE399))</f>
        <v>-7.1582731342255401E-3</v>
      </c>
      <c r="AE399" s="35">
        <f>AE398-StepSize*AD398</f>
        <v>2.4568568503000522E-2</v>
      </c>
      <c r="AF399" s="1"/>
    </row>
    <row r="400" spans="11:32" x14ac:dyDescent="0.45">
      <c r="K400" s="40">
        <f t="shared" si="93"/>
        <v>3.75</v>
      </c>
      <c r="L400" s="41">
        <f t="shared" si="85"/>
        <v>23.75</v>
      </c>
      <c r="M400">
        <f t="shared" si="94"/>
        <v>0.89220010155814355</v>
      </c>
      <c r="N400">
        <f t="shared" si="95"/>
        <v>0.10779989844185629</v>
      </c>
      <c r="O400">
        <f t="shared" si="86"/>
        <v>7.7424663423399584E-2</v>
      </c>
      <c r="P400">
        <f t="shared" si="87"/>
        <v>0.5</v>
      </c>
      <c r="Q400">
        <f t="shared" si="96"/>
        <v>-1.5178343348534039E-2</v>
      </c>
      <c r="R400" s="6">
        <f t="shared" si="97"/>
        <v>1.5178343348534039E-2</v>
      </c>
      <c r="S400" s="18">
        <f t="shared" si="98"/>
        <v>0.99999999999999989</v>
      </c>
      <c r="T400" s="15"/>
      <c r="U400" s="15"/>
      <c r="V400" s="40">
        <f t="shared" si="99"/>
        <v>6.25</v>
      </c>
      <c r="W400" s="41">
        <f t="shared" si="88"/>
        <v>26.25</v>
      </c>
      <c r="X400">
        <f t="shared" si="100"/>
        <v>-1.8733054849880488E-2</v>
      </c>
      <c r="Y400">
        <f t="shared" si="101"/>
        <v>1.5525492074273142</v>
      </c>
      <c r="Z400" s="33">
        <f t="shared" si="89"/>
        <v>9.6038544809930737E-2</v>
      </c>
      <c r="AA400" s="33">
        <f t="shared" si="90"/>
        <v>0.5</v>
      </c>
      <c r="AB400">
        <f t="shared" si="91"/>
        <v>-2.7461120999904068E-2</v>
      </c>
      <c r="AC400" s="1">
        <f t="shared" si="92"/>
        <v>-0.13673140849003695</v>
      </c>
      <c r="AD400" s="35">
        <f>IF(W400&gt;=FinalAgeForPremium, AE400*Delta-Z400*(Y400-AE400),AE400*Delta+PremiumRevisedForLimitedTerm-Z400*(Y400-AE400))</f>
        <v>-7.1533253227239746E-3</v>
      </c>
      <c r="AE400" s="35">
        <f>AE399-StepSize*AD399</f>
        <v>2.4640151234342777E-2</v>
      </c>
      <c r="AF400" s="1"/>
    </row>
    <row r="401" spans="11:32" x14ac:dyDescent="0.45">
      <c r="K401" s="40">
        <f t="shared" si="93"/>
        <v>3.76</v>
      </c>
      <c r="L401" s="41">
        <f t="shared" si="85"/>
        <v>23.759999999999998</v>
      </c>
      <c r="M401">
        <f t="shared" si="94"/>
        <v>0.89204831812465823</v>
      </c>
      <c r="N401">
        <f t="shared" si="95"/>
        <v>0.10795168187534163</v>
      </c>
      <c r="O401">
        <f t="shared" si="86"/>
        <v>7.7491414973002937E-2</v>
      </c>
      <c r="P401">
        <f t="shared" si="87"/>
        <v>0.5</v>
      </c>
      <c r="Q401">
        <f t="shared" si="96"/>
        <v>-1.5150245458096415E-2</v>
      </c>
      <c r="R401" s="6">
        <f t="shared" si="97"/>
        <v>1.5150245458096415E-2</v>
      </c>
      <c r="S401" s="18">
        <f t="shared" si="98"/>
        <v>0.99999999999999989</v>
      </c>
      <c r="T401" s="15"/>
      <c r="U401" s="15"/>
      <c r="V401" s="40">
        <f t="shared" si="99"/>
        <v>6.24</v>
      </c>
      <c r="W401" s="41">
        <f t="shared" si="88"/>
        <v>26.240000000000002</v>
      </c>
      <c r="X401">
        <f t="shared" si="100"/>
        <v>-1.8458443639881448E-2</v>
      </c>
      <c r="Y401">
        <f t="shared" si="101"/>
        <v>1.5539165215122146</v>
      </c>
      <c r="Z401" s="33">
        <f t="shared" si="89"/>
        <v>9.5955816656238521E-2</v>
      </c>
      <c r="AA401" s="33">
        <f t="shared" si="90"/>
        <v>0.5</v>
      </c>
      <c r="AB401">
        <f t="shared" si="91"/>
        <v>-2.7422252355640372E-2</v>
      </c>
      <c r="AC401" s="1">
        <f t="shared" si="92"/>
        <v>-0.13611669134834126</v>
      </c>
      <c r="AD401" s="35">
        <f>IF(W401&gt;=FinalAgeForPremium, AE401*Delta-Z401*(Y401-AE401),AE401*Delta+PremiumRevisedForLimitedTerm-Z401*(Y401-AE401))</f>
        <v>-7.1476852727448414E-3</v>
      </c>
      <c r="AE401" s="35">
        <f>AE400-StepSize*AD400</f>
        <v>2.4711684487570017E-2</v>
      </c>
      <c r="AF401" s="1"/>
    </row>
    <row r="402" spans="11:32" x14ac:dyDescent="0.45">
      <c r="K402" s="40">
        <f t="shared" si="93"/>
        <v>3.77</v>
      </c>
      <c r="L402" s="41">
        <f t="shared" si="85"/>
        <v>23.77</v>
      </c>
      <c r="M402">
        <f t="shared" si="94"/>
        <v>0.89189681567007728</v>
      </c>
      <c r="N402">
        <f t="shared" si="95"/>
        <v>0.10810318432992259</v>
      </c>
      <c r="O402">
        <f t="shared" si="86"/>
        <v>7.7558224072347901E-2</v>
      </c>
      <c r="P402">
        <f t="shared" si="87"/>
        <v>0.5</v>
      </c>
      <c r="Q402">
        <f t="shared" si="96"/>
        <v>-1.512234091419213E-2</v>
      </c>
      <c r="R402" s="6">
        <f t="shared" si="97"/>
        <v>1.512234091419213E-2</v>
      </c>
      <c r="S402" s="18">
        <f t="shared" si="98"/>
        <v>0.99999999999999989</v>
      </c>
      <c r="T402" s="15"/>
      <c r="U402" s="15"/>
      <c r="V402" s="40">
        <f t="shared" si="99"/>
        <v>6.23</v>
      </c>
      <c r="W402" s="41">
        <f t="shared" si="88"/>
        <v>26.23</v>
      </c>
      <c r="X402">
        <f t="shared" si="100"/>
        <v>-1.8184221116325044E-2</v>
      </c>
      <c r="Y402">
        <f t="shared" si="101"/>
        <v>1.555277688425698</v>
      </c>
      <c r="Z402" s="33">
        <f t="shared" si="89"/>
        <v>9.5873159765052701E-2</v>
      </c>
      <c r="AA402" s="33">
        <f t="shared" si="90"/>
        <v>0.5</v>
      </c>
      <c r="AB402">
        <f t="shared" si="91"/>
        <v>-2.738278239621586E-2</v>
      </c>
      <c r="AC402" s="1">
        <f t="shared" si="92"/>
        <v>-0.13550516080770358</v>
      </c>
      <c r="AD402" s="35">
        <f>IF(W402&gt;=FinalAgeForPremium, AE402*Delta-Z402*(Y402-AE402),AE402*Delta+PremiumRevisedForLimitedTerm-Z402*(Y402-AE402))</f>
        <v>-7.1413587735359441E-3</v>
      </c>
      <c r="AE402" s="35">
        <f>AE401-StepSize*AD401</f>
        <v>2.4783161340297465E-2</v>
      </c>
      <c r="AF402" s="1"/>
    </row>
    <row r="403" spans="11:32" x14ac:dyDescent="0.45">
      <c r="K403" s="40">
        <f t="shared" si="93"/>
        <v>3.78</v>
      </c>
      <c r="L403" s="41">
        <f t="shared" si="85"/>
        <v>23.78</v>
      </c>
      <c r="M403">
        <f t="shared" si="94"/>
        <v>0.8917455922609353</v>
      </c>
      <c r="N403">
        <f t="shared" si="95"/>
        <v>0.10825440773906451</v>
      </c>
      <c r="O403">
        <f t="shared" si="86"/>
        <v>7.7625090771050925E-2</v>
      </c>
      <c r="P403">
        <f t="shared" si="87"/>
        <v>0.5</v>
      </c>
      <c r="Q403">
        <f t="shared" si="96"/>
        <v>-1.5094628674407411E-2</v>
      </c>
      <c r="R403" s="6">
        <f t="shared" si="97"/>
        <v>1.5094628674407411E-2</v>
      </c>
      <c r="S403" s="18">
        <f t="shared" si="98"/>
        <v>0.99999999999999978</v>
      </c>
      <c r="T403" s="15"/>
      <c r="U403" s="15"/>
      <c r="V403" s="40">
        <f t="shared" si="99"/>
        <v>6.22</v>
      </c>
      <c r="W403" s="41">
        <f t="shared" si="88"/>
        <v>26.22</v>
      </c>
      <c r="X403">
        <f t="shared" si="100"/>
        <v>-1.7910393292362884E-2</v>
      </c>
      <c r="Y403">
        <f t="shared" si="101"/>
        <v>1.5566327400337752</v>
      </c>
      <c r="Z403" s="33">
        <f t="shared" si="89"/>
        <v>9.5790574074987284E-2</v>
      </c>
      <c r="AA403" s="33">
        <f t="shared" si="90"/>
        <v>0.5</v>
      </c>
      <c r="AB403">
        <f t="shared" si="91"/>
        <v>-2.7342716614410498E-2</v>
      </c>
      <c r="AC403" s="1">
        <f t="shared" si="92"/>
        <v>-0.13489679633524221</v>
      </c>
      <c r="AD403" s="35">
        <f>IF(W403&gt;=FinalAgeForPremium, AE403*Delta-Z403*(Y403-AE403),AE403*Delta+PremiumRevisedForLimitedTerm-Z403*(Y403-AE403))</f>
        <v>-7.134351570361519E-3</v>
      </c>
      <c r="AE403" s="35">
        <f>AE402-StepSize*AD402</f>
        <v>2.4854574928032825E-2</v>
      </c>
      <c r="AF403" s="1"/>
    </row>
    <row r="404" spans="11:32" x14ac:dyDescent="0.45">
      <c r="K404" s="40">
        <f t="shared" si="93"/>
        <v>3.79</v>
      </c>
      <c r="L404" s="41">
        <f t="shared" si="85"/>
        <v>23.79</v>
      </c>
      <c r="M404">
        <f t="shared" si="94"/>
        <v>0.89159464597419125</v>
      </c>
      <c r="N404">
        <f t="shared" si="95"/>
        <v>0.10840535402580859</v>
      </c>
      <c r="O404">
        <f t="shared" si="86"/>
        <v>7.7692015118771149E-2</v>
      </c>
      <c r="P404">
        <f t="shared" si="87"/>
        <v>0.5</v>
      </c>
      <c r="Q404">
        <f t="shared" si="96"/>
        <v>-1.5067107701937976E-2</v>
      </c>
      <c r="R404" s="6">
        <f t="shared" si="97"/>
        <v>1.5067107701937976E-2</v>
      </c>
      <c r="S404" s="18">
        <f t="shared" si="98"/>
        <v>0.99999999999999978</v>
      </c>
      <c r="T404" s="15"/>
      <c r="U404" s="15"/>
      <c r="V404" s="40">
        <f t="shared" si="99"/>
        <v>6.21</v>
      </c>
      <c r="W404" s="41">
        <f t="shared" si="88"/>
        <v>26.21</v>
      </c>
      <c r="X404">
        <f t="shared" si="100"/>
        <v>-1.7636966126218779E-2</v>
      </c>
      <c r="Y404">
        <f t="shared" si="101"/>
        <v>1.5579817079971277</v>
      </c>
      <c r="Z404" s="33">
        <f t="shared" si="89"/>
        <v>9.570805952470933E-2</v>
      </c>
      <c r="AA404" s="33">
        <f t="shared" si="90"/>
        <v>0.5</v>
      </c>
      <c r="AB404">
        <f t="shared" si="91"/>
        <v>-2.73020604602041E-2</v>
      </c>
      <c r="AC404" s="1">
        <f t="shared" si="92"/>
        <v>-0.13429157753847043</v>
      </c>
      <c r="AD404" s="35">
        <f>IF(W404&gt;=FinalAgeForPremium, AE404*Delta-Z404*(Y404-AE404),AE404*Delta+PremiumRevisedForLimitedTerm-Z404*(Y404-AE404))</f>
        <v>-7.1266693648428525E-3</v>
      </c>
      <c r="AE404" s="35">
        <f>AE403-StepSize*AD403</f>
        <v>2.4925918443736442E-2</v>
      </c>
      <c r="AF404" s="1"/>
    </row>
    <row r="405" spans="11:32" x14ac:dyDescent="0.45">
      <c r="K405" s="40">
        <f t="shared" si="93"/>
        <v>3.8</v>
      </c>
      <c r="L405" s="41">
        <f t="shared" si="85"/>
        <v>23.8</v>
      </c>
      <c r="M405">
        <f t="shared" si="94"/>
        <v>0.89144397489717186</v>
      </c>
      <c r="N405">
        <f t="shared" si="95"/>
        <v>0.10855602510282797</v>
      </c>
      <c r="O405">
        <f t="shared" si="86"/>
        <v>7.7758997165210605E-2</v>
      </c>
      <c r="P405">
        <f t="shared" si="87"/>
        <v>0.5</v>
      </c>
      <c r="Q405">
        <f t="shared" si="96"/>
        <v>-1.5039776965559276E-2</v>
      </c>
      <c r="R405" s="6">
        <f t="shared" si="97"/>
        <v>1.5039776965559276E-2</v>
      </c>
      <c r="S405" s="18">
        <f t="shared" si="98"/>
        <v>0.99999999999999978</v>
      </c>
      <c r="T405" s="15"/>
      <c r="U405" s="15"/>
      <c r="V405" s="40">
        <f t="shared" si="99"/>
        <v>6.2</v>
      </c>
      <c r="W405" s="41">
        <f t="shared" si="88"/>
        <v>26.2</v>
      </c>
      <c r="X405">
        <f t="shared" si="100"/>
        <v>-1.7363945521616738E-2</v>
      </c>
      <c r="Y405">
        <f t="shared" si="101"/>
        <v>1.5593246237725125</v>
      </c>
      <c r="Z405" s="33">
        <f t="shared" si="89"/>
        <v>9.5625616052938553E-2</v>
      </c>
      <c r="AA405" s="33">
        <f t="shared" si="90"/>
        <v>0.5</v>
      </c>
      <c r="AB405">
        <f t="shared" si="91"/>
        <v>-2.726081934111059E-2</v>
      </c>
      <c r="AC405" s="1">
        <f t="shared" si="92"/>
        <v>-0.1336894841643097</v>
      </c>
      <c r="AD405" s="35">
        <f>IF(W405&gt;=FinalAgeForPremium, AE405*Delta-Z405*(Y405-AE405),AE405*Delta+PremiumRevisedForLimitedTerm-Z405*(Y405-AE405))</f>
        <v>-7.1183178152955662E-3</v>
      </c>
      <c r="AE405" s="35">
        <f>AE404-StepSize*AD404</f>
        <v>2.4997185137384869E-2</v>
      </c>
      <c r="AF405" s="1"/>
    </row>
    <row r="406" spans="11:32" x14ac:dyDescent="0.45">
      <c r="K406" s="40">
        <f t="shared" si="93"/>
        <v>3.81</v>
      </c>
      <c r="L406" s="41">
        <f t="shared" si="85"/>
        <v>23.81</v>
      </c>
      <c r="M406">
        <f t="shared" si="94"/>
        <v>0.89129357712751622</v>
      </c>
      <c r="N406">
        <f t="shared" si="95"/>
        <v>0.10870642287248355</v>
      </c>
      <c r="O406">
        <f t="shared" si="86"/>
        <v>7.7826036960114142E-2</v>
      </c>
      <c r="P406">
        <f t="shared" si="87"/>
        <v>0.5</v>
      </c>
      <c r="Q406">
        <f t="shared" si="96"/>
        <v>-1.5012635439596647E-2</v>
      </c>
      <c r="R406" s="6">
        <f t="shared" si="97"/>
        <v>1.5012635439596647E-2</v>
      </c>
      <c r="S406" s="18">
        <f t="shared" si="98"/>
        <v>0.99999999999999978</v>
      </c>
      <c r="T406" s="15"/>
      <c r="U406" s="15"/>
      <c r="V406" s="40">
        <f t="shared" si="99"/>
        <v>6.19</v>
      </c>
      <c r="W406" s="41">
        <f t="shared" si="88"/>
        <v>26.19</v>
      </c>
      <c r="X406">
        <f t="shared" si="100"/>
        <v>-1.7091337328205631E-2</v>
      </c>
      <c r="Y406">
        <f t="shared" si="101"/>
        <v>1.5606615186141555</v>
      </c>
      <c r="Z406" s="33">
        <f t="shared" si="89"/>
        <v>9.5543243598447528E-2</v>
      </c>
      <c r="AA406" s="33">
        <f t="shared" si="90"/>
        <v>0.5</v>
      </c>
      <c r="AB406">
        <f t="shared" si="91"/>
        <v>-2.7218998622509913E-2</v>
      </c>
      <c r="AC406" s="1">
        <f t="shared" si="92"/>
        <v>-0.13309049609811174</v>
      </c>
      <c r="AD406" s="35">
        <f>IF(W406&gt;=FinalAgeForPremium, AE406*Delta-Z406*(Y406-AE406),AE406*Delta+PremiumRevisedForLimitedTerm-Z406*(Y406-AE406))</f>
        <v>-7.1093025370648211E-3</v>
      </c>
      <c r="AE406" s="35">
        <f>AE405-StepSize*AD405</f>
        <v>2.5068368315537826E-2</v>
      </c>
      <c r="AF406" s="1"/>
    </row>
    <row r="407" spans="11:32" x14ac:dyDescent="0.45">
      <c r="K407" s="40">
        <f t="shared" si="93"/>
        <v>3.82</v>
      </c>
      <c r="L407" s="41">
        <f t="shared" si="85"/>
        <v>23.82</v>
      </c>
      <c r="M407">
        <f t="shared" si="94"/>
        <v>0.89114345077312029</v>
      </c>
      <c r="N407">
        <f t="shared" si="95"/>
        <v>0.10885654922687953</v>
      </c>
      <c r="O407">
        <f t="shared" si="86"/>
        <v>7.7893134553269558E-2</v>
      </c>
      <c r="P407">
        <f t="shared" si="87"/>
        <v>0.5</v>
      </c>
      <c r="Q407">
        <f t="shared" si="96"/>
        <v>-1.4985682103895843E-2</v>
      </c>
      <c r="R407" s="6">
        <f t="shared" si="97"/>
        <v>1.4985682103895843E-2</v>
      </c>
      <c r="S407" s="18">
        <f t="shared" si="98"/>
        <v>0.99999999999999978</v>
      </c>
      <c r="T407" s="15"/>
      <c r="U407" s="15"/>
      <c r="V407" s="40">
        <f t="shared" si="99"/>
        <v>6.18</v>
      </c>
      <c r="W407" s="41">
        <f t="shared" si="88"/>
        <v>26.18</v>
      </c>
      <c r="X407">
        <f t="shared" si="100"/>
        <v>-1.681914734198053E-2</v>
      </c>
      <c r="Y407">
        <f t="shared" si="101"/>
        <v>1.5619924235751366</v>
      </c>
      <c r="Z407" s="33">
        <f t="shared" si="89"/>
        <v>9.5460942100061508E-2</v>
      </c>
      <c r="AA407" s="33">
        <f t="shared" si="90"/>
        <v>0.5</v>
      </c>
      <c r="AB407">
        <f t="shared" si="91"/>
        <v>-2.7176603627977428E-2</v>
      </c>
      <c r="AC407" s="1">
        <f t="shared" si="92"/>
        <v>-0.13249459336268465</v>
      </c>
      <c r="AD407" s="35">
        <f>IF(W407&gt;=FinalAgeForPremium, AE407*Delta-Z407*(Y407-AE407),AE407*Delta+PremiumRevisedForLimitedTerm-Z407*(Y407-AE407))</f>
        <v>-7.0996291028577185E-3</v>
      </c>
      <c r="AE407" s="35">
        <f>AE406-StepSize*AD406</f>
        <v>2.5139461340908473E-2</v>
      </c>
      <c r="AF407" s="1"/>
    </row>
    <row r="408" spans="11:32" x14ac:dyDescent="0.45">
      <c r="K408" s="40">
        <f t="shared" si="93"/>
        <v>3.83</v>
      </c>
      <c r="L408" s="41">
        <f t="shared" si="85"/>
        <v>23.83</v>
      </c>
      <c r="M408">
        <f t="shared" si="94"/>
        <v>0.89099359395208133</v>
      </c>
      <c r="N408">
        <f t="shared" si="95"/>
        <v>0.10900640604791849</v>
      </c>
      <c r="O408">
        <f t="shared" si="86"/>
        <v>7.7960289994507437E-2</v>
      </c>
      <c r="P408">
        <f t="shared" si="87"/>
        <v>0.5</v>
      </c>
      <c r="Q408">
        <f t="shared" si="96"/>
        <v>-1.4958915943793429E-2</v>
      </c>
      <c r="R408" s="6">
        <f t="shared" si="97"/>
        <v>1.4958915943793429E-2</v>
      </c>
      <c r="S408" s="18">
        <f t="shared" si="98"/>
        <v>0.99999999999999978</v>
      </c>
      <c r="T408" s="15"/>
      <c r="U408" s="15"/>
      <c r="V408" s="40">
        <f t="shared" si="99"/>
        <v>6.17</v>
      </c>
      <c r="W408" s="41">
        <f t="shared" si="88"/>
        <v>26.17</v>
      </c>
      <c r="X408">
        <f t="shared" si="100"/>
        <v>-1.6547381305700756E-2</v>
      </c>
      <c r="Y408">
        <f t="shared" si="101"/>
        <v>1.5633173695087634</v>
      </c>
      <c r="Z408" s="33">
        <f t="shared" si="89"/>
        <v>9.5378711496658608E-2</v>
      </c>
      <c r="AA408" s="33">
        <f t="shared" si="90"/>
        <v>0.5</v>
      </c>
      <c r="AB408">
        <f t="shared" si="91"/>
        <v>-2.7133639639610574E-2</v>
      </c>
      <c r="AC408" s="1">
        <f t="shared" si="92"/>
        <v>-0.13190175611732979</v>
      </c>
      <c r="AD408" s="35">
        <f>IF(W408&gt;=FinalAgeForPremium, AE408*Delta-Z408*(Y408-AE408),AE408*Delta+PremiumRevisedForLimitedTerm-Z408*(Y408-AE408))</f>
        <v>-7.0893030430729254E-3</v>
      </c>
      <c r="AE408" s="35">
        <f>AE407-StepSize*AD407</f>
        <v>2.521045763193705E-2</v>
      </c>
      <c r="AF408" s="1"/>
    </row>
    <row r="409" spans="11:32" x14ac:dyDescent="0.45">
      <c r="K409" s="40">
        <f t="shared" si="93"/>
        <v>3.84</v>
      </c>
      <c r="L409" s="41">
        <f t="shared" ref="L409:L472" si="102">$L$5+K409</f>
        <v>23.84</v>
      </c>
      <c r="M409">
        <f t="shared" si="94"/>
        <v>0.89084400479264336</v>
      </c>
      <c r="N409">
        <f t="shared" si="95"/>
        <v>0.10915599520735643</v>
      </c>
      <c r="O409">
        <f t="shared" ref="O409:O472" si="103">mu01Parameter_B*mu01Parameter_c^L409</f>
        <v>7.8027503333701467E-2</v>
      </c>
      <c r="P409">
        <f t="shared" ref="P409:P472" si="104">mu10Constant</f>
        <v>0.5</v>
      </c>
      <c r="Q409">
        <f t="shared" si="96"/>
        <v>-1.4932335950087729E-2</v>
      </c>
      <c r="R409" s="6">
        <f t="shared" si="97"/>
        <v>1.4932335950087729E-2</v>
      </c>
      <c r="S409" s="18">
        <f t="shared" si="98"/>
        <v>0.99999999999999978</v>
      </c>
      <c r="T409" s="15"/>
      <c r="U409" s="15"/>
      <c r="V409" s="40">
        <f t="shared" si="99"/>
        <v>6.16</v>
      </c>
      <c r="W409" s="41">
        <f t="shared" ref="W409:W472" si="105">$L$5+V409</f>
        <v>26.16</v>
      </c>
      <c r="X409">
        <f t="shared" si="100"/>
        <v>-1.6276044909304649E-2</v>
      </c>
      <c r="Y409">
        <f t="shared" si="101"/>
        <v>1.5646363870699367</v>
      </c>
      <c r="Z409" s="33">
        <f t="shared" ref="Z409:Z472" si="106">mu01Parameter_B*mu01Parameter_c^W409</f>
        <v>9.5296551727169415E-2</v>
      </c>
      <c r="AA409" s="33">
        <f t="shared" ref="AA409:AA472" si="107">mu10Constant</f>
        <v>0.5</v>
      </c>
      <c r="AB409">
        <f t="shared" ref="AB409:AB472" si="108">X409*Delta+Premium-Z409*(Y409-X409)</f>
        <v>-2.7090111898352545E-2</v>
      </c>
      <c r="AC409" s="1">
        <f t="shared" ref="AC409:AC472" si="109">Y409*Delta-AnnuityWhileSIck-AA409*(X409-Y409)</f>
        <v>-0.13131196465688244</v>
      </c>
      <c r="AD409" s="35">
        <f>IF(W409&gt;=FinalAgeForPremium, AE409*Delta-Z409*(Y409-AE409),AE409*Delta+PremiumRevisedForLimitedTerm-Z409*(Y409-AE409))</f>
        <v>-7.0783298461277178E-3</v>
      </c>
      <c r="AE409" s="35">
        <f>AE408-StepSize*AD408</f>
        <v>2.528135066236778E-2</v>
      </c>
      <c r="AF409" s="1"/>
    </row>
    <row r="410" spans="11:32" x14ac:dyDescent="0.45">
      <c r="K410" s="40">
        <f t="shared" ref="K410:K473" si="110">ROUND(K409+StepSize,2)</f>
        <v>3.85</v>
      </c>
      <c r="L410" s="41">
        <f t="shared" si="102"/>
        <v>23.85</v>
      </c>
      <c r="M410">
        <f t="shared" ref="M410:M473" si="111">M409+StepSize*Q409</f>
        <v>0.89069468143314245</v>
      </c>
      <c r="N410">
        <f t="shared" ref="N410:N473" si="112">N409+StepSize*R409</f>
        <v>0.10930531856685731</v>
      </c>
      <c r="O410">
        <f t="shared" si="103"/>
        <v>7.809477462076829E-2</v>
      </c>
      <c r="P410">
        <f t="shared" si="104"/>
        <v>0.5</v>
      </c>
      <c r="Q410">
        <f t="shared" ref="Q410:Q473" si="113">N410*P410-M410*O410</f>
        <v>-1.4905941119009621E-2</v>
      </c>
      <c r="R410" s="6">
        <f t="shared" ref="R410:R473" si="114">M410*O410-N410*P410</f>
        <v>1.4905941119009621E-2</v>
      </c>
      <c r="S410" s="18">
        <f t="shared" ref="S410:S473" si="115">M410+N410</f>
        <v>0.99999999999999978</v>
      </c>
      <c r="T410" s="15"/>
      <c r="U410" s="15"/>
      <c r="V410" s="40">
        <f t="shared" ref="V410:V473" si="116">ROUND(V409-StepSize,2)</f>
        <v>6.15</v>
      </c>
      <c r="W410" s="41">
        <f t="shared" si="105"/>
        <v>26.15</v>
      </c>
      <c r="X410">
        <f t="shared" ref="X410:X473" si="117">X409-StepSize*AB409</f>
        <v>-1.6005143790321124E-2</v>
      </c>
      <c r="Y410">
        <f t="shared" ref="Y410:Y473" si="118">Y409-StepSize*AC409</f>
        <v>1.5659495067165055</v>
      </c>
      <c r="Z410" s="33">
        <f t="shared" si="106"/>
        <v>9.5214462730577168E-2</v>
      </c>
      <c r="AA410" s="33">
        <f t="shared" si="107"/>
        <v>0.5</v>
      </c>
      <c r="AB410">
        <f t="shared" si="108"/>
        <v>-2.704602560431385E-2</v>
      </c>
      <c r="AC410" s="1">
        <f t="shared" si="109"/>
        <v>-0.13072519941076144</v>
      </c>
      <c r="AD410" s="35">
        <f>IF(W410&gt;=FinalAgeForPremium, AE410*Delta-Z410*(Y410-AE410),AE410*Delta+PremiumRevisedForLimitedTerm-Z410*(Y410-AE410))</f>
        <v>-7.066714958782444E-3</v>
      </c>
      <c r="AE410" s="35">
        <f>AE409-StepSize*AD409</f>
        <v>2.5352133960829058E-2</v>
      </c>
      <c r="AF410" s="1"/>
    </row>
    <row r="411" spans="11:32" x14ac:dyDescent="0.45">
      <c r="K411" s="40">
        <f t="shared" si="110"/>
        <v>3.86</v>
      </c>
      <c r="L411" s="41">
        <f t="shared" si="102"/>
        <v>23.86</v>
      </c>
      <c r="M411">
        <f t="shared" si="111"/>
        <v>0.89054562202195231</v>
      </c>
      <c r="N411">
        <f t="shared" si="112"/>
        <v>0.10945437797804741</v>
      </c>
      <c r="O411">
        <f t="shared" si="103"/>
        <v>7.8162103905667524E-2</v>
      </c>
      <c r="P411">
        <f t="shared" si="104"/>
        <v>0.5</v>
      </c>
      <c r="Q411">
        <f t="shared" si="113"/>
        <v>-1.4879730452193443E-2</v>
      </c>
      <c r="R411" s="6">
        <f t="shared" si="114"/>
        <v>1.4879730452193443E-2</v>
      </c>
      <c r="S411" s="18">
        <f t="shared" si="115"/>
        <v>0.99999999999999978</v>
      </c>
      <c r="T411" s="15"/>
      <c r="U411" s="15"/>
      <c r="V411" s="40">
        <f t="shared" si="116"/>
        <v>6.14</v>
      </c>
      <c r="W411" s="41">
        <f t="shared" si="105"/>
        <v>26.14</v>
      </c>
      <c r="X411">
        <f t="shared" si="117"/>
        <v>-1.5734683534277986E-2</v>
      </c>
      <c r="Y411">
        <f t="shared" si="118"/>
        <v>1.567256758710613</v>
      </c>
      <c r="Z411" s="33">
        <f t="shared" si="106"/>
        <v>9.5132444445917758E-2</v>
      </c>
      <c r="AA411" s="33">
        <f t="shared" si="107"/>
        <v>0.5</v>
      </c>
      <c r="AB411">
        <f t="shared" si="108"/>
        <v>-2.7001385917091572E-2</v>
      </c>
      <c r="AC411" s="1">
        <f t="shared" si="109"/>
        <v>-0.13014144094202384</v>
      </c>
      <c r="AD411" s="35">
        <f>IF(W411&gt;=FinalAgeForPremium, AE411*Delta-Z411*(Y411-AE411),AE411*Delta+PremiumRevisedForLimitedTerm-Z411*(Y411-AE411))</f>
        <v>-7.0544637864627946E-3</v>
      </c>
      <c r="AE411" s="35">
        <f>AE410-StepSize*AD410</f>
        <v>2.5422801110416882E-2</v>
      </c>
      <c r="AF411" s="1"/>
    </row>
    <row r="412" spans="11:32" x14ac:dyDescent="0.45">
      <c r="K412" s="40">
        <f t="shared" si="110"/>
        <v>3.87</v>
      </c>
      <c r="L412" s="41">
        <f t="shared" si="102"/>
        <v>23.87</v>
      </c>
      <c r="M412">
        <f t="shared" si="111"/>
        <v>0.89039682471743042</v>
      </c>
      <c r="N412">
        <f t="shared" si="112"/>
        <v>0.10960317528256934</v>
      </c>
      <c r="O412">
        <f t="shared" si="103"/>
        <v>7.8229491238401921E-2</v>
      </c>
      <c r="P412">
        <f t="shared" si="104"/>
        <v>0.5</v>
      </c>
      <c r="Q412">
        <f t="shared" si="113"/>
        <v>-1.4853702956648444E-2</v>
      </c>
      <c r="R412" s="6">
        <f t="shared" si="114"/>
        <v>1.4853702956648444E-2</v>
      </c>
      <c r="S412" s="18">
        <f t="shared" si="115"/>
        <v>0.99999999999999978</v>
      </c>
      <c r="T412" s="15"/>
      <c r="U412" s="15"/>
      <c r="V412" s="40">
        <f t="shared" si="116"/>
        <v>6.13</v>
      </c>
      <c r="W412" s="41">
        <f t="shared" si="105"/>
        <v>26.13</v>
      </c>
      <c r="X412">
        <f t="shared" si="117"/>
        <v>-1.546466967510707E-2</v>
      </c>
      <c r="Y412">
        <f t="shared" si="118"/>
        <v>1.5685581731200333</v>
      </c>
      <c r="Z412" s="33">
        <f t="shared" si="106"/>
        <v>9.5050496812279464E-2</v>
      </c>
      <c r="AA412" s="33">
        <f t="shared" si="107"/>
        <v>0.5</v>
      </c>
      <c r="AB412">
        <f t="shared" si="108"/>
        <v>-2.6956197956085046E-2</v>
      </c>
      <c r="AC412" s="1">
        <f t="shared" si="109"/>
        <v>-0.12956066994642812</v>
      </c>
      <c r="AD412" s="35">
        <f>IF(W412&gt;=FinalAgeForPremium, AE412*Delta-Z412*(Y412-AE412),AE412*Delta+PremiumRevisedForLimitedTerm-Z412*(Y412-AE412))</f>
        <v>-7.0415816935786302E-3</v>
      </c>
      <c r="AE412" s="35">
        <f>AE411-StepSize*AD411</f>
        <v>2.549334574828151E-2</v>
      </c>
      <c r="AF412" s="1"/>
    </row>
    <row r="413" spans="11:32" x14ac:dyDescent="0.45">
      <c r="K413" s="40">
        <f t="shared" si="110"/>
        <v>3.88</v>
      </c>
      <c r="L413" s="41">
        <f t="shared" si="102"/>
        <v>23.88</v>
      </c>
      <c r="M413">
        <f t="shared" si="111"/>
        <v>0.8902482876878639</v>
      </c>
      <c r="N413">
        <f t="shared" si="112"/>
        <v>0.10975171231213582</v>
      </c>
      <c r="O413">
        <f t="shared" si="103"/>
        <v>7.8296936669017353E-2</v>
      </c>
      <c r="P413">
        <f t="shared" si="104"/>
        <v>0.5</v>
      </c>
      <c r="Q413">
        <f t="shared" si="113"/>
        <v>-1.4827857644729908E-2</v>
      </c>
      <c r="R413" s="6">
        <f t="shared" si="114"/>
        <v>1.4827857644729908E-2</v>
      </c>
      <c r="S413" s="18">
        <f t="shared" si="115"/>
        <v>0.99999999999999978</v>
      </c>
      <c r="T413" s="15"/>
      <c r="U413" s="15"/>
      <c r="V413" s="40">
        <f t="shared" si="116"/>
        <v>6.12</v>
      </c>
      <c r="W413" s="41">
        <f t="shared" si="105"/>
        <v>26.12</v>
      </c>
      <c r="X413">
        <f t="shared" si="117"/>
        <v>-1.5195107695546219E-2</v>
      </c>
      <c r="Y413">
        <f t="shared" si="118"/>
        <v>1.5698537798194976</v>
      </c>
      <c r="Z413" s="33">
        <f t="shared" si="106"/>
        <v>9.4968619768803109E-2</v>
      </c>
      <c r="AA413" s="33">
        <f t="shared" si="107"/>
        <v>0.5</v>
      </c>
      <c r="AB413">
        <f t="shared" si="108"/>
        <v>-2.6910466800810218E-2</v>
      </c>
      <c r="AC413" s="1">
        <f t="shared" si="109"/>
        <v>-0.1289828672515031</v>
      </c>
      <c r="AD413" s="35">
        <f>IF(W413&gt;=FinalAgeForPremium, AE413*Delta-Z413*(Y413-AE413),AE413*Delta+PremiumRevisedForLimitedTerm-Z413*(Y413-AE413))</f>
        <v>-7.0280740038413669E-3</v>
      </c>
      <c r="AE413" s="35">
        <f>AE412-StepSize*AD412</f>
        <v>2.5563761565217297E-2</v>
      </c>
      <c r="AF413" s="1"/>
    </row>
    <row r="414" spans="11:32" x14ac:dyDescent="0.45">
      <c r="K414" s="40">
        <f t="shared" si="110"/>
        <v>3.89</v>
      </c>
      <c r="L414" s="41">
        <f t="shared" si="102"/>
        <v>23.89</v>
      </c>
      <c r="M414">
        <f t="shared" si="111"/>
        <v>0.89010000911141662</v>
      </c>
      <c r="N414">
        <f t="shared" si="112"/>
        <v>0.10989999088858311</v>
      </c>
      <c r="O414">
        <f t="shared" si="103"/>
        <v>7.8364440247602821E-2</v>
      </c>
      <c r="P414">
        <f t="shared" si="104"/>
        <v>0.5</v>
      </c>
      <c r="Q414">
        <f t="shared" si="113"/>
        <v>-1.4802193534110782E-2</v>
      </c>
      <c r="R414" s="6">
        <f t="shared" si="114"/>
        <v>1.4802193534110782E-2</v>
      </c>
      <c r="S414" s="18">
        <f t="shared" si="115"/>
        <v>0.99999999999999978</v>
      </c>
      <c r="T414" s="15"/>
      <c r="U414" s="15"/>
      <c r="V414" s="40">
        <f t="shared" si="116"/>
        <v>6.11</v>
      </c>
      <c r="W414" s="41">
        <f t="shared" si="105"/>
        <v>26.11</v>
      </c>
      <c r="X414">
        <f t="shared" si="117"/>
        <v>-1.4926003027538116E-2</v>
      </c>
      <c r="Y414">
        <f t="shared" si="118"/>
        <v>1.5711436084920125</v>
      </c>
      <c r="Z414" s="33">
        <f t="shared" si="106"/>
        <v>9.4886813254681887E-2</v>
      </c>
      <c r="AA414" s="33">
        <f t="shared" si="107"/>
        <v>0.5</v>
      </c>
      <c r="AB414">
        <f t="shared" si="108"/>
        <v>-2.686419749121069E-2</v>
      </c>
      <c r="AC414" s="1">
        <f t="shared" si="109"/>
        <v>-0.12840801381562406</v>
      </c>
      <c r="AD414" s="35">
        <f>IF(W414&gt;=FinalAgeForPremium, AE414*Delta-Z414*(Y414-AE414),AE414*Delta+PremiumRevisedForLimitedTerm-Z414*(Y414-AE414))</f>
        <v>-7.0139460005778642E-3</v>
      </c>
      <c r="AE414" s="35">
        <f>AE413-StepSize*AD413</f>
        <v>2.5634042305255712E-2</v>
      </c>
      <c r="AF414" s="1"/>
    </row>
    <row r="415" spans="11:32" x14ac:dyDescent="0.45">
      <c r="K415" s="40">
        <f t="shared" si="110"/>
        <v>3.9</v>
      </c>
      <c r="L415" s="41">
        <f t="shared" si="102"/>
        <v>23.9</v>
      </c>
      <c r="M415">
        <f t="shared" si="111"/>
        <v>0.88995198717607549</v>
      </c>
      <c r="N415">
        <f t="shared" si="112"/>
        <v>0.11004801282392422</v>
      </c>
      <c r="O415">
        <f t="shared" si="103"/>
        <v>7.8432002024290418E-2</v>
      </c>
      <c r="P415">
        <f t="shared" si="104"/>
        <v>0.5</v>
      </c>
      <c r="Q415">
        <f t="shared" si="113"/>
        <v>-1.4776709647753121E-2</v>
      </c>
      <c r="R415" s="6">
        <f t="shared" si="114"/>
        <v>1.4776709647753121E-2</v>
      </c>
      <c r="S415" s="18">
        <f t="shared" si="115"/>
        <v>0.99999999999999967</v>
      </c>
      <c r="T415" s="15"/>
      <c r="U415" s="15"/>
      <c r="V415" s="40">
        <f t="shared" si="116"/>
        <v>6.1</v>
      </c>
      <c r="W415" s="41">
        <f t="shared" si="105"/>
        <v>26.1</v>
      </c>
      <c r="X415">
        <f t="shared" si="117"/>
        <v>-1.4657361052626008E-2</v>
      </c>
      <c r="Y415">
        <f t="shared" si="118"/>
        <v>1.5724276886301687</v>
      </c>
      <c r="Z415" s="33">
        <f t="shared" si="106"/>
        <v>9.4805077209161537E-2</v>
      </c>
      <c r="AA415" s="33">
        <f t="shared" si="107"/>
        <v>0.5</v>
      </c>
      <c r="AB415">
        <f t="shared" si="108"/>
        <v>-2.6817395027966956E-2</v>
      </c>
      <c r="AC415" s="1">
        <f t="shared" si="109"/>
        <v>-0.12783609072709423</v>
      </c>
      <c r="AD415" s="35">
        <f>IF(W415&gt;=FinalAgeForPremium, AE415*Delta-Z415*(Y415-AE415),AE415*Delta+PremiumRevisedForLimitedTerm-Z415*(Y415-AE415))</f>
        <v>-6.9992029270430078E-3</v>
      </c>
      <c r="AE415" s="35">
        <f>AE414-StepSize*AD414</f>
        <v>2.5704181765261493E-2</v>
      </c>
      <c r="AF415" s="1"/>
    </row>
    <row r="416" spans="11:32" x14ac:dyDescent="0.45">
      <c r="K416" s="40">
        <f t="shared" si="110"/>
        <v>3.91</v>
      </c>
      <c r="L416" s="41">
        <f t="shared" si="102"/>
        <v>23.91</v>
      </c>
      <c r="M416">
        <f t="shared" si="111"/>
        <v>0.88980422007959792</v>
      </c>
      <c r="N416">
        <f t="shared" si="112"/>
        <v>0.11019577992040175</v>
      </c>
      <c r="O416">
        <f t="shared" si="103"/>
        <v>7.8499622049255674E-2</v>
      </c>
      <c r="P416">
        <f t="shared" si="104"/>
        <v>0.5</v>
      </c>
      <c r="Q416">
        <f t="shared" si="113"/>
        <v>-1.4751405013880281E-2</v>
      </c>
      <c r="R416" s="6">
        <f t="shared" si="114"/>
        <v>1.4751405013880281E-2</v>
      </c>
      <c r="S416" s="18">
        <f t="shared" si="115"/>
        <v>0.99999999999999967</v>
      </c>
      <c r="T416" s="15"/>
      <c r="U416" s="15"/>
      <c r="V416" s="40">
        <f t="shared" si="116"/>
        <v>6.09</v>
      </c>
      <c r="W416" s="41">
        <f t="shared" si="105"/>
        <v>26.09</v>
      </c>
      <c r="X416">
        <f t="shared" si="117"/>
        <v>-1.4389187102346339E-2</v>
      </c>
      <c r="Y416">
        <f t="shared" si="118"/>
        <v>1.5737060495374395</v>
      </c>
      <c r="Z416" s="33">
        <f t="shared" si="106"/>
        <v>9.4723411571539809E-2</v>
      </c>
      <c r="AA416" s="33">
        <f t="shared" si="107"/>
        <v>0.5</v>
      </c>
      <c r="AB416">
        <f t="shared" si="108"/>
        <v>-2.6770064372801994E-2</v>
      </c>
      <c r="AC416" s="1">
        <f t="shared" si="109"/>
        <v>-0.1272670792032351</v>
      </c>
      <c r="AD416" s="35">
        <f>IF(W416&gt;=FinalAgeForPremium, AE416*Delta-Z416*(Y416-AE416),AE416*Delta+PremiumRevisedForLimitedTerm-Z416*(Y416-AE416))</f>
        <v>-6.983849986727908E-3</v>
      </c>
      <c r="AE416" s="35">
        <f>AE415-StepSize*AD415</f>
        <v>2.5774173794531924E-2</v>
      </c>
      <c r="AF416" s="1"/>
    </row>
    <row r="417" spans="11:32" x14ac:dyDescent="0.45">
      <c r="K417" s="40">
        <f t="shared" si="110"/>
        <v>3.92</v>
      </c>
      <c r="L417" s="41">
        <f t="shared" si="102"/>
        <v>23.92</v>
      </c>
      <c r="M417">
        <f t="shared" si="111"/>
        <v>0.88965670602945912</v>
      </c>
      <c r="N417">
        <f t="shared" si="112"/>
        <v>0.11034329397054055</v>
      </c>
      <c r="O417">
        <f t="shared" si="103"/>
        <v>7.8567300372717197E-2</v>
      </c>
      <c r="P417">
        <f t="shared" si="104"/>
        <v>0.5</v>
      </c>
      <c r="Q417">
        <f t="shared" si="113"/>
        <v>-1.4726278665948403E-2</v>
      </c>
      <c r="R417" s="6">
        <f t="shared" si="114"/>
        <v>1.4726278665948403E-2</v>
      </c>
      <c r="S417" s="18">
        <f t="shared" si="115"/>
        <v>0.99999999999999967</v>
      </c>
      <c r="T417" s="15"/>
      <c r="U417" s="15"/>
      <c r="V417" s="40">
        <f t="shared" si="116"/>
        <v>6.08</v>
      </c>
      <c r="W417" s="41">
        <f t="shared" si="105"/>
        <v>26.08</v>
      </c>
      <c r="X417">
        <f t="shared" si="117"/>
        <v>-1.4121486458618319E-2</v>
      </c>
      <c r="Y417">
        <f t="shared" si="118"/>
        <v>1.5749787203294718</v>
      </c>
      <c r="Z417" s="33">
        <f t="shared" si="106"/>
        <v>9.4641816281167024E-2</v>
      </c>
      <c r="AA417" s="33">
        <f t="shared" si="107"/>
        <v>0.5</v>
      </c>
      <c r="AB417">
        <f t="shared" si="108"/>
        <v>-2.6722210448786199E-2</v>
      </c>
      <c r="AC417" s="1">
        <f t="shared" si="109"/>
        <v>-0.12670096058948133</v>
      </c>
      <c r="AD417" s="35">
        <f>IF(W417&gt;=FinalAgeForPremium, AE417*Delta-Z417*(Y417-AE417),AE417*Delta+PremiumRevisedForLimitedTerm-Z417*(Y417-AE417))</f>
        <v>-6.9678923436681528E-3</v>
      </c>
      <c r="AE417" s="35">
        <f>AE416-StepSize*AD416</f>
        <v>2.5844012294399202E-2</v>
      </c>
      <c r="AF417" s="1"/>
    </row>
    <row r="418" spans="11:32" x14ac:dyDescent="0.45">
      <c r="K418" s="40">
        <f t="shared" si="110"/>
        <v>3.93</v>
      </c>
      <c r="L418" s="41">
        <f t="shared" si="102"/>
        <v>23.93</v>
      </c>
      <c r="M418">
        <f t="shared" si="111"/>
        <v>0.88950944324279968</v>
      </c>
      <c r="N418">
        <f t="shared" si="112"/>
        <v>0.11049055675720003</v>
      </c>
      <c r="O418">
        <f t="shared" si="103"/>
        <v>7.8635037044936851E-2</v>
      </c>
      <c r="P418">
        <f t="shared" si="104"/>
        <v>0.5</v>
      </c>
      <c r="Q418">
        <f t="shared" si="113"/>
        <v>-1.4701329642618687E-2</v>
      </c>
      <c r="R418" s="6">
        <f t="shared" si="114"/>
        <v>1.4701329642618687E-2</v>
      </c>
      <c r="S418" s="18">
        <f t="shared" si="115"/>
        <v>0.99999999999999967</v>
      </c>
      <c r="T418" s="15"/>
      <c r="U418" s="15"/>
      <c r="V418" s="40">
        <f t="shared" si="116"/>
        <v>6.07</v>
      </c>
      <c r="W418" s="41">
        <f t="shared" si="105"/>
        <v>26.07</v>
      </c>
      <c r="X418">
        <f t="shared" si="117"/>
        <v>-1.3854264354130457E-2</v>
      </c>
      <c r="Y418">
        <f t="shared" si="118"/>
        <v>1.5762457299353667</v>
      </c>
      <c r="Z418" s="33">
        <f t="shared" si="106"/>
        <v>9.4560291277445752E-2</v>
      </c>
      <c r="AA418" s="33">
        <f t="shared" si="107"/>
        <v>0.5</v>
      </c>
      <c r="AB418">
        <f t="shared" si="108"/>
        <v>-2.6673838140638534E-2</v>
      </c>
      <c r="AC418" s="1">
        <f t="shared" si="109"/>
        <v>-0.12613771635848314</v>
      </c>
      <c r="AD418" s="35">
        <f>IF(W418&gt;=FinalAgeForPremium, AE418*Delta-Z418*(Y418-AE418),AE418*Delta+PremiumRevisedForLimitedTerm-Z418*(Y418-AE418))</f>
        <v>-6.9513351227476761E-3</v>
      </c>
      <c r="AE418" s="35">
        <f>AE417-StepSize*AD417</f>
        <v>2.5913691217835884E-2</v>
      </c>
      <c r="AF418" s="1"/>
    </row>
    <row r="419" spans="11:32" x14ac:dyDescent="0.45">
      <c r="K419" s="40">
        <f t="shared" si="110"/>
        <v>3.94</v>
      </c>
      <c r="L419" s="41">
        <f t="shared" si="102"/>
        <v>23.94</v>
      </c>
      <c r="M419">
        <f t="shared" si="111"/>
        <v>0.88936242994637349</v>
      </c>
      <c r="N419">
        <f t="shared" si="112"/>
        <v>0.11063757005362622</v>
      </c>
      <c r="O419">
        <f t="shared" si="103"/>
        <v>7.8702832116220089E-2</v>
      </c>
      <c r="P419">
        <f t="shared" si="104"/>
        <v>0.5</v>
      </c>
      <c r="Q419">
        <f t="shared" si="113"/>
        <v>-1.467655698772987E-2</v>
      </c>
      <c r="R419" s="6">
        <f t="shared" si="114"/>
        <v>1.467655698772987E-2</v>
      </c>
      <c r="S419" s="18">
        <f t="shared" si="115"/>
        <v>0.99999999999999967</v>
      </c>
      <c r="T419" s="15"/>
      <c r="U419" s="15"/>
      <c r="V419" s="40">
        <f t="shared" si="116"/>
        <v>6.06</v>
      </c>
      <c r="W419" s="41">
        <f t="shared" si="105"/>
        <v>26.06</v>
      </c>
      <c r="X419">
        <f t="shared" si="117"/>
        <v>-1.3587525972724073E-2</v>
      </c>
      <c r="Y419">
        <f t="shared" si="118"/>
        <v>1.5775071070989515</v>
      </c>
      <c r="Z419" s="33">
        <f t="shared" si="106"/>
        <v>9.4478836499830493E-2</v>
      </c>
      <c r="AA419" s="33">
        <f t="shared" si="107"/>
        <v>0.5</v>
      </c>
      <c r="AB419">
        <f t="shared" si="108"/>
        <v>-2.6624952295025164E-2</v>
      </c>
      <c r="AC419" s="1">
        <f t="shared" si="109"/>
        <v>-0.12557732810921463</v>
      </c>
      <c r="AD419" s="35">
        <f>IF(W419&gt;=FinalAgeForPremium, AE419*Delta-Z419*(Y419-AE419),AE419*Delta+PremiumRevisedForLimitedTerm-Z419*(Y419-AE419))</f>
        <v>-6.9341834100005439E-3</v>
      </c>
      <c r="AE419" s="35">
        <f>AE418-StepSize*AD418</f>
        <v>2.5983204569063362E-2</v>
      </c>
      <c r="AF419" s="1"/>
    </row>
    <row r="420" spans="11:32" x14ac:dyDescent="0.45">
      <c r="K420" s="40">
        <f t="shared" si="110"/>
        <v>3.95</v>
      </c>
      <c r="L420" s="41">
        <f t="shared" si="102"/>
        <v>23.95</v>
      </c>
      <c r="M420">
        <f t="shared" si="111"/>
        <v>0.88921566437649624</v>
      </c>
      <c r="N420">
        <f t="shared" si="112"/>
        <v>0.11078433562350352</v>
      </c>
      <c r="O420">
        <f t="shared" si="103"/>
        <v>7.8770685636915444E-2</v>
      </c>
      <c r="P420">
        <f t="shared" si="104"/>
        <v>0.5</v>
      </c>
      <c r="Q420">
        <f t="shared" si="113"/>
        <v>-1.4651959750270137E-2</v>
      </c>
      <c r="R420" s="6">
        <f t="shared" si="114"/>
        <v>1.4651959750270137E-2</v>
      </c>
      <c r="S420" s="18">
        <f t="shared" si="115"/>
        <v>0.99999999999999978</v>
      </c>
      <c r="T420" s="15"/>
      <c r="U420" s="15"/>
      <c r="V420" s="40">
        <f t="shared" si="116"/>
        <v>6.05</v>
      </c>
      <c r="W420" s="41">
        <f t="shared" si="105"/>
        <v>26.05</v>
      </c>
      <c r="X420">
        <f t="shared" si="117"/>
        <v>-1.3321276449773821E-2</v>
      </c>
      <c r="Y420">
        <f t="shared" si="118"/>
        <v>1.5787628803800435</v>
      </c>
      <c r="Z420" s="33">
        <f t="shared" si="106"/>
        <v>9.4397451887828221E-2</v>
      </c>
      <c r="AA420" s="33">
        <f t="shared" si="107"/>
        <v>0.5</v>
      </c>
      <c r="AB420">
        <f t="shared" si="108"/>
        <v>-2.657555772085729E-2</v>
      </c>
      <c r="AC420" s="1">
        <f t="shared" si="109"/>
        <v>-0.12501977756608906</v>
      </c>
      <c r="AD420" s="35">
        <f>IF(W420&gt;=FinalAgeForPremium, AE420*Delta-Z420*(Y420-AE420),AE420*Delta+PremiumRevisedForLimitedTerm-Z420*(Y420-AE420))</f>
        <v>-6.9164422529115199E-3</v>
      </c>
      <c r="AE420" s="35">
        <f>AE419-StepSize*AD419</f>
        <v>2.6052546403163367E-2</v>
      </c>
      <c r="AF420" s="1"/>
    </row>
    <row r="421" spans="11:32" x14ac:dyDescent="0.45">
      <c r="K421" s="40">
        <f t="shared" si="110"/>
        <v>3.96</v>
      </c>
      <c r="L421" s="41">
        <f t="shared" si="102"/>
        <v>23.96</v>
      </c>
      <c r="M421">
        <f t="shared" si="111"/>
        <v>0.88906914477899357</v>
      </c>
      <c r="N421">
        <f t="shared" si="112"/>
        <v>0.11093085522100622</v>
      </c>
      <c r="O421">
        <f t="shared" si="103"/>
        <v>7.8838597657415008E-2</v>
      </c>
      <c r="P421">
        <f t="shared" si="104"/>
        <v>0.5</v>
      </c>
      <c r="Q421">
        <f t="shared" si="113"/>
        <v>-1.4627536984350022E-2</v>
      </c>
      <c r="R421" s="6">
        <f t="shared" si="114"/>
        <v>1.4627536984350022E-2</v>
      </c>
      <c r="S421" s="18">
        <f t="shared" si="115"/>
        <v>0.99999999999999978</v>
      </c>
      <c r="T421" s="15"/>
      <c r="U421" s="15"/>
      <c r="V421" s="40">
        <f t="shared" si="116"/>
        <v>6.04</v>
      </c>
      <c r="W421" s="41">
        <f t="shared" si="105"/>
        <v>26.04</v>
      </c>
      <c r="X421">
        <f t="shared" si="117"/>
        <v>-1.3055520872565248E-2</v>
      </c>
      <c r="Y421">
        <f t="shared" si="118"/>
        <v>1.5800130781557045</v>
      </c>
      <c r="Z421" s="33">
        <f t="shared" si="106"/>
        <v>9.4316137380997811E-2</v>
      </c>
      <c r="AA421" s="33">
        <f t="shared" si="107"/>
        <v>0.5</v>
      </c>
      <c r="AB421">
        <f t="shared" si="108"/>
        <v>-2.6525659189584619E-2</v>
      </c>
      <c r="AC421" s="1">
        <f t="shared" si="109"/>
        <v>-0.12446504657807989</v>
      </c>
      <c r="AD421" s="35">
        <f>IF(W421&gt;=FinalAgeForPremium, AE421*Delta-Z421*(Y421-AE421),AE421*Delta+PremiumRevisedForLimitedTerm-Z421*(Y421-AE421))</f>
        <v>-6.898116660712772E-3</v>
      </c>
      <c r="AE421" s="35">
        <f>AE420-StepSize*AD420</f>
        <v>2.6121710825692483E-2</v>
      </c>
      <c r="AF421" s="1"/>
    </row>
    <row r="422" spans="11:32" x14ac:dyDescent="0.45">
      <c r="K422" s="40">
        <f t="shared" si="110"/>
        <v>3.97</v>
      </c>
      <c r="L422" s="41">
        <f t="shared" si="102"/>
        <v>23.97</v>
      </c>
      <c r="M422">
        <f t="shared" si="111"/>
        <v>0.88892286940915011</v>
      </c>
      <c r="N422">
        <f t="shared" si="112"/>
        <v>0.11107713059084973</v>
      </c>
      <c r="O422">
        <f t="shared" si="103"/>
        <v>7.8906568228154325E-2</v>
      </c>
      <c r="P422">
        <f t="shared" si="104"/>
        <v>0.5</v>
      </c>
      <c r="Q422">
        <f t="shared" si="113"/>
        <v>-1.4603287749174951E-2</v>
      </c>
      <c r="R422" s="6">
        <f t="shared" si="114"/>
        <v>1.4603287749174951E-2</v>
      </c>
      <c r="S422" s="18">
        <f t="shared" si="115"/>
        <v>0.99999999999999978</v>
      </c>
      <c r="T422" s="15"/>
      <c r="U422" s="15"/>
      <c r="V422" s="40">
        <f t="shared" si="116"/>
        <v>6.03</v>
      </c>
      <c r="W422" s="41">
        <f t="shared" si="105"/>
        <v>26.03</v>
      </c>
      <c r="X422">
        <f t="shared" si="117"/>
        <v>-1.2790264280669402E-2</v>
      </c>
      <c r="Y422">
        <f t="shared" si="118"/>
        <v>1.5812577286214853</v>
      </c>
      <c r="Z422" s="33">
        <f t="shared" si="106"/>
        <v>9.4234892918950278E-2</v>
      </c>
      <c r="AA422" s="33">
        <f t="shared" si="107"/>
        <v>0.5</v>
      </c>
      <c r="AB422">
        <f t="shared" si="108"/>
        <v>-2.6475261435487965E-2</v>
      </c>
      <c r="AC422" s="1">
        <f t="shared" si="109"/>
        <v>-0.12391311711784836</v>
      </c>
      <c r="AD422" s="35">
        <f>IF(W422&gt;=FinalAgeForPremium, AE422*Delta-Z422*(Y422-AE422),AE422*Delta+PremiumRevisedForLimitedTerm-Z422*(Y422-AE422))</f>
        <v>-6.8792116046791363E-3</v>
      </c>
      <c r="AE422" s="35">
        <f>AE421-StepSize*AD421</f>
        <v>2.6190691992299609E-2</v>
      </c>
      <c r="AF422" s="1"/>
    </row>
    <row r="423" spans="11:32" x14ac:dyDescent="0.45">
      <c r="K423" s="40">
        <f t="shared" si="110"/>
        <v>3.98</v>
      </c>
      <c r="L423" s="41">
        <f t="shared" si="102"/>
        <v>23.98</v>
      </c>
      <c r="M423">
        <f t="shared" si="111"/>
        <v>0.8887768365316584</v>
      </c>
      <c r="N423">
        <f t="shared" si="112"/>
        <v>0.11122316346834148</v>
      </c>
      <c r="O423">
        <f t="shared" si="103"/>
        <v>7.8974597399612406E-2</v>
      </c>
      <c r="P423">
        <f t="shared" si="104"/>
        <v>0.5</v>
      </c>
      <c r="Q423">
        <f t="shared" si="113"/>
        <v>-1.4579211109018116E-2</v>
      </c>
      <c r="R423" s="6">
        <f t="shared" si="114"/>
        <v>1.4579211109018116E-2</v>
      </c>
      <c r="S423" s="18">
        <f t="shared" si="115"/>
        <v>0.99999999999999989</v>
      </c>
      <c r="T423" s="15"/>
      <c r="U423" s="15"/>
      <c r="V423" s="40">
        <f t="shared" si="116"/>
        <v>6.02</v>
      </c>
      <c r="W423" s="41">
        <f t="shared" si="105"/>
        <v>26.02</v>
      </c>
      <c r="X423">
        <f t="shared" si="117"/>
        <v>-1.2525511666314522E-2</v>
      </c>
      <c r="Y423">
        <f t="shared" si="118"/>
        <v>1.5824968597926639</v>
      </c>
      <c r="Z423" s="33">
        <f t="shared" si="106"/>
        <v>9.415371844134858E-2</v>
      </c>
      <c r="AA423" s="33">
        <f t="shared" si="107"/>
        <v>0.5</v>
      </c>
      <c r="AB423">
        <f t="shared" si="108"/>
        <v>-2.6424369155968824E-2</v>
      </c>
      <c r="AC423" s="1">
        <f t="shared" si="109"/>
        <v>-0.12336397128087762</v>
      </c>
      <c r="AD423" s="35">
        <f>IF(W423&gt;=FinalAgeForPremium, AE423*Delta-Z423*(Y423-AE423),AE423*Delta+PremiumRevisedForLimitedTerm-Z423*(Y423-AE423))</f>
        <v>-6.8597320184205779E-3</v>
      </c>
      <c r="AE423" s="35">
        <f>AE422-StepSize*AD422</f>
        <v>2.6259484108346401E-2</v>
      </c>
      <c r="AF423" s="1"/>
    </row>
    <row r="424" spans="11:32" x14ac:dyDescent="0.45">
      <c r="K424" s="40">
        <f t="shared" si="110"/>
        <v>3.99</v>
      </c>
      <c r="L424" s="41">
        <f t="shared" si="102"/>
        <v>23.990000000000002</v>
      </c>
      <c r="M424">
        <f t="shared" si="111"/>
        <v>0.88863104442056817</v>
      </c>
      <c r="N424">
        <f t="shared" si="112"/>
        <v>0.11136895557943166</v>
      </c>
      <c r="O424">
        <f t="shared" si="103"/>
        <v>7.9042685222311712E-2</v>
      </c>
      <c r="P424">
        <f t="shared" si="104"/>
        <v>0.5</v>
      </c>
      <c r="Q424">
        <f t="shared" si="113"/>
        <v>-1.4555306133193238E-2</v>
      </c>
      <c r="R424" s="6">
        <f t="shared" si="114"/>
        <v>1.4555306133193238E-2</v>
      </c>
      <c r="S424" s="18">
        <f t="shared" si="115"/>
        <v>0.99999999999999978</v>
      </c>
      <c r="T424" s="15"/>
      <c r="U424" s="15"/>
      <c r="V424" s="40">
        <f t="shared" si="116"/>
        <v>6.01</v>
      </c>
      <c r="W424" s="41">
        <f t="shared" si="105"/>
        <v>26.009999999999998</v>
      </c>
      <c r="X424">
        <f t="shared" si="117"/>
        <v>-1.2261267974754833E-2</v>
      </c>
      <c r="Y424">
        <f t="shared" si="118"/>
        <v>1.5837304995054726</v>
      </c>
      <c r="Z424" s="33">
        <f t="shared" si="106"/>
        <v>9.407261388790783E-2</v>
      </c>
      <c r="AA424" s="33">
        <f t="shared" si="107"/>
        <v>0.5</v>
      </c>
      <c r="AB424">
        <f t="shared" si="108"/>
        <v>-2.6372987011837101E-2</v>
      </c>
      <c r="AC424" s="1">
        <f t="shared" si="109"/>
        <v>-0.12281759128461256</v>
      </c>
      <c r="AD424" s="35">
        <f>IF(W424&gt;=FinalAgeForPremium, AE424*Delta-Z424*(Y424-AE424),AE424*Delta+PremiumRevisedForLimitedTerm-Z424*(Y424-AE424))</f>
        <v>-6.8396827981730968E-3</v>
      </c>
      <c r="AE424" s="35">
        <f>AE423-StepSize*AD423</f>
        <v>2.6328081428530607E-2</v>
      </c>
      <c r="AF424" s="1"/>
    </row>
    <row r="425" spans="11:32" x14ac:dyDescent="0.45">
      <c r="K425" s="40">
        <f t="shared" si="110"/>
        <v>4</v>
      </c>
      <c r="L425" s="41">
        <f t="shared" si="102"/>
        <v>24</v>
      </c>
      <c r="M425">
        <f t="shared" si="111"/>
        <v>0.88848549135923627</v>
      </c>
      <c r="N425">
        <f t="shared" si="112"/>
        <v>0.11151450864076359</v>
      </c>
      <c r="O425">
        <f t="shared" si="103"/>
        <v>7.911083174681828E-2</v>
      </c>
      <c r="P425">
        <f t="shared" si="104"/>
        <v>0.5</v>
      </c>
      <c r="Q425">
        <f t="shared" si="113"/>
        <v>-1.4531571896027912E-2</v>
      </c>
      <c r="R425" s="6">
        <f t="shared" si="114"/>
        <v>1.4531571896027912E-2</v>
      </c>
      <c r="S425" s="18">
        <f t="shared" si="115"/>
        <v>0.99999999999999989</v>
      </c>
      <c r="T425" s="15"/>
      <c r="U425" s="15"/>
      <c r="V425" s="40">
        <f t="shared" si="116"/>
        <v>6</v>
      </c>
      <c r="W425" s="41">
        <f t="shared" si="105"/>
        <v>26</v>
      </c>
      <c r="X425">
        <f t="shared" si="117"/>
        <v>-1.1997538104636463E-2</v>
      </c>
      <c r="Y425">
        <f t="shared" si="118"/>
        <v>1.5849586754183187</v>
      </c>
      <c r="Z425" s="33">
        <f t="shared" si="106"/>
        <v>9.399157919839482E-2</v>
      </c>
      <c r="AA425" s="33">
        <f t="shared" si="107"/>
        <v>0.5</v>
      </c>
      <c r="AB425">
        <f t="shared" si="108"/>
        <v>-2.6321119627595702E-2</v>
      </c>
      <c r="AC425" s="1">
        <f t="shared" si="109"/>
        <v>-0.12227395946760644</v>
      </c>
      <c r="AD425" s="35">
        <f>IF(W425&gt;=FinalAgeForPremium, AE425*Delta-Z425*(Y425-AE425),AE425*Delta+PremiumRevisedForLimitedTerm-Z425*(Y425-AE425))</f>
        <v>-6.8190688030860258E-3</v>
      </c>
      <c r="AE425" s="35">
        <f>AE424-StepSize*AD424</f>
        <v>2.6396478256512337E-2</v>
      </c>
      <c r="AF425" s="1"/>
    </row>
    <row r="426" spans="11:32" x14ac:dyDescent="0.45">
      <c r="K426" s="40">
        <f t="shared" si="110"/>
        <v>4.01</v>
      </c>
      <c r="L426" s="41">
        <f t="shared" si="102"/>
        <v>24.009999999999998</v>
      </c>
      <c r="M426">
        <f t="shared" si="111"/>
        <v>0.88834017564027601</v>
      </c>
      <c r="N426">
        <f t="shared" si="112"/>
        <v>0.11165982435972387</v>
      </c>
      <c r="O426">
        <f t="shared" si="103"/>
        <v>7.9179037023741933E-2</v>
      </c>
      <c r="P426">
        <f t="shared" si="104"/>
        <v>0.5</v>
      </c>
      <c r="Q426">
        <f t="shared" si="113"/>
        <v>-1.4508007476836886E-2</v>
      </c>
      <c r="R426" s="6">
        <f t="shared" si="114"/>
        <v>1.4508007476836886E-2</v>
      </c>
      <c r="S426" s="18">
        <f t="shared" si="115"/>
        <v>0.99999999999999989</v>
      </c>
      <c r="T426" s="15"/>
      <c r="U426" s="15"/>
      <c r="V426" s="40">
        <f t="shared" si="116"/>
        <v>5.99</v>
      </c>
      <c r="W426" s="41">
        <f t="shared" si="105"/>
        <v>25.990000000000002</v>
      </c>
      <c r="X426">
        <f t="shared" si="117"/>
        <v>-1.1734326908360506E-2</v>
      </c>
      <c r="Y426">
        <f t="shared" si="118"/>
        <v>1.5861814150129947</v>
      </c>
      <c r="Z426" s="33">
        <f t="shared" si="106"/>
        <v>9.3910614312628579E-2</v>
      </c>
      <c r="AA426" s="33">
        <f t="shared" si="107"/>
        <v>0.5</v>
      </c>
      <c r="AB426">
        <f t="shared" si="108"/>
        <v>-2.6268771591724499E-2</v>
      </c>
      <c r="AC426" s="1">
        <f t="shared" si="109"/>
        <v>-0.12173305828867265</v>
      </c>
      <c r="AD426" s="35">
        <f>IF(W426&gt;=FinalAgeForPremium, AE426*Delta-Z426*(Y426-AE426),AE426*Delta+PremiumRevisedForLimitedTerm-Z426*(Y426-AE426))</f>
        <v>-6.7978948555087182E-3</v>
      </c>
      <c r="AE426" s="35">
        <f>AE425-StepSize*AD425</f>
        <v>2.6464668944543197E-2</v>
      </c>
      <c r="AF426" s="1"/>
    </row>
    <row r="427" spans="11:32" x14ac:dyDescent="0.45">
      <c r="K427" s="40">
        <f t="shared" si="110"/>
        <v>4.0199999999999996</v>
      </c>
      <c r="L427" s="41">
        <f t="shared" si="102"/>
        <v>24.02</v>
      </c>
      <c r="M427">
        <f t="shared" si="111"/>
        <v>0.88819509556550769</v>
      </c>
      <c r="N427">
        <f t="shared" si="112"/>
        <v>0.11180490443449223</v>
      </c>
      <c r="O427">
        <f t="shared" si="103"/>
        <v>7.9247301103735873E-2</v>
      </c>
      <c r="P427">
        <f t="shared" si="104"/>
        <v>0.5</v>
      </c>
      <c r="Q427">
        <f t="shared" si="113"/>
        <v>-1.448461195989513E-2</v>
      </c>
      <c r="R427" s="6">
        <f t="shared" si="114"/>
        <v>1.448461195989513E-2</v>
      </c>
      <c r="S427" s="18">
        <f t="shared" si="115"/>
        <v>0.99999999999999989</v>
      </c>
      <c r="T427" s="15"/>
      <c r="U427" s="15"/>
      <c r="V427" s="40">
        <f t="shared" si="116"/>
        <v>5.98</v>
      </c>
      <c r="W427" s="41">
        <f t="shared" si="105"/>
        <v>25.98</v>
      </c>
      <c r="X427">
        <f t="shared" si="117"/>
        <v>-1.1471639192443261E-2</v>
      </c>
      <c r="Y427">
        <f t="shared" si="118"/>
        <v>1.5873987455958813</v>
      </c>
      <c r="Z427" s="33">
        <f t="shared" si="106"/>
        <v>9.3829719170479498E-2</v>
      </c>
      <c r="AA427" s="33">
        <f t="shared" si="107"/>
        <v>0.5</v>
      </c>
      <c r="AB427">
        <f t="shared" si="108"/>
        <v>-2.6215947456959487E-2</v>
      </c>
      <c r="AC427" s="1">
        <f t="shared" si="109"/>
        <v>-0.1211948703260437</v>
      </c>
      <c r="AD427" s="35">
        <f>IF(W427&gt;=FinalAgeForPremium, AE427*Delta-Z427*(Y427-AE427),AE427*Delta+PremiumRevisedForLimitedTerm-Z427*(Y427-AE427))</f>
        <v>-6.7761657412729048E-3</v>
      </c>
      <c r="AE427" s="35">
        <f>AE426-StepSize*AD426</f>
        <v>2.6532647893098286E-2</v>
      </c>
      <c r="AF427" s="1"/>
    </row>
    <row r="428" spans="11:32" x14ac:dyDescent="0.45">
      <c r="K428" s="40">
        <f t="shared" si="110"/>
        <v>4.03</v>
      </c>
      <c r="L428" s="41">
        <f t="shared" si="102"/>
        <v>24.03</v>
      </c>
      <c r="M428">
        <f t="shared" si="111"/>
        <v>0.88805024944590871</v>
      </c>
      <c r="N428">
        <f t="shared" si="112"/>
        <v>0.11194975055409118</v>
      </c>
      <c r="O428">
        <f t="shared" si="103"/>
        <v>7.9315624037497034E-2</v>
      </c>
      <c r="P428">
        <f t="shared" si="104"/>
        <v>0.5</v>
      </c>
      <c r="Q428">
        <f t="shared" si="113"/>
        <v>-1.446138443441157E-2</v>
      </c>
      <c r="R428" s="6">
        <f t="shared" si="114"/>
        <v>1.446138443441157E-2</v>
      </c>
      <c r="S428" s="18">
        <f t="shared" si="115"/>
        <v>0.99999999999999989</v>
      </c>
      <c r="T428" s="15"/>
      <c r="U428" s="15"/>
      <c r="V428" s="40">
        <f t="shared" si="116"/>
        <v>5.97</v>
      </c>
      <c r="W428" s="41">
        <f t="shared" si="105"/>
        <v>25.97</v>
      </c>
      <c r="X428">
        <f t="shared" si="117"/>
        <v>-1.1209479717873666E-2</v>
      </c>
      <c r="Y428">
        <f t="shared" si="118"/>
        <v>1.5886106942991418</v>
      </c>
      <c r="Z428" s="33">
        <f t="shared" si="106"/>
        <v>9.3748893711870188E-2</v>
      </c>
      <c r="AA428" s="33">
        <f t="shared" si="107"/>
        <v>0.5</v>
      </c>
      <c r="AB428">
        <f t="shared" si="108"/>
        <v>-2.6162651740572876E-2</v>
      </c>
      <c r="AC428" s="1">
        <f t="shared" si="109"/>
        <v>-0.12065937827653517</v>
      </c>
      <c r="AD428" s="35">
        <f>IF(W428&gt;=FinalAgeForPremium, AE428*Delta-Z428*(Y428-AE428),AE428*Delta+PremiumRevisedForLimitedTerm-Z428*(Y428-AE428))</f>
        <v>-6.7538862099753849E-3</v>
      </c>
      <c r="AE428" s="35">
        <f>AE427-StepSize*AD427</f>
        <v>2.6600409550511014E-2</v>
      </c>
      <c r="AF428" s="1"/>
    </row>
    <row r="429" spans="11:32" x14ac:dyDescent="0.45">
      <c r="K429" s="40">
        <f t="shared" si="110"/>
        <v>4.04</v>
      </c>
      <c r="L429" s="41">
        <f t="shared" si="102"/>
        <v>24.04</v>
      </c>
      <c r="M429">
        <f t="shared" si="111"/>
        <v>0.88790563560156455</v>
      </c>
      <c r="N429">
        <f t="shared" si="112"/>
        <v>0.11209436439843529</v>
      </c>
      <c r="O429">
        <f t="shared" si="103"/>
        <v>7.9384005875766162E-2</v>
      </c>
      <c r="P429">
        <f t="shared" si="104"/>
        <v>0.5</v>
      </c>
      <c r="Q429">
        <f t="shared" si="113"/>
        <v>-1.4438323994502844E-2</v>
      </c>
      <c r="R429" s="6">
        <f t="shared" si="114"/>
        <v>1.4438323994502844E-2</v>
      </c>
      <c r="S429" s="18">
        <f t="shared" si="115"/>
        <v>0.99999999999999978</v>
      </c>
      <c r="T429" s="15"/>
      <c r="U429" s="15"/>
      <c r="V429" s="40">
        <f t="shared" si="116"/>
        <v>5.96</v>
      </c>
      <c r="W429" s="41">
        <f t="shared" si="105"/>
        <v>25.96</v>
      </c>
      <c r="X429">
        <f t="shared" si="117"/>
        <v>-1.0947853200467938E-2</v>
      </c>
      <c r="Y429">
        <f t="shared" si="118"/>
        <v>1.5898172880819073</v>
      </c>
      <c r="Z429" s="33">
        <f t="shared" si="106"/>
        <v>9.3668137876774818E-2</v>
      </c>
      <c r="AA429" s="33">
        <f t="shared" si="107"/>
        <v>0.5</v>
      </c>
      <c r="AB429">
        <f t="shared" si="108"/>
        <v>-2.610888892464816E-2</v>
      </c>
      <c r="AC429" s="1">
        <f t="shared" si="109"/>
        <v>-0.12012656495471707</v>
      </c>
      <c r="AD429" s="35">
        <f>IF(W429&gt;=FinalAgeForPremium, AE429*Delta-Z429*(Y429-AE429),AE429*Delta+PremiumRevisedForLimitedTerm-Z429*(Y429-AE429))</f>
        <v>-6.731060975256109E-3</v>
      </c>
      <c r="AE429" s="35">
        <f>AE428-StepSize*AD428</f>
        <v>2.6667948412610769E-2</v>
      </c>
      <c r="AF429" s="1"/>
    </row>
    <row r="430" spans="11:32" x14ac:dyDescent="0.45">
      <c r="K430" s="40">
        <f t="shared" si="110"/>
        <v>4.05</v>
      </c>
      <c r="L430" s="41">
        <f t="shared" si="102"/>
        <v>24.05</v>
      </c>
      <c r="M430">
        <f t="shared" si="111"/>
        <v>0.88776125236161951</v>
      </c>
      <c r="N430">
        <f t="shared" si="112"/>
        <v>0.11223874763838032</v>
      </c>
      <c r="O430">
        <f t="shared" si="103"/>
        <v>7.9452446669327687E-2</v>
      </c>
      <c r="P430">
        <f t="shared" si="104"/>
        <v>0.5</v>
      </c>
      <c r="Q430">
        <f t="shared" si="113"/>
        <v>-1.4415429739166971E-2</v>
      </c>
      <c r="R430" s="6">
        <f t="shared" si="114"/>
        <v>1.4415429739166971E-2</v>
      </c>
      <c r="S430" s="18">
        <f t="shared" si="115"/>
        <v>0.99999999999999978</v>
      </c>
      <c r="T430" s="15"/>
      <c r="U430" s="15"/>
      <c r="V430" s="40">
        <f t="shared" si="116"/>
        <v>5.95</v>
      </c>
      <c r="W430" s="41">
        <f t="shared" si="105"/>
        <v>25.95</v>
      </c>
      <c r="X430">
        <f t="shared" si="117"/>
        <v>-1.0686764311221456E-2</v>
      </c>
      <c r="Y430">
        <f t="shared" si="118"/>
        <v>1.5910185537314545</v>
      </c>
      <c r="Z430" s="33">
        <f t="shared" si="106"/>
        <v>9.3587451605219224E-2</v>
      </c>
      <c r="AA430" s="33">
        <f t="shared" si="107"/>
        <v>0.5</v>
      </c>
      <c r="AB430">
        <f t="shared" si="108"/>
        <v>-2.6054663456354599E-2</v>
      </c>
      <c r="AC430" s="1">
        <f t="shared" si="109"/>
        <v>-0.11959641329208937</v>
      </c>
      <c r="AD430" s="35">
        <f>IF(W430&gt;=FinalAgeForPremium, AE430*Delta-Z430*(Y430-AE430),AE430*Delta+PremiumRevisedForLimitedTerm-Z430*(Y430-AE430))</f>
        <v>-6.7076947150752353E-3</v>
      </c>
      <c r="AE430" s="35">
        <f>AE429-StepSize*AD429</f>
        <v>2.6735259022363331E-2</v>
      </c>
      <c r="AF430" s="1"/>
    </row>
    <row r="431" spans="11:32" x14ac:dyDescent="0.45">
      <c r="K431" s="40">
        <f t="shared" si="110"/>
        <v>4.0599999999999996</v>
      </c>
      <c r="L431" s="41">
        <f t="shared" si="102"/>
        <v>24.06</v>
      </c>
      <c r="M431">
        <f t="shared" si="111"/>
        <v>0.88761709806422784</v>
      </c>
      <c r="N431">
        <f t="shared" si="112"/>
        <v>0.11238290193577199</v>
      </c>
      <c r="O431">
        <f t="shared" si="103"/>
        <v>7.9520946469009757E-2</v>
      </c>
      <c r="P431">
        <f t="shared" si="104"/>
        <v>0.5</v>
      </c>
      <c r="Q431">
        <f t="shared" si="113"/>
        <v>-1.4392700772257253E-2</v>
      </c>
      <c r="R431" s="6">
        <f t="shared" si="114"/>
        <v>1.4392700772257253E-2</v>
      </c>
      <c r="S431" s="18">
        <f t="shared" si="115"/>
        <v>0.99999999999999978</v>
      </c>
      <c r="T431" s="15"/>
      <c r="U431" s="15"/>
      <c r="V431" s="40">
        <f t="shared" si="116"/>
        <v>5.94</v>
      </c>
      <c r="W431" s="41">
        <f t="shared" si="105"/>
        <v>25.94</v>
      </c>
      <c r="X431">
        <f t="shared" si="117"/>
        <v>-1.042621767665791E-2</v>
      </c>
      <c r="Y431">
        <f t="shared" si="118"/>
        <v>1.5922145178643754</v>
      </c>
      <c r="Z431" s="33">
        <f t="shared" si="106"/>
        <v>9.3506834837281089E-2</v>
      </c>
      <c r="AA431" s="33">
        <f t="shared" si="107"/>
        <v>0.5</v>
      </c>
      <c r="AB431">
        <f t="shared" si="108"/>
        <v>-2.5999979748219312E-2</v>
      </c>
      <c r="AC431" s="1">
        <f t="shared" si="109"/>
        <v>-0.11906890633626455</v>
      </c>
      <c r="AD431" s="35">
        <f>IF(W431&gt;=FinalAgeForPremium, AE431*Delta-Z431*(Y431-AE431),AE431*Delta+PremiumRevisedForLimitedTerm-Z431*(Y431-AE431))</f>
        <v>-6.6837920719883814E-3</v>
      </c>
      <c r="AE431" s="35">
        <f>AE430-StepSize*AD430</f>
        <v>2.6802335969514084E-2</v>
      </c>
      <c r="AF431" s="1"/>
    </row>
    <row r="432" spans="11:32" x14ac:dyDescent="0.45">
      <c r="K432" s="40">
        <f t="shared" si="110"/>
        <v>4.07</v>
      </c>
      <c r="L432" s="41">
        <f t="shared" si="102"/>
        <v>24.07</v>
      </c>
      <c r="M432">
        <f t="shared" si="111"/>
        <v>0.88747317105650525</v>
      </c>
      <c r="N432">
        <f t="shared" si="112"/>
        <v>0.11252682894349457</v>
      </c>
      <c r="O432">
        <f t="shared" si="103"/>
        <v>7.958950532568447E-2</v>
      </c>
      <c r="P432">
        <f t="shared" si="104"/>
        <v>0.5</v>
      </c>
      <c r="Q432">
        <f t="shared" si="113"/>
        <v>-1.4370136202456522E-2</v>
      </c>
      <c r="R432" s="6">
        <f t="shared" si="114"/>
        <v>1.4370136202456522E-2</v>
      </c>
      <c r="S432" s="18">
        <f t="shared" si="115"/>
        <v>0.99999999999999978</v>
      </c>
      <c r="T432" s="15"/>
      <c r="U432" s="15"/>
      <c r="V432" s="40">
        <f t="shared" si="116"/>
        <v>5.93</v>
      </c>
      <c r="W432" s="41">
        <f t="shared" si="105"/>
        <v>25.93</v>
      </c>
      <c r="X432">
        <f t="shared" si="117"/>
        <v>-1.0166217879175717E-2</v>
      </c>
      <c r="Y432">
        <f t="shared" si="118"/>
        <v>1.593405206927738</v>
      </c>
      <c r="Z432" s="33">
        <f t="shared" si="106"/>
        <v>9.3426287513089526E-2</v>
      </c>
      <c r="AA432" s="33">
        <f t="shared" si="107"/>
        <v>0.5</v>
      </c>
      <c r="AB432">
        <f t="shared" si="108"/>
        <v>-2.5944842178396446E-2</v>
      </c>
      <c r="AC432" s="1">
        <f t="shared" si="109"/>
        <v>-0.11854402725015623</v>
      </c>
      <c r="AD432" s="35">
        <f>IF(W432&gt;=FinalAgeForPremium, AE432*Delta-Z432*(Y432-AE432),AE432*Delta+PremiumRevisedForLimitedTerm-Z432*(Y432-AE432))</f>
        <v>-6.6593576534183241E-3</v>
      </c>
      <c r="AE432" s="35">
        <f>AE431-StepSize*AD431</f>
        <v>2.6869173890233966E-2</v>
      </c>
      <c r="AF432" s="1"/>
    </row>
    <row r="433" spans="11:32" x14ac:dyDescent="0.45">
      <c r="K433" s="40">
        <f t="shared" si="110"/>
        <v>4.08</v>
      </c>
      <c r="L433" s="41">
        <f t="shared" si="102"/>
        <v>24.08</v>
      </c>
      <c r="M433">
        <f t="shared" si="111"/>
        <v>0.88732946969448068</v>
      </c>
      <c r="N433">
        <f t="shared" si="112"/>
        <v>0.11267053030551913</v>
      </c>
      <c r="O433">
        <f t="shared" si="103"/>
        <v>7.9658123290267668E-2</v>
      </c>
      <c r="P433">
        <f t="shared" si="104"/>
        <v>0.5</v>
      </c>
      <c r="Q433">
        <f t="shared" si="113"/>
        <v>-1.4347735143251203E-2</v>
      </c>
      <c r="R433" s="6">
        <f t="shared" si="114"/>
        <v>1.4347735143251203E-2</v>
      </c>
      <c r="S433" s="18">
        <f t="shared" si="115"/>
        <v>0.99999999999999978</v>
      </c>
      <c r="T433" s="15"/>
      <c r="U433" s="15"/>
      <c r="V433" s="40">
        <f t="shared" si="116"/>
        <v>5.92</v>
      </c>
      <c r="W433" s="41">
        <f t="shared" si="105"/>
        <v>25.92</v>
      </c>
      <c r="X433">
        <f t="shared" si="117"/>
        <v>-9.9067694573917522E-3</v>
      </c>
      <c r="Y433">
        <f t="shared" si="118"/>
        <v>1.5945906472002396</v>
      </c>
      <c r="Z433" s="33">
        <f t="shared" si="106"/>
        <v>9.3345809572825303E-2</v>
      </c>
      <c r="AA433" s="33">
        <f t="shared" si="107"/>
        <v>0.5</v>
      </c>
      <c r="AB433">
        <f t="shared" si="108"/>
        <v>-2.5889255090935329E-2</v>
      </c>
      <c r="AC433" s="1">
        <f t="shared" si="109"/>
        <v>-0.11802175931117231</v>
      </c>
      <c r="AD433" s="35">
        <f>IF(W433&gt;=FinalAgeForPremium, AE433*Delta-Z433*(Y433-AE433),AE433*Delta+PremiumRevisedForLimitedTerm-Z433*(Y433-AE433))</f>
        <v>-6.634396031926032E-3</v>
      </c>
      <c r="AE433" s="35">
        <f>AE432-StepSize*AD432</f>
        <v>2.6935767466768148E-2</v>
      </c>
      <c r="AF433" s="1"/>
    </row>
    <row r="434" spans="11:32" x14ac:dyDescent="0.45">
      <c r="K434" s="40">
        <f t="shared" si="110"/>
        <v>4.09</v>
      </c>
      <c r="L434" s="41">
        <f t="shared" si="102"/>
        <v>24.09</v>
      </c>
      <c r="M434">
        <f t="shared" si="111"/>
        <v>0.88718599234304818</v>
      </c>
      <c r="N434">
        <f t="shared" si="112"/>
        <v>0.11281400765695164</v>
      </c>
      <c r="O434">
        <f t="shared" si="103"/>
        <v>7.9726800413719212E-2</v>
      </c>
      <c r="P434">
        <f t="shared" si="104"/>
        <v>0.5</v>
      </c>
      <c r="Q434">
        <f t="shared" si="113"/>
        <v>-1.4325496712905804E-2</v>
      </c>
      <c r="R434" s="6">
        <f t="shared" si="114"/>
        <v>1.4325496712905804E-2</v>
      </c>
      <c r="S434" s="18">
        <f t="shared" si="115"/>
        <v>0.99999999999999978</v>
      </c>
      <c r="T434" s="15"/>
      <c r="U434" s="15"/>
      <c r="V434" s="40">
        <f t="shared" si="116"/>
        <v>5.91</v>
      </c>
      <c r="W434" s="41">
        <f t="shared" si="105"/>
        <v>25.91</v>
      </c>
      <c r="X434">
        <f t="shared" si="117"/>
        <v>-9.6478769064823992E-3</v>
      </c>
      <c r="Y434">
        <f t="shared" si="118"/>
        <v>1.5957708647933513</v>
      </c>
      <c r="Z434" s="33">
        <f t="shared" si="106"/>
        <v>9.3265400956720673E-2</v>
      </c>
      <c r="AA434" s="33">
        <f t="shared" si="107"/>
        <v>0.5</v>
      </c>
      <c r="AB434">
        <f t="shared" si="108"/>
        <v>-2.5833222796045427E-2</v>
      </c>
      <c r="AC434" s="1">
        <f t="shared" si="109"/>
        <v>-0.11750208591041555</v>
      </c>
      <c r="AD434" s="35">
        <f>IF(W434&gt;=FinalAgeForPremium, AE434*Delta-Z434*(Y434-AE434),AE434*Delta+PremiumRevisedForLimitedTerm-Z434*(Y434-AE434))</f>
        <v>-6.6089117454785351E-3</v>
      </c>
      <c r="AE434" s="35">
        <f>AE433-StepSize*AD433</f>
        <v>2.7002111427087409E-2</v>
      </c>
      <c r="AF434" s="1"/>
    </row>
    <row r="435" spans="11:32" x14ac:dyDescent="0.45">
      <c r="K435" s="40">
        <f t="shared" si="110"/>
        <v>4.0999999999999996</v>
      </c>
      <c r="L435" s="41">
        <f t="shared" si="102"/>
        <v>24.1</v>
      </c>
      <c r="M435">
        <f t="shared" si="111"/>
        <v>0.8870427373759191</v>
      </c>
      <c r="N435">
        <f t="shared" si="112"/>
        <v>0.11295726262408069</v>
      </c>
      <c r="O435">
        <f t="shared" si="103"/>
        <v>7.9795536747042747E-2</v>
      </c>
      <c r="P435">
        <f t="shared" si="104"/>
        <v>0.5</v>
      </c>
      <c r="Q435">
        <f t="shared" si="113"/>
        <v>-1.4303420034437193E-2</v>
      </c>
      <c r="R435" s="6">
        <f t="shared" si="114"/>
        <v>1.4303420034437193E-2</v>
      </c>
      <c r="S435" s="18">
        <f t="shared" si="115"/>
        <v>0.99999999999999978</v>
      </c>
      <c r="T435" s="15"/>
      <c r="U435" s="15"/>
      <c r="V435" s="40">
        <f t="shared" si="116"/>
        <v>5.9</v>
      </c>
      <c r="W435" s="41">
        <f t="shared" si="105"/>
        <v>25.9</v>
      </c>
      <c r="X435">
        <f t="shared" si="117"/>
        <v>-9.3895446785219449E-3</v>
      </c>
      <c r="Y435">
        <f t="shared" si="118"/>
        <v>1.5969458856524554</v>
      </c>
      <c r="Z435" s="33">
        <f t="shared" si="106"/>
        <v>9.3185061605059474E-2</v>
      </c>
      <c r="AA435" s="33">
        <f t="shared" si="107"/>
        <v>0.5</v>
      </c>
      <c r="AB435">
        <f t="shared" si="108"/>
        <v>-2.5776749570360288E-2</v>
      </c>
      <c r="AC435" s="1">
        <f t="shared" si="109"/>
        <v>-0.1169849905518886</v>
      </c>
      <c r="AD435" s="35">
        <f>IF(W435&gt;=FinalAgeForPremium, AE435*Delta-Z435*(Y435-AE435),AE435*Delta+PremiumRevisedForLimitedTerm-Z435*(Y435-AE435))</f>
        <v>-6.5829092977154058E-3</v>
      </c>
      <c r="AE435" s="35">
        <f>AE434-StepSize*AD434</f>
        <v>2.7068200544542193E-2</v>
      </c>
      <c r="AF435" s="1"/>
    </row>
    <row r="436" spans="11:32" x14ac:dyDescent="0.45">
      <c r="K436" s="40">
        <f t="shared" si="110"/>
        <v>4.1100000000000003</v>
      </c>
      <c r="L436" s="41">
        <f t="shared" si="102"/>
        <v>24.11</v>
      </c>
      <c r="M436">
        <f t="shared" si="111"/>
        <v>0.88689970317557476</v>
      </c>
      <c r="N436">
        <f t="shared" si="112"/>
        <v>0.11310029682442506</v>
      </c>
      <c r="O436">
        <f t="shared" si="103"/>
        <v>7.9864332341285996E-2</v>
      </c>
      <c r="P436">
        <f t="shared" si="104"/>
        <v>0.5</v>
      </c>
      <c r="Q436">
        <f t="shared" si="113"/>
        <v>-1.4281504235589472E-2</v>
      </c>
      <c r="R436" s="6">
        <f t="shared" si="114"/>
        <v>1.4281504235589472E-2</v>
      </c>
      <c r="S436" s="18">
        <f t="shared" si="115"/>
        <v>0.99999999999999978</v>
      </c>
      <c r="T436" s="15"/>
      <c r="U436" s="15"/>
      <c r="V436" s="40">
        <f t="shared" si="116"/>
        <v>5.89</v>
      </c>
      <c r="W436" s="41">
        <f t="shared" si="105"/>
        <v>25.89</v>
      </c>
      <c r="X436">
        <f t="shared" si="117"/>
        <v>-9.1317771828183427E-3</v>
      </c>
      <c r="Y436">
        <f t="shared" si="118"/>
        <v>1.5981157355579743</v>
      </c>
      <c r="Z436" s="33">
        <f t="shared" si="106"/>
        <v>9.3104791458176892E-2</v>
      </c>
      <c r="AA436" s="33">
        <f t="shared" si="107"/>
        <v>0.5</v>
      </c>
      <c r="AB436">
        <f t="shared" si="108"/>
        <v>-2.5719839657198262E-2</v>
      </c>
      <c r="AC436" s="1">
        <f t="shared" si="109"/>
        <v>-0.11647045685170498</v>
      </c>
      <c r="AD436" s="35">
        <f>IF(W436&gt;=FinalAgeForPremium, AE436*Delta-Z436*(Y436-AE436),AE436*Delta+PremiumRevisedForLimitedTerm-Z436*(Y436-AE436))</f>
        <v>-6.5563931582124091E-3</v>
      </c>
      <c r="AE436" s="35">
        <f>AE435-StepSize*AD435</f>
        <v>2.7134029637519347E-2</v>
      </c>
      <c r="AF436" s="1"/>
    </row>
    <row r="437" spans="11:32" x14ac:dyDescent="0.45">
      <c r="K437" s="40">
        <f t="shared" si="110"/>
        <v>4.12</v>
      </c>
      <c r="L437" s="41">
        <f t="shared" si="102"/>
        <v>24.12</v>
      </c>
      <c r="M437">
        <f t="shared" si="111"/>
        <v>0.88675688813321885</v>
      </c>
      <c r="N437">
        <f t="shared" si="112"/>
        <v>0.11324311186678096</v>
      </c>
      <c r="O437">
        <f t="shared" si="103"/>
        <v>7.9933187247540713E-2</v>
      </c>
      <c r="P437">
        <f t="shared" si="104"/>
        <v>0.5</v>
      </c>
      <c r="Q437">
        <f t="shared" si="113"/>
        <v>-1.4259748448808618E-2</v>
      </c>
      <c r="R437" s="6">
        <f t="shared" si="114"/>
        <v>1.4259748448808618E-2</v>
      </c>
      <c r="S437" s="18">
        <f t="shared" si="115"/>
        <v>0.99999999999999978</v>
      </c>
      <c r="T437" s="15"/>
      <c r="U437" s="15"/>
      <c r="V437" s="40">
        <f t="shared" si="116"/>
        <v>5.88</v>
      </c>
      <c r="W437" s="41">
        <f t="shared" si="105"/>
        <v>25.88</v>
      </c>
      <c r="X437">
        <f t="shared" si="117"/>
        <v>-8.8745787862463607E-3</v>
      </c>
      <c r="Y437">
        <f t="shared" si="118"/>
        <v>1.5992804401264913</v>
      </c>
      <c r="Z437" s="33">
        <f t="shared" si="106"/>
        <v>9.3024590456459499E-2</v>
      </c>
      <c r="AA437" s="33">
        <f t="shared" si="107"/>
        <v>0.5</v>
      </c>
      <c r="AB437">
        <f t="shared" si="108"/>
        <v>-2.5662497266821932E-2</v>
      </c>
      <c r="AC437" s="1">
        <f t="shared" si="109"/>
        <v>-0.11595846853730662</v>
      </c>
      <c r="AD437" s="35">
        <f>IF(W437&gt;=FinalAgeForPremium, AE437*Delta-Z437*(Y437-AE437),AE437*Delta+PremiumRevisedForLimitedTerm-Z437*(Y437-AE437))</f>
        <v>-6.5293677627437097E-3</v>
      </c>
      <c r="AE437" s="35">
        <f>AE436-StepSize*AD436</f>
        <v>2.7199593569101472E-2</v>
      </c>
      <c r="AF437" s="1"/>
    </row>
    <row r="438" spans="11:32" x14ac:dyDescent="0.45">
      <c r="K438" s="40">
        <f t="shared" si="110"/>
        <v>4.13</v>
      </c>
      <c r="L438" s="41">
        <f t="shared" si="102"/>
        <v>24.13</v>
      </c>
      <c r="M438">
        <f t="shared" si="111"/>
        <v>0.88661429064873076</v>
      </c>
      <c r="N438">
        <f t="shared" si="112"/>
        <v>0.11338570935126904</v>
      </c>
      <c r="O438">
        <f t="shared" si="103"/>
        <v>8.0002101516942523E-2</v>
      </c>
      <c r="P438">
        <f t="shared" si="104"/>
        <v>0.5</v>
      </c>
      <c r="Q438">
        <f t="shared" si="113"/>
        <v>-1.4238151811217223E-2</v>
      </c>
      <c r="R438" s="6">
        <f t="shared" si="114"/>
        <v>1.4238151811217223E-2</v>
      </c>
      <c r="S438" s="18">
        <f t="shared" si="115"/>
        <v>0.99999999999999978</v>
      </c>
      <c r="T438" s="15"/>
      <c r="U438" s="15"/>
      <c r="V438" s="40">
        <f t="shared" si="116"/>
        <v>5.87</v>
      </c>
      <c r="W438" s="41">
        <f t="shared" si="105"/>
        <v>25.87</v>
      </c>
      <c r="X438">
        <f t="shared" si="117"/>
        <v>-8.6179538135781417E-3</v>
      </c>
      <c r="Y438">
        <f t="shared" si="118"/>
        <v>1.6004400248118644</v>
      </c>
      <c r="Z438" s="33">
        <f t="shared" si="106"/>
        <v>9.2944458540345373E-2</v>
      </c>
      <c r="AA438" s="33">
        <f t="shared" si="107"/>
        <v>0.5</v>
      </c>
      <c r="AB438">
        <f t="shared" si="108"/>
        <v>-2.560472657669563E-2</v>
      </c>
      <c r="AC438" s="1">
        <f t="shared" si="109"/>
        <v>-0.11544900944668546</v>
      </c>
      <c r="AD438" s="35">
        <f>IF(W438&gt;=FinalAgeForPremium, AE438*Delta-Z438*(Y438-AE438),AE438*Delta+PremiumRevisedForLimitedTerm-Z438*(Y438-AE438))</f>
        <v>-6.5018375135418582E-3</v>
      </c>
      <c r="AE438" s="35">
        <f>AE437-StepSize*AD437</f>
        <v>2.726488724672891E-2</v>
      </c>
      <c r="AF438" s="1"/>
    </row>
    <row r="439" spans="11:32" x14ac:dyDescent="0.45">
      <c r="K439" s="40">
        <f t="shared" si="110"/>
        <v>4.1399999999999997</v>
      </c>
      <c r="L439" s="41">
        <f t="shared" si="102"/>
        <v>24.14</v>
      </c>
      <c r="M439">
        <f t="shared" si="111"/>
        <v>0.88647190913061857</v>
      </c>
      <c r="N439">
        <f t="shared" si="112"/>
        <v>0.11352809086938122</v>
      </c>
      <c r="O439">
        <f t="shared" si="103"/>
        <v>8.0071075200671443E-2</v>
      </c>
      <c r="P439">
        <f t="shared" si="104"/>
        <v>0.5</v>
      </c>
      <c r="Q439">
        <f t="shared" si="113"/>
        <v>-1.4216713464589935E-2</v>
      </c>
      <c r="R439" s="6">
        <f t="shared" si="114"/>
        <v>1.4216713464589935E-2</v>
      </c>
      <c r="S439" s="18">
        <f t="shared" si="115"/>
        <v>0.99999999999999978</v>
      </c>
      <c r="T439" s="15"/>
      <c r="U439" s="15"/>
      <c r="V439" s="40">
        <f t="shared" si="116"/>
        <v>5.86</v>
      </c>
      <c r="W439" s="41">
        <f t="shared" si="105"/>
        <v>25.86</v>
      </c>
      <c r="X439">
        <f t="shared" si="117"/>
        <v>-8.3619065478111858E-3</v>
      </c>
      <c r="Y439">
        <f t="shared" si="118"/>
        <v>1.6015945149063313</v>
      </c>
      <c r="Z439" s="33">
        <f t="shared" si="106"/>
        <v>9.2864395650323589E-2</v>
      </c>
      <c r="AA439" s="33">
        <f t="shared" si="107"/>
        <v>0.5</v>
      </c>
      <c r="AB439">
        <f t="shared" si="108"/>
        <v>-2.5546531731739486E-2</v>
      </c>
      <c r="AC439" s="1">
        <f t="shared" si="109"/>
        <v>-0.11494206352761227</v>
      </c>
      <c r="AD439" s="35">
        <f>IF(W439&gt;=FinalAgeForPremium, AE439*Delta-Z439*(Y439-AE439),AE439*Delta+PremiumRevisedForLimitedTerm-Z439*(Y439-AE439))</f>
        <v>-6.473806779555058E-3</v>
      </c>
      <c r="AE439" s="35">
        <f>AE438-StepSize*AD438</f>
        <v>2.7329905621864329E-2</v>
      </c>
      <c r="AF439" s="1"/>
    </row>
    <row r="440" spans="11:32" x14ac:dyDescent="0.45">
      <c r="K440" s="40">
        <f t="shared" si="110"/>
        <v>4.1500000000000004</v>
      </c>
      <c r="L440" s="41">
        <f t="shared" si="102"/>
        <v>24.15</v>
      </c>
      <c r="M440">
        <f t="shared" si="111"/>
        <v>0.8863297419959727</v>
      </c>
      <c r="N440">
        <f t="shared" si="112"/>
        <v>0.11367025800402712</v>
      </c>
      <c r="O440">
        <f t="shared" si="103"/>
        <v>8.0140108349951319E-2</v>
      </c>
      <c r="P440">
        <f t="shared" si="104"/>
        <v>0.5</v>
      </c>
      <c r="Q440">
        <f t="shared" si="113"/>
        <v>-1.419543255532809E-2</v>
      </c>
      <c r="R440" s="6">
        <f t="shared" si="114"/>
        <v>1.419543255532809E-2</v>
      </c>
      <c r="S440" s="18">
        <f t="shared" si="115"/>
        <v>0.99999999999999978</v>
      </c>
      <c r="T440" s="15"/>
      <c r="U440" s="15"/>
      <c r="V440" s="40">
        <f t="shared" si="116"/>
        <v>5.85</v>
      </c>
      <c r="W440" s="41">
        <f t="shared" si="105"/>
        <v>25.85</v>
      </c>
      <c r="X440">
        <f t="shared" si="117"/>
        <v>-8.1064412304937914E-3</v>
      </c>
      <c r="Y440">
        <f t="shared" si="118"/>
        <v>1.6027439355416075</v>
      </c>
      <c r="Z440" s="33">
        <f t="shared" si="106"/>
        <v>9.2784401726934806E-2</v>
      </c>
      <c r="AA440" s="33">
        <f t="shared" si="107"/>
        <v>0.5</v>
      </c>
      <c r="AB440">
        <f t="shared" si="108"/>
        <v>-2.5487916844583972E-2</v>
      </c>
      <c r="AC440" s="1">
        <f t="shared" si="109"/>
        <v>-0.11443761483686887</v>
      </c>
      <c r="AD440" s="35">
        <f>IF(W440&gt;=FinalAgeForPremium, AE440*Delta-Z440*(Y440-AE440),AE440*Delta+PremiumRevisedForLimitedTerm-Z440*(Y440-AE440))</f>
        <v>-6.4452798967038205E-3</v>
      </c>
      <c r="AE440" s="35">
        <f>AE439-StepSize*AD439</f>
        <v>2.7394643689659881E-2</v>
      </c>
      <c r="AF440" s="1"/>
    </row>
    <row r="441" spans="11:32" x14ac:dyDescent="0.45">
      <c r="K441" s="40">
        <f t="shared" si="110"/>
        <v>4.16</v>
      </c>
      <c r="L441" s="41">
        <f t="shared" si="102"/>
        <v>24.16</v>
      </c>
      <c r="M441">
        <f t="shared" si="111"/>
        <v>0.88618778767041939</v>
      </c>
      <c r="N441">
        <f t="shared" si="112"/>
        <v>0.1138122123295804</v>
      </c>
      <c r="O441">
        <f t="shared" si="103"/>
        <v>8.0209201016050322E-2</v>
      </c>
      <c r="P441">
        <f t="shared" si="104"/>
        <v>0.5</v>
      </c>
      <c r="Q441">
        <f t="shared" si="113"/>
        <v>-1.4174308234435391E-2</v>
      </c>
      <c r="R441" s="6">
        <f t="shared" si="114"/>
        <v>1.4174308234435391E-2</v>
      </c>
      <c r="S441" s="18">
        <f t="shared" si="115"/>
        <v>0.99999999999999978</v>
      </c>
      <c r="T441" s="15"/>
      <c r="U441" s="15"/>
      <c r="V441" s="40">
        <f t="shared" si="116"/>
        <v>5.84</v>
      </c>
      <c r="W441" s="41">
        <f t="shared" si="105"/>
        <v>25.84</v>
      </c>
      <c r="X441">
        <f t="shared" si="117"/>
        <v>-7.8515620620479513E-3</v>
      </c>
      <c r="Y441">
        <f t="shared" si="118"/>
        <v>1.6038883116899763</v>
      </c>
      <c r="Z441" s="33">
        <f t="shared" si="106"/>
        <v>9.2704476710770756E-2</v>
      </c>
      <c r="AA441" s="33">
        <f t="shared" si="107"/>
        <v>0.5</v>
      </c>
      <c r="AB441">
        <f t="shared" si="108"/>
        <v>-2.5428885995819842E-2</v>
      </c>
      <c r="AC441" s="1">
        <f t="shared" si="109"/>
        <v>-0.11393564753948915</v>
      </c>
      <c r="AD441" s="35">
        <f>IF(W441&gt;=FinalAgeForPremium, AE441*Delta-Z441*(Y441-AE441),AE441*Delta+PremiumRevisedForLimitedTerm-Z441*(Y441-AE441))</f>
        <v>-6.4162611681342352E-3</v>
      </c>
      <c r="AE441" s="35">
        <f>AE440-StepSize*AD440</f>
        <v>2.7459096488626919E-2</v>
      </c>
      <c r="AF441" s="1"/>
    </row>
    <row r="442" spans="11:32" x14ac:dyDescent="0.45">
      <c r="K442" s="40">
        <f t="shared" si="110"/>
        <v>4.17</v>
      </c>
      <c r="L442" s="41">
        <f t="shared" si="102"/>
        <v>24.17</v>
      </c>
      <c r="M442">
        <f t="shared" si="111"/>
        <v>0.88604604458807501</v>
      </c>
      <c r="N442">
        <f t="shared" si="112"/>
        <v>0.11395395541192475</v>
      </c>
      <c r="O442">
        <f t="shared" si="103"/>
        <v>8.0278353250280793E-2</v>
      </c>
      <c r="P442">
        <f t="shared" si="104"/>
        <v>0.5</v>
      </c>
      <c r="Q442">
        <f t="shared" si="113"/>
        <v>-1.4153339657493151E-2</v>
      </c>
      <c r="R442" s="6">
        <f t="shared" si="114"/>
        <v>1.4153339657493151E-2</v>
      </c>
      <c r="S442" s="18">
        <f t="shared" si="115"/>
        <v>0.99999999999999978</v>
      </c>
      <c r="T442" s="15"/>
      <c r="U442" s="15"/>
      <c r="V442" s="40">
        <f t="shared" si="116"/>
        <v>5.83</v>
      </c>
      <c r="W442" s="41">
        <f t="shared" si="105"/>
        <v>25.83</v>
      </c>
      <c r="X442">
        <f t="shared" si="117"/>
        <v>-7.5972732020897528E-3</v>
      </c>
      <c r="Y442">
        <f t="shared" si="118"/>
        <v>1.6050276681653712</v>
      </c>
      <c r="Z442" s="33">
        <f t="shared" si="106"/>
        <v>9.2624620542474292E-2</v>
      </c>
      <c r="AA442" s="33">
        <f t="shared" si="107"/>
        <v>0.5</v>
      </c>
      <c r="AB442">
        <f t="shared" si="108"/>
        <v>-2.5369443234247752E-2</v>
      </c>
      <c r="AC442" s="1">
        <f t="shared" si="109"/>
        <v>-0.113436145908001</v>
      </c>
      <c r="AD442" s="35">
        <f>IF(W442&gt;=FinalAgeForPremium, AE442*Delta-Z442*(Y442-AE442),AE442*Delta+PremiumRevisedForLimitedTerm-Z442*(Y442-AE442))</f>
        <v>-6.386754864469657E-3</v>
      </c>
      <c r="AE442" s="35">
        <f>AE441-StepSize*AD441</f>
        <v>2.7523259100308263E-2</v>
      </c>
      <c r="AF442" s="1"/>
    </row>
    <row r="443" spans="11:32" x14ac:dyDescent="0.45">
      <c r="K443" s="40">
        <f t="shared" si="110"/>
        <v>4.18</v>
      </c>
      <c r="L443" s="41">
        <f t="shared" si="102"/>
        <v>24.18</v>
      </c>
      <c r="M443">
        <f t="shared" si="111"/>
        <v>0.88590451119150004</v>
      </c>
      <c r="N443">
        <f t="shared" si="112"/>
        <v>0.11409548880849968</v>
      </c>
      <c r="O443">
        <f t="shared" si="103"/>
        <v>8.0347565103999263E-2</v>
      </c>
      <c r="P443">
        <f t="shared" si="104"/>
        <v>0.5</v>
      </c>
      <c r="Q443">
        <f t="shared" si="113"/>
        <v>-1.4132525984635852E-2</v>
      </c>
      <c r="R443" s="6">
        <f t="shared" si="114"/>
        <v>1.4132525984635852E-2</v>
      </c>
      <c r="S443" s="18">
        <f t="shared" si="115"/>
        <v>0.99999999999999978</v>
      </c>
      <c r="T443" s="15"/>
      <c r="U443" s="15"/>
      <c r="V443" s="40">
        <f t="shared" si="116"/>
        <v>5.82</v>
      </c>
      <c r="W443" s="41">
        <f t="shared" si="105"/>
        <v>25.82</v>
      </c>
      <c r="X443">
        <f t="shared" si="117"/>
        <v>-7.3435787697472754E-3</v>
      </c>
      <c r="Y443">
        <f t="shared" si="118"/>
        <v>1.6061620296244512</v>
      </c>
      <c r="Z443" s="33">
        <f t="shared" si="106"/>
        <v>9.2544833162739551E-2</v>
      </c>
      <c r="AA443" s="33">
        <f t="shared" si="107"/>
        <v>0.5</v>
      </c>
      <c r="AB443">
        <f t="shared" si="108"/>
        <v>-2.5309592577125381E-2</v>
      </c>
      <c r="AC443" s="1">
        <f t="shared" si="109"/>
        <v>-0.11293909432167815</v>
      </c>
      <c r="AD443" s="35">
        <f>IF(W443&gt;=FinalAgeForPremium, AE443*Delta-Z443*(Y443-AE443),AE443*Delta+PremiumRevisedForLimitedTerm-Z443*(Y443-AE443))</f>
        <v>-6.3567652240610617E-3</v>
      </c>
      <c r="AE443" s="35">
        <f>AE442-StepSize*AD442</f>
        <v>2.7587126648952961E-2</v>
      </c>
      <c r="AF443" s="1"/>
    </row>
    <row r="444" spans="11:32" x14ac:dyDescent="0.45">
      <c r="K444" s="40">
        <f t="shared" si="110"/>
        <v>4.1900000000000004</v>
      </c>
      <c r="L444" s="41">
        <f t="shared" si="102"/>
        <v>24.19</v>
      </c>
      <c r="M444">
        <f t="shared" si="111"/>
        <v>0.88576318593165371</v>
      </c>
      <c r="N444">
        <f t="shared" si="112"/>
        <v>0.11423681406834604</v>
      </c>
      <c r="O444">
        <f t="shared" si="103"/>
        <v>8.0416836628606575E-2</v>
      </c>
      <c r="P444">
        <f t="shared" si="104"/>
        <v>0.5</v>
      </c>
      <c r="Q444">
        <f t="shared" si="113"/>
        <v>-1.4111866380526847E-2</v>
      </c>
      <c r="R444" s="6">
        <f t="shared" si="114"/>
        <v>1.4111866380526847E-2</v>
      </c>
      <c r="S444" s="18">
        <f t="shared" si="115"/>
        <v>0.99999999999999978</v>
      </c>
      <c r="T444" s="15"/>
      <c r="U444" s="15"/>
      <c r="V444" s="40">
        <f t="shared" si="116"/>
        <v>5.81</v>
      </c>
      <c r="W444" s="41">
        <f t="shared" si="105"/>
        <v>25.81</v>
      </c>
      <c r="X444">
        <f t="shared" si="117"/>
        <v>-7.0904828439760214E-3</v>
      </c>
      <c r="Y444">
        <f t="shared" si="118"/>
        <v>1.607291420567668</v>
      </c>
      <c r="Z444" s="33">
        <f t="shared" si="106"/>
        <v>9.2465114512311639E-2</v>
      </c>
      <c r="AA444" s="33">
        <f t="shared" si="107"/>
        <v>0.5</v>
      </c>
      <c r="AB444">
        <f t="shared" si="108"/>
        <v>-2.5249338010412417E-2</v>
      </c>
      <c r="AC444" s="1">
        <f t="shared" si="109"/>
        <v>-0.11244447726579465</v>
      </c>
      <c r="AD444" s="35">
        <f>IF(W444&gt;=FinalAgeForPremium, AE444*Delta-Z444*(Y444-AE444),AE444*Delta+PremiumRevisedForLimitedTerm-Z444*(Y444-AE444))</f>
        <v>-6.326296453234459E-3</v>
      </c>
      <c r="AE444" s="35">
        <f>AE443-StepSize*AD443</f>
        <v>2.765069430119357E-2</v>
      </c>
      <c r="AF444" s="1"/>
    </row>
    <row r="445" spans="11:32" x14ac:dyDescent="0.45">
      <c r="K445" s="40">
        <f t="shared" si="110"/>
        <v>4.2</v>
      </c>
      <c r="L445" s="41">
        <f t="shared" si="102"/>
        <v>24.2</v>
      </c>
      <c r="M445">
        <f t="shared" si="111"/>
        <v>0.88562206726784842</v>
      </c>
      <c r="N445">
        <f t="shared" si="112"/>
        <v>0.11437793273215131</v>
      </c>
      <c r="O445">
        <f t="shared" si="103"/>
        <v>8.0486167875547937E-2</v>
      </c>
      <c r="P445">
        <f t="shared" si="104"/>
        <v>0.5</v>
      </c>
      <c r="Q445">
        <f t="shared" si="113"/>
        <v>-1.4091360014334205E-2</v>
      </c>
      <c r="R445" s="6">
        <f t="shared" si="114"/>
        <v>1.4091360014334205E-2</v>
      </c>
      <c r="S445" s="18">
        <f t="shared" si="115"/>
        <v>0.99999999999999978</v>
      </c>
      <c r="T445" s="15"/>
      <c r="U445" s="15"/>
      <c r="V445" s="40">
        <f t="shared" si="116"/>
        <v>5.8</v>
      </c>
      <c r="W445" s="41">
        <f t="shared" si="105"/>
        <v>25.8</v>
      </c>
      <c r="X445">
        <f t="shared" si="117"/>
        <v>-6.8379894638718975E-3</v>
      </c>
      <c r="Y445">
        <f t="shared" si="118"/>
        <v>1.608415865340326</v>
      </c>
      <c r="Z445" s="33">
        <f t="shared" si="106"/>
        <v>9.2385464531986747E-2</v>
      </c>
      <c r="AA445" s="33">
        <f t="shared" si="107"/>
        <v>0.5</v>
      </c>
      <c r="AB445">
        <f t="shared" si="108"/>
        <v>-2.5188683489014013E-2</v>
      </c>
      <c r="AC445" s="1">
        <f t="shared" si="109"/>
        <v>-0.1119522793308847</v>
      </c>
      <c r="AD445" s="35">
        <f>IF(W445&gt;=FinalAgeForPremium, AE445*Delta-Z445*(Y445-AE445),AE445*Delta+PremiumRevisedForLimitedTerm-Z445*(Y445-AE445))</f>
        <v>-6.295352726536918E-3</v>
      </c>
      <c r="AE445" s="35">
        <f>AE444-StepSize*AD444</f>
        <v>2.7713957265725914E-2</v>
      </c>
      <c r="AF445" s="1"/>
    </row>
    <row r="446" spans="11:32" x14ac:dyDescent="0.45">
      <c r="K446" s="40">
        <f t="shared" si="110"/>
        <v>4.21</v>
      </c>
      <c r="L446" s="41">
        <f t="shared" si="102"/>
        <v>24.21</v>
      </c>
      <c r="M446">
        <f t="shared" si="111"/>
        <v>0.88548115366770508</v>
      </c>
      <c r="N446">
        <f t="shared" si="112"/>
        <v>0.11451884633229466</v>
      </c>
      <c r="O446">
        <f t="shared" si="103"/>
        <v>8.0555558896312884E-2</v>
      </c>
      <c r="P446">
        <f t="shared" si="104"/>
        <v>0.5</v>
      </c>
      <c r="Q446">
        <f t="shared" si="113"/>
        <v>-1.4071006059706563E-2</v>
      </c>
      <c r="R446" s="6">
        <f t="shared" si="114"/>
        <v>1.4071006059706563E-2</v>
      </c>
      <c r="S446" s="18">
        <f t="shared" si="115"/>
        <v>0.99999999999999978</v>
      </c>
      <c r="T446" s="15"/>
      <c r="U446" s="15"/>
      <c r="V446" s="40">
        <f t="shared" si="116"/>
        <v>5.79</v>
      </c>
      <c r="W446" s="41">
        <f t="shared" si="105"/>
        <v>25.79</v>
      </c>
      <c r="X446">
        <f t="shared" si="117"/>
        <v>-6.5861026289817572E-3</v>
      </c>
      <c r="Y446">
        <f t="shared" si="118"/>
        <v>1.6095353881336347</v>
      </c>
      <c r="Z446" s="33">
        <f t="shared" si="106"/>
        <v>9.2305883162611999E-2</v>
      </c>
      <c r="AA446" s="33">
        <f t="shared" si="107"/>
        <v>0.5</v>
      </c>
      <c r="AB446">
        <f t="shared" si="108"/>
        <v>-2.5127632937021832E-2</v>
      </c>
      <c r="AC446" s="1">
        <f t="shared" si="109"/>
        <v>-0.11146248521201008</v>
      </c>
      <c r="AD446" s="35">
        <f>IF(W446&gt;=FinalAgeForPremium, AE446*Delta-Z446*(Y446-AE446),AE446*Delta+PremiumRevisedForLimitedTerm-Z446*(Y446-AE446))</f>
        <v>-6.2639381869803723E-3</v>
      </c>
      <c r="AE446" s="35">
        <f>AE445-StepSize*AD445</f>
        <v>2.7776910792991282E-2</v>
      </c>
      <c r="AF446" s="1"/>
    </row>
    <row r="447" spans="11:32" x14ac:dyDescent="0.45">
      <c r="K447" s="40">
        <f t="shared" si="110"/>
        <v>4.22</v>
      </c>
      <c r="L447" s="41">
        <f t="shared" si="102"/>
        <v>24.22</v>
      </c>
      <c r="M447">
        <f t="shared" si="111"/>
        <v>0.88534044360710806</v>
      </c>
      <c r="N447">
        <f t="shared" si="112"/>
        <v>0.11465955639289173</v>
      </c>
      <c r="O447">
        <f t="shared" si="103"/>
        <v>8.0625009742435236E-2</v>
      </c>
      <c r="P447">
        <f t="shared" si="104"/>
        <v>0.5</v>
      </c>
      <c r="Q447">
        <f t="shared" si="113"/>
        <v>-1.4050803694749155E-2</v>
      </c>
      <c r="R447" s="6">
        <f t="shared" si="114"/>
        <v>1.4050803694749155E-2</v>
      </c>
      <c r="S447" s="18">
        <f t="shared" si="115"/>
        <v>0.99999999999999978</v>
      </c>
      <c r="T447" s="15"/>
      <c r="U447" s="15"/>
      <c r="V447" s="40">
        <f t="shared" si="116"/>
        <v>5.78</v>
      </c>
      <c r="W447" s="41">
        <f t="shared" si="105"/>
        <v>25.78</v>
      </c>
      <c r="X447">
        <f t="shared" si="117"/>
        <v>-6.3348262996115387E-3</v>
      </c>
      <c r="Y447">
        <f t="shared" si="118"/>
        <v>1.6106500129857548</v>
      </c>
      <c r="Z447" s="33">
        <f t="shared" si="106"/>
        <v>9.2226370345085601E-2</v>
      </c>
      <c r="AA447" s="33">
        <f t="shared" si="107"/>
        <v>0.5</v>
      </c>
      <c r="AB447">
        <f t="shared" si="108"/>
        <v>-2.5066190247953826E-2</v>
      </c>
      <c r="AC447" s="1">
        <f t="shared" si="109"/>
        <v>-0.11097507970802911</v>
      </c>
      <c r="AD447" s="35">
        <f>IF(W447&gt;=FinalAgeForPremium, AE447*Delta-Z447*(Y447-AE447),AE447*Delta+PremiumRevisedForLimitedTerm-Z447*(Y447-AE447))</f>
        <v>-6.2320569462842035E-3</v>
      </c>
      <c r="AE447" s="35">
        <f>AE446-StepSize*AD446</f>
        <v>2.7839550174861085E-2</v>
      </c>
      <c r="AF447" s="1"/>
    </row>
    <row r="448" spans="11:32" x14ac:dyDescent="0.45">
      <c r="K448" s="40">
        <f t="shared" si="110"/>
        <v>4.2300000000000004</v>
      </c>
      <c r="L448" s="41">
        <f t="shared" si="102"/>
        <v>24.23</v>
      </c>
      <c r="M448">
        <f t="shared" si="111"/>
        <v>0.88519993557016052</v>
      </c>
      <c r="N448">
        <f t="shared" si="112"/>
        <v>0.11480006442983923</v>
      </c>
      <c r="O448">
        <f t="shared" si="103"/>
        <v>8.0694520465493358E-2</v>
      </c>
      <c r="P448">
        <f t="shared" si="104"/>
        <v>0.5</v>
      </c>
      <c r="Q448">
        <f t="shared" si="113"/>
        <v>-1.403075210200011E-2</v>
      </c>
      <c r="R448" s="6">
        <f t="shared" si="114"/>
        <v>1.403075210200011E-2</v>
      </c>
      <c r="S448" s="18">
        <f t="shared" si="115"/>
        <v>0.99999999999999978</v>
      </c>
      <c r="T448" s="15"/>
      <c r="U448" s="15"/>
      <c r="V448" s="40">
        <f t="shared" si="116"/>
        <v>5.77</v>
      </c>
      <c r="W448" s="41">
        <f t="shared" si="105"/>
        <v>25.77</v>
      </c>
      <c r="X448">
        <f t="shared" si="117"/>
        <v>-6.0841643971320004E-3</v>
      </c>
      <c r="Y448">
        <f t="shared" si="118"/>
        <v>1.6117597637828351</v>
      </c>
      <c r="Z448" s="33">
        <f t="shared" si="106"/>
        <v>9.2146926020356582E-2</v>
      </c>
      <c r="AA448" s="33">
        <f t="shared" si="107"/>
        <v>0.5</v>
      </c>
      <c r="AB448">
        <f t="shared" si="108"/>
        <v>-2.5004359284991465E-2</v>
      </c>
      <c r="AC448" s="1">
        <f t="shared" si="109"/>
        <v>-0.11049004772087456</v>
      </c>
      <c r="AD448" s="35">
        <f>IF(W448&gt;=FinalAgeForPremium, AE448*Delta-Z448*(Y448-AE448),AE448*Delta+PremiumRevisedForLimitedTerm-Z448*(Y448-AE448))</f>
        <v>-6.1997130851147997E-3</v>
      </c>
      <c r="AE448" s="35">
        <f>AE447-StepSize*AD447</f>
        <v>2.7901870744323928E-2</v>
      </c>
      <c r="AF448" s="1"/>
    </row>
    <row r="449" spans="11:32" x14ac:dyDescent="0.45">
      <c r="K449" s="40">
        <f t="shared" si="110"/>
        <v>4.24</v>
      </c>
      <c r="L449" s="41">
        <f t="shared" si="102"/>
        <v>24.240000000000002</v>
      </c>
      <c r="M449">
        <f t="shared" si="111"/>
        <v>0.88505962804914051</v>
      </c>
      <c r="N449">
        <f t="shared" si="112"/>
        <v>0.11494037195085922</v>
      </c>
      <c r="O449">
        <f t="shared" si="103"/>
        <v>8.0764091117110123E-2</v>
      </c>
      <c r="P449">
        <f t="shared" si="104"/>
        <v>0.5</v>
      </c>
      <c r="Q449">
        <f t="shared" si="113"/>
        <v>-1.401085046840677E-2</v>
      </c>
      <c r="R449" s="6">
        <f t="shared" si="114"/>
        <v>1.401085046840677E-2</v>
      </c>
      <c r="S449" s="18">
        <f t="shared" si="115"/>
        <v>0.99999999999999978</v>
      </c>
      <c r="T449" s="15"/>
      <c r="U449" s="15"/>
      <c r="V449" s="40">
        <f t="shared" si="116"/>
        <v>5.76</v>
      </c>
      <c r="W449" s="41">
        <f t="shared" si="105"/>
        <v>25.759999999999998</v>
      </c>
      <c r="X449">
        <f t="shared" si="117"/>
        <v>-5.8341208042820862E-3</v>
      </c>
      <c r="Y449">
        <f t="shared" si="118"/>
        <v>1.6128646642600439</v>
      </c>
      <c r="Z449" s="33">
        <f t="shared" si="106"/>
        <v>9.2067550129424788E-2</v>
      </c>
      <c r="AA449" s="33">
        <f t="shared" si="107"/>
        <v>0.5</v>
      </c>
      <c r="AB449">
        <f t="shared" si="108"/>
        <v>-2.4942143881215267E-2</v>
      </c>
      <c r="AC449" s="1">
        <f t="shared" si="109"/>
        <v>-0.11000737425483476</v>
      </c>
      <c r="AD449" s="35">
        <f>IF(W449&gt;=FinalAgeForPremium, AE449*Delta-Z449*(Y449-AE449),AE449*Delta+PremiumRevisedForLimitedTerm-Z449*(Y449-AE449))</f>
        <v>-6.1669106533239204E-3</v>
      </c>
      <c r="AE449" s="35">
        <f>AE448-StepSize*AD448</f>
        <v>2.7963867875175075E-2</v>
      </c>
      <c r="AF449" s="1"/>
    </row>
    <row r="450" spans="11:32" x14ac:dyDescent="0.45">
      <c r="K450" s="40">
        <f t="shared" si="110"/>
        <v>4.25</v>
      </c>
      <c r="L450" s="41">
        <f t="shared" si="102"/>
        <v>24.25</v>
      </c>
      <c r="M450">
        <f t="shared" si="111"/>
        <v>0.88491951954445647</v>
      </c>
      <c r="N450">
        <f t="shared" si="112"/>
        <v>0.1150804804555433</v>
      </c>
      <c r="O450">
        <f t="shared" si="103"/>
        <v>8.0833721748952744E-2</v>
      </c>
      <c r="P450">
        <f t="shared" si="104"/>
        <v>0.5</v>
      </c>
      <c r="Q450">
        <f t="shared" si="113"/>
        <v>-1.3991097985301897E-2</v>
      </c>
      <c r="R450" s="6">
        <f t="shared" si="114"/>
        <v>1.3991097985301897E-2</v>
      </c>
      <c r="S450" s="18">
        <f t="shared" si="115"/>
        <v>0.99999999999999978</v>
      </c>
      <c r="T450" s="15"/>
      <c r="U450" s="15"/>
      <c r="V450" s="40">
        <f t="shared" si="116"/>
        <v>5.75</v>
      </c>
      <c r="W450" s="41">
        <f t="shared" si="105"/>
        <v>25.75</v>
      </c>
      <c r="X450">
        <f t="shared" si="117"/>
        <v>-5.5846993654699332E-3</v>
      </c>
      <c r="Y450">
        <f t="shared" si="118"/>
        <v>1.6139647380025923</v>
      </c>
      <c r="Z450" s="33">
        <f t="shared" si="106"/>
        <v>9.1988242613341042E-2</v>
      </c>
      <c r="AA450" s="33">
        <f t="shared" si="107"/>
        <v>0.5</v>
      </c>
      <c r="AB450">
        <f t="shared" si="108"/>
        <v>-2.4879547839839117E-2</v>
      </c>
      <c r="AC450" s="1">
        <f t="shared" si="109"/>
        <v>-0.10952704441583916</v>
      </c>
      <c r="AD450" s="35">
        <f>IF(W450&gt;=FinalAgeForPremium, AE450*Delta-Z450*(Y450-AE450),AE450*Delta+PremiumRevisedForLimitedTerm-Z450*(Y450-AE450))</f>
        <v>-6.1336536701853683E-3</v>
      </c>
      <c r="AE450" s="35">
        <f>AE449-StepSize*AD449</f>
        <v>2.8025536981708316E-2</v>
      </c>
      <c r="AF450" s="1"/>
    </row>
    <row r="451" spans="11:32" x14ac:dyDescent="0.45">
      <c r="K451" s="40">
        <f t="shared" si="110"/>
        <v>4.26</v>
      </c>
      <c r="L451" s="41">
        <f t="shared" si="102"/>
        <v>24.259999999999998</v>
      </c>
      <c r="M451">
        <f t="shared" si="111"/>
        <v>0.88477960856460347</v>
      </c>
      <c r="N451">
        <f t="shared" si="112"/>
        <v>0.11522039143539632</v>
      </c>
      <c r="O451">
        <f t="shared" si="103"/>
        <v>8.0903412412733119E-2</v>
      </c>
      <c r="P451">
        <f t="shared" si="104"/>
        <v>0.5</v>
      </c>
      <c r="Q451">
        <f t="shared" si="113"/>
        <v>-1.3971493848380527E-2</v>
      </c>
      <c r="R451" s="6">
        <f t="shared" si="114"/>
        <v>1.3971493848380527E-2</v>
      </c>
      <c r="S451" s="18">
        <f t="shared" si="115"/>
        <v>0.99999999999999978</v>
      </c>
      <c r="T451" s="15"/>
      <c r="U451" s="15"/>
      <c r="V451" s="40">
        <f t="shared" si="116"/>
        <v>5.74</v>
      </c>
      <c r="W451" s="41">
        <f t="shared" si="105"/>
        <v>25.740000000000002</v>
      </c>
      <c r="X451">
        <f t="shared" si="117"/>
        <v>-5.3359038870715424E-3</v>
      </c>
      <c r="Y451">
        <f t="shared" si="118"/>
        <v>1.6150600084467508</v>
      </c>
      <c r="Z451" s="33">
        <f t="shared" si="106"/>
        <v>9.1909003413206819E-2</v>
      </c>
      <c r="AA451" s="33">
        <f t="shared" si="107"/>
        <v>0.5</v>
      </c>
      <c r="AB451">
        <f t="shared" si="108"/>
        <v>-2.4816574934441574E-2</v>
      </c>
      <c r="AC451" s="1">
        <f t="shared" si="109"/>
        <v>-0.10904904341075128</v>
      </c>
      <c r="AD451" s="35">
        <f>IF(W451&gt;=FinalAgeForPremium, AE451*Delta-Z451*(Y451-AE451),AE451*Delta+PremiumRevisedForLimitedTerm-Z451*(Y451-AE451))</f>
        <v>-6.0999461246293296E-3</v>
      </c>
      <c r="AE451" s="35">
        <f>AE450-StepSize*AD450</f>
        <v>2.8086873518410171E-2</v>
      </c>
      <c r="AF451" s="1"/>
    </row>
    <row r="452" spans="11:32" x14ac:dyDescent="0.45">
      <c r="K452" s="40">
        <f t="shared" si="110"/>
        <v>4.2699999999999996</v>
      </c>
      <c r="L452" s="41">
        <f t="shared" si="102"/>
        <v>24.27</v>
      </c>
      <c r="M452">
        <f t="shared" si="111"/>
        <v>0.88463989362611961</v>
      </c>
      <c r="N452">
        <f t="shared" si="112"/>
        <v>0.11536010637388013</v>
      </c>
      <c r="O452">
        <f t="shared" si="103"/>
        <v>8.0973163160207681E-2</v>
      </c>
      <c r="P452">
        <f t="shared" si="104"/>
        <v>0.5</v>
      </c>
      <c r="Q452">
        <f t="shared" si="113"/>
        <v>-1.3952037257676485E-2</v>
      </c>
      <c r="R452" s="6">
        <f t="shared" si="114"/>
        <v>1.3952037257676485E-2</v>
      </c>
      <c r="S452" s="18">
        <f t="shared" si="115"/>
        <v>0.99999999999999978</v>
      </c>
      <c r="T452" s="15"/>
      <c r="U452" s="15"/>
      <c r="V452" s="40">
        <f t="shared" si="116"/>
        <v>5.73</v>
      </c>
      <c r="W452" s="41">
        <f t="shared" si="105"/>
        <v>25.73</v>
      </c>
      <c r="X452">
        <f t="shared" si="117"/>
        <v>-5.0877381377271271E-3</v>
      </c>
      <c r="Y452">
        <f t="shared" si="118"/>
        <v>1.6161504988808584</v>
      </c>
      <c r="Z452" s="33">
        <f t="shared" si="106"/>
        <v>9.1829832470174386E-2</v>
      </c>
      <c r="AA452" s="33">
        <f t="shared" si="107"/>
        <v>0.5</v>
      </c>
      <c r="AB452">
        <f t="shared" si="108"/>
        <v>-2.475322890919629E-2</v>
      </c>
      <c r="AC452" s="1">
        <f t="shared" si="109"/>
        <v>-0.10857335654666422</v>
      </c>
      <c r="AD452" s="35">
        <f>IF(W452&gt;=FinalAgeForPremium, AE452*Delta-Z452*(Y452-AE452),AE452*Delta+PremiumRevisedForLimitedTerm-Z452*(Y452-AE452))</f>
        <v>-6.0657919754750211E-3</v>
      </c>
      <c r="AE452" s="35">
        <f>AE451-StepSize*AD451</f>
        <v>2.8147872979656464E-2</v>
      </c>
      <c r="AF452" s="1"/>
    </row>
    <row r="453" spans="11:32" x14ac:dyDescent="0.45">
      <c r="K453" s="40">
        <f t="shared" si="110"/>
        <v>4.28</v>
      </c>
      <c r="L453" s="41">
        <f t="shared" si="102"/>
        <v>24.28</v>
      </c>
      <c r="M453">
        <f t="shared" si="111"/>
        <v>0.8845003732535428</v>
      </c>
      <c r="N453">
        <f t="shared" si="112"/>
        <v>0.11549962674645689</v>
      </c>
      <c r="O453">
        <f t="shared" si="103"/>
        <v>8.1042974043177535E-2</v>
      </c>
      <c r="P453">
        <f t="shared" si="104"/>
        <v>0.5</v>
      </c>
      <c r="Q453">
        <f t="shared" si="113"/>
        <v>-1.3932727417539259E-2</v>
      </c>
      <c r="R453" s="6">
        <f t="shared" si="114"/>
        <v>1.3932727417539259E-2</v>
      </c>
      <c r="S453" s="18">
        <f t="shared" si="115"/>
        <v>0.99999999999999967</v>
      </c>
      <c r="T453" s="15"/>
      <c r="U453" s="15"/>
      <c r="V453" s="40">
        <f t="shared" si="116"/>
        <v>5.72</v>
      </c>
      <c r="W453" s="41">
        <f t="shared" si="105"/>
        <v>25.72</v>
      </c>
      <c r="X453">
        <f t="shared" si="117"/>
        <v>-4.8402058486351641E-3</v>
      </c>
      <c r="Y453">
        <f t="shared" si="118"/>
        <v>1.617236232446325</v>
      </c>
      <c r="Z453" s="33">
        <f t="shared" si="106"/>
        <v>9.1750729725446609E-2</v>
      </c>
      <c r="AA453" s="33">
        <f t="shared" si="107"/>
        <v>0.5</v>
      </c>
      <c r="AB453">
        <f t="shared" si="108"/>
        <v>-2.4689513479100048E-2</v>
      </c>
      <c r="AC453" s="1">
        <f t="shared" si="109"/>
        <v>-0.1080999692302036</v>
      </c>
      <c r="AD453" s="35">
        <f>IF(W453&gt;=FinalAgeForPremium, AE453*Delta-Z453*(Y453-AE453),AE453*Delta+PremiumRevisedForLimitedTerm-Z453*(Y453-AE453))</f>
        <v>-6.0311951516614226E-3</v>
      </c>
      <c r="AE453" s="35">
        <f>AE452-StepSize*AD452</f>
        <v>2.8208530899411215E-2</v>
      </c>
      <c r="AF453" s="1"/>
    </row>
    <row r="454" spans="11:32" x14ac:dyDescent="0.45">
      <c r="K454" s="40">
        <f t="shared" si="110"/>
        <v>4.29</v>
      </c>
      <c r="L454" s="41">
        <f t="shared" si="102"/>
        <v>24.29</v>
      </c>
      <c r="M454">
        <f t="shared" si="111"/>
        <v>0.88436104597936738</v>
      </c>
      <c r="N454">
        <f t="shared" si="112"/>
        <v>0.11563895402063229</v>
      </c>
      <c r="O454">
        <f t="shared" si="103"/>
        <v>8.1112845113488333E-2</v>
      </c>
      <c r="P454">
        <f t="shared" si="104"/>
        <v>0.5</v>
      </c>
      <c r="Q454">
        <f t="shared" si="113"/>
        <v>-1.3913563536610815E-2</v>
      </c>
      <c r="R454" s="6">
        <f t="shared" si="114"/>
        <v>1.3913563536610815E-2</v>
      </c>
      <c r="S454" s="18">
        <f t="shared" si="115"/>
        <v>0.99999999999999967</v>
      </c>
      <c r="T454" s="15"/>
      <c r="U454" s="15"/>
      <c r="V454" s="40">
        <f t="shared" si="116"/>
        <v>5.71</v>
      </c>
      <c r="W454" s="41">
        <f t="shared" si="105"/>
        <v>25.71</v>
      </c>
      <c r="X454">
        <f t="shared" si="117"/>
        <v>-4.5933107138441632E-3</v>
      </c>
      <c r="Y454">
        <f t="shared" si="118"/>
        <v>1.618317232138627</v>
      </c>
      <c r="Z454" s="33">
        <f t="shared" si="106"/>
        <v>9.1671695120277161E-2</v>
      </c>
      <c r="AA454" s="33">
        <f t="shared" si="107"/>
        <v>0.5</v>
      </c>
      <c r="AB454">
        <f t="shared" si="108"/>
        <v>-2.4625432330199773E-2</v>
      </c>
      <c r="AC454" s="1">
        <f t="shared" si="109"/>
        <v>-0.10762886696683316</v>
      </c>
      <c r="AD454" s="35">
        <f>IF(W454&gt;=FinalAgeForPremium, AE454*Delta-Z454*(Y454-AE454),AE454*Delta+PremiumRevisedForLimitedTerm-Z454*(Y454-AE454))</f>
        <v>-5.9961595524768152E-3</v>
      </c>
      <c r="AE454" s="35">
        <f>AE453-StepSize*AD453</f>
        <v>2.8268842850927831E-2</v>
      </c>
      <c r="AF454" s="1"/>
    </row>
    <row r="455" spans="11:32" x14ac:dyDescent="0.45">
      <c r="K455" s="40">
        <f t="shared" si="110"/>
        <v>4.3</v>
      </c>
      <c r="L455" s="41">
        <f t="shared" si="102"/>
        <v>24.3</v>
      </c>
      <c r="M455">
        <f t="shared" si="111"/>
        <v>0.88422191034400122</v>
      </c>
      <c r="N455">
        <f t="shared" si="112"/>
        <v>0.1157780896559984</v>
      </c>
      <c r="O455">
        <f t="shared" si="103"/>
        <v>8.1182776423030525E-2</v>
      </c>
      <c r="P455">
        <f t="shared" si="104"/>
        <v>0.5</v>
      </c>
      <c r="Q455">
        <f t="shared" si="113"/>
        <v>-1.3894544827802793E-2</v>
      </c>
      <c r="R455" s="6">
        <f t="shared" si="114"/>
        <v>1.3894544827802793E-2</v>
      </c>
      <c r="S455" s="18">
        <f t="shared" si="115"/>
        <v>0.99999999999999956</v>
      </c>
      <c r="T455" s="15"/>
      <c r="U455" s="15"/>
      <c r="V455" s="40">
        <f t="shared" si="116"/>
        <v>5.7</v>
      </c>
      <c r="W455" s="41">
        <f t="shared" si="105"/>
        <v>25.7</v>
      </c>
      <c r="X455">
        <f t="shared" si="117"/>
        <v>-4.3470563905421656E-3</v>
      </c>
      <c r="Y455">
        <f t="shared" si="118"/>
        <v>1.6193935208082952</v>
      </c>
      <c r="Z455" s="33">
        <f t="shared" si="106"/>
        <v>9.159272859597023E-2</v>
      </c>
      <c r="AA455" s="33">
        <f t="shared" si="107"/>
        <v>0.5</v>
      </c>
      <c r="AB455">
        <f t="shared" si="108"/>
        <v>-2.4560989119816606E-2</v>
      </c>
      <c r="AC455" s="1">
        <f t="shared" si="109"/>
        <v>-0.10716003536016649</v>
      </c>
      <c r="AD455" s="35">
        <f>IF(W455&gt;=FinalAgeForPremium, AE455*Delta-Z455*(Y455-AE455),AE455*Delta+PremiumRevisedForLimitedTerm-Z455*(Y455-AE455))</f>
        <v>-5.9606890477854335E-3</v>
      </c>
      <c r="AE455" s="35">
        <f>AE454-StepSize*AD454</f>
        <v>2.83288044464526E-2</v>
      </c>
      <c r="AF455" s="1"/>
    </row>
    <row r="456" spans="11:32" x14ac:dyDescent="0.45">
      <c r="K456" s="40">
        <f t="shared" si="110"/>
        <v>4.3099999999999996</v>
      </c>
      <c r="L456" s="41">
        <f t="shared" si="102"/>
        <v>24.31</v>
      </c>
      <c r="M456">
        <f t="shared" si="111"/>
        <v>0.88408296489572313</v>
      </c>
      <c r="N456">
        <f t="shared" si="112"/>
        <v>0.11591703510427642</v>
      </c>
      <c r="O456">
        <f t="shared" si="103"/>
        <v>8.1252768023739291E-2</v>
      </c>
      <c r="P456">
        <f t="shared" si="104"/>
        <v>0.5</v>
      </c>
      <c r="Q456">
        <f t="shared" si="113"/>
        <v>-1.3875670508273624E-2</v>
      </c>
      <c r="R456" s="6">
        <f t="shared" si="114"/>
        <v>1.3875670508273624E-2</v>
      </c>
      <c r="S456" s="18">
        <f t="shared" si="115"/>
        <v>0.99999999999999956</v>
      </c>
      <c r="T456" s="15"/>
      <c r="U456" s="15"/>
      <c r="V456" s="40">
        <f t="shared" si="116"/>
        <v>5.69</v>
      </c>
      <c r="W456" s="41">
        <f t="shared" si="105"/>
        <v>25.69</v>
      </c>
      <c r="X456">
        <f t="shared" si="117"/>
        <v>-4.1014464993439992E-3</v>
      </c>
      <c r="Y456">
        <f t="shared" si="118"/>
        <v>1.620465121161897</v>
      </c>
      <c r="Z456" s="33">
        <f t="shared" si="106"/>
        <v>9.1513830093880547E-2</v>
      </c>
      <c r="AA456" s="33">
        <f t="shared" si="107"/>
        <v>0.5</v>
      </c>
      <c r="AB456">
        <f t="shared" si="108"/>
        <v>-2.4496187476769044E-2</v>
      </c>
      <c r="AC456" s="1">
        <f t="shared" si="109"/>
        <v>-0.10669346011128467</v>
      </c>
      <c r="AD456" s="35">
        <f>IF(W456&gt;=FinalAgeForPremium, AE456*Delta-Z456*(Y456-AE456),AE456*Delta+PremiumRevisedForLimitedTerm-Z456*(Y456-AE456))</f>
        <v>-5.924787478253285E-3</v>
      </c>
      <c r="AE456" s="35">
        <f>AE455-StepSize*AD455</f>
        <v>2.8388411336930455E-2</v>
      </c>
      <c r="AF456" s="1"/>
    </row>
    <row r="457" spans="11:32" x14ac:dyDescent="0.45">
      <c r="K457" s="40">
        <f t="shared" si="110"/>
        <v>4.32</v>
      </c>
      <c r="L457" s="41">
        <f t="shared" si="102"/>
        <v>24.32</v>
      </c>
      <c r="M457">
        <f t="shared" si="111"/>
        <v>0.88394420819064035</v>
      </c>
      <c r="N457">
        <f t="shared" si="112"/>
        <v>0.11605579180935915</v>
      </c>
      <c r="O457">
        <f t="shared" si="103"/>
        <v>8.1322819967594551E-2</v>
      </c>
      <c r="P457">
        <f t="shared" si="104"/>
        <v>0.5</v>
      </c>
      <c r="Q457">
        <f t="shared" si="113"/>
        <v>-1.385693979940579E-2</v>
      </c>
      <c r="R457" s="6">
        <f t="shared" si="114"/>
        <v>1.385693979940579E-2</v>
      </c>
      <c r="S457" s="18">
        <f t="shared" si="115"/>
        <v>0.99999999999999956</v>
      </c>
      <c r="T457" s="15"/>
      <c r="U457" s="15"/>
      <c r="V457" s="40">
        <f t="shared" si="116"/>
        <v>5.68</v>
      </c>
      <c r="W457" s="41">
        <f t="shared" si="105"/>
        <v>25.68</v>
      </c>
      <c r="X457">
        <f t="shared" si="117"/>
        <v>-3.8564846245763089E-3</v>
      </c>
      <c r="Y457">
        <f t="shared" si="118"/>
        <v>1.62153205576301</v>
      </c>
      <c r="Z457" s="33">
        <f t="shared" si="106"/>
        <v>9.1434999555413329E-2</v>
      </c>
      <c r="AA457" s="33">
        <f t="shared" si="107"/>
        <v>0.5</v>
      </c>
      <c r="AB457">
        <f t="shared" si="108"/>
        <v>-2.4431031001594036E-2</v>
      </c>
      <c r="AC457" s="1">
        <f t="shared" si="109"/>
        <v>-0.10622912701805631</v>
      </c>
      <c r="AD457" s="35">
        <f>IF(W457&gt;=FinalAgeForPremium, AE457*Delta-Z457*(Y457-AE457),AE457*Delta+PremiumRevisedForLimitedTerm-Z457*(Y457-AE457))</f>
        <v>-5.8884586555715823E-3</v>
      </c>
      <c r="AE457" s="35">
        <f>AE456-StepSize*AD456</f>
        <v>2.8447659211712988E-2</v>
      </c>
      <c r="AF457" s="1"/>
    </row>
    <row r="458" spans="11:32" x14ac:dyDescent="0.45">
      <c r="K458" s="40">
        <f t="shared" si="110"/>
        <v>4.33</v>
      </c>
      <c r="L458" s="41">
        <f t="shared" si="102"/>
        <v>24.33</v>
      </c>
      <c r="M458">
        <f t="shared" si="111"/>
        <v>0.88380563879264629</v>
      </c>
      <c r="N458">
        <f t="shared" si="112"/>
        <v>0.11619436120735321</v>
      </c>
      <c r="O458">
        <f t="shared" si="103"/>
        <v>8.139293230662098E-2</v>
      </c>
      <c r="P458">
        <f t="shared" si="104"/>
        <v>0.5</v>
      </c>
      <c r="Q458">
        <f t="shared" si="113"/>
        <v>-1.3838351926783163E-2</v>
      </c>
      <c r="R458" s="6">
        <f t="shared" si="114"/>
        <v>1.3838351926783163E-2</v>
      </c>
      <c r="S458" s="18">
        <f t="shared" si="115"/>
        <v>0.99999999999999956</v>
      </c>
      <c r="T458" s="15"/>
      <c r="U458" s="15"/>
      <c r="V458" s="40">
        <f t="shared" si="116"/>
        <v>5.67</v>
      </c>
      <c r="W458" s="41">
        <f t="shared" si="105"/>
        <v>25.67</v>
      </c>
      <c r="X458">
        <f t="shared" si="117"/>
        <v>-3.6121743145603688E-3</v>
      </c>
      <c r="Y458">
        <f t="shared" si="118"/>
        <v>1.6225943470331905</v>
      </c>
      <c r="Z458" s="33">
        <f t="shared" si="106"/>
        <v>9.1356236922024478E-2</v>
      </c>
      <c r="AA458" s="33">
        <f t="shared" si="107"/>
        <v>0.5</v>
      </c>
      <c r="AB458">
        <f t="shared" si="108"/>
        <v>-2.436552326676672E-2</v>
      </c>
      <c r="AC458" s="1">
        <f t="shared" si="109"/>
        <v>-0.10576702197446508</v>
      </c>
      <c r="AD458" s="35">
        <f>IF(W458&gt;=FinalAgeForPremium, AE458*Delta-Z458*(Y458-AE458),AE458*Delta+PremiumRevisedForLimitedTerm-Z458*(Y458-AE458))</f>
        <v>-5.8517063626790933E-3</v>
      </c>
      <c r="AE458" s="35">
        <f>AE457-StepSize*AD457</f>
        <v>2.8506543798268703E-2</v>
      </c>
      <c r="AF458" s="1"/>
    </row>
    <row r="459" spans="11:32" x14ac:dyDescent="0.45">
      <c r="K459" s="40">
        <f t="shared" si="110"/>
        <v>4.34</v>
      </c>
      <c r="L459" s="41">
        <f t="shared" si="102"/>
        <v>24.34</v>
      </c>
      <c r="M459">
        <f t="shared" si="111"/>
        <v>0.88366725527337842</v>
      </c>
      <c r="N459">
        <f t="shared" si="112"/>
        <v>0.11633274472662104</v>
      </c>
      <c r="O459">
        <f t="shared" si="103"/>
        <v>8.1463105092888316E-2</v>
      </c>
      <c r="P459">
        <f t="shared" si="104"/>
        <v>0.5</v>
      </c>
      <c r="Q459">
        <f t="shared" si="113"/>
        <v>-1.3819906120168875E-2</v>
      </c>
      <c r="R459" s="6">
        <f t="shared" si="114"/>
        <v>1.3819906120168875E-2</v>
      </c>
      <c r="S459" s="18">
        <f t="shared" si="115"/>
        <v>0.99999999999999944</v>
      </c>
      <c r="T459" s="15"/>
      <c r="U459" s="15"/>
      <c r="V459" s="40">
        <f t="shared" si="116"/>
        <v>5.66</v>
      </c>
      <c r="W459" s="41">
        <f t="shared" si="105"/>
        <v>25.66</v>
      </c>
      <c r="X459">
        <f t="shared" si="117"/>
        <v>-3.3685190818927013E-3</v>
      </c>
      <c r="Y459">
        <f t="shared" si="118"/>
        <v>1.6236520172529352</v>
      </c>
      <c r="Z459" s="33">
        <f t="shared" si="106"/>
        <v>9.1277542135219977E-2</v>
      </c>
      <c r="AA459" s="33">
        <f t="shared" si="107"/>
        <v>0.5</v>
      </c>
      <c r="AB459">
        <f t="shared" si="108"/>
        <v>-2.4299667816917433E-2</v>
      </c>
      <c r="AC459" s="1">
        <f t="shared" si="109"/>
        <v>-0.10530713096993938</v>
      </c>
      <c r="AD459" s="35">
        <f>IF(W459&gt;=FinalAgeForPremium, AE459*Delta-Z459*(Y459-AE459),AE459*Delta+PremiumRevisedForLimitedTerm-Z459*(Y459-AE459))</f>
        <v>-5.8145343539816041E-3</v>
      </c>
      <c r="AE459" s="35">
        <f>AE458-StepSize*AD458</f>
        <v>2.8565060861895496E-2</v>
      </c>
      <c r="AF459" s="1"/>
    </row>
    <row r="460" spans="11:32" x14ac:dyDescent="0.45">
      <c r="K460" s="40">
        <f t="shared" si="110"/>
        <v>4.3499999999999996</v>
      </c>
      <c r="L460" s="41">
        <f t="shared" si="102"/>
        <v>24.35</v>
      </c>
      <c r="M460">
        <f t="shared" si="111"/>
        <v>0.8835290562121767</v>
      </c>
      <c r="N460">
        <f t="shared" si="112"/>
        <v>0.11647094378782273</v>
      </c>
      <c r="O460">
        <f t="shared" si="103"/>
        <v>8.1533338378510969E-2</v>
      </c>
      <c r="P460">
        <f t="shared" si="104"/>
        <v>0.5</v>
      </c>
      <c r="Q460">
        <f t="shared" si="113"/>
        <v>-1.3801601613482477E-2</v>
      </c>
      <c r="R460" s="6">
        <f t="shared" si="114"/>
        <v>1.3801601613482477E-2</v>
      </c>
      <c r="S460" s="18">
        <f t="shared" si="115"/>
        <v>0.99999999999999944</v>
      </c>
      <c r="T460" s="15"/>
      <c r="U460" s="15"/>
      <c r="V460" s="40">
        <f t="shared" si="116"/>
        <v>5.65</v>
      </c>
      <c r="W460" s="41">
        <f t="shared" si="105"/>
        <v>25.65</v>
      </c>
      <c r="X460">
        <f t="shared" si="117"/>
        <v>-3.1255224037235272E-3</v>
      </c>
      <c r="Y460">
        <f t="shared" si="118"/>
        <v>1.6247050885626346</v>
      </c>
      <c r="Z460" s="33">
        <f t="shared" si="106"/>
        <v>9.1198915136556494E-2</v>
      </c>
      <c r="AA460" s="33">
        <f t="shared" si="107"/>
        <v>0.5</v>
      </c>
      <c r="AB460">
        <f t="shared" si="108"/>
        <v>-2.4233468169048297E-2</v>
      </c>
      <c r="AC460" s="1">
        <f t="shared" si="109"/>
        <v>-0.10484944008868924</v>
      </c>
      <c r="AD460" s="35">
        <f>IF(W460&gt;=FinalAgeForPremium, AE460*Delta-Z460*(Y460-AE460),AE460*Delta+PremiumRevisedForLimitedTerm-Z460*(Y460-AE460))</f>
        <v>-5.7769463555712719E-3</v>
      </c>
      <c r="AE460" s="35">
        <f>AE459-StepSize*AD459</f>
        <v>2.8623206205435313E-2</v>
      </c>
      <c r="AF460" s="1"/>
    </row>
    <row r="461" spans="11:32" x14ac:dyDescent="0.45">
      <c r="K461" s="40">
        <f t="shared" si="110"/>
        <v>4.3600000000000003</v>
      </c>
      <c r="L461" s="41">
        <f t="shared" si="102"/>
        <v>24.36</v>
      </c>
      <c r="M461">
        <f t="shared" si="111"/>
        <v>0.88339104019604187</v>
      </c>
      <c r="N461">
        <f t="shared" si="112"/>
        <v>0.11660895980395755</v>
      </c>
      <c r="O461">
        <f t="shared" si="103"/>
        <v>8.1603632215648314E-2</v>
      </c>
      <c r="P461">
        <f t="shared" si="104"/>
        <v>0.5</v>
      </c>
      <c r="Q461">
        <f t="shared" si="113"/>
        <v>-1.3783437644778018E-2</v>
      </c>
      <c r="R461" s="6">
        <f t="shared" si="114"/>
        <v>1.3783437644778018E-2</v>
      </c>
      <c r="S461" s="18">
        <f t="shared" si="115"/>
        <v>0.99999999999999944</v>
      </c>
      <c r="T461" s="15"/>
      <c r="U461" s="15"/>
      <c r="V461" s="40">
        <f t="shared" si="116"/>
        <v>5.64</v>
      </c>
      <c r="W461" s="41">
        <f t="shared" si="105"/>
        <v>25.64</v>
      </c>
      <c r="X461">
        <f t="shared" si="117"/>
        <v>-2.8831877220330442E-3</v>
      </c>
      <c r="Y461">
        <f t="shared" si="118"/>
        <v>1.6257535829635215</v>
      </c>
      <c r="Z461" s="33">
        <f t="shared" si="106"/>
        <v>9.1120355867640973E-2</v>
      </c>
      <c r="AA461" s="33">
        <f t="shared" si="107"/>
        <v>0.5</v>
      </c>
      <c r="AB461">
        <f t="shared" si="108"/>
        <v>-2.4166927812747305E-2</v>
      </c>
      <c r="AC461" s="1">
        <f t="shared" si="109"/>
        <v>-0.10439393550904674</v>
      </c>
      <c r="AD461" s="35">
        <f>IF(W461&gt;=FinalAgeForPremium, AE461*Delta-Z461*(Y461-AE461),AE461*Delta+PremiumRevisedForLimitedTerm-Z461*(Y461-AE461))</f>
        <v>-5.7389460654427571E-3</v>
      </c>
      <c r="AE461" s="35">
        <f>AE460-StepSize*AD460</f>
        <v>2.8680975668991027E-2</v>
      </c>
      <c r="AF461" s="1"/>
    </row>
    <row r="462" spans="11:32" x14ac:dyDescent="0.45">
      <c r="K462" s="40">
        <f t="shared" si="110"/>
        <v>4.37</v>
      </c>
      <c r="L462" s="41">
        <f t="shared" si="102"/>
        <v>24.37</v>
      </c>
      <c r="M462">
        <f t="shared" si="111"/>
        <v>0.8832532058195941</v>
      </c>
      <c r="N462">
        <f t="shared" si="112"/>
        <v>0.11674679418040533</v>
      </c>
      <c r="O462">
        <f t="shared" si="103"/>
        <v>8.1673986656504841E-2</v>
      </c>
      <c r="P462">
        <f t="shared" si="104"/>
        <v>0.5</v>
      </c>
      <c r="Q462">
        <f t="shared" si="113"/>
        <v>-1.3765413456221988E-2</v>
      </c>
      <c r="R462" s="6">
        <f t="shared" si="114"/>
        <v>1.3765413456221988E-2</v>
      </c>
      <c r="S462" s="18">
        <f t="shared" si="115"/>
        <v>0.99999999999999944</v>
      </c>
      <c r="T462" s="15"/>
      <c r="U462" s="15"/>
      <c r="V462" s="40">
        <f t="shared" si="116"/>
        <v>5.63</v>
      </c>
      <c r="W462" s="41">
        <f t="shared" si="105"/>
        <v>25.63</v>
      </c>
      <c r="X462">
        <f t="shared" si="117"/>
        <v>-2.641518443905571E-3</v>
      </c>
      <c r="Y462">
        <f t="shared" si="118"/>
        <v>1.626797522318612</v>
      </c>
      <c r="Z462" s="33">
        <f t="shared" si="106"/>
        <v>9.1041864270130515E-2</v>
      </c>
      <c r="AA462" s="33">
        <f t="shared" si="107"/>
        <v>0.5</v>
      </c>
      <c r="AB462">
        <f t="shared" si="108"/>
        <v>-2.4100050210400389E-2</v>
      </c>
      <c r="AC462" s="1">
        <f t="shared" si="109"/>
        <v>-0.10394060350281065</v>
      </c>
      <c r="AD462" s="35">
        <f>IF(W462&gt;=FinalAgeForPremium, AE462*Delta-Z462*(Y462-AE462),AE462*Delta+PremiumRevisedForLimitedTerm-Z462*(Y462-AE462))</f>
        <v>-5.7005371537082461E-3</v>
      </c>
      <c r="AE462" s="35">
        <f>AE461-StepSize*AD461</f>
        <v>2.8738365129645456E-2</v>
      </c>
      <c r="AF462" s="1"/>
    </row>
    <row r="463" spans="11:32" x14ac:dyDescent="0.45">
      <c r="K463" s="40">
        <f t="shared" si="110"/>
        <v>4.38</v>
      </c>
      <c r="L463" s="41">
        <f t="shared" si="102"/>
        <v>24.38</v>
      </c>
      <c r="M463">
        <f t="shared" si="111"/>
        <v>0.88311555168503186</v>
      </c>
      <c r="N463">
        <f t="shared" si="112"/>
        <v>0.11688444831496755</v>
      </c>
      <c r="O463">
        <f t="shared" si="103"/>
        <v>8.1744401753329893E-2</v>
      </c>
      <c r="P463">
        <f t="shared" si="104"/>
        <v>0.5</v>
      </c>
      <c r="Q463">
        <f t="shared" si="113"/>
        <v>-1.374752829407104E-2</v>
      </c>
      <c r="R463" s="6">
        <f t="shared" si="114"/>
        <v>1.374752829407104E-2</v>
      </c>
      <c r="S463" s="18">
        <f t="shared" si="115"/>
        <v>0.99999999999999944</v>
      </c>
      <c r="T463" s="15"/>
      <c r="U463" s="15"/>
      <c r="V463" s="40">
        <f t="shared" si="116"/>
        <v>5.62</v>
      </c>
      <c r="W463" s="41">
        <f t="shared" si="105"/>
        <v>25.62</v>
      </c>
      <c r="X463">
        <f t="shared" si="117"/>
        <v>-2.4005179418015669E-3</v>
      </c>
      <c r="Y463">
        <f t="shared" si="118"/>
        <v>1.62783692835364</v>
      </c>
      <c r="Z463" s="33">
        <f t="shared" si="106"/>
        <v>9.096344028573268E-2</v>
      </c>
      <c r="AA463" s="33">
        <f t="shared" si="107"/>
        <v>0.5</v>
      </c>
      <c r="AB463">
        <f t="shared" si="108"/>
        <v>-2.4032838797403144E-2</v>
      </c>
      <c r="AC463" s="1">
        <f t="shared" si="109"/>
        <v>-0.10348943043459713</v>
      </c>
      <c r="AD463" s="35">
        <f>IF(W463&gt;=FinalAgeForPremium, AE463*Delta-Z463*(Y463-AE463),AE463*Delta+PremiumRevisedForLimitedTerm-Z463*(Y463-AE463))</f>
        <v>-5.6617232628113079E-3</v>
      </c>
      <c r="AE463" s="35">
        <f>AE462-StepSize*AD462</f>
        <v>2.8795370501182537E-2</v>
      </c>
      <c r="AF463" s="1"/>
    </row>
    <row r="464" spans="11:32" x14ac:dyDescent="0.45">
      <c r="K464" s="40">
        <f t="shared" si="110"/>
        <v>4.3899999999999997</v>
      </c>
      <c r="L464" s="41">
        <f t="shared" si="102"/>
        <v>24.39</v>
      </c>
      <c r="M464">
        <f t="shared" si="111"/>
        <v>0.88297807640209114</v>
      </c>
      <c r="N464">
        <f t="shared" si="112"/>
        <v>0.11702192359790826</v>
      </c>
      <c r="O464">
        <f t="shared" si="103"/>
        <v>8.1814877558417931E-2</v>
      </c>
      <c r="P464">
        <f t="shared" si="104"/>
        <v>0.5</v>
      </c>
      <c r="Q464">
        <f t="shared" si="113"/>
        <v>-1.3729781408650353E-2</v>
      </c>
      <c r="R464" s="6">
        <f t="shared" si="114"/>
        <v>1.3729781408650353E-2</v>
      </c>
      <c r="S464" s="18">
        <f t="shared" si="115"/>
        <v>0.99999999999999944</v>
      </c>
      <c r="T464" s="15"/>
      <c r="U464" s="15"/>
      <c r="V464" s="40">
        <f t="shared" si="116"/>
        <v>5.61</v>
      </c>
      <c r="W464" s="41">
        <f t="shared" si="105"/>
        <v>25.61</v>
      </c>
      <c r="X464">
        <f t="shared" si="117"/>
        <v>-2.1601895538275353E-3</v>
      </c>
      <c r="Y464">
        <f t="shared" si="118"/>
        <v>1.6288718226579859</v>
      </c>
      <c r="Z464" s="33">
        <f t="shared" si="106"/>
        <v>9.0885083856205084E-2</v>
      </c>
      <c r="AA464" s="33">
        <f t="shared" si="107"/>
        <v>0.5</v>
      </c>
      <c r="AB464">
        <f t="shared" si="108"/>
        <v>-2.396529698236928E-2</v>
      </c>
      <c r="AC464" s="1">
        <f t="shared" si="109"/>
        <v>-0.10304040276119397</v>
      </c>
      <c r="AD464" s="35">
        <f>IF(W464&gt;=FinalAgeForPremium, AE464*Delta-Z464*(Y464-AE464),AE464*Delta+PremiumRevisedForLimitedTerm-Z464*(Y464-AE464))</f>
        <v>-5.622508007738003E-3</v>
      </c>
      <c r="AE464" s="35">
        <f>AE463-StepSize*AD463</f>
        <v>2.885198773381065E-2</v>
      </c>
      <c r="AF464" s="1"/>
    </row>
    <row r="465" spans="11:32" x14ac:dyDescent="0.45">
      <c r="K465" s="40">
        <f t="shared" si="110"/>
        <v>4.4000000000000004</v>
      </c>
      <c r="L465" s="41">
        <f t="shared" si="102"/>
        <v>24.4</v>
      </c>
      <c r="M465">
        <f t="shared" si="111"/>
        <v>0.88284077858800458</v>
      </c>
      <c r="N465">
        <f t="shared" si="112"/>
        <v>0.11715922141199477</v>
      </c>
      <c r="O465">
        <f t="shared" si="103"/>
        <v>8.1885414124108477E-2</v>
      </c>
      <c r="P465">
        <f t="shared" si="104"/>
        <v>0.5</v>
      </c>
      <c r="Q465">
        <f t="shared" si="113"/>
        <v>-1.3712172054331735E-2</v>
      </c>
      <c r="R465" s="6">
        <f t="shared" si="114"/>
        <v>1.3712172054331735E-2</v>
      </c>
      <c r="S465" s="18">
        <f t="shared" si="115"/>
        <v>0.99999999999999933</v>
      </c>
      <c r="T465" s="15"/>
      <c r="U465" s="15"/>
      <c r="V465" s="40">
        <f t="shared" si="116"/>
        <v>5.6</v>
      </c>
      <c r="W465" s="41">
        <f t="shared" si="105"/>
        <v>25.6</v>
      </c>
      <c r="X465">
        <f t="shared" si="117"/>
        <v>-1.9205365840038425E-3</v>
      </c>
      <c r="Y465">
        <f t="shared" si="118"/>
        <v>1.6299022266855978</v>
      </c>
      <c r="Z465" s="33">
        <f t="shared" si="106"/>
        <v>9.0806794923355624E-2</v>
      </c>
      <c r="AA465" s="33">
        <f t="shared" si="107"/>
        <v>0.5</v>
      </c>
      <c r="AB465">
        <f t="shared" si="108"/>
        <v>-2.3897428147338751E-2</v>
      </c>
      <c r="AC465" s="1">
        <f t="shared" si="109"/>
        <v>-0.1025935070309193</v>
      </c>
      <c r="AD465" s="35">
        <f>IF(W465&gt;=FinalAgeForPremium, AE465*Delta-Z465*(Y465-AE465),AE465*Delta+PremiumRevisedForLimitedTerm-Z465*(Y465-AE465))</f>
        <v>-5.5828949762273816E-3</v>
      </c>
      <c r="AE465" s="35">
        <f>AE464-StepSize*AD464</f>
        <v>2.8908212813888029E-2</v>
      </c>
      <c r="AF465" s="1"/>
    </row>
    <row r="466" spans="11:32" x14ac:dyDescent="0.45">
      <c r="K466" s="40">
        <f t="shared" si="110"/>
        <v>4.41</v>
      </c>
      <c r="L466" s="41">
        <f t="shared" si="102"/>
        <v>24.41</v>
      </c>
      <c r="M466">
        <f t="shared" si="111"/>
        <v>0.88270365686746122</v>
      </c>
      <c r="N466">
        <f t="shared" si="112"/>
        <v>0.11729634313253809</v>
      </c>
      <c r="O466">
        <f t="shared" si="103"/>
        <v>8.1956011502786238E-2</v>
      </c>
      <c r="P466">
        <f t="shared" si="104"/>
        <v>0.5</v>
      </c>
      <c r="Q466">
        <f t="shared" si="113"/>
        <v>-1.3694699489512088E-2</v>
      </c>
      <c r="R466" s="6">
        <f t="shared" si="114"/>
        <v>1.3694699489512088E-2</v>
      </c>
      <c r="S466" s="18">
        <f t="shared" si="115"/>
        <v>0.99999999999999933</v>
      </c>
      <c r="T466" s="15"/>
      <c r="U466" s="15"/>
      <c r="V466" s="40">
        <f t="shared" si="116"/>
        <v>5.59</v>
      </c>
      <c r="W466" s="41">
        <f t="shared" si="105"/>
        <v>25.59</v>
      </c>
      <c r="X466">
        <f t="shared" si="117"/>
        <v>-1.6815623025304551E-3</v>
      </c>
      <c r="Y466">
        <f t="shared" si="118"/>
        <v>1.630928161755907</v>
      </c>
      <c r="Z466" s="33">
        <f t="shared" si="106"/>
        <v>9.0728573429042184E-2</v>
      </c>
      <c r="AA466" s="33">
        <f t="shared" si="107"/>
        <v>0.5</v>
      </c>
      <c r="AB466">
        <f t="shared" si="108"/>
        <v>-2.3829235647983088E-2</v>
      </c>
      <c r="AC466" s="1">
        <f t="shared" si="109"/>
        <v>-0.10214872988298596</v>
      </c>
      <c r="AD466" s="35">
        <f>IF(W466&gt;=FinalAgeForPremium, AE466*Delta-Z466*(Y466-AE466),AE466*Delta+PremiumRevisedForLimitedTerm-Z466*(Y466-AE466))</f>
        <v>-5.5428877289793455E-3</v>
      </c>
      <c r="AE466" s="35">
        <f>AE465-StepSize*AD465</f>
        <v>2.8964041763650302E-2</v>
      </c>
      <c r="AF466" s="1"/>
    </row>
    <row r="467" spans="11:32" x14ac:dyDescent="0.45">
      <c r="K467" s="40">
        <f t="shared" si="110"/>
        <v>4.42</v>
      </c>
      <c r="L467" s="41">
        <f t="shared" si="102"/>
        <v>24.42</v>
      </c>
      <c r="M467">
        <f t="shared" si="111"/>
        <v>0.88256670987256614</v>
      </c>
      <c r="N467">
        <f t="shared" si="112"/>
        <v>0.11743329012743321</v>
      </c>
      <c r="O467">
        <f t="shared" si="103"/>
        <v>8.2026669746880929E-2</v>
      </c>
      <c r="P467">
        <f t="shared" si="104"/>
        <v>0.5</v>
      </c>
      <c r="Q467">
        <f t="shared" si="113"/>
        <v>-1.3677362976591646E-2</v>
      </c>
      <c r="R467" s="6">
        <f t="shared" si="114"/>
        <v>1.3677362976591646E-2</v>
      </c>
      <c r="S467" s="18">
        <f t="shared" si="115"/>
        <v>0.99999999999999933</v>
      </c>
      <c r="T467" s="15"/>
      <c r="U467" s="15"/>
      <c r="V467" s="40">
        <f t="shared" si="116"/>
        <v>5.58</v>
      </c>
      <c r="W467" s="41">
        <f t="shared" si="105"/>
        <v>25.58</v>
      </c>
      <c r="X467">
        <f t="shared" si="117"/>
        <v>-1.4432699460506242E-3</v>
      </c>
      <c r="Y467">
        <f t="shared" si="118"/>
        <v>1.6319496490547369</v>
      </c>
      <c r="Z467" s="33">
        <f t="shared" si="106"/>
        <v>9.0650419315172925E-2</v>
      </c>
      <c r="AA467" s="33">
        <f t="shared" si="107"/>
        <v>0.5</v>
      </c>
      <c r="AB467">
        <f t="shared" si="108"/>
        <v>-2.3760722813810559E-2</v>
      </c>
      <c r="AC467" s="1">
        <f t="shared" si="109"/>
        <v>-0.10170605804686939</v>
      </c>
      <c r="AD467" s="35">
        <f>IF(W467&gt;=FinalAgeForPremium, AE467*Delta-Z467*(Y467-AE467),AE467*Delta+PremiumRevisedForLimitedTerm-Z467*(Y467-AE467))</f>
        <v>-5.5024897998620648E-3</v>
      </c>
      <c r="AE467" s="35">
        <f>AE466-StepSize*AD466</f>
        <v>2.9019470640940095E-2</v>
      </c>
      <c r="AF467" s="1"/>
    </row>
    <row r="468" spans="11:32" x14ac:dyDescent="0.45">
      <c r="K468" s="40">
        <f t="shared" si="110"/>
        <v>4.43</v>
      </c>
      <c r="L468" s="41">
        <f t="shared" si="102"/>
        <v>24.43</v>
      </c>
      <c r="M468">
        <f t="shared" si="111"/>
        <v>0.88242993624280019</v>
      </c>
      <c r="N468">
        <f t="shared" si="112"/>
        <v>0.11757006375719913</v>
      </c>
      <c r="O468">
        <f t="shared" si="103"/>
        <v>8.2097388908867655E-2</v>
      </c>
      <c r="P468">
        <f t="shared" si="104"/>
        <v>0.5</v>
      </c>
      <c r="Q468">
        <f t="shared" si="113"/>
        <v>-1.3660161781952888E-2</v>
      </c>
      <c r="R468" s="6">
        <f t="shared" si="114"/>
        <v>1.3660161781952888E-2</v>
      </c>
      <c r="S468" s="18">
        <f t="shared" si="115"/>
        <v>0.99999999999999933</v>
      </c>
      <c r="T468" s="15"/>
      <c r="U468" s="15"/>
      <c r="V468" s="40">
        <f t="shared" si="116"/>
        <v>5.57</v>
      </c>
      <c r="W468" s="41">
        <f t="shared" si="105"/>
        <v>25.57</v>
      </c>
      <c r="X468">
        <f t="shared" si="117"/>
        <v>-1.2056627179125186E-3</v>
      </c>
      <c r="Y468">
        <f t="shared" si="118"/>
        <v>1.6329667096352056</v>
      </c>
      <c r="Z468" s="33">
        <f t="shared" si="106"/>
        <v>9.0572332523705903E-2</v>
      </c>
      <c r="AA468" s="33">
        <f t="shared" si="107"/>
        <v>0.5</v>
      </c>
      <c r="AB468">
        <f t="shared" si="108"/>
        <v>-2.3691892948367918E-2</v>
      </c>
      <c r="AC468" s="1">
        <f t="shared" si="109"/>
        <v>-0.10126547834168065</v>
      </c>
      <c r="AD468" s="35">
        <f>IF(W468&gt;=FinalAgeForPremium, AE468*Delta-Z468*(Y468-AE468),AE468*Delta+PremiumRevisedForLimitedTerm-Z468*(Y468-AE468))</f>
        <v>-5.4617046961165094E-3</v>
      </c>
      <c r="AE468" s="35">
        <f>AE467-StepSize*AD467</f>
        <v>2.9074495538938715E-2</v>
      </c>
      <c r="AF468" s="1"/>
    </row>
    <row r="469" spans="11:32" x14ac:dyDescent="0.45">
      <c r="K469" s="40">
        <f t="shared" si="110"/>
        <v>4.4400000000000004</v>
      </c>
      <c r="L469" s="41">
        <f t="shared" si="102"/>
        <v>24.44</v>
      </c>
      <c r="M469">
        <f t="shared" si="111"/>
        <v>0.88229333462498072</v>
      </c>
      <c r="N469">
        <f t="shared" si="112"/>
        <v>0.11770666537501866</v>
      </c>
      <c r="O469">
        <f t="shared" si="103"/>
        <v>8.2168169041266684E-2</v>
      </c>
      <c r="P469">
        <f t="shared" si="104"/>
        <v>0.5</v>
      </c>
      <c r="Q469">
        <f t="shared" si="113"/>
        <v>-1.3643095175938959E-2</v>
      </c>
      <c r="R469" s="6">
        <f t="shared" si="114"/>
        <v>1.3643095175938959E-2</v>
      </c>
      <c r="S469" s="18">
        <f t="shared" si="115"/>
        <v>0.99999999999999933</v>
      </c>
      <c r="T469" s="15"/>
      <c r="U469" s="15"/>
      <c r="V469" s="40">
        <f t="shared" si="116"/>
        <v>5.56</v>
      </c>
      <c r="W469" s="41">
        <f t="shared" si="105"/>
        <v>25.56</v>
      </c>
      <c r="X469">
        <f t="shared" si="117"/>
        <v>-9.6874378842883946E-4</v>
      </c>
      <c r="Y469">
        <f t="shared" si="118"/>
        <v>1.6339793644186225</v>
      </c>
      <c r="Z469" s="33">
        <f t="shared" si="106"/>
        <v>9.0494312996649173E-2</v>
      </c>
      <c r="AA469" s="33">
        <f t="shared" si="107"/>
        <v>0.5</v>
      </c>
      <c r="AB469">
        <f t="shared" si="108"/>
        <v>-2.3622749329442125E-2</v>
      </c>
      <c r="AC469" s="1">
        <f t="shared" si="109"/>
        <v>-0.10082697767554316</v>
      </c>
      <c r="AD469" s="35">
        <f>IF(W469&gt;=FinalAgeForPremium, AE469*Delta-Z469*(Y469-AE469),AE469*Delta+PremiumRevisedForLimitedTerm-Z469*(Y469-AE469))</f>
        <v>-5.4205358985600915E-3</v>
      </c>
      <c r="AE469" s="35">
        <f>AE468-StepSize*AD468</f>
        <v>2.9129112585899879E-2</v>
      </c>
      <c r="AF469" s="1"/>
    </row>
    <row r="470" spans="11:32" x14ac:dyDescent="0.45">
      <c r="K470" s="40">
        <f t="shared" si="110"/>
        <v>4.45</v>
      </c>
      <c r="L470" s="41">
        <f t="shared" si="102"/>
        <v>24.45</v>
      </c>
      <c r="M470">
        <f t="shared" si="111"/>
        <v>0.8821569036732213</v>
      </c>
      <c r="N470">
        <f t="shared" si="112"/>
        <v>0.11784309632677804</v>
      </c>
      <c r="O470">
        <f t="shared" si="103"/>
        <v>8.2239010196643494E-2</v>
      </c>
      <c r="P470">
        <f t="shared" si="104"/>
        <v>0.5</v>
      </c>
      <c r="Q470">
        <f t="shared" si="113"/>
        <v>-1.3626162432832482E-2</v>
      </c>
      <c r="R470" s="6">
        <f t="shared" si="114"/>
        <v>1.3626162432832482E-2</v>
      </c>
      <c r="S470" s="18">
        <f t="shared" si="115"/>
        <v>0.99999999999999933</v>
      </c>
      <c r="T470" s="15"/>
      <c r="U470" s="15"/>
      <c r="V470" s="40">
        <f t="shared" si="116"/>
        <v>5.55</v>
      </c>
      <c r="W470" s="41">
        <f t="shared" si="105"/>
        <v>25.55</v>
      </c>
      <c r="X470">
        <f t="shared" si="117"/>
        <v>-7.3251629513441821E-4</v>
      </c>
      <c r="Y470">
        <f t="shared" si="118"/>
        <v>1.634987634195378</v>
      </c>
      <c r="Z470" s="33">
        <f t="shared" si="106"/>
        <v>9.0416360676060861E-2</v>
      </c>
      <c r="AA470" s="33">
        <f t="shared" si="107"/>
        <v>0.5</v>
      </c>
      <c r="AB470">
        <f t="shared" si="108"/>
        <v>-2.3553295209259764E-2</v>
      </c>
      <c r="AC470" s="1">
        <f t="shared" si="109"/>
        <v>-0.10039054304497497</v>
      </c>
      <c r="AD470" s="35">
        <f>IF(W470&gt;=FinalAgeForPremium, AE470*Delta-Z470*(Y470-AE470),AE470*Delta+PremiumRevisedForLimitedTerm-Z470*(Y470-AE470))</f>
        <v>-5.3789868617890313E-3</v>
      </c>
      <c r="AE470" s="35">
        <f>AE469-StepSize*AD469</f>
        <v>2.9183317944885479E-2</v>
      </c>
      <c r="AF470" s="1"/>
    </row>
    <row r="471" spans="11:32" x14ac:dyDescent="0.45">
      <c r="K471" s="40">
        <f t="shared" si="110"/>
        <v>4.46</v>
      </c>
      <c r="L471" s="41">
        <f t="shared" si="102"/>
        <v>24.46</v>
      </c>
      <c r="M471">
        <f t="shared" si="111"/>
        <v>0.88202064204889297</v>
      </c>
      <c r="N471">
        <f t="shared" si="112"/>
        <v>0.11797935795110637</v>
      </c>
      <c r="O471">
        <f t="shared" si="103"/>
        <v>8.2309912427609003E-2</v>
      </c>
      <c r="P471">
        <f t="shared" si="104"/>
        <v>0.5</v>
      </c>
      <c r="Q471">
        <f t="shared" si="113"/>
        <v>-1.3609362830834665E-2</v>
      </c>
      <c r="R471" s="6">
        <f t="shared" si="114"/>
        <v>1.3609362830834665E-2</v>
      </c>
      <c r="S471" s="18">
        <f t="shared" si="115"/>
        <v>0.99999999999999933</v>
      </c>
      <c r="T471" s="15"/>
      <c r="U471" s="15"/>
      <c r="V471" s="40">
        <f t="shared" si="116"/>
        <v>5.54</v>
      </c>
      <c r="W471" s="41">
        <f t="shared" si="105"/>
        <v>25.54</v>
      </c>
      <c r="X471">
        <f t="shared" si="117"/>
        <v>-4.9698334304182053E-4</v>
      </c>
      <c r="Y471">
        <f t="shared" si="118"/>
        <v>1.6359915396258278</v>
      </c>
      <c r="Z471" s="33">
        <f t="shared" si="106"/>
        <v>9.0338475504048901E-2</v>
      </c>
      <c r="AA471" s="33">
        <f t="shared" si="107"/>
        <v>0.5</v>
      </c>
      <c r="AB471">
        <f t="shared" si="108"/>
        <v>-2.3483533814684807E-2</v>
      </c>
      <c r="AC471" s="1">
        <f t="shared" si="109"/>
        <v>-9.9956161534273891E-2</v>
      </c>
      <c r="AD471" s="35">
        <f>IF(W471&gt;=FinalAgeForPremium, AE471*Delta-Z471*(Y471-AE471),AE471*Delta+PremiumRevisedForLimitedTerm-Z471*(Y471-AE471))</f>
        <v>-5.3370610143779751E-3</v>
      </c>
      <c r="AE471" s="35">
        <f>AE470-StepSize*AD470</f>
        <v>2.9237107813503371E-2</v>
      </c>
      <c r="AF471" s="1"/>
    </row>
    <row r="472" spans="11:32" x14ac:dyDescent="0.45">
      <c r="K472" s="40">
        <f t="shared" si="110"/>
        <v>4.47</v>
      </c>
      <c r="L472" s="41">
        <f t="shared" si="102"/>
        <v>24.47</v>
      </c>
      <c r="M472">
        <f t="shared" si="111"/>
        <v>0.88188454842058461</v>
      </c>
      <c r="N472">
        <f t="shared" si="112"/>
        <v>0.11811545157941472</v>
      </c>
      <c r="O472">
        <f t="shared" si="103"/>
        <v>8.2380875786819421E-2</v>
      </c>
      <c r="P472">
        <f t="shared" si="104"/>
        <v>0.5</v>
      </c>
      <c r="Q472">
        <f t="shared" si="113"/>
        <v>-1.3592695652044157E-2</v>
      </c>
      <c r="R472" s="6">
        <f t="shared" si="114"/>
        <v>1.3592695652044157E-2</v>
      </c>
      <c r="S472" s="18">
        <f t="shared" si="115"/>
        <v>0.99999999999999933</v>
      </c>
      <c r="T472" s="15"/>
      <c r="U472" s="15"/>
      <c r="V472" s="40">
        <f t="shared" si="116"/>
        <v>5.53</v>
      </c>
      <c r="W472" s="41">
        <f t="shared" si="105"/>
        <v>25.53</v>
      </c>
      <c r="X472">
        <f t="shared" si="117"/>
        <v>-2.6214800489497247E-4</v>
      </c>
      <c r="Y472">
        <f t="shared" si="118"/>
        <v>1.6369911012411704</v>
      </c>
      <c r="Z472" s="33">
        <f t="shared" si="106"/>
        <v>9.0260657422771118E-2</v>
      </c>
      <c r="AA472" s="33">
        <f t="shared" si="107"/>
        <v>0.5</v>
      </c>
      <c r="AB472">
        <f t="shared" si="108"/>
        <v>-2.341346834741509E-2</v>
      </c>
      <c r="AC472" s="1">
        <f t="shared" si="109"/>
        <v>-9.9523820314908806E-2</v>
      </c>
      <c r="AD472" s="35">
        <f>IF(W472&gt;=FinalAgeForPremium, AE472*Delta-Z472*(Y472-AE472),AE472*Delta+PremiumRevisedForLimitedTerm-Z472*(Y472-AE472))</f>
        <v>-5.2947617590793361E-3</v>
      </c>
      <c r="AE472" s="35">
        <f>AE471-StepSize*AD471</f>
        <v>2.929047842364715E-2</v>
      </c>
      <c r="AF472" s="1"/>
    </row>
    <row r="473" spans="11:32" x14ac:dyDescent="0.45">
      <c r="K473" s="40">
        <f t="shared" si="110"/>
        <v>4.4800000000000004</v>
      </c>
      <c r="L473" s="41">
        <f t="shared" ref="L473:L536" si="119">$L$5+K473</f>
        <v>24.48</v>
      </c>
      <c r="M473">
        <f t="shared" si="111"/>
        <v>0.88174862146406419</v>
      </c>
      <c r="N473">
        <f t="shared" si="112"/>
        <v>0.11825137853593516</v>
      </c>
      <c r="O473">
        <f t="shared" ref="O473:O536" si="120">mu01Parameter_B*mu01Parameter_c^L473</f>
        <v>8.2451900326976371E-2</v>
      </c>
      <c r="P473">
        <f t="shared" ref="P473:P536" si="121">mu10Constant</f>
        <v>0.5</v>
      </c>
      <c r="Q473">
        <f t="shared" si="113"/>
        <v>-1.3576160182436257E-2</v>
      </c>
      <c r="R473" s="6">
        <f t="shared" si="114"/>
        <v>1.3576160182436257E-2</v>
      </c>
      <c r="S473" s="18">
        <f t="shared" si="115"/>
        <v>0.99999999999999933</v>
      </c>
      <c r="T473" s="15"/>
      <c r="U473" s="15"/>
      <c r="V473" s="40">
        <f t="shared" si="116"/>
        <v>5.52</v>
      </c>
      <c r="W473" s="41">
        <f t="shared" ref="W473:W536" si="122">$L$5+V473</f>
        <v>25.52</v>
      </c>
      <c r="X473">
        <f t="shared" si="117"/>
        <v>-2.8013321420821563E-5</v>
      </c>
      <c r="Y473">
        <f t="shared" si="118"/>
        <v>1.6379863394443195</v>
      </c>
      <c r="Z473" s="33">
        <f t="shared" ref="Z473:Z536" si="123">mu01Parameter_B*mu01Parameter_c^W473</f>
        <v>9.0182906374435115E-2</v>
      </c>
      <c r="AA473" s="33">
        <f t="shared" ref="AA473:AA536" si="124">mu10Constant</f>
        <v>0.5</v>
      </c>
      <c r="AB473">
        <f t="shared" ref="AB473:AB536" si="125">X473*Delta+Premium-Z473*(Y473-X473)</f>
        <v>-2.3343101984177064E-2</v>
      </c>
      <c r="AC473" s="1">
        <f t="shared" ref="AC473:AC536" si="126">Y473*Delta-AnnuityWhileSIck-AA473*(X473-Y473)</f>
        <v>-9.9093506644913898E-2</v>
      </c>
      <c r="AD473" s="35">
        <f>IF(W473&gt;=FinalAgeForPremium, AE473*Delta-Z473*(Y473-AE473),AE473*Delta+PremiumRevisedForLimitedTerm-Z473*(Y473-AE473))</f>
        <v>-5.2520924730201923E-3</v>
      </c>
      <c r="AE473" s="35">
        <f>AE472-StepSize*AD472</f>
        <v>2.9343426041237942E-2</v>
      </c>
      <c r="AF473" s="1"/>
    </row>
    <row r="474" spans="11:32" x14ac:dyDescent="0.45">
      <c r="K474" s="40">
        <f t="shared" ref="K474:K537" si="127">ROUND(K473+StepSize,2)</f>
        <v>4.49</v>
      </c>
      <c r="L474" s="41">
        <f t="shared" si="119"/>
        <v>24.490000000000002</v>
      </c>
      <c r="M474">
        <f t="shared" ref="M474:M537" si="128">M473+StepSize*Q473</f>
        <v>0.88161285986223981</v>
      </c>
      <c r="N474">
        <f t="shared" ref="N474:N537" si="129">N473+StepSize*R473</f>
        <v>0.11838714013775953</v>
      </c>
      <c r="O474">
        <f t="shared" si="120"/>
        <v>8.2522986100826867E-2</v>
      </c>
      <c r="P474">
        <f t="shared" si="121"/>
        <v>0.5</v>
      </c>
      <c r="Q474">
        <f t="shared" ref="Q474:Q537" si="130">N474*P474-M474*O474</f>
        <v>-1.3559755711842078E-2</v>
      </c>
      <c r="R474" s="6">
        <f t="shared" ref="R474:R537" si="131">M474*O474-N474*P474</f>
        <v>1.3559755711842078E-2</v>
      </c>
      <c r="S474" s="18">
        <f t="shared" ref="S474:S537" si="132">M474+N474</f>
        <v>0.99999999999999933</v>
      </c>
      <c r="T474" s="15"/>
      <c r="U474" s="15"/>
      <c r="V474" s="40">
        <f t="shared" ref="V474:V537" si="133">ROUND(V473-StepSize,2)</f>
        <v>5.51</v>
      </c>
      <c r="W474" s="41">
        <f t="shared" si="122"/>
        <v>25.509999999999998</v>
      </c>
      <c r="X474">
        <f t="shared" ref="X474:X537" si="134">X473-StepSize*AB473</f>
        <v>2.0541769842094909E-4</v>
      </c>
      <c r="Y474">
        <f t="shared" ref="Y474:Y537" si="135">Y473-StepSize*AC473</f>
        <v>1.6389772745107687</v>
      </c>
      <c r="Z474" s="33">
        <f t="shared" si="123"/>
        <v>9.0105222301298443E-2</v>
      </c>
      <c r="AA474" s="33">
        <f t="shared" si="124"/>
        <v>0.5</v>
      </c>
      <c r="AB474">
        <f t="shared" si="125"/>
        <v>-2.3272437876919488E-2</v>
      </c>
      <c r="AC474" s="1">
        <f t="shared" si="126"/>
        <v>-9.8665207868287697E-2</v>
      </c>
      <c r="AD474" s="35">
        <f>IF(W474&gt;=FinalAgeForPremium, AE474*Delta-Z474*(Y474-AE474),AE474*Delta+PremiumRevisedForLimitedTerm-Z474*(Y474-AE474))</f>
        <v>-5.209056507898352E-3</v>
      </c>
      <c r="AE474" s="35">
        <f>AE473-StepSize*AD473</f>
        <v>2.9395946965968145E-2</v>
      </c>
      <c r="AF474" s="1"/>
    </row>
    <row r="475" spans="11:32" x14ac:dyDescent="0.45">
      <c r="K475" s="40">
        <f t="shared" si="127"/>
        <v>4.5</v>
      </c>
      <c r="L475" s="41">
        <f t="shared" si="119"/>
        <v>24.5</v>
      </c>
      <c r="M475">
        <f t="shared" si="128"/>
        <v>0.88147726230512136</v>
      </c>
      <c r="N475">
        <f t="shared" si="129"/>
        <v>0.11852273769487795</v>
      </c>
      <c r="O475">
        <f t="shared" si="120"/>
        <v>8.2594133161163472E-2</v>
      </c>
      <c r="P475">
        <f t="shared" si="121"/>
        <v>0.5</v>
      </c>
      <c r="Q475">
        <f t="shared" si="130"/>
        <v>-1.3543481533928037E-2</v>
      </c>
      <c r="R475" s="6">
        <f t="shared" si="131"/>
        <v>1.3543481533928037E-2</v>
      </c>
      <c r="S475" s="18">
        <f t="shared" si="132"/>
        <v>0.99999999999999933</v>
      </c>
      <c r="T475" s="15"/>
      <c r="U475" s="15"/>
      <c r="V475" s="40">
        <f t="shared" si="133"/>
        <v>5.5</v>
      </c>
      <c r="W475" s="41">
        <f t="shared" si="122"/>
        <v>25.5</v>
      </c>
      <c r="X475">
        <f t="shared" si="134"/>
        <v>4.3814207719014401E-4</v>
      </c>
      <c r="Y475">
        <f t="shared" si="135"/>
        <v>1.6399639265894517</v>
      </c>
      <c r="Z475" s="33">
        <f t="shared" si="123"/>
        <v>9.002760514566821E-2</v>
      </c>
      <c r="AA475" s="33">
        <f t="shared" si="124"/>
        <v>0.5</v>
      </c>
      <c r="AB475">
        <f t="shared" si="125"/>
        <v>-2.3201479153004606E-2</v>
      </c>
      <c r="AC475" s="1">
        <f t="shared" si="126"/>
        <v>-9.8238911414396668E-2</v>
      </c>
      <c r="AD475" s="35">
        <f>IF(W475&gt;=FinalAgeForPremium, AE475*Delta-Z475*(Y475-AE475),AE475*Delta+PremiumRevisedForLimitedTerm-Z475*(Y475-AE475))</f>
        <v>-5.1656571901759485E-3</v>
      </c>
      <c r="AE475" s="35">
        <f>AE474-StepSize*AD474</f>
        <v>2.944803753104713E-2</v>
      </c>
      <c r="AF475" s="1"/>
    </row>
    <row r="476" spans="11:32" x14ac:dyDescent="0.45">
      <c r="K476" s="40">
        <f t="shared" si="127"/>
        <v>4.51</v>
      </c>
      <c r="L476" s="41">
        <f t="shared" si="119"/>
        <v>24.509999999999998</v>
      </c>
      <c r="M476">
        <f t="shared" si="128"/>
        <v>0.88134182748978207</v>
      </c>
      <c r="N476">
        <f t="shared" si="129"/>
        <v>0.11865817251021724</v>
      </c>
      <c r="O476">
        <f t="shared" si="120"/>
        <v>8.2665341560824238E-2</v>
      </c>
      <c r="P476">
        <f t="shared" si="121"/>
        <v>0.5</v>
      </c>
      <c r="Q476">
        <f t="shared" si="130"/>
        <v>-1.352733694617525E-2</v>
      </c>
      <c r="R476" s="6">
        <f t="shared" si="131"/>
        <v>1.352733694617525E-2</v>
      </c>
      <c r="S476" s="18">
        <f t="shared" si="132"/>
        <v>0.99999999999999933</v>
      </c>
      <c r="T476" s="15"/>
      <c r="U476" s="15"/>
      <c r="V476" s="40">
        <f t="shared" si="133"/>
        <v>5.49</v>
      </c>
      <c r="W476" s="41">
        <f t="shared" si="122"/>
        <v>25.490000000000002</v>
      </c>
      <c r="X476">
        <f t="shared" si="134"/>
        <v>6.7015686872019006E-4</v>
      </c>
      <c r="Y476">
        <f t="shared" si="135"/>
        <v>1.6409463157035957</v>
      </c>
      <c r="Z476" s="33">
        <f t="shared" si="123"/>
        <v>8.9950054849901304E-2</v>
      </c>
      <c r="AA476" s="33">
        <f t="shared" si="124"/>
        <v>0.5</v>
      </c>
      <c r="AB476">
        <f t="shared" si="125"/>
        <v>-2.3130228915398801E-2</v>
      </c>
      <c r="AC476" s="1">
        <f t="shared" si="126"/>
        <v>-9.7814604797382465E-2</v>
      </c>
      <c r="AD476" s="35">
        <f>IF(W476&gt;=FinalAgeForPremium, AE476*Delta-Z476*(Y476-AE476),AE476*Delta+PremiumRevisedForLimitedTerm-Z476*(Y476-AE476))</f>
        <v>-5.1218978212723421E-3</v>
      </c>
      <c r="AE476" s="35">
        <f>AE475-StepSize*AD475</f>
        <v>2.9499694102948889E-2</v>
      </c>
      <c r="AF476" s="1"/>
    </row>
    <row r="477" spans="11:32" x14ac:dyDescent="0.45">
      <c r="K477" s="40">
        <f t="shared" si="127"/>
        <v>4.5199999999999996</v>
      </c>
      <c r="L477" s="41">
        <f t="shared" si="119"/>
        <v>24.52</v>
      </c>
      <c r="M477">
        <f t="shared" si="128"/>
        <v>0.88120655412032034</v>
      </c>
      <c r="N477">
        <f t="shared" si="129"/>
        <v>0.11879344587967899</v>
      </c>
      <c r="O477">
        <f t="shared" si="120"/>
        <v>8.2736611352692793E-2</v>
      </c>
      <c r="P477">
        <f t="shared" si="121"/>
        <v>0.5</v>
      </c>
      <c r="Q477">
        <f t="shared" si="130"/>
        <v>-1.3511321249859098E-2</v>
      </c>
      <c r="R477" s="6">
        <f t="shared" si="131"/>
        <v>1.3511321249859098E-2</v>
      </c>
      <c r="S477" s="18">
        <f t="shared" si="132"/>
        <v>0.99999999999999933</v>
      </c>
      <c r="T477" s="15"/>
      <c r="U477" s="15"/>
      <c r="V477" s="40">
        <f t="shared" si="133"/>
        <v>5.48</v>
      </c>
      <c r="W477" s="41">
        <f t="shared" si="122"/>
        <v>25.48</v>
      </c>
      <c r="X477">
        <f t="shared" si="134"/>
        <v>9.014591578741781E-4</v>
      </c>
      <c r="Y477">
        <f t="shared" si="135"/>
        <v>1.6419244617515696</v>
      </c>
      <c r="Z477" s="33">
        <f t="shared" si="123"/>
        <v>8.987257135640421E-2</v>
      </c>
      <c r="AA477" s="33">
        <f t="shared" si="124"/>
        <v>0.5</v>
      </c>
      <c r="AB477">
        <f t="shared" si="125"/>
        <v>-2.3058690242861224E-2</v>
      </c>
      <c r="AC477" s="1">
        <f t="shared" si="126"/>
        <v>-9.7392275615573842E-2</v>
      </c>
      <c r="AD477" s="35">
        <f>IF(W477&gt;=FinalAgeForPremium, AE477*Delta-Z477*(Y477-AE477),AE477*Delta+PremiumRevisedForLimitedTerm-Z477*(Y477-AE477))</f>
        <v>-5.0777816777552998E-3</v>
      </c>
      <c r="AE477" s="35">
        <f>AE476-StepSize*AD476</f>
        <v>2.9550913081161614E-2</v>
      </c>
      <c r="AF477" s="1"/>
    </row>
    <row r="478" spans="11:32" x14ac:dyDescent="0.45">
      <c r="K478" s="40">
        <f t="shared" si="127"/>
        <v>4.53</v>
      </c>
      <c r="L478" s="41">
        <f t="shared" si="119"/>
        <v>24.53</v>
      </c>
      <c r="M478">
        <f t="shared" si="128"/>
        <v>0.88107144090782175</v>
      </c>
      <c r="N478">
        <f t="shared" si="129"/>
        <v>0.11892855909217759</v>
      </c>
      <c r="O478">
        <f t="shared" si="120"/>
        <v>8.2807942589698258E-2</v>
      </c>
      <c r="P478">
        <f t="shared" si="121"/>
        <v>0.5</v>
      </c>
      <c r="Q478">
        <f t="shared" si="130"/>
        <v>-1.3495433750028832E-2</v>
      </c>
      <c r="R478" s="6">
        <f t="shared" si="131"/>
        <v>1.3495433750028832E-2</v>
      </c>
      <c r="S478" s="18">
        <f t="shared" si="132"/>
        <v>0.99999999999999933</v>
      </c>
      <c r="T478" s="15"/>
      <c r="U478" s="15"/>
      <c r="V478" s="40">
        <f t="shared" si="133"/>
        <v>5.47</v>
      </c>
      <c r="W478" s="41">
        <f t="shared" si="122"/>
        <v>25.47</v>
      </c>
      <c r="X478">
        <f t="shared" si="134"/>
        <v>1.1320460603027904E-3</v>
      </c>
      <c r="Y478">
        <f t="shared" si="135"/>
        <v>1.6428983845077254</v>
      </c>
      <c r="Z478" s="33">
        <f t="shared" si="123"/>
        <v>8.9795154607633168E-2</v>
      </c>
      <c r="AA478" s="33">
        <f t="shared" si="124"/>
        <v>0.5</v>
      </c>
      <c r="AB478">
        <f t="shared" si="125"/>
        <v>-2.2986866190131294E-2</v>
      </c>
      <c r="AC478" s="1">
        <f t="shared" si="126"/>
        <v>-9.6971911550902457E-2</v>
      </c>
      <c r="AD478" s="35">
        <f>IF(W478&gt;=FinalAgeForPremium, AE478*Delta-Z478*(Y478-AE478),AE478*Delta+PremiumRevisedForLimitedTerm-Z478*(Y478-AE478))</f>
        <v>-5.0333120115306773E-3</v>
      </c>
      <c r="AE478" s="35">
        <f>AE477-StepSize*AD477</f>
        <v>2.9601690897939167E-2</v>
      </c>
      <c r="AF478" s="1"/>
    </row>
    <row r="479" spans="11:32" x14ac:dyDescent="0.45">
      <c r="K479" s="40">
        <f t="shared" si="127"/>
        <v>4.54</v>
      </c>
      <c r="L479" s="41">
        <f t="shared" si="119"/>
        <v>24.54</v>
      </c>
      <c r="M479">
        <f t="shared" si="128"/>
        <v>0.88093648657032142</v>
      </c>
      <c r="N479">
        <f t="shared" si="129"/>
        <v>0.11906351342967787</v>
      </c>
      <c r="O479">
        <f t="shared" si="120"/>
        <v>8.2879335324815478E-2</v>
      </c>
      <c r="P479">
        <f t="shared" si="121"/>
        <v>0.5</v>
      </c>
      <c r="Q479">
        <f t="shared" si="130"/>
        <v>-1.3479673755487538E-2</v>
      </c>
      <c r="R479" s="6">
        <f t="shared" si="131"/>
        <v>1.3479673755487538E-2</v>
      </c>
      <c r="S479" s="18">
        <f t="shared" si="132"/>
        <v>0.99999999999999933</v>
      </c>
      <c r="T479" s="15"/>
      <c r="U479" s="15"/>
      <c r="V479" s="40">
        <f t="shared" si="133"/>
        <v>5.46</v>
      </c>
      <c r="W479" s="41">
        <f t="shared" si="122"/>
        <v>25.46</v>
      </c>
      <c r="X479">
        <f t="shared" si="134"/>
        <v>1.3619147222041033E-3</v>
      </c>
      <c r="Y479">
        <f t="shared" si="135"/>
        <v>1.6438681036232343</v>
      </c>
      <c r="Z479" s="33">
        <f t="shared" si="123"/>
        <v>8.9717804546093835E-2</v>
      </c>
      <c r="AA479" s="33">
        <f t="shared" si="124"/>
        <v>0.5</v>
      </c>
      <c r="AB479">
        <f t="shared" si="125"/>
        <v>-2.2914759788114247E-2</v>
      </c>
      <c r="AC479" s="1">
        <f t="shared" si="126"/>
        <v>-9.655350036832322E-2</v>
      </c>
      <c r="AD479" s="35">
        <f>IF(W479&gt;=FinalAgeForPremium, AE479*Delta-Z479*(Y479-AE479),AE479*Delta+PremiumRevisedForLimitedTerm-Z479*(Y479-AE479))</f>
        <v>-4.98849205003013E-3</v>
      </c>
      <c r="AE479" s="35">
        <f>AE478-StepSize*AD478</f>
        <v>2.9652024018054474E-2</v>
      </c>
      <c r="AF479" s="1"/>
    </row>
    <row r="480" spans="11:32" x14ac:dyDescent="0.45">
      <c r="K480" s="40">
        <f t="shared" si="127"/>
        <v>4.55</v>
      </c>
      <c r="L480" s="41">
        <f t="shared" si="119"/>
        <v>24.55</v>
      </c>
      <c r="M480">
        <f t="shared" si="128"/>
        <v>0.88080168983276652</v>
      </c>
      <c r="N480">
        <f t="shared" si="129"/>
        <v>0.11919831016723274</v>
      </c>
      <c r="O480">
        <f t="shared" si="120"/>
        <v>8.2950789611065029E-2</v>
      </c>
      <c r="P480">
        <f t="shared" si="121"/>
        <v>0.5</v>
      </c>
      <c r="Q480">
        <f t="shared" si="130"/>
        <v>-1.3464040578772006E-2</v>
      </c>
      <c r="R480" s="6">
        <f t="shared" si="131"/>
        <v>1.3464040578772006E-2</v>
      </c>
      <c r="S480" s="18">
        <f t="shared" si="132"/>
        <v>0.99999999999999922</v>
      </c>
      <c r="T480" s="15"/>
      <c r="U480" s="15"/>
      <c r="V480" s="40">
        <f t="shared" si="133"/>
        <v>5.45</v>
      </c>
      <c r="W480" s="41">
        <f t="shared" si="122"/>
        <v>25.45</v>
      </c>
      <c r="X480">
        <f t="shared" si="134"/>
        <v>1.5910623200852457E-3</v>
      </c>
      <c r="Y480">
        <f t="shared" si="135"/>
        <v>1.6448336386269176</v>
      </c>
      <c r="Z480" s="33">
        <f t="shared" si="123"/>
        <v>8.9640521114341412E-2</v>
      </c>
      <c r="AA480" s="33">
        <f t="shared" si="124"/>
        <v>0.5</v>
      </c>
      <c r="AB480">
        <f t="shared" si="125"/>
        <v>-2.2842374044065472E-2</v>
      </c>
      <c r="AC480" s="1">
        <f t="shared" si="126"/>
        <v>-9.6137029915237981E-2</v>
      </c>
      <c r="AD480" s="35">
        <f>IF(W480&gt;=FinalAgeForPremium, AE480*Delta-Z480*(Y480-AE480),AE480*Delta+PremiumRevisedForLimitedTerm-Z480*(Y480-AE480))</f>
        <v>-4.9433249963981574E-3</v>
      </c>
      <c r="AE480" s="35">
        <f>AE479-StepSize*AD479</f>
        <v>2.9701908938554775E-2</v>
      </c>
      <c r="AF480" s="1"/>
    </row>
    <row r="481" spans="11:32" x14ac:dyDescent="0.45">
      <c r="K481" s="40">
        <f t="shared" si="127"/>
        <v>4.5599999999999996</v>
      </c>
      <c r="L481" s="41">
        <f t="shared" si="119"/>
        <v>24.56</v>
      </c>
      <c r="M481">
        <f t="shared" si="128"/>
        <v>0.88066704942697882</v>
      </c>
      <c r="N481">
        <f t="shared" si="129"/>
        <v>0.11933295057302046</v>
      </c>
      <c r="O481">
        <f t="shared" si="120"/>
        <v>8.3022305501512988E-2</v>
      </c>
      <c r="P481">
        <f t="shared" si="121"/>
        <v>0.5</v>
      </c>
      <c r="Q481">
        <f t="shared" si="130"/>
        <v>-1.3448533536132443E-2</v>
      </c>
      <c r="R481" s="6">
        <f t="shared" si="131"/>
        <v>1.3448533536132443E-2</v>
      </c>
      <c r="S481" s="18">
        <f t="shared" si="132"/>
        <v>0.99999999999999933</v>
      </c>
      <c r="T481" s="15"/>
      <c r="U481" s="15"/>
      <c r="V481" s="40">
        <f t="shared" si="133"/>
        <v>5.44</v>
      </c>
      <c r="W481" s="41">
        <f t="shared" si="122"/>
        <v>25.44</v>
      </c>
      <c r="X481">
        <f t="shared" si="134"/>
        <v>1.8194860605259004E-3</v>
      </c>
      <c r="Y481">
        <f t="shared" si="135"/>
        <v>1.64579500892607</v>
      </c>
      <c r="Z481" s="33">
        <f t="shared" si="123"/>
        <v>8.9563304254980713E-2</v>
      </c>
      <c r="AA481" s="33">
        <f t="shared" si="124"/>
        <v>0.5</v>
      </c>
      <c r="AB481">
        <f t="shared" si="125"/>
        <v>-2.2769711941773782E-2</v>
      </c>
      <c r="AC481" s="1">
        <f t="shared" si="126"/>
        <v>-9.5722488120924432E-2</v>
      </c>
      <c r="AD481" s="35">
        <f>IF(W481&gt;=FinalAgeForPremium, AE481*Delta-Z481*(Y481-AE481),AE481*Delta+PremiumRevisedForLimitedTerm-Z481*(Y481-AE481))</f>
        <v>-4.897814029677483E-3</v>
      </c>
      <c r="AE481" s="35">
        <f>AE480-StepSize*AD480</f>
        <v>2.9751342188518756E-2</v>
      </c>
      <c r="AF481" s="1"/>
    </row>
    <row r="482" spans="11:32" x14ac:dyDescent="0.45">
      <c r="K482" s="40">
        <f t="shared" si="127"/>
        <v>4.57</v>
      </c>
      <c r="L482" s="41">
        <f t="shared" si="119"/>
        <v>24.57</v>
      </c>
      <c r="M482">
        <f t="shared" si="128"/>
        <v>0.88053256409161751</v>
      </c>
      <c r="N482">
        <f t="shared" si="129"/>
        <v>0.11946743590838178</v>
      </c>
      <c r="O482">
        <f t="shared" si="120"/>
        <v>8.3093883049271455E-2</v>
      </c>
      <c r="P482">
        <f t="shared" si="121"/>
        <v>0.5</v>
      </c>
      <c r="Q482">
        <f t="shared" si="130"/>
        <v>-1.3433151947513093E-2</v>
      </c>
      <c r="R482" s="6">
        <f t="shared" si="131"/>
        <v>1.3433151947513093E-2</v>
      </c>
      <c r="S482" s="18">
        <f t="shared" si="132"/>
        <v>0.99999999999999933</v>
      </c>
      <c r="T482" s="15"/>
      <c r="U482" s="15"/>
      <c r="V482" s="40">
        <f t="shared" si="133"/>
        <v>5.43</v>
      </c>
      <c r="W482" s="41">
        <f t="shared" si="122"/>
        <v>25.43</v>
      </c>
      <c r="X482">
        <f t="shared" si="134"/>
        <v>2.0471831799436383E-3</v>
      </c>
      <c r="Y482">
        <f t="shared" si="135"/>
        <v>1.6467522338072793</v>
      </c>
      <c r="Z482" s="33">
        <f t="shared" si="123"/>
        <v>8.9486153910665764E-2</v>
      </c>
      <c r="AA482" s="33">
        <f t="shared" si="124"/>
        <v>0.5</v>
      </c>
      <c r="AB482">
        <f t="shared" si="125"/>
        <v>-2.2696776441742256E-2</v>
      </c>
      <c r="AC482" s="1">
        <f t="shared" si="126"/>
        <v>-9.5309862995968109E-2</v>
      </c>
      <c r="AD482" s="35">
        <f>IF(W482&gt;=FinalAgeForPremium, AE482*Delta-Z482*(Y482-AE482),AE482*Delta+PremiumRevisedForLimitedTerm-Z482*(Y482-AE482))</f>
        <v>-4.8519623049919913E-3</v>
      </c>
      <c r="AE482" s="35">
        <f>AE481-StepSize*AD481</f>
        <v>2.9800320328815532E-2</v>
      </c>
      <c r="AF482" s="1"/>
    </row>
    <row r="483" spans="11:32" x14ac:dyDescent="0.45">
      <c r="K483" s="40">
        <f t="shared" si="127"/>
        <v>4.58</v>
      </c>
      <c r="L483" s="41">
        <f t="shared" si="119"/>
        <v>24.58</v>
      </c>
      <c r="M483">
        <f t="shared" si="128"/>
        <v>0.88039823257214234</v>
      </c>
      <c r="N483">
        <f t="shared" si="129"/>
        <v>0.11960176742785691</v>
      </c>
      <c r="O483">
        <f t="shared" si="120"/>
        <v>8.3165522307498088E-2</v>
      </c>
      <c r="P483">
        <f t="shared" si="121"/>
        <v>0.5</v>
      </c>
      <c r="Q483">
        <f t="shared" si="130"/>
        <v>-1.3417895136531938E-2</v>
      </c>
      <c r="R483" s="6">
        <f t="shared" si="131"/>
        <v>1.3417895136531938E-2</v>
      </c>
      <c r="S483" s="18">
        <f t="shared" si="132"/>
        <v>0.99999999999999922</v>
      </c>
      <c r="T483" s="15"/>
      <c r="U483" s="15"/>
      <c r="V483" s="40">
        <f t="shared" si="133"/>
        <v>5.42</v>
      </c>
      <c r="W483" s="41">
        <f t="shared" si="122"/>
        <v>25.42</v>
      </c>
      <c r="X483">
        <f t="shared" si="134"/>
        <v>2.2741509443610607E-3</v>
      </c>
      <c r="Y483">
        <f t="shared" si="135"/>
        <v>1.647705332437239</v>
      </c>
      <c r="Z483" s="33">
        <f t="shared" si="123"/>
        <v>8.9409070024100243E-2</v>
      </c>
      <c r="AA483" s="33">
        <f t="shared" si="124"/>
        <v>0.5</v>
      </c>
      <c r="AB483">
        <f t="shared" si="125"/>
        <v>-2.262357048136901E-2</v>
      </c>
      <c r="AC483" s="1">
        <f t="shared" si="126"/>
        <v>-9.4899142631699074E-2</v>
      </c>
      <c r="AD483" s="35">
        <f>IF(W483&gt;=FinalAgeForPremium, AE483*Delta-Z483*(Y483-AE483),AE483*Delta+PremiumRevisedForLimitedTerm-Z483*(Y483-AE483))</f>
        <v>-4.8057729537301641E-3</v>
      </c>
      <c r="AE483" s="35">
        <f>AE482-StepSize*AD482</f>
        <v>2.9848839951865453E-2</v>
      </c>
      <c r="AF483" s="1"/>
    </row>
    <row r="484" spans="11:32" x14ac:dyDescent="0.45">
      <c r="K484" s="40">
        <f t="shared" si="127"/>
        <v>4.59</v>
      </c>
      <c r="L484" s="41">
        <f t="shared" si="119"/>
        <v>24.59</v>
      </c>
      <c r="M484">
        <f t="shared" si="128"/>
        <v>0.88026405362077698</v>
      </c>
      <c r="N484">
        <f t="shared" si="129"/>
        <v>0.11973594637922223</v>
      </c>
      <c r="O484">
        <f t="shared" si="120"/>
        <v>8.3237223329396481E-2</v>
      </c>
      <c r="P484">
        <f t="shared" si="121"/>
        <v>0.5</v>
      </c>
      <c r="Q484">
        <f t="shared" si="130"/>
        <v>-1.3402762430461339E-2</v>
      </c>
      <c r="R484" s="6">
        <f t="shared" si="131"/>
        <v>1.3402762430461339E-2</v>
      </c>
      <c r="S484" s="18">
        <f t="shared" si="132"/>
        <v>0.99999999999999922</v>
      </c>
      <c r="T484" s="15"/>
      <c r="U484" s="15"/>
      <c r="V484" s="40">
        <f t="shared" si="133"/>
        <v>5.41</v>
      </c>
      <c r="W484" s="41">
        <f t="shared" si="122"/>
        <v>25.41</v>
      </c>
      <c r="X484">
        <f t="shared" si="134"/>
        <v>2.5003866491747507E-3</v>
      </c>
      <c r="Y484">
        <f t="shared" si="135"/>
        <v>1.648654323863556</v>
      </c>
      <c r="Z484" s="33">
        <f t="shared" si="123"/>
        <v>8.9332052538037013E-2</v>
      </c>
      <c r="AA484" s="33">
        <f t="shared" si="124"/>
        <v>0.5</v>
      </c>
      <c r="AB484">
        <f t="shared" si="125"/>
        <v>-2.2550096975125181E-2</v>
      </c>
      <c r="AC484" s="1">
        <f t="shared" si="126"/>
        <v>-9.449031519963158E-2</v>
      </c>
      <c r="AD484" s="35">
        <f>IF(W484&gt;=FinalAgeForPremium, AE484*Delta-Z484*(Y484-AE484),AE484*Delta+PremiumRevisedForLimitedTerm-Z484*(Y484-AE484))</f>
        <v>-4.7592490837250201E-3</v>
      </c>
      <c r="AE484" s="35">
        <f>AE483-StepSize*AD483</f>
        <v>2.9896897681402756E-2</v>
      </c>
      <c r="AF484" s="1"/>
    </row>
    <row r="485" spans="11:32" x14ac:dyDescent="0.45">
      <c r="K485" s="40">
        <f t="shared" si="127"/>
        <v>4.5999999999999996</v>
      </c>
      <c r="L485" s="41">
        <f t="shared" si="119"/>
        <v>24.6</v>
      </c>
      <c r="M485">
        <f t="shared" si="128"/>
        <v>0.88013002599647239</v>
      </c>
      <c r="N485">
        <f t="shared" si="129"/>
        <v>0.11986997400352685</v>
      </c>
      <c r="O485">
        <f t="shared" si="120"/>
        <v>8.3308986168216151E-2</v>
      </c>
      <c r="P485">
        <f t="shared" si="121"/>
        <v>0.5</v>
      </c>
      <c r="Q485">
        <f t="shared" si="130"/>
        <v>-1.3387753160208411E-2</v>
      </c>
      <c r="R485" s="6">
        <f t="shared" si="131"/>
        <v>1.3387753160208411E-2</v>
      </c>
      <c r="S485" s="18">
        <f t="shared" si="132"/>
        <v>0.99999999999999922</v>
      </c>
      <c r="T485" s="15"/>
      <c r="U485" s="15"/>
      <c r="V485" s="40">
        <f t="shared" si="133"/>
        <v>5.4</v>
      </c>
      <c r="W485" s="41">
        <f t="shared" si="122"/>
        <v>25.4</v>
      </c>
      <c r="X485">
        <f t="shared" si="134"/>
        <v>2.7258876189260027E-3</v>
      </c>
      <c r="Y485">
        <f t="shared" si="135"/>
        <v>1.6495992270155524</v>
      </c>
      <c r="Z485" s="33">
        <f t="shared" si="123"/>
        <v>8.9255101395278244E-2</v>
      </c>
      <c r="AA485" s="33">
        <f t="shared" si="124"/>
        <v>0.5</v>
      </c>
      <c r="AB485">
        <f t="shared" si="125"/>
        <v>-2.2476358814732394E-2</v>
      </c>
      <c r="AC485" s="1">
        <f t="shared" si="126"/>
        <v>-9.4083368950909185E-2</v>
      </c>
      <c r="AD485" s="35">
        <f>IF(W485&gt;=FinalAgeForPremium, AE485*Delta-Z485*(Y485-AE485),AE485*Delta+PremiumRevisedForLimitedTerm-Z485*(Y485-AE485))</f>
        <v>-4.7123937794339987E-3</v>
      </c>
      <c r="AE485" s="35">
        <f>AE484-StepSize*AD484</f>
        <v>2.9944490172240008E-2</v>
      </c>
      <c r="AF485" s="1"/>
    </row>
    <row r="486" spans="11:32" x14ac:dyDescent="0.45">
      <c r="K486" s="40">
        <f t="shared" si="127"/>
        <v>4.6100000000000003</v>
      </c>
      <c r="L486" s="41">
        <f t="shared" si="119"/>
        <v>24.61</v>
      </c>
      <c r="M486">
        <f t="shared" si="128"/>
        <v>0.87999614846487029</v>
      </c>
      <c r="N486">
        <f t="shared" si="129"/>
        <v>0.12000385153512894</v>
      </c>
      <c r="O486">
        <f t="shared" si="120"/>
        <v>8.3380810877252354E-2</v>
      </c>
      <c r="P486">
        <f t="shared" si="121"/>
        <v>0.5</v>
      </c>
      <c r="Q486">
        <f t="shared" si="130"/>
        <v>-1.3372866660295371E-2</v>
      </c>
      <c r="R486" s="6">
        <f t="shared" si="131"/>
        <v>1.3372866660295371E-2</v>
      </c>
      <c r="S486" s="18">
        <f t="shared" si="132"/>
        <v>0.99999999999999922</v>
      </c>
      <c r="T486" s="15"/>
      <c r="U486" s="15"/>
      <c r="V486" s="40">
        <f t="shared" si="133"/>
        <v>5.39</v>
      </c>
      <c r="W486" s="41">
        <f t="shared" si="122"/>
        <v>25.39</v>
      </c>
      <c r="X486">
        <f t="shared" si="134"/>
        <v>2.9506512070733267E-3</v>
      </c>
      <c r="Y486">
        <f t="shared" si="135"/>
        <v>1.6505400607050615</v>
      </c>
      <c r="Z486" s="33">
        <f t="shared" si="123"/>
        <v>8.9178216538675553E-2</v>
      </c>
      <c r="AA486" s="33">
        <f t="shared" si="124"/>
        <v>0.5</v>
      </c>
      <c r="AB486">
        <f t="shared" si="125"/>
        <v>-2.2402358869338834E-2</v>
      </c>
      <c r="AC486" s="1">
        <f t="shared" si="126"/>
        <v>-9.3678292215752856E-2</v>
      </c>
      <c r="AD486" s="35">
        <f>IF(W486&gt;=FinalAgeForPremium, AE486*Delta-Z486*(Y486-AE486),AE486*Delta+PremiumRevisedForLimitedTerm-Z486*(Y486-AE486))</f>
        <v>-4.6652101021173731E-3</v>
      </c>
      <c r="AE486" s="35">
        <f>AE485-StepSize*AD485</f>
        <v>2.9991614110034346E-2</v>
      </c>
      <c r="AF486" s="1"/>
    </row>
    <row r="487" spans="11:32" x14ac:dyDescent="0.45">
      <c r="K487" s="40">
        <f t="shared" si="127"/>
        <v>4.62</v>
      </c>
      <c r="L487" s="41">
        <f t="shared" si="119"/>
        <v>24.62</v>
      </c>
      <c r="M487">
        <f t="shared" si="128"/>
        <v>0.87986241979826729</v>
      </c>
      <c r="N487">
        <f t="shared" si="129"/>
        <v>0.12013758020173189</v>
      </c>
      <c r="O487">
        <f t="shared" si="120"/>
        <v>8.3452697509846477E-2</v>
      </c>
      <c r="P487">
        <f t="shared" si="121"/>
        <v>0.5</v>
      </c>
      <c r="Q487">
        <f t="shared" si="130"/>
        <v>-1.3358102268840412E-2</v>
      </c>
      <c r="R487" s="6">
        <f t="shared" si="131"/>
        <v>1.3358102268840412E-2</v>
      </c>
      <c r="S487" s="18">
        <f t="shared" si="132"/>
        <v>0.99999999999999922</v>
      </c>
      <c r="T487" s="15"/>
      <c r="U487" s="15"/>
      <c r="V487" s="40">
        <f t="shared" si="133"/>
        <v>5.38</v>
      </c>
      <c r="W487" s="41">
        <f t="shared" si="122"/>
        <v>25.38</v>
      </c>
      <c r="X487">
        <f t="shared" si="134"/>
        <v>3.1746747957667148E-3</v>
      </c>
      <c r="Y487">
        <f t="shared" si="135"/>
        <v>1.6514768436272191</v>
      </c>
      <c r="Z487" s="33">
        <f t="shared" si="123"/>
        <v>8.9101397911129615E-2</v>
      </c>
      <c r="AA487" s="33">
        <f t="shared" si="124"/>
        <v>0.5</v>
      </c>
      <c r="AB487">
        <f t="shared" si="125"/>
        <v>-2.2328099985693198E-2</v>
      </c>
      <c r="AC487" s="1">
        <f t="shared" si="126"/>
        <v>-9.3275073402912745E-2</v>
      </c>
      <c r="AD487" s="35">
        <f>IF(W487&gt;=FinalAgeForPremium, AE487*Delta-Z487*(Y487-AE487),AE487*Delta+PremiumRevisedForLimitedTerm-Z487*(Y487-AE487))</f>
        <v>-4.6177010900142201E-3</v>
      </c>
      <c r="AE487" s="35">
        <f>AE486-StepSize*AD486</f>
        <v>3.0038266211055521E-2</v>
      </c>
      <c r="AF487" s="1"/>
    </row>
    <row r="488" spans="11:32" x14ac:dyDescent="0.45">
      <c r="K488" s="40">
        <f t="shared" si="127"/>
        <v>4.63</v>
      </c>
      <c r="L488" s="41">
        <f t="shared" si="119"/>
        <v>24.63</v>
      </c>
      <c r="M488">
        <f t="shared" si="128"/>
        <v>0.87972883877557884</v>
      </c>
      <c r="N488">
        <f t="shared" si="129"/>
        <v>0.12027116122442029</v>
      </c>
      <c r="O488">
        <f t="shared" si="120"/>
        <v>8.3524646119385773E-2</v>
      </c>
      <c r="P488">
        <f t="shared" si="121"/>
        <v>0.5</v>
      </c>
      <c r="Q488">
        <f t="shared" si="130"/>
        <v>-1.3343459327538255E-2</v>
      </c>
      <c r="R488" s="6">
        <f t="shared" si="131"/>
        <v>1.3343459327538255E-2</v>
      </c>
      <c r="S488" s="18">
        <f t="shared" si="132"/>
        <v>0.99999999999999911</v>
      </c>
      <c r="T488" s="15"/>
      <c r="U488" s="15"/>
      <c r="V488" s="40">
        <f t="shared" si="133"/>
        <v>5.37</v>
      </c>
      <c r="W488" s="41">
        <f t="shared" si="122"/>
        <v>25.37</v>
      </c>
      <c r="X488">
        <f t="shared" si="134"/>
        <v>3.3979557956236466E-3</v>
      </c>
      <c r="Y488">
        <f t="shared" si="135"/>
        <v>1.6524095943612482</v>
      </c>
      <c r="Z488" s="33">
        <f t="shared" si="123"/>
        <v>8.9024645455590315E-2</v>
      </c>
      <c r="AA488" s="33">
        <f t="shared" si="124"/>
        <v>0.5</v>
      </c>
      <c r="AB488">
        <f t="shared" si="125"/>
        <v>-2.2253584988317907E-2</v>
      </c>
      <c r="AC488" s="1">
        <f t="shared" si="126"/>
        <v>-9.2873700999125286E-2</v>
      </c>
      <c r="AD488" s="35">
        <f>IF(W488&gt;=FinalAgeForPremium, AE488*Delta-Z488*(Y488-AE488),AE488*Delta+PremiumRevisedForLimitedTerm-Z488*(Y488-AE488))</f>
        <v>-4.5698697585181969E-3</v>
      </c>
      <c r="AE488" s="35">
        <f>AE487-StepSize*AD487</f>
        <v>3.0084443221955665E-2</v>
      </c>
      <c r="AF488" s="1"/>
    </row>
    <row r="489" spans="11:32" x14ac:dyDescent="0.45">
      <c r="K489" s="40">
        <f t="shared" si="127"/>
        <v>4.6399999999999997</v>
      </c>
      <c r="L489" s="41">
        <f t="shared" si="119"/>
        <v>24.64</v>
      </c>
      <c r="M489">
        <f t="shared" si="128"/>
        <v>0.87959540418230342</v>
      </c>
      <c r="N489">
        <f t="shared" si="129"/>
        <v>0.12040459581769568</v>
      </c>
      <c r="O489">
        <f t="shared" si="120"/>
        <v>8.3596656759303639E-2</v>
      </c>
      <c r="P489">
        <f t="shared" si="121"/>
        <v>0.5</v>
      </c>
      <c r="Q489">
        <f t="shared" si="130"/>
        <v>-1.3328937181641139E-2</v>
      </c>
      <c r="R489" s="6">
        <f t="shared" si="131"/>
        <v>1.3328937181641139E-2</v>
      </c>
      <c r="S489" s="18">
        <f t="shared" si="132"/>
        <v>0.99999999999999911</v>
      </c>
      <c r="T489" s="15"/>
      <c r="U489" s="15"/>
      <c r="V489" s="40">
        <f t="shared" si="133"/>
        <v>5.36</v>
      </c>
      <c r="W489" s="41">
        <f t="shared" si="122"/>
        <v>25.36</v>
      </c>
      <c r="X489">
        <f t="shared" si="134"/>
        <v>3.6204916455068259E-3</v>
      </c>
      <c r="Y489">
        <f t="shared" si="135"/>
        <v>1.6533383313712395</v>
      </c>
      <c r="Z489" s="33">
        <f t="shared" si="123"/>
        <v>8.894795911505668E-2</v>
      </c>
      <c r="AA489" s="33">
        <f t="shared" si="124"/>
        <v>0.5</v>
      </c>
      <c r="AB489">
        <f t="shared" si="125"/>
        <v>-2.2178816679681093E-2</v>
      </c>
      <c r="AC489" s="1">
        <f t="shared" si="126"/>
        <v>-9.2474163568571743E-2</v>
      </c>
      <c r="AD489" s="35">
        <f>IF(W489&gt;=FinalAgeForPremium, AE489*Delta-Z489*(Y489-AE489),AE489*Delta+PremiumRevisedForLimitedTerm-Z489*(Y489-AE489))</f>
        <v>-4.5217191003512902E-3</v>
      </c>
      <c r="AE489" s="35">
        <f>AE488-StepSize*AD488</f>
        <v>3.0130141919540845E-2</v>
      </c>
      <c r="AF489" s="1"/>
    </row>
    <row r="490" spans="11:32" x14ac:dyDescent="0.45">
      <c r="K490" s="40">
        <f t="shared" si="127"/>
        <v>4.6500000000000004</v>
      </c>
      <c r="L490" s="41">
        <f t="shared" si="119"/>
        <v>24.65</v>
      </c>
      <c r="M490">
        <f t="shared" si="128"/>
        <v>0.87946211481048697</v>
      </c>
      <c r="N490">
        <f t="shared" si="129"/>
        <v>0.12053788518951208</v>
      </c>
      <c r="O490">
        <f t="shared" si="120"/>
        <v>8.3668729483079365E-2</v>
      </c>
      <c r="P490">
        <f t="shared" si="121"/>
        <v>0.5</v>
      </c>
      <c r="Q490">
        <f t="shared" si="130"/>
        <v>-1.3314535179939482E-2</v>
      </c>
      <c r="R490" s="6">
        <f t="shared" si="131"/>
        <v>1.3314535179939482E-2</v>
      </c>
      <c r="S490" s="18">
        <f t="shared" si="132"/>
        <v>0.99999999999999911</v>
      </c>
      <c r="T490" s="15"/>
      <c r="U490" s="15"/>
      <c r="V490" s="40">
        <f t="shared" si="133"/>
        <v>5.35</v>
      </c>
      <c r="W490" s="41">
        <f t="shared" si="122"/>
        <v>25.35</v>
      </c>
      <c r="X490">
        <f t="shared" si="134"/>
        <v>3.8422798123036368E-3</v>
      </c>
      <c r="Y490">
        <f t="shared" si="135"/>
        <v>1.6542630730069252</v>
      </c>
      <c r="Z490" s="33">
        <f t="shared" si="123"/>
        <v>8.8871338832576946E-2</v>
      </c>
      <c r="AA490" s="33">
        <f t="shared" si="124"/>
        <v>0.5</v>
      </c>
      <c r="AB490">
        <f t="shared" si="125"/>
        <v>-2.2103797840366757E-2</v>
      </c>
      <c r="AC490" s="1">
        <f t="shared" si="126"/>
        <v>-9.207644975234297E-2</v>
      </c>
      <c r="AD490" s="35">
        <f>IF(W490&gt;=FinalAgeForPremium, AE490*Delta-Z490*(Y490-AE490),AE490*Delta+PremiumRevisedForLimitedTerm-Z490*(Y490-AE490))</f>
        <v>-4.4732520857368174E-3</v>
      </c>
      <c r="AE490" s="35">
        <f>AE489-StepSize*AD489</f>
        <v>3.0175359110544357E-2</v>
      </c>
      <c r="AF490" s="1"/>
    </row>
    <row r="491" spans="11:32" x14ac:dyDescent="0.45">
      <c r="K491" s="40">
        <f t="shared" si="127"/>
        <v>4.66</v>
      </c>
      <c r="L491" s="41">
        <f t="shared" si="119"/>
        <v>24.66</v>
      </c>
      <c r="M491">
        <f t="shared" si="128"/>
        <v>0.87932896945868755</v>
      </c>
      <c r="N491">
        <f t="shared" si="129"/>
        <v>0.12067103054131148</v>
      </c>
      <c r="O491">
        <f t="shared" si="120"/>
        <v>8.3740864344238483E-2</v>
      </c>
      <c r="P491">
        <f t="shared" si="121"/>
        <v>0.5</v>
      </c>
      <c r="Q491">
        <f t="shared" si="130"/>
        <v>-1.3300252674743232E-2</v>
      </c>
      <c r="R491" s="6">
        <f t="shared" si="131"/>
        <v>1.3300252674743232E-2</v>
      </c>
      <c r="S491" s="18">
        <f t="shared" si="132"/>
        <v>0.999999999999999</v>
      </c>
      <c r="T491" s="15"/>
      <c r="U491" s="15"/>
      <c r="V491" s="40">
        <f t="shared" si="133"/>
        <v>5.34</v>
      </c>
      <c r="W491" s="41">
        <f t="shared" si="122"/>
        <v>25.34</v>
      </c>
      <c r="X491">
        <f t="shared" si="134"/>
        <v>4.0633177907073046E-3</v>
      </c>
      <c r="Y491">
        <f t="shared" si="135"/>
        <v>1.6551838375044485</v>
      </c>
      <c r="Z491" s="33">
        <f t="shared" si="123"/>
        <v>8.8794784551248299E-2</v>
      </c>
      <c r="AA491" s="33">
        <f t="shared" si="124"/>
        <v>0.5</v>
      </c>
      <c r="AB491">
        <f t="shared" si="125"/>
        <v>-2.2028531229243739E-2</v>
      </c>
      <c r="AC491" s="1">
        <f t="shared" si="126"/>
        <v>-9.1680548267906947E-2</v>
      </c>
      <c r="AD491" s="35">
        <f>IF(W491&gt;=FinalAgeForPremium, AE491*Delta-Z491*(Y491-AE491),AE491*Delta+PremiumRevisedForLimitedTerm-Z491*(Y491-AE491))</f>
        <v>-4.4244716625699565E-3</v>
      </c>
      <c r="AE491" s="35">
        <f>AE490-StepSize*AD490</f>
        <v>3.0220091631401727E-2</v>
      </c>
      <c r="AF491" s="1"/>
    </row>
    <row r="492" spans="11:32" x14ac:dyDescent="0.45">
      <c r="K492" s="40">
        <f t="shared" si="127"/>
        <v>4.67</v>
      </c>
      <c r="L492" s="41">
        <f t="shared" si="119"/>
        <v>24.67</v>
      </c>
      <c r="M492">
        <f t="shared" si="128"/>
        <v>0.87919596693194013</v>
      </c>
      <c r="N492">
        <f t="shared" si="129"/>
        <v>0.12080403306805891</v>
      </c>
      <c r="O492">
        <f t="shared" si="120"/>
        <v>8.3813061396352709E-2</v>
      </c>
      <c r="P492">
        <f t="shared" si="121"/>
        <v>0.5</v>
      </c>
      <c r="Q492">
        <f t="shared" si="130"/>
        <v>-1.3286089021862922E-2</v>
      </c>
      <c r="R492" s="6">
        <f t="shared" si="131"/>
        <v>1.3286089021862922E-2</v>
      </c>
      <c r="S492" s="18">
        <f t="shared" si="132"/>
        <v>0.999999999999999</v>
      </c>
      <c r="T492" s="15"/>
      <c r="U492" s="15"/>
      <c r="V492" s="40">
        <f t="shared" si="133"/>
        <v>5.33</v>
      </c>
      <c r="W492" s="41">
        <f t="shared" si="122"/>
        <v>25.33</v>
      </c>
      <c r="X492">
        <f t="shared" si="134"/>
        <v>4.283603102999742E-3</v>
      </c>
      <c r="Y492">
        <f t="shared" si="135"/>
        <v>1.6561006429871277</v>
      </c>
      <c r="Z492" s="33">
        <f t="shared" si="123"/>
        <v>8.8718296214216896E-2</v>
      </c>
      <c r="AA492" s="33">
        <f t="shared" si="124"/>
        <v>0.5</v>
      </c>
      <c r="AB492">
        <f t="shared" si="125"/>
        <v>-2.195301958363334E-2</v>
      </c>
      <c r="AC492" s="1">
        <f t="shared" si="126"/>
        <v>-9.1286447908579649E-2</v>
      </c>
      <c r="AD492" s="35">
        <f>IF(W492&gt;=FinalAgeForPremium, AE492*Delta-Z492*(Y492-AE492),AE492*Delta+PremiumRevisedForLimitedTerm-Z492*(Y492-AE492))</f>
        <v>-4.3753807565881375E-3</v>
      </c>
      <c r="AE492" s="35">
        <f>AE491-StepSize*AD491</f>
        <v>3.0264336348027426E-2</v>
      </c>
      <c r="AF492" s="1"/>
    </row>
    <row r="493" spans="11:32" x14ac:dyDescent="0.45">
      <c r="K493" s="40">
        <f t="shared" si="127"/>
        <v>4.68</v>
      </c>
      <c r="L493" s="41">
        <f t="shared" si="119"/>
        <v>24.68</v>
      </c>
      <c r="M493">
        <f t="shared" si="128"/>
        <v>0.87906310604172155</v>
      </c>
      <c r="N493">
        <f t="shared" si="129"/>
        <v>0.12093689395827754</v>
      </c>
      <c r="O493">
        <f t="shared" si="120"/>
        <v>8.3885320693039778E-2</v>
      </c>
      <c r="P493">
        <f t="shared" si="121"/>
        <v>0.5</v>
      </c>
      <c r="Q493">
        <f t="shared" si="130"/>
        <v>-1.3272043580590677E-2</v>
      </c>
      <c r="R493" s="6">
        <f t="shared" si="131"/>
        <v>1.3272043580590677E-2</v>
      </c>
      <c r="S493" s="18">
        <f t="shared" si="132"/>
        <v>0.99999999999999911</v>
      </c>
      <c r="T493" s="15"/>
      <c r="U493" s="15"/>
      <c r="V493" s="40">
        <f t="shared" si="133"/>
        <v>5.32</v>
      </c>
      <c r="W493" s="41">
        <f t="shared" si="122"/>
        <v>25.32</v>
      </c>
      <c r="X493">
        <f t="shared" si="134"/>
        <v>4.5031332988360751E-3</v>
      </c>
      <c r="Y493">
        <f t="shared" si="135"/>
        <v>1.6570135074662136</v>
      </c>
      <c r="Z493" s="33">
        <f t="shared" si="123"/>
        <v>8.8641873764678039E-2</v>
      </c>
      <c r="AA493" s="33">
        <f t="shared" si="124"/>
        <v>0.5</v>
      </c>
      <c r="AB493">
        <f t="shared" si="125"/>
        <v>-2.1877265619476075E-2</v>
      </c>
      <c r="AC493" s="1">
        <f t="shared" si="126"/>
        <v>-9.0894137543000575E-2</v>
      </c>
      <c r="AD493" s="35">
        <f>IF(W493&gt;=FinalAgeForPremium, AE493*Delta-Z493*(Y493-AE493),AE493*Delta+PremiumRevisedForLimitedTerm-Z493*(Y493-AE493))</f>
        <v>-4.3259822715397134E-3</v>
      </c>
      <c r="AE493" s="35">
        <f>AE492-StepSize*AD492</f>
        <v>3.0308090155593308E-2</v>
      </c>
      <c r="AF493" s="1"/>
    </row>
    <row r="494" spans="11:32" x14ac:dyDescent="0.45">
      <c r="K494" s="40">
        <f t="shared" si="127"/>
        <v>4.6900000000000004</v>
      </c>
      <c r="L494" s="41">
        <f t="shared" si="119"/>
        <v>24.69</v>
      </c>
      <c r="M494">
        <f t="shared" si="128"/>
        <v>0.87893038560591563</v>
      </c>
      <c r="N494">
        <f t="shared" si="129"/>
        <v>0.12106961439408345</v>
      </c>
      <c r="O494">
        <f t="shared" si="120"/>
        <v>8.3957642287963777E-2</v>
      </c>
      <c r="P494">
        <f t="shared" si="121"/>
        <v>0.5</v>
      </c>
      <c r="Q494">
        <f t="shared" si="130"/>
        <v>-1.3258115713681809E-2</v>
      </c>
      <c r="R494" s="6">
        <f t="shared" si="131"/>
        <v>1.3258115713681809E-2</v>
      </c>
      <c r="S494" s="18">
        <f t="shared" si="132"/>
        <v>0.99999999999999911</v>
      </c>
      <c r="T494" s="15"/>
      <c r="U494" s="15"/>
      <c r="V494" s="40">
        <f t="shared" si="133"/>
        <v>5.31</v>
      </c>
      <c r="W494" s="41">
        <f t="shared" si="122"/>
        <v>25.31</v>
      </c>
      <c r="X494">
        <f t="shared" si="134"/>
        <v>4.7219059550308359E-3</v>
      </c>
      <c r="Y494">
        <f t="shared" si="135"/>
        <v>1.6579224488416435</v>
      </c>
      <c r="Z494" s="33">
        <f t="shared" si="123"/>
        <v>8.8565517145875836E-2</v>
      </c>
      <c r="AA494" s="33">
        <f t="shared" si="124"/>
        <v>0.5</v>
      </c>
      <c r="AB494">
        <f t="shared" si="125"/>
        <v>-2.180127203149633E-2</v>
      </c>
      <c r="AC494" s="1">
        <f t="shared" si="126"/>
        <v>-9.050360611461139E-2</v>
      </c>
      <c r="AD494" s="35">
        <f>IF(W494&gt;=FinalAgeForPremium, AE494*Delta-Z494*(Y494-AE494),AE494*Delta+PremiumRevisedForLimitedTerm-Z494*(Y494-AE494))</f>
        <v>-4.2762790893506597E-3</v>
      </c>
      <c r="AE494" s="35">
        <f>AE493-StepSize*AD493</f>
        <v>3.0351349978308705E-2</v>
      </c>
      <c r="AF494" s="1"/>
    </row>
    <row r="495" spans="11:32" x14ac:dyDescent="0.45">
      <c r="K495" s="40">
        <f t="shared" si="127"/>
        <v>4.7</v>
      </c>
      <c r="L495" s="41">
        <f t="shared" si="119"/>
        <v>24.7</v>
      </c>
      <c r="M495">
        <f t="shared" si="128"/>
        <v>0.87879780444877886</v>
      </c>
      <c r="N495">
        <f t="shared" si="129"/>
        <v>0.12120219555122028</v>
      </c>
      <c r="O495">
        <f t="shared" si="120"/>
        <v>8.4030026234835062E-2</v>
      </c>
      <c r="P495">
        <f t="shared" si="121"/>
        <v>0.5</v>
      </c>
      <c r="Q495">
        <f t="shared" si="130"/>
        <v>-1.3244304787336209E-2</v>
      </c>
      <c r="R495" s="6">
        <f t="shared" si="131"/>
        <v>1.3244304787336209E-2</v>
      </c>
      <c r="S495" s="18">
        <f t="shared" si="132"/>
        <v>0.99999999999999911</v>
      </c>
      <c r="T495" s="15"/>
      <c r="U495" s="15"/>
      <c r="V495" s="40">
        <f t="shared" si="133"/>
        <v>5.3</v>
      </c>
      <c r="W495" s="41">
        <f t="shared" si="122"/>
        <v>25.3</v>
      </c>
      <c r="X495">
        <f t="shared" si="134"/>
        <v>4.939918675345799E-3</v>
      </c>
      <c r="Y495">
        <f t="shared" si="135"/>
        <v>1.6588274849027895</v>
      </c>
      <c r="Z495" s="33">
        <f t="shared" si="123"/>
        <v>8.8489226301103299E-2</v>
      </c>
      <c r="AA495" s="33">
        <f t="shared" si="124"/>
        <v>0.5</v>
      </c>
      <c r="AB495">
        <f t="shared" si="125"/>
        <v>-2.1725041493366279E-2</v>
      </c>
      <c r="AC495" s="1">
        <f t="shared" si="126"/>
        <v>-9.011484264113867E-2</v>
      </c>
      <c r="AD495" s="35">
        <f>IF(W495&gt;=FinalAgeForPremium, AE495*Delta-Z495*(Y495-AE495),AE495*Delta+PremiumRevisedForLimitedTerm-Z495*(Y495-AE495))</f>
        <v>-4.2262740702911361E-3</v>
      </c>
      <c r="AE495" s="35">
        <f>AE494-StepSize*AD494</f>
        <v>3.039411276920221E-2</v>
      </c>
      <c r="AF495" s="1"/>
    </row>
    <row r="496" spans="11:32" x14ac:dyDescent="0.45">
      <c r="K496" s="40">
        <f t="shared" si="127"/>
        <v>4.71</v>
      </c>
      <c r="L496" s="41">
        <f t="shared" si="119"/>
        <v>24.71</v>
      </c>
      <c r="M496">
        <f t="shared" si="128"/>
        <v>0.87866536140090545</v>
      </c>
      <c r="N496">
        <f t="shared" si="129"/>
        <v>0.12133463859909364</v>
      </c>
      <c r="O496">
        <f t="shared" si="120"/>
        <v>8.4102472587410271E-2</v>
      </c>
      <c r="P496">
        <f t="shared" si="121"/>
        <v>0.5</v>
      </c>
      <c r="Q496">
        <f t="shared" si="130"/>
        <v>-1.3230610171179762E-2</v>
      </c>
      <c r="R496" s="6">
        <f t="shared" si="131"/>
        <v>1.3230610171179762E-2</v>
      </c>
      <c r="S496" s="18">
        <f t="shared" si="132"/>
        <v>0.99999999999999911</v>
      </c>
      <c r="T496" s="15"/>
      <c r="U496" s="15"/>
      <c r="V496" s="40">
        <f t="shared" si="133"/>
        <v>5.29</v>
      </c>
      <c r="W496" s="41">
        <f t="shared" si="122"/>
        <v>25.29</v>
      </c>
      <c r="X496">
        <f t="shared" si="134"/>
        <v>5.1571690902794615E-3</v>
      </c>
      <c r="Y496">
        <f t="shared" si="135"/>
        <v>1.659728633329201</v>
      </c>
      <c r="Z496" s="33">
        <f t="shared" si="123"/>
        <v>8.8413001173702266E-2</v>
      </c>
      <c r="AA496" s="33">
        <f t="shared" si="124"/>
        <v>0.5</v>
      </c>
      <c r="AB496">
        <f t="shared" si="125"/>
        <v>-2.1648576657868401E-2</v>
      </c>
      <c r="AC496" s="1">
        <f t="shared" si="126"/>
        <v>-8.9727836214079204E-2</v>
      </c>
      <c r="AD496" s="35">
        <f>IF(W496&gt;=FinalAgeForPremium, AE496*Delta-Z496*(Y496-AE496),AE496*Delta+PremiumRevisedForLimitedTerm-Z496*(Y496-AE496))</f>
        <v>-4.1759700531396327E-3</v>
      </c>
      <c r="AE496" s="35">
        <f>AE495-StepSize*AD495</f>
        <v>3.043637550990512E-2</v>
      </c>
      <c r="AF496" s="1"/>
    </row>
    <row r="497" spans="11:32" x14ac:dyDescent="0.45">
      <c r="K497" s="40">
        <f t="shared" si="127"/>
        <v>4.72</v>
      </c>
      <c r="L497" s="41">
        <f t="shared" si="119"/>
        <v>24.72</v>
      </c>
      <c r="M497">
        <f t="shared" si="128"/>
        <v>0.87853305529919368</v>
      </c>
      <c r="N497">
        <f t="shared" si="129"/>
        <v>0.12146694470080545</v>
      </c>
      <c r="O497">
        <f t="shared" si="120"/>
        <v>8.417498139949231E-2</v>
      </c>
      <c r="P497">
        <f t="shared" si="121"/>
        <v>0.5</v>
      </c>
      <c r="Q497">
        <f t="shared" si="130"/>
        <v>-1.3217031238246059E-2</v>
      </c>
      <c r="R497" s="6">
        <f t="shared" si="131"/>
        <v>1.3217031238246059E-2</v>
      </c>
      <c r="S497" s="18">
        <f t="shared" si="132"/>
        <v>0.99999999999999911</v>
      </c>
      <c r="T497" s="15"/>
      <c r="U497" s="15"/>
      <c r="V497" s="40">
        <f t="shared" si="133"/>
        <v>5.28</v>
      </c>
      <c r="W497" s="41">
        <f t="shared" si="122"/>
        <v>25.28</v>
      </c>
      <c r="X497">
        <f t="shared" si="134"/>
        <v>5.3736548568581455E-3</v>
      </c>
      <c r="Y497">
        <f t="shared" si="135"/>
        <v>1.6606259116913418</v>
      </c>
      <c r="Z497" s="33">
        <f t="shared" si="123"/>
        <v>8.8336841707063504E-2</v>
      </c>
      <c r="AA497" s="33">
        <f t="shared" si="124"/>
        <v>0.5</v>
      </c>
      <c r="AB497">
        <f t="shared" si="125"/>
        <v>-2.1571880157056827E-2</v>
      </c>
      <c r="AC497" s="1">
        <f t="shared" si="126"/>
        <v>-8.9342575998191065E-2</v>
      </c>
      <c r="AD497" s="35">
        <f>IF(W497&gt;=FinalAgeForPremium, AE497*Delta-Z497*(Y497-AE497),AE497*Delta+PremiumRevisedForLimitedTerm-Z497*(Y497-AE497))</f>
        <v>-4.1253698553468943E-3</v>
      </c>
      <c r="AE497" s="35">
        <f>AE496-StepSize*AD496</f>
        <v>3.0478135210436515E-2</v>
      </c>
      <c r="AF497" s="1"/>
    </row>
    <row r="498" spans="11:32" x14ac:dyDescent="0.45">
      <c r="K498" s="40">
        <f t="shared" si="127"/>
        <v>4.7300000000000004</v>
      </c>
      <c r="L498" s="41">
        <f t="shared" si="119"/>
        <v>24.73</v>
      </c>
      <c r="M498">
        <f t="shared" si="128"/>
        <v>0.87840088498681124</v>
      </c>
      <c r="N498">
        <f t="shared" si="129"/>
        <v>0.1215991150131879</v>
      </c>
      <c r="O498">
        <f t="shared" si="120"/>
        <v>8.4247552724930605E-2</v>
      </c>
      <c r="P498">
        <f t="shared" si="121"/>
        <v>0.5</v>
      </c>
      <c r="Q498">
        <f t="shared" si="130"/>
        <v>-1.3203567364958133E-2</v>
      </c>
      <c r="R498" s="6">
        <f t="shared" si="131"/>
        <v>1.3203567364958133E-2</v>
      </c>
      <c r="S498" s="18">
        <f t="shared" si="132"/>
        <v>0.99999999999999911</v>
      </c>
      <c r="T498" s="15"/>
      <c r="U498" s="15"/>
      <c r="V498" s="40">
        <f t="shared" si="133"/>
        <v>5.27</v>
      </c>
      <c r="W498" s="41">
        <f t="shared" si="122"/>
        <v>25.27</v>
      </c>
      <c r="X498">
        <f t="shared" si="134"/>
        <v>5.5893736584287134E-3</v>
      </c>
      <c r="Y498">
        <f t="shared" si="135"/>
        <v>1.6615193374513237</v>
      </c>
      <c r="Z498" s="33">
        <f t="shared" si="123"/>
        <v>8.8260747844626397E-2</v>
      </c>
      <c r="AA498" s="33">
        <f t="shared" si="124"/>
        <v>0.5</v>
      </c>
      <c r="AB498">
        <f t="shared" si="125"/>
        <v>-2.1494954602416932E-2</v>
      </c>
      <c r="AC498" s="1">
        <f t="shared" si="126"/>
        <v>-8.8959051230986241E-2</v>
      </c>
      <c r="AD498" s="35">
        <f>IF(W498&gt;=FinalAgeForPremium, AE498*Delta-Z498*(Y498-AE498),AE498*Delta+PremiumRevisedForLimitedTerm-Z498*(Y498-AE498))</f>
        <v>-4.074476273197486E-3</v>
      </c>
      <c r="AE498" s="35">
        <f>AE497-StepSize*AD497</f>
        <v>3.0519388908989985E-2</v>
      </c>
      <c r="AF498" s="1"/>
    </row>
    <row r="499" spans="11:32" x14ac:dyDescent="0.45">
      <c r="K499" s="40">
        <f t="shared" si="127"/>
        <v>4.74</v>
      </c>
      <c r="L499" s="41">
        <f t="shared" si="119"/>
        <v>24.740000000000002</v>
      </c>
      <c r="M499">
        <f t="shared" si="128"/>
        <v>0.87826884931316163</v>
      </c>
      <c r="N499">
        <f t="shared" si="129"/>
        <v>0.12173115068683749</v>
      </c>
      <c r="O499">
        <f t="shared" si="120"/>
        <v>8.432018661762096E-2</v>
      </c>
      <c r="P499">
        <f t="shared" si="121"/>
        <v>0.5</v>
      </c>
      <c r="Q499">
        <f t="shared" si="130"/>
        <v>-1.3190217931110262E-2</v>
      </c>
      <c r="R499" s="6">
        <f t="shared" si="131"/>
        <v>1.3190217931110262E-2</v>
      </c>
      <c r="S499" s="18">
        <f t="shared" si="132"/>
        <v>0.99999999999999911</v>
      </c>
      <c r="T499" s="15"/>
      <c r="U499" s="15"/>
      <c r="V499" s="40">
        <f t="shared" si="133"/>
        <v>5.26</v>
      </c>
      <c r="W499" s="41">
        <f t="shared" si="122"/>
        <v>25.259999999999998</v>
      </c>
      <c r="X499">
        <f t="shared" si="134"/>
        <v>5.8043232044528827E-3</v>
      </c>
      <c r="Y499">
        <f t="shared" si="135"/>
        <v>1.6624089279636336</v>
      </c>
      <c r="Z499" s="33">
        <f t="shared" si="123"/>
        <v>8.8184719529879066E-2</v>
      </c>
      <c r="AA499" s="33">
        <f t="shared" si="124"/>
        <v>0.5</v>
      </c>
      <c r="AB499">
        <f t="shared" si="125"/>
        <v>-2.1417802585024195E-2</v>
      </c>
      <c r="AC499" s="1">
        <f t="shared" si="126"/>
        <v>-8.8577251222227926E-2</v>
      </c>
      <c r="AD499" s="35">
        <f>IF(W499&gt;=FinalAgeForPremium, AE499*Delta-Z499*(Y499-AE499),AE499*Delta+PremiumRevisedForLimitedTerm-Z499*(Y499-AE499))</f>
        <v>-4.0232920819708862E-3</v>
      </c>
      <c r="AE499" s="35">
        <f>AE498-StepSize*AD498</f>
        <v>3.0560133671721959E-2</v>
      </c>
      <c r="AF499" s="1"/>
    </row>
    <row r="500" spans="11:32" x14ac:dyDescent="0.45">
      <c r="K500" s="40">
        <f t="shared" si="127"/>
        <v>4.75</v>
      </c>
      <c r="L500" s="41">
        <f t="shared" si="119"/>
        <v>24.75</v>
      </c>
      <c r="M500">
        <f t="shared" si="128"/>
        <v>0.87813694713385049</v>
      </c>
      <c r="N500">
        <f t="shared" si="129"/>
        <v>0.12186305286614858</v>
      </c>
      <c r="O500">
        <f t="shared" si="120"/>
        <v>8.4392883131505558E-2</v>
      </c>
      <c r="P500">
        <f t="shared" si="121"/>
        <v>0.5</v>
      </c>
      <c r="Q500">
        <f t="shared" si="130"/>
        <v>-1.3176982319849824E-2</v>
      </c>
      <c r="R500" s="6">
        <f t="shared" si="131"/>
        <v>1.3176982319849824E-2</v>
      </c>
      <c r="S500" s="18">
        <f t="shared" si="132"/>
        <v>0.99999999999999911</v>
      </c>
      <c r="T500" s="15"/>
      <c r="U500" s="15"/>
      <c r="V500" s="40">
        <f t="shared" si="133"/>
        <v>5.25</v>
      </c>
      <c r="W500" s="41">
        <f t="shared" si="122"/>
        <v>25.25</v>
      </c>
      <c r="X500">
        <f t="shared" si="134"/>
        <v>6.0185012303031245E-3</v>
      </c>
      <c r="Y500">
        <f t="shared" si="135"/>
        <v>1.6632947004758558</v>
      </c>
      <c r="Z500" s="33">
        <f t="shared" si="123"/>
        <v>8.8108756706358454E-2</v>
      </c>
      <c r="AA500" s="33">
        <f t="shared" si="124"/>
        <v>0.5</v>
      </c>
      <c r="AB500">
        <f t="shared" si="125"/>
        <v>-2.1340426675702004E-2</v>
      </c>
      <c r="AC500" s="1">
        <f t="shared" si="126"/>
        <v>-8.8197165353430917E-2</v>
      </c>
      <c r="AD500" s="35">
        <f>IF(W500&gt;=FinalAgeForPremium, AE500*Delta-Z500*(Y500-AE500),AE500*Delta+PremiumRevisedForLimitedTerm-Z500*(Y500-AE500))</f>
        <v>-3.9718200361013034E-3</v>
      </c>
      <c r="AE500" s="35">
        <f>AE499-StepSize*AD499</f>
        <v>3.0600366592541669E-2</v>
      </c>
      <c r="AF500" s="1"/>
    </row>
    <row r="501" spans="11:32" x14ac:dyDescent="0.45">
      <c r="K501" s="40">
        <f t="shared" si="127"/>
        <v>4.76</v>
      </c>
      <c r="L501" s="41">
        <f t="shared" si="119"/>
        <v>24.759999999999998</v>
      </c>
      <c r="M501">
        <f t="shared" si="128"/>
        <v>0.87800517731065197</v>
      </c>
      <c r="N501">
        <f t="shared" si="129"/>
        <v>0.12199482268934708</v>
      </c>
      <c r="O501">
        <f t="shared" si="120"/>
        <v>8.4465642320573173E-2</v>
      </c>
      <c r="P501">
        <f t="shared" si="121"/>
        <v>0.5</v>
      </c>
      <c r="Q501">
        <f t="shared" si="130"/>
        <v>-1.3163859917659421E-2</v>
      </c>
      <c r="R501" s="6">
        <f t="shared" si="131"/>
        <v>1.3163859917659421E-2</v>
      </c>
      <c r="S501" s="18">
        <f t="shared" si="132"/>
        <v>0.99999999999999911</v>
      </c>
      <c r="T501" s="15"/>
      <c r="U501" s="15"/>
      <c r="V501" s="40">
        <f t="shared" si="133"/>
        <v>5.24</v>
      </c>
      <c r="W501" s="41">
        <f t="shared" si="122"/>
        <v>25.240000000000002</v>
      </c>
      <c r="X501">
        <f t="shared" si="134"/>
        <v>6.2319054970601442E-3</v>
      </c>
      <c r="Y501">
        <f t="shared" si="135"/>
        <v>1.66417667212939</v>
      </c>
      <c r="Z501" s="33">
        <f t="shared" si="123"/>
        <v>8.8032859317650036E-2</v>
      </c>
      <c r="AA501" s="33">
        <f t="shared" si="124"/>
        <v>0.5</v>
      </c>
      <c r="AB501">
        <f t="shared" si="125"/>
        <v>-2.1262829425177349E-2</v>
      </c>
      <c r="AC501" s="1">
        <f t="shared" si="126"/>
        <v>-8.781878307736557E-2</v>
      </c>
      <c r="AD501" s="35">
        <f>IF(W501&gt;=FinalAgeForPremium, AE501*Delta-Z501*(Y501-AE501),AE501*Delta+PremiumRevisedForLimitedTerm-Z501*(Y501-AE501))</f>
        <v>-3.9200628693354389E-3</v>
      </c>
      <c r="AE501" s="35">
        <f>AE500-StepSize*AD500</f>
        <v>3.0640084792902682E-2</v>
      </c>
      <c r="AF501" s="1"/>
    </row>
    <row r="502" spans="11:32" x14ac:dyDescent="0.45">
      <c r="K502" s="40">
        <f t="shared" si="127"/>
        <v>4.7699999999999996</v>
      </c>
      <c r="L502" s="41">
        <f t="shared" si="119"/>
        <v>24.77</v>
      </c>
      <c r="M502">
        <f t="shared" si="128"/>
        <v>0.87787353871147533</v>
      </c>
      <c r="N502">
        <f t="shared" si="129"/>
        <v>0.12212646128852368</v>
      </c>
      <c r="O502">
        <f t="shared" si="120"/>
        <v>8.4538464238859232E-2</v>
      </c>
      <c r="P502">
        <f t="shared" si="121"/>
        <v>0.5</v>
      </c>
      <c r="Q502">
        <f t="shared" si="130"/>
        <v>-1.3150850114339023E-2</v>
      </c>
      <c r="R502" s="6">
        <f t="shared" si="131"/>
        <v>1.3150850114339023E-2</v>
      </c>
      <c r="S502" s="18">
        <f t="shared" si="132"/>
        <v>0.999999999999999</v>
      </c>
      <c r="T502" s="15"/>
      <c r="U502" s="15"/>
      <c r="V502" s="40">
        <f t="shared" si="133"/>
        <v>5.23</v>
      </c>
      <c r="W502" s="41">
        <f t="shared" si="122"/>
        <v>25.23</v>
      </c>
      <c r="X502">
        <f t="shared" si="134"/>
        <v>6.4445337913119176E-3</v>
      </c>
      <c r="Y502">
        <f t="shared" si="135"/>
        <v>1.6650548599601638</v>
      </c>
      <c r="Z502" s="33">
        <f t="shared" si="123"/>
        <v>8.7957027307387789E-2</v>
      </c>
      <c r="AA502" s="33">
        <f t="shared" si="124"/>
        <v>0.5</v>
      </c>
      <c r="AB502">
        <f t="shared" si="125"/>
        <v>-2.1185013364235811E-2</v>
      </c>
      <c r="AC502" s="1">
        <f t="shared" si="126"/>
        <v>-8.7442093917565855E-2</v>
      </c>
      <c r="AD502" s="35">
        <f>IF(W502&gt;=FinalAgeForPremium, AE502*Delta-Z502*(Y502-AE502),AE502*Delta+PremiumRevisedForLimitedTerm-Z502*(Y502-AE502))</f>
        <v>-3.8680232948900828E-3</v>
      </c>
      <c r="AE502" s="35">
        <f>AE501-StepSize*AD501</f>
        <v>3.0679285421596036E-2</v>
      </c>
      <c r="AF502" s="1"/>
    </row>
    <row r="503" spans="11:32" x14ac:dyDescent="0.45">
      <c r="K503" s="40">
        <f t="shared" si="127"/>
        <v>4.78</v>
      </c>
      <c r="L503" s="41">
        <f t="shared" si="119"/>
        <v>24.78</v>
      </c>
      <c r="M503">
        <f t="shared" si="128"/>
        <v>0.87774203021033192</v>
      </c>
      <c r="N503">
        <f t="shared" si="129"/>
        <v>0.12225796978966708</v>
      </c>
      <c r="O503">
        <f t="shared" si="120"/>
        <v>8.461134894044553E-2</v>
      </c>
      <c r="P503">
        <f t="shared" si="121"/>
        <v>0.5</v>
      </c>
      <c r="Q503">
        <f t="shared" si="130"/>
        <v>-1.3137952302987935E-2</v>
      </c>
      <c r="R503" s="6">
        <f t="shared" si="131"/>
        <v>1.3137952302987935E-2</v>
      </c>
      <c r="S503" s="18">
        <f t="shared" si="132"/>
        <v>0.999999999999999</v>
      </c>
      <c r="T503" s="15"/>
      <c r="U503" s="15"/>
      <c r="V503" s="40">
        <f t="shared" si="133"/>
        <v>5.22</v>
      </c>
      <c r="W503" s="41">
        <f t="shared" si="122"/>
        <v>25.22</v>
      </c>
      <c r="X503">
        <f t="shared" si="134"/>
        <v>6.6563839249542756E-3</v>
      </c>
      <c r="Y503">
        <f t="shared" si="135"/>
        <v>1.6659292808993393</v>
      </c>
      <c r="Z503" s="33">
        <f t="shared" si="123"/>
        <v>8.7881260619254373E-2</v>
      </c>
      <c r="AA503" s="33">
        <f t="shared" si="124"/>
        <v>0.5</v>
      </c>
      <c r="AB503">
        <f t="shared" si="125"/>
        <v>-2.1106981003875758E-2</v>
      </c>
      <c r="AC503" s="1">
        <f t="shared" si="126"/>
        <v>-8.7067087467840532E-2</v>
      </c>
      <c r="AD503" s="35">
        <f>IF(W503&gt;=FinalAgeForPremium, AE503*Delta-Z503*(Y503-AE503),AE503*Delta+PremiumRevisedForLimitedTerm-Z503*(Y503-AE503))</f>
        <v>-3.8157040056077118E-3</v>
      </c>
      <c r="AE503" s="35">
        <f>AE502-StepSize*AD502</f>
        <v>3.0717965654544939E-2</v>
      </c>
      <c r="AF503" s="1"/>
    </row>
    <row r="504" spans="11:32" x14ac:dyDescent="0.45">
      <c r="K504" s="40">
        <f t="shared" si="127"/>
        <v>4.79</v>
      </c>
      <c r="L504" s="41">
        <f t="shared" si="119"/>
        <v>24.79</v>
      </c>
      <c r="M504">
        <f t="shared" si="128"/>
        <v>0.87761065068730204</v>
      </c>
      <c r="N504">
        <f t="shared" si="129"/>
        <v>0.12238934931269696</v>
      </c>
      <c r="O504">
        <f t="shared" si="120"/>
        <v>8.4684296479460533E-2</v>
      </c>
      <c r="P504">
        <f t="shared" si="121"/>
        <v>0.5</v>
      </c>
      <c r="Q504">
        <f t="shared" si="130"/>
        <v>-1.3125165879987286E-2</v>
      </c>
      <c r="R504" s="6">
        <f t="shared" si="131"/>
        <v>1.3125165879987286E-2</v>
      </c>
      <c r="S504" s="18">
        <f t="shared" si="132"/>
        <v>0.999999999999999</v>
      </c>
      <c r="T504" s="15"/>
      <c r="U504" s="15"/>
      <c r="V504" s="40">
        <f t="shared" si="133"/>
        <v>5.21</v>
      </c>
      <c r="W504" s="41">
        <f t="shared" si="122"/>
        <v>25.21</v>
      </c>
      <c r="X504">
        <f t="shared" si="134"/>
        <v>6.8674537349930334E-3</v>
      </c>
      <c r="Y504">
        <f t="shared" si="135"/>
        <v>1.6667999517740177</v>
      </c>
      <c r="Z504" s="33">
        <f t="shared" si="123"/>
        <v>8.7805559196981062E-2</v>
      </c>
      <c r="AA504" s="33">
        <f t="shared" si="124"/>
        <v>0.5</v>
      </c>
      <c r="AB504">
        <f t="shared" si="125"/>
        <v>-2.1028734835460916E-2</v>
      </c>
      <c r="AC504" s="1">
        <f t="shared" si="126"/>
        <v>-8.6693753391786754E-2</v>
      </c>
      <c r="AD504" s="35">
        <f>IF(W504&gt;=FinalAgeForPremium, AE504*Delta-Z504*(Y504-AE504),AE504*Delta+PremiumRevisedForLimitedTerm-Z504*(Y504-AE504))</f>
        <v>-3.7631076741116987E-3</v>
      </c>
      <c r="AE504" s="35">
        <f>AE503-StepSize*AD503</f>
        <v>3.0756122694601016E-2</v>
      </c>
      <c r="AF504" s="1"/>
    </row>
    <row r="505" spans="11:32" x14ac:dyDescent="0.45">
      <c r="K505" s="40">
        <f t="shared" si="127"/>
        <v>4.8</v>
      </c>
      <c r="L505" s="41">
        <f t="shared" si="119"/>
        <v>24.8</v>
      </c>
      <c r="M505">
        <f t="shared" si="128"/>
        <v>0.87747939902850214</v>
      </c>
      <c r="N505">
        <f t="shared" si="129"/>
        <v>0.12252060097149683</v>
      </c>
      <c r="O505">
        <f t="shared" si="120"/>
        <v>8.4757306910079572E-2</v>
      </c>
      <c r="P505">
        <f t="shared" si="121"/>
        <v>0.5</v>
      </c>
      <c r="Q505">
        <f t="shared" si="130"/>
        <v>-1.3112490244982511E-2</v>
      </c>
      <c r="R505" s="6">
        <f t="shared" si="131"/>
        <v>1.3112490244982511E-2</v>
      </c>
      <c r="S505" s="18">
        <f t="shared" si="132"/>
        <v>0.999999999999999</v>
      </c>
      <c r="T505" s="15"/>
      <c r="U505" s="15"/>
      <c r="V505" s="40">
        <f t="shared" si="133"/>
        <v>5.2</v>
      </c>
      <c r="W505" s="41">
        <f t="shared" si="122"/>
        <v>25.2</v>
      </c>
      <c r="X505">
        <f t="shared" si="134"/>
        <v>7.0777410833476424E-3</v>
      </c>
      <c r="Y505">
        <f t="shared" si="135"/>
        <v>1.6676668893079356</v>
      </c>
      <c r="Z505" s="33">
        <f t="shared" si="123"/>
        <v>8.7729922984347286E-2</v>
      </c>
      <c r="AA505" s="33">
        <f t="shared" si="124"/>
        <v>0.5</v>
      </c>
      <c r="AB505">
        <f t="shared" si="125"/>
        <v>-2.0950277330870931E-2</v>
      </c>
      <c r="AC505" s="1">
        <f t="shared" si="126"/>
        <v>-8.6322081422309238E-2</v>
      </c>
      <c r="AD505" s="35">
        <f>IF(W505&gt;=FinalAgeForPremium, AE505*Delta-Z505*(Y505-AE505),AE505*Delta+PremiumRevisedForLimitedTerm-Z505*(Y505-AE505))</f>
        <v>-3.7102369529587731E-3</v>
      </c>
      <c r="AE505" s="35">
        <f>AE504-StepSize*AD504</f>
        <v>3.0793753771342133E-2</v>
      </c>
      <c r="AF505" s="1"/>
    </row>
    <row r="506" spans="11:32" x14ac:dyDescent="0.45">
      <c r="K506" s="40">
        <f t="shared" si="127"/>
        <v>4.8099999999999996</v>
      </c>
      <c r="L506" s="41">
        <f t="shared" si="119"/>
        <v>24.81</v>
      </c>
      <c r="M506">
        <f t="shared" si="128"/>
        <v>0.87734827412605232</v>
      </c>
      <c r="N506">
        <f t="shared" si="129"/>
        <v>0.12265172587394665</v>
      </c>
      <c r="O506">
        <f t="shared" si="120"/>
        <v>8.4830380286524426E-2</v>
      </c>
      <c r="P506">
        <f t="shared" si="121"/>
        <v>0.5</v>
      </c>
      <c r="Q506">
        <f t="shared" si="130"/>
        <v>-1.3099924800865567E-2</v>
      </c>
      <c r="R506" s="6">
        <f t="shared" si="131"/>
        <v>1.3099924800865567E-2</v>
      </c>
      <c r="S506" s="18">
        <f t="shared" si="132"/>
        <v>0.999999999999999</v>
      </c>
      <c r="T506" s="15"/>
      <c r="U506" s="15"/>
      <c r="V506" s="40">
        <f t="shared" si="133"/>
        <v>5.19</v>
      </c>
      <c r="W506" s="41">
        <f t="shared" si="122"/>
        <v>25.19</v>
      </c>
      <c r="X506">
        <f t="shared" si="134"/>
        <v>7.2872438566563514E-3</v>
      </c>
      <c r="Y506">
        <f t="shared" si="135"/>
        <v>1.6685301101221588</v>
      </c>
      <c r="Z506" s="33">
        <f t="shared" si="123"/>
        <v>8.7654351925181187E-2</v>
      </c>
      <c r="AA506" s="33">
        <f t="shared" si="124"/>
        <v>0.5</v>
      </c>
      <c r="AB506">
        <f t="shared" si="125"/>
        <v>-2.0871610942652594E-2</v>
      </c>
      <c r="AC506" s="1">
        <f t="shared" si="126"/>
        <v>-8.5952061361140752E-2</v>
      </c>
      <c r="AD506" s="35">
        <f>IF(W506&gt;=FinalAgeForPremium, AE506*Delta-Z506*(Y506-AE506),AE506*Delta+PremiumRevisedForLimitedTerm-Z506*(Y506-AE506))</f>
        <v>-3.6570944747923162E-3</v>
      </c>
      <c r="AE506" s="35">
        <f>AE505-StepSize*AD505</f>
        <v>3.0830856140871721E-2</v>
      </c>
      <c r="AF506" s="1"/>
    </row>
    <row r="507" spans="11:32" x14ac:dyDescent="0.45">
      <c r="K507" s="40">
        <f t="shared" si="127"/>
        <v>4.82</v>
      </c>
      <c r="L507" s="41">
        <f t="shared" si="119"/>
        <v>24.82</v>
      </c>
      <c r="M507">
        <f t="shared" si="128"/>
        <v>0.87721727487804368</v>
      </c>
      <c r="N507">
        <f t="shared" si="129"/>
        <v>0.12278272512195532</v>
      </c>
      <c r="O507">
        <f t="shared" si="120"/>
        <v>8.4903516663063797E-2</v>
      </c>
      <c r="P507">
        <f t="shared" si="121"/>
        <v>0.5</v>
      </c>
      <c r="Q507">
        <f t="shared" si="130"/>
        <v>-1.3087468953757744E-2</v>
      </c>
      <c r="R507" s="6">
        <f t="shared" si="131"/>
        <v>1.3087468953757744E-2</v>
      </c>
      <c r="S507" s="18">
        <f t="shared" si="132"/>
        <v>0.999999999999999</v>
      </c>
      <c r="T507" s="15"/>
      <c r="U507" s="15"/>
      <c r="V507" s="40">
        <f t="shared" si="133"/>
        <v>5.18</v>
      </c>
      <c r="W507" s="41">
        <f t="shared" si="122"/>
        <v>25.18</v>
      </c>
      <c r="X507">
        <f t="shared" si="134"/>
        <v>7.4959599660828777E-3</v>
      </c>
      <c r="Y507">
        <f t="shared" si="135"/>
        <v>1.6693896307357703</v>
      </c>
      <c r="Z507" s="33">
        <f t="shared" si="123"/>
        <v>8.75788459633592E-2</v>
      </c>
      <c r="AA507" s="33">
        <f t="shared" si="124"/>
        <v>0.5</v>
      </c>
      <c r="AB507">
        <f t="shared" si="125"/>
        <v>-2.0792738104168221E-2</v>
      </c>
      <c r="AC507" s="1">
        <f t="shared" si="126"/>
        <v>-8.5583683078367834E-2</v>
      </c>
      <c r="AD507" s="35">
        <f>IF(W507&gt;=FinalAgeForPremium, AE507*Delta-Z507*(Y507-AE507),AE507*Delta+PremiumRevisedForLimitedTerm-Z507*(Y507-AE507))</f>
        <v>-3.6036828524928788E-3</v>
      </c>
      <c r="AE507" s="35">
        <f>AE506-StepSize*AD506</f>
        <v>3.0867427085619643E-2</v>
      </c>
      <c r="AF507" s="1"/>
    </row>
    <row r="508" spans="11:32" x14ac:dyDescent="0.45">
      <c r="K508" s="40">
        <f t="shared" si="127"/>
        <v>4.83</v>
      </c>
      <c r="L508" s="41">
        <f t="shared" si="119"/>
        <v>24.83</v>
      </c>
      <c r="M508">
        <f t="shared" si="128"/>
        <v>0.87708640018850614</v>
      </c>
      <c r="N508">
        <f t="shared" si="129"/>
        <v>0.1229135998114929</v>
      </c>
      <c r="O508">
        <f t="shared" si="120"/>
        <v>8.4976716094013083E-2</v>
      </c>
      <c r="P508">
        <f t="shared" si="121"/>
        <v>0.5</v>
      </c>
      <c r="Q508">
        <f t="shared" si="130"/>
        <v>-1.3075122112992187E-2</v>
      </c>
      <c r="R508" s="6">
        <f t="shared" si="131"/>
        <v>1.3075122112992187E-2</v>
      </c>
      <c r="S508" s="18">
        <f t="shared" si="132"/>
        <v>0.999999999999999</v>
      </c>
      <c r="T508" s="15"/>
      <c r="U508" s="15"/>
      <c r="V508" s="40">
        <f t="shared" si="133"/>
        <v>5.17</v>
      </c>
      <c r="W508" s="41">
        <f t="shared" si="122"/>
        <v>25.17</v>
      </c>
      <c r="X508">
        <f t="shared" si="134"/>
        <v>7.7038873471245595E-3</v>
      </c>
      <c r="Y508">
        <f t="shared" si="135"/>
        <v>1.6702454675665539</v>
      </c>
      <c r="Z508" s="33">
        <f t="shared" si="123"/>
        <v>8.7503405042806084E-2</v>
      </c>
      <c r="AA508" s="33">
        <f t="shared" si="124"/>
        <v>0.5</v>
      </c>
      <c r="AB508">
        <f t="shared" si="125"/>
        <v>-2.0713661229743732E-2</v>
      </c>
      <c r="AC508" s="1">
        <f t="shared" si="126"/>
        <v>-8.5216936511957608E-2</v>
      </c>
      <c r="AD508" s="35">
        <f>IF(W508&gt;=FinalAgeForPremium, AE508*Delta-Z508*(Y508-AE508),AE508*Delta+PremiumRevisedForLimitedTerm-Z508*(Y508-AE508))</f>
        <v>-3.5500046793282836E-3</v>
      </c>
      <c r="AE508" s="35">
        <f>AE507-StepSize*AD507</f>
        <v>3.0903463914144572E-2</v>
      </c>
      <c r="AF508" s="1"/>
    </row>
    <row r="509" spans="11:32" x14ac:dyDescent="0.45">
      <c r="K509" s="40">
        <f t="shared" si="127"/>
        <v>4.84</v>
      </c>
      <c r="L509" s="41">
        <f t="shared" si="119"/>
        <v>24.84</v>
      </c>
      <c r="M509">
        <f t="shared" si="128"/>
        <v>0.87695564896737621</v>
      </c>
      <c r="N509">
        <f t="shared" si="129"/>
        <v>0.12304435103262282</v>
      </c>
      <c r="O509">
        <f t="shared" si="120"/>
        <v>8.5049978633734619E-2</v>
      </c>
      <c r="P509">
        <f t="shared" si="121"/>
        <v>0.5</v>
      </c>
      <c r="Q509">
        <f t="shared" si="130"/>
        <v>-1.3062883691096816E-2</v>
      </c>
      <c r="R509" s="6">
        <f t="shared" si="131"/>
        <v>1.3062883691096816E-2</v>
      </c>
      <c r="S509" s="18">
        <f t="shared" si="132"/>
        <v>0.999999999999999</v>
      </c>
      <c r="T509" s="15"/>
      <c r="U509" s="15"/>
      <c r="V509" s="40">
        <f t="shared" si="133"/>
        <v>5.16</v>
      </c>
      <c r="W509" s="41">
        <f t="shared" si="122"/>
        <v>25.16</v>
      </c>
      <c r="X509">
        <f t="shared" si="134"/>
        <v>7.9110239594219964E-3</v>
      </c>
      <c r="Y509">
        <f t="shared" si="135"/>
        <v>1.6710976369316735</v>
      </c>
      <c r="Z509" s="33">
        <f t="shared" si="123"/>
        <v>8.7428029107494865E-2</v>
      </c>
      <c r="AA509" s="33">
        <f t="shared" si="124"/>
        <v>0.5</v>
      </c>
      <c r="AB509">
        <f t="shared" si="125"/>
        <v>-2.0634382714815033E-2</v>
      </c>
      <c r="AC509" s="1">
        <f t="shared" si="126"/>
        <v>-8.4851811667290611E-2</v>
      </c>
      <c r="AD509" s="35">
        <f>IF(W509&gt;=FinalAgeForPremium, AE509*Delta-Z509*(Y509-AE509),AE509*Delta+PremiumRevisedForLimitedTerm-Z509*(Y509-AE509))</f>
        <v>-3.496062529102173E-3</v>
      </c>
      <c r="AE509" s="35">
        <f>AE508-StepSize*AD508</f>
        <v>3.0938963960937853E-2</v>
      </c>
      <c r="AF509" s="1"/>
    </row>
    <row r="510" spans="11:32" x14ac:dyDescent="0.45">
      <c r="K510" s="40">
        <f t="shared" si="127"/>
        <v>4.8499999999999996</v>
      </c>
      <c r="L510" s="41">
        <f t="shared" si="119"/>
        <v>24.85</v>
      </c>
      <c r="M510">
        <f t="shared" si="128"/>
        <v>0.87682502013046526</v>
      </c>
      <c r="N510">
        <f t="shared" si="129"/>
        <v>0.12317497986953378</v>
      </c>
      <c r="O510">
        <f t="shared" si="120"/>
        <v>8.5123304336637423E-2</v>
      </c>
      <c r="P510">
        <f t="shared" si="121"/>
        <v>0.5</v>
      </c>
      <c r="Q510">
        <f t="shared" si="130"/>
        <v>-1.3050753103776937E-2</v>
      </c>
      <c r="R510" s="6">
        <f t="shared" si="131"/>
        <v>1.3050753103776937E-2</v>
      </c>
      <c r="S510" s="18">
        <f t="shared" si="132"/>
        <v>0.999999999999999</v>
      </c>
      <c r="T510" s="15"/>
      <c r="U510" s="15"/>
      <c r="V510" s="40">
        <f t="shared" si="133"/>
        <v>5.15</v>
      </c>
      <c r="W510" s="41">
        <f t="shared" si="122"/>
        <v>25.15</v>
      </c>
      <c r="X510">
        <f t="shared" si="134"/>
        <v>8.1173677865701462E-3</v>
      </c>
      <c r="Y510">
        <f t="shared" si="135"/>
        <v>1.6719461550483463</v>
      </c>
      <c r="Z510" s="33">
        <f t="shared" si="123"/>
        <v>8.7352718101446958E-2</v>
      </c>
      <c r="AA510" s="33">
        <f t="shared" si="124"/>
        <v>0.5</v>
      </c>
      <c r="AB510">
        <f t="shared" si="125"/>
        <v>-2.055490493607412E-2</v>
      </c>
      <c r="AC510" s="1">
        <f t="shared" si="126"/>
        <v>-8.4488298616694602E-2</v>
      </c>
      <c r="AD510" s="35">
        <f>IF(W510&gt;=FinalAgeForPremium, AE510*Delta-Z510*(Y510-AE510),AE510*Delta+PremiumRevisedForLimitedTerm-Z510*(Y510-AE510))</f>
        <v>-3.4418589563020019E-3</v>
      </c>
      <c r="AE510" s="35">
        <f>AE509-StepSize*AD509</f>
        <v>3.0973924586228874E-2</v>
      </c>
      <c r="AF510" s="1"/>
    </row>
    <row r="511" spans="11:32" x14ac:dyDescent="0.45">
      <c r="K511" s="40">
        <f t="shared" si="127"/>
        <v>4.8600000000000003</v>
      </c>
      <c r="L511" s="41">
        <f t="shared" si="119"/>
        <v>24.86</v>
      </c>
      <c r="M511">
        <f t="shared" si="128"/>
        <v>0.87669451259942754</v>
      </c>
      <c r="N511">
        <f t="shared" si="129"/>
        <v>0.12330548740057155</v>
      </c>
      <c r="O511">
        <f t="shared" si="120"/>
        <v>8.5196693257177575E-2</v>
      </c>
      <c r="P511">
        <f t="shared" si="121"/>
        <v>0.5</v>
      </c>
      <c r="Q511">
        <f t="shared" si="130"/>
        <v>-1.3038729769898456E-2</v>
      </c>
      <c r="R511" s="6">
        <f t="shared" si="131"/>
        <v>1.3038729769898456E-2</v>
      </c>
      <c r="S511" s="18">
        <f t="shared" si="132"/>
        <v>0.99999999999999911</v>
      </c>
      <c r="T511" s="15"/>
      <c r="U511" s="15"/>
      <c r="V511" s="40">
        <f t="shared" si="133"/>
        <v>5.14</v>
      </c>
      <c r="W511" s="41">
        <f t="shared" si="122"/>
        <v>25.14</v>
      </c>
      <c r="X511">
        <f t="shared" si="134"/>
        <v>8.3229168359308867E-3</v>
      </c>
      <c r="Y511">
        <f t="shared" si="135"/>
        <v>1.6727910380345132</v>
      </c>
      <c r="Z511" s="33">
        <f t="shared" si="123"/>
        <v>8.7277471968731909E-2</v>
      </c>
      <c r="AA511" s="33">
        <f t="shared" si="124"/>
        <v>0.5</v>
      </c>
      <c r="AB511">
        <f t="shared" si="125"/>
        <v>-2.0475230251612936E-2</v>
      </c>
      <c r="AC511" s="1">
        <f t="shared" si="126"/>
        <v>-8.4126387498983157E-2</v>
      </c>
      <c r="AD511" s="35">
        <f>IF(W511&gt;=FinalAgeForPremium, AE511*Delta-Z511*(Y511-AE511),AE511*Delta+PremiumRevisedForLimitedTerm-Z511*(Y511-AE511))</f>
        <v>-3.3873964962450598E-3</v>
      </c>
      <c r="AE511" s="35">
        <f>AE510-StepSize*AD510</f>
        <v>3.1008343175791896E-2</v>
      </c>
      <c r="AF511" s="1"/>
    </row>
    <row r="512" spans="11:32" x14ac:dyDescent="0.45">
      <c r="K512" s="40">
        <f t="shared" si="127"/>
        <v>4.87</v>
      </c>
      <c r="L512" s="41">
        <f t="shared" si="119"/>
        <v>24.87</v>
      </c>
      <c r="M512">
        <f t="shared" si="128"/>
        <v>0.87656412530172856</v>
      </c>
      <c r="N512">
        <f t="shared" si="129"/>
        <v>0.12343587469827054</v>
      </c>
      <c r="O512">
        <f t="shared" si="120"/>
        <v>8.5270145449858101E-2</v>
      </c>
      <c r="P512">
        <f t="shared" si="121"/>
        <v>0.5</v>
      </c>
      <c r="Q512">
        <f t="shared" si="130"/>
        <v>-1.3026813111470768E-2</v>
      </c>
      <c r="R512" s="6">
        <f t="shared" si="131"/>
        <v>1.3026813111470768E-2</v>
      </c>
      <c r="S512" s="18">
        <f t="shared" si="132"/>
        <v>0.99999999999999911</v>
      </c>
      <c r="T512" s="15"/>
      <c r="U512" s="15"/>
      <c r="V512" s="40">
        <f t="shared" si="133"/>
        <v>5.13</v>
      </c>
      <c r="W512" s="41">
        <f t="shared" si="122"/>
        <v>25.13</v>
      </c>
      <c r="X512">
        <f t="shared" si="134"/>
        <v>8.5276691384470159E-3</v>
      </c>
      <c r="Y512">
        <f t="shared" si="135"/>
        <v>1.673632301909503</v>
      </c>
      <c r="Z512" s="33">
        <f t="shared" si="123"/>
        <v>8.7202290653467379E-2</v>
      </c>
      <c r="AA512" s="33">
        <f t="shared" si="124"/>
        <v>0.5</v>
      </c>
      <c r="AB512">
        <f t="shared" si="125"/>
        <v>-2.0395361001066675E-2</v>
      </c>
      <c r="AC512" s="1">
        <f t="shared" si="126"/>
        <v>-8.3766068518996928E-2</v>
      </c>
      <c r="AD512" s="35">
        <f>IF(W512&gt;=FinalAgeForPremium, AE512*Delta-Z512*(Y512-AE512),AE512*Delta+PremiumRevisedForLimitedTerm-Z512*(Y512-AE512))</f>
        <v>-3.3326776652237988E-3</v>
      </c>
      <c r="AE512" s="35">
        <f>AE511-StepSize*AD511</f>
        <v>3.1042217140754346E-2</v>
      </c>
      <c r="AF512" s="1"/>
    </row>
    <row r="513" spans="11:32" x14ac:dyDescent="0.45">
      <c r="K513" s="40">
        <f t="shared" si="127"/>
        <v>4.88</v>
      </c>
      <c r="L513" s="41">
        <f t="shared" si="119"/>
        <v>24.88</v>
      </c>
      <c r="M513">
        <f t="shared" si="128"/>
        <v>0.87643385717061384</v>
      </c>
      <c r="N513">
        <f t="shared" si="129"/>
        <v>0.12356614282938524</v>
      </c>
      <c r="O513">
        <f t="shared" si="120"/>
        <v>8.5343660969228921E-2</v>
      </c>
      <c r="P513">
        <f t="shared" si="121"/>
        <v>0.5</v>
      </c>
      <c r="Q513">
        <f t="shared" si="130"/>
        <v>-1.3015002553629848E-2</v>
      </c>
      <c r="R513" s="6">
        <f t="shared" si="131"/>
        <v>1.3015002553629848E-2</v>
      </c>
      <c r="S513" s="18">
        <f t="shared" si="132"/>
        <v>0.99999999999999911</v>
      </c>
      <c r="T513" s="15"/>
      <c r="U513" s="15"/>
      <c r="V513" s="40">
        <f t="shared" si="133"/>
        <v>5.12</v>
      </c>
      <c r="W513" s="41">
        <f t="shared" si="122"/>
        <v>25.12</v>
      </c>
      <c r="X513">
        <f t="shared" si="134"/>
        <v>8.7316227484576826E-3</v>
      </c>
      <c r="Y513">
        <f t="shared" si="135"/>
        <v>1.6744699625946928</v>
      </c>
      <c r="Z513" s="33">
        <f t="shared" si="123"/>
        <v>8.7127174099819363E-2</v>
      </c>
      <c r="AA513" s="33">
        <f t="shared" si="124"/>
        <v>0.5</v>
      </c>
      <c r="AB513">
        <f t="shared" si="125"/>
        <v>-2.0315299505756446E-2</v>
      </c>
      <c r="AC513" s="1">
        <f t="shared" si="126"/>
        <v>-8.3407331947147778E-2</v>
      </c>
      <c r="AD513" s="35">
        <f>IF(W513&gt;=FinalAgeForPremium, AE513*Delta-Z513*(Y513-AE513),AE513*Delta+PremiumRevisedForLimitedTerm-Z513*(Y513-AE513))</f>
        <v>-3.2777049606504682E-3</v>
      </c>
      <c r="AE513" s="35">
        <f>AE512-StepSize*AD512</f>
        <v>3.1075543917406585E-2</v>
      </c>
      <c r="AF513" s="1"/>
    </row>
    <row r="514" spans="11:32" x14ac:dyDescent="0.45">
      <c r="K514" s="40">
        <f t="shared" si="127"/>
        <v>4.8899999999999997</v>
      </c>
      <c r="L514" s="41">
        <f t="shared" si="119"/>
        <v>24.89</v>
      </c>
      <c r="M514">
        <f t="shared" si="128"/>
        <v>0.87630370714507755</v>
      </c>
      <c r="N514">
        <f t="shared" si="129"/>
        <v>0.12369629285492155</v>
      </c>
      <c r="O514">
        <f t="shared" si="120"/>
        <v>8.5417239869887057E-2</v>
      </c>
      <c r="P514">
        <f t="shared" si="121"/>
        <v>0.5</v>
      </c>
      <c r="Q514">
        <f t="shared" si="130"/>
        <v>-1.3003297524621572E-2</v>
      </c>
      <c r="R514" s="6">
        <f t="shared" si="131"/>
        <v>1.3003297524621572E-2</v>
      </c>
      <c r="S514" s="18">
        <f t="shared" si="132"/>
        <v>0.99999999999999911</v>
      </c>
      <c r="T514" s="15"/>
      <c r="U514" s="15"/>
      <c r="V514" s="40">
        <f t="shared" si="133"/>
        <v>5.1100000000000003</v>
      </c>
      <c r="W514" s="41">
        <f t="shared" si="122"/>
        <v>25.11</v>
      </c>
      <c r="X514">
        <f t="shared" si="134"/>
        <v>8.9347757435152466E-3</v>
      </c>
      <c r="Y514">
        <f t="shared" si="135"/>
        <v>1.6753040359141642</v>
      </c>
      <c r="Z514" s="33">
        <f t="shared" si="123"/>
        <v>8.7052122252001762E-2</v>
      </c>
      <c r="AA514" s="33">
        <f t="shared" si="124"/>
        <v>0.5</v>
      </c>
      <c r="AB514">
        <f t="shared" si="125"/>
        <v>-2.0235048068829642E-2</v>
      </c>
      <c r="AC514" s="1">
        <f t="shared" si="126"/>
        <v>-8.305016811896726E-2</v>
      </c>
      <c r="AD514" s="35">
        <f>IF(W514&gt;=FinalAgeForPremium, AE514*Delta-Z514*(Y514-AE514),AE514*Delta+PremiumRevisedForLimitedTerm-Z514*(Y514-AE514))</f>
        <v>-3.2224808611996392E-3</v>
      </c>
      <c r="AE514" s="35">
        <f>AE513-StepSize*AD513</f>
        <v>3.1108320967013089E-2</v>
      </c>
      <c r="AF514" s="1"/>
    </row>
    <row r="515" spans="11:32" x14ac:dyDescent="0.45">
      <c r="K515" s="40">
        <f t="shared" si="127"/>
        <v>4.9000000000000004</v>
      </c>
      <c r="L515" s="41">
        <f t="shared" si="119"/>
        <v>24.9</v>
      </c>
      <c r="M515">
        <f t="shared" si="128"/>
        <v>0.87617367416983138</v>
      </c>
      <c r="N515">
        <f t="shared" si="129"/>
        <v>0.12382632583016777</v>
      </c>
      <c r="O515">
        <f t="shared" si="120"/>
        <v>8.5490882206476576E-2</v>
      </c>
      <c r="P515">
        <f t="shared" si="121"/>
        <v>0.5</v>
      </c>
      <c r="Q515">
        <f t="shared" si="130"/>
        <v>-1.2991697455784955E-2</v>
      </c>
      <c r="R515" s="6">
        <f t="shared" si="131"/>
        <v>1.2991697455784955E-2</v>
      </c>
      <c r="S515" s="18">
        <f t="shared" si="132"/>
        <v>0.99999999999999911</v>
      </c>
      <c r="T515" s="15"/>
      <c r="U515" s="15"/>
      <c r="V515" s="40">
        <f t="shared" si="133"/>
        <v>5.0999999999999996</v>
      </c>
      <c r="W515" s="41">
        <f t="shared" si="122"/>
        <v>25.1</v>
      </c>
      <c r="X515">
        <f t="shared" si="134"/>
        <v>9.1371262242035435E-3</v>
      </c>
      <c r="Y515">
        <f t="shared" si="135"/>
        <v>1.6761345375953538</v>
      </c>
      <c r="Z515" s="33">
        <f t="shared" si="123"/>
        <v>8.6977135054276608E-2</v>
      </c>
      <c r="AA515" s="33">
        <f t="shared" si="124"/>
        <v>0.5</v>
      </c>
      <c r="AB515">
        <f t="shared" si="125"/>
        <v>-2.0154608975400209E-2</v>
      </c>
      <c r="AC515" s="1">
        <f t="shared" si="126"/>
        <v>-8.2694567434657085E-2</v>
      </c>
      <c r="AD515" s="35">
        <f>IF(W515&gt;=FinalAgeForPremium, AE515*Delta-Z515*(Y515-AE515),AE515*Delta+PremiumRevisedForLimitedTerm-Z515*(Y515-AE515))</f>
        <v>-3.167007826950341E-3</v>
      </c>
      <c r="AE515" s="35">
        <f>AE514-StepSize*AD514</f>
        <v>3.1140545775625087E-2</v>
      </c>
      <c r="AF515" s="1"/>
    </row>
    <row r="516" spans="11:32" x14ac:dyDescent="0.45">
      <c r="K516" s="40">
        <f t="shared" si="127"/>
        <v>4.91</v>
      </c>
      <c r="L516" s="41">
        <f t="shared" si="119"/>
        <v>24.91</v>
      </c>
      <c r="M516">
        <f t="shared" si="128"/>
        <v>0.8760437571952735</v>
      </c>
      <c r="N516">
        <f t="shared" si="129"/>
        <v>0.12395624280472561</v>
      </c>
      <c r="O516">
        <f t="shared" si="120"/>
        <v>8.5564588033688715E-2</v>
      </c>
      <c r="P516">
        <f t="shared" si="121"/>
        <v>0.5</v>
      </c>
      <c r="Q516">
        <f t="shared" si="130"/>
        <v>-1.2980201781535597E-2</v>
      </c>
      <c r="R516" s="6">
        <f t="shared" si="131"/>
        <v>1.2980201781535597E-2</v>
      </c>
      <c r="S516" s="18">
        <f t="shared" si="132"/>
        <v>0.99999999999999911</v>
      </c>
      <c r="T516" s="15"/>
      <c r="U516" s="15"/>
      <c r="V516" s="40">
        <f t="shared" si="133"/>
        <v>5.09</v>
      </c>
      <c r="W516" s="41">
        <f t="shared" si="122"/>
        <v>25.09</v>
      </c>
      <c r="X516">
        <f t="shared" si="134"/>
        <v>9.338672313957545E-3</v>
      </c>
      <c r="Y516">
        <f t="shared" si="135"/>
        <v>1.6769614832697004</v>
      </c>
      <c r="Z516" s="33">
        <f t="shared" si="123"/>
        <v>8.690221245095392E-2</v>
      </c>
      <c r="AA516" s="33">
        <f t="shared" si="124"/>
        <v>0.5</v>
      </c>
      <c r="AB516">
        <f t="shared" si="125"/>
        <v>-2.0073984492687408E-2</v>
      </c>
      <c r="AC516" s="1">
        <f t="shared" si="126"/>
        <v>-8.2340520358643476E-2</v>
      </c>
      <c r="AD516" s="35">
        <f>IF(W516&gt;=FinalAgeForPremium, AE516*Delta-Z516*(Y516-AE516),AE516*Delta+PremiumRevisedForLimitedTerm-Z516*(Y516-AE516))</f>
        <v>-3.1112882995268931E-3</v>
      </c>
      <c r="AE516" s="35">
        <f>AE515-StepSize*AD515</f>
        <v>3.117221585389459E-2</v>
      </c>
      <c r="AF516" s="1"/>
    </row>
    <row r="517" spans="11:32" x14ac:dyDescent="0.45">
      <c r="K517" s="40">
        <f t="shared" si="127"/>
        <v>4.92</v>
      </c>
      <c r="L517" s="41">
        <f t="shared" si="119"/>
        <v>24.92</v>
      </c>
      <c r="M517">
        <f t="shared" si="128"/>
        <v>0.87591395517745818</v>
      </c>
      <c r="N517">
        <f t="shared" si="129"/>
        <v>0.12408604482254097</v>
      </c>
      <c r="O517">
        <f t="shared" si="120"/>
        <v>8.5638357406261731E-2</v>
      </c>
      <c r="P517">
        <f t="shared" si="121"/>
        <v>0.5</v>
      </c>
      <c r="Q517">
        <f t="shared" si="130"/>
        <v>-1.2968809939348992E-2</v>
      </c>
      <c r="R517" s="6">
        <f t="shared" si="131"/>
        <v>1.2968809939348992E-2</v>
      </c>
      <c r="S517" s="18">
        <f t="shared" si="132"/>
        <v>0.99999999999999911</v>
      </c>
      <c r="T517" s="15"/>
      <c r="U517" s="15"/>
      <c r="V517" s="40">
        <f t="shared" si="133"/>
        <v>5.08</v>
      </c>
      <c r="W517" s="41">
        <f t="shared" si="122"/>
        <v>25.08</v>
      </c>
      <c r="X517">
        <f t="shared" si="134"/>
        <v>9.5394121588844184E-3</v>
      </c>
      <c r="Y517">
        <f t="shared" si="135"/>
        <v>1.6777848884732869</v>
      </c>
      <c r="Z517" s="33">
        <f t="shared" si="123"/>
        <v>8.6827354386391775E-2</v>
      </c>
      <c r="AA517" s="33">
        <f t="shared" si="124"/>
        <v>0.5</v>
      </c>
      <c r="AB517">
        <f t="shared" si="125"/>
        <v>-1.9993176870153687E-2</v>
      </c>
      <c r="AC517" s="1">
        <f t="shared" si="126"/>
        <v>-8.1988017419134418E-2</v>
      </c>
      <c r="AD517" s="35">
        <f>IF(W517&gt;=FinalAgeForPremium, AE517*Delta-Z517*(Y517-AE517),AE517*Delta+PremiumRevisedForLimitedTerm-Z517*(Y517-AE517))</f>
        <v>-3.0553247022388208E-3</v>
      </c>
      <c r="AE517" s="35">
        <f>AE516-StepSize*AD516</f>
        <v>3.1203328736889861E-2</v>
      </c>
      <c r="AF517" s="1"/>
    </row>
    <row r="518" spans="11:32" x14ac:dyDescent="0.45">
      <c r="K518" s="40">
        <f t="shared" si="127"/>
        <v>4.93</v>
      </c>
      <c r="L518" s="41">
        <f t="shared" si="119"/>
        <v>24.93</v>
      </c>
      <c r="M518">
        <f t="shared" si="128"/>
        <v>0.87578426707806467</v>
      </c>
      <c r="N518">
        <f t="shared" si="129"/>
        <v>0.12421573292193447</v>
      </c>
      <c r="O518">
        <f t="shared" si="120"/>
        <v>8.5712190378981201E-2</v>
      </c>
      <c r="P518">
        <f t="shared" si="121"/>
        <v>0.5</v>
      </c>
      <c r="Q518">
        <f t="shared" si="130"/>
        <v>-1.295752136974436E-2</v>
      </c>
      <c r="R518" s="6">
        <f t="shared" si="131"/>
        <v>1.295752136974436E-2</v>
      </c>
      <c r="S518" s="18">
        <f t="shared" si="132"/>
        <v>0.99999999999999911</v>
      </c>
      <c r="T518" s="15"/>
      <c r="U518" s="15"/>
      <c r="V518" s="40">
        <f t="shared" si="133"/>
        <v>5.07</v>
      </c>
      <c r="W518" s="41">
        <f t="shared" si="122"/>
        <v>25.07</v>
      </c>
      <c r="X518">
        <f t="shared" si="134"/>
        <v>9.7393439275859552E-3</v>
      </c>
      <c r="Y518">
        <f t="shared" si="135"/>
        <v>1.6786047686474783</v>
      </c>
      <c r="Z518" s="33">
        <f t="shared" si="123"/>
        <v>8.6752560804996076E-2</v>
      </c>
      <c r="AA518" s="33">
        <f t="shared" si="124"/>
        <v>0.5</v>
      </c>
      <c r="AB518">
        <f t="shared" si="125"/>
        <v>-1.9912188339641118E-2</v>
      </c>
      <c r="AC518" s="1">
        <f t="shared" si="126"/>
        <v>-8.163704920767989E-2</v>
      </c>
      <c r="AD518" s="35">
        <f>IF(W518&gt;=FinalAgeForPremium, AE518*Delta-Z518*(Y518-AE518),AE518*Delta+PremiumRevisedForLimitedTerm-Z518*(Y518-AE518))</f>
        <v>-2.999119440219189E-3</v>
      </c>
      <c r="AE518" s="35">
        <f>AE517-StepSize*AD517</f>
        <v>3.1233881983912248E-2</v>
      </c>
      <c r="AF518" s="1"/>
    </row>
    <row r="519" spans="11:32" x14ac:dyDescent="0.45">
      <c r="K519" s="40">
        <f t="shared" si="127"/>
        <v>4.9400000000000004</v>
      </c>
      <c r="L519" s="41">
        <f t="shared" si="119"/>
        <v>24.94</v>
      </c>
      <c r="M519">
        <f t="shared" si="128"/>
        <v>0.87565469186436717</v>
      </c>
      <c r="N519">
        <f t="shared" si="129"/>
        <v>0.12434530813563191</v>
      </c>
      <c r="O519">
        <f t="shared" si="120"/>
        <v>8.5786087006679904E-2</v>
      </c>
      <c r="P519">
        <f t="shared" si="121"/>
        <v>0.5</v>
      </c>
      <c r="Q519">
        <f t="shared" si="130"/>
        <v>-1.2946335516268129E-2</v>
      </c>
      <c r="R519" s="6">
        <f t="shared" si="131"/>
        <v>1.2946335516268129E-2</v>
      </c>
      <c r="S519" s="18">
        <f t="shared" si="132"/>
        <v>0.99999999999999911</v>
      </c>
      <c r="T519" s="15"/>
      <c r="U519" s="15"/>
      <c r="V519" s="40">
        <f t="shared" si="133"/>
        <v>5.0599999999999996</v>
      </c>
      <c r="W519" s="41">
        <f t="shared" si="122"/>
        <v>25.06</v>
      </c>
      <c r="X519">
        <f t="shared" si="134"/>
        <v>9.9384658109823668E-3</v>
      </c>
      <c r="Y519">
        <f t="shared" si="135"/>
        <v>1.679421139139555</v>
      </c>
      <c r="Z519" s="33">
        <f t="shared" si="123"/>
        <v>8.6677831651220616E-2</v>
      </c>
      <c r="AA519" s="33">
        <f t="shared" si="124"/>
        <v>0.5</v>
      </c>
      <c r="AB519">
        <f t="shared" si="125"/>
        <v>-1.9831021115506983E-2</v>
      </c>
      <c r="AC519" s="1">
        <f t="shared" si="126"/>
        <v>-8.1287606378735888E-2</v>
      </c>
      <c r="AD519" s="35">
        <f>IF(W519&gt;=FinalAgeForPremium, AE519*Delta-Z519*(Y519-AE519),AE519*Delta+PremiumRevisedForLimitedTerm-Z519*(Y519-AE519))</f>
        <v>-2.9426749005622144E-3</v>
      </c>
      <c r="AE519" s="35">
        <f>AE518-StepSize*AD518</f>
        <v>3.1263873178314437E-2</v>
      </c>
      <c r="AF519" s="1"/>
    </row>
    <row r="520" spans="11:32" x14ac:dyDescent="0.45">
      <c r="K520" s="40">
        <f t="shared" si="127"/>
        <v>4.95</v>
      </c>
      <c r="L520" s="41">
        <f t="shared" si="119"/>
        <v>24.95</v>
      </c>
      <c r="M520">
        <f t="shared" si="128"/>
        <v>0.87552522850920445</v>
      </c>
      <c r="N520">
        <f t="shared" si="129"/>
        <v>0.1244747714907946</v>
      </c>
      <c r="O520">
        <f t="shared" si="120"/>
        <v>8.5860047344237855E-2</v>
      </c>
      <c r="P520">
        <f t="shared" si="121"/>
        <v>0.5</v>
      </c>
      <c r="Q520">
        <f t="shared" si="130"/>
        <v>-1.293525182547766E-2</v>
      </c>
      <c r="R520" s="6">
        <f t="shared" si="131"/>
        <v>1.293525182547766E-2</v>
      </c>
      <c r="S520" s="18">
        <f t="shared" si="132"/>
        <v>0.999999999999999</v>
      </c>
      <c r="T520" s="15"/>
      <c r="U520" s="15"/>
      <c r="V520" s="40">
        <f t="shared" si="133"/>
        <v>5.05</v>
      </c>
      <c r="W520" s="41">
        <f t="shared" si="122"/>
        <v>25.05</v>
      </c>
      <c r="X520">
        <f t="shared" si="134"/>
        <v>1.0136776022137436E-2</v>
      </c>
      <c r="Y520">
        <f t="shared" si="135"/>
        <v>1.6802340152033424</v>
      </c>
      <c r="Z520" s="33">
        <f t="shared" si="123"/>
        <v>8.660316686956715E-2</v>
      </c>
      <c r="AA520" s="33">
        <f t="shared" si="124"/>
        <v>0.5</v>
      </c>
      <c r="AB520">
        <f t="shared" si="125"/>
        <v>-1.9749677394758774E-2</v>
      </c>
      <c r="AC520" s="1">
        <f t="shared" si="126"/>
        <v>-8.0939679649230434E-2</v>
      </c>
      <c r="AD520" s="35">
        <f>IF(W520&gt;=FinalAgeForPremium, AE520*Delta-Z520*(Y520-AE520),AE520*Delta+PremiumRevisedForLimitedTerm-Z520*(Y520-AE520))</f>
        <v>-2.8859934524602116E-3</v>
      </c>
      <c r="AE520" s="35">
        <f>AE519-StepSize*AD519</f>
        <v>3.1293299927320058E-2</v>
      </c>
      <c r="AF520" s="1"/>
    </row>
    <row r="521" spans="11:32" x14ac:dyDescent="0.45">
      <c r="K521" s="40">
        <f t="shared" si="127"/>
        <v>4.96</v>
      </c>
      <c r="L521" s="41">
        <f t="shared" si="119"/>
        <v>24.96</v>
      </c>
      <c r="M521">
        <f t="shared" si="128"/>
        <v>0.8753958759909497</v>
      </c>
      <c r="N521">
        <f t="shared" si="129"/>
        <v>0.12460412400904937</v>
      </c>
      <c r="O521">
        <f t="shared" si="120"/>
        <v>8.5934071446582383E-2</v>
      </c>
      <c r="P521">
        <f t="shared" si="121"/>
        <v>0.5</v>
      </c>
      <c r="Q521">
        <f t="shared" si="130"/>
        <v>-1.2924269746925156E-2</v>
      </c>
      <c r="R521" s="6">
        <f t="shared" si="131"/>
        <v>1.2924269746925156E-2</v>
      </c>
      <c r="S521" s="18">
        <f t="shared" si="132"/>
        <v>0.99999999999999911</v>
      </c>
      <c r="T521" s="15"/>
      <c r="U521" s="15"/>
      <c r="V521" s="40">
        <f t="shared" si="133"/>
        <v>5.04</v>
      </c>
      <c r="W521" s="41">
        <f t="shared" si="122"/>
        <v>25.04</v>
      </c>
      <c r="X521">
        <f t="shared" si="134"/>
        <v>1.0334272796085025E-2</v>
      </c>
      <c r="Y521">
        <f t="shared" si="135"/>
        <v>1.6810434119998348</v>
      </c>
      <c r="Z521" s="33">
        <f t="shared" si="123"/>
        <v>8.652856640458513E-2</v>
      </c>
      <c r="AA521" s="33">
        <f t="shared" si="124"/>
        <v>0.5</v>
      </c>
      <c r="AB521">
        <f t="shared" si="125"/>
        <v>-1.9668159357186993E-2</v>
      </c>
      <c r="AC521" s="1">
        <f t="shared" si="126"/>
        <v>-8.0593259798133476E-2</v>
      </c>
      <c r="AD521" s="35">
        <f>IF(W521&gt;=FinalAgeForPremium, AE521*Delta-Z521*(Y521-AE521),AE521*Delta+PremiumRevisedForLimitedTerm-Z521*(Y521-AE521))</f>
        <v>-2.8290774473386238E-3</v>
      </c>
      <c r="AE521" s="35">
        <f>AE520-StepSize*AD520</f>
        <v>3.132215986184466E-2</v>
      </c>
      <c r="AF521" s="1"/>
    </row>
    <row r="522" spans="11:32" x14ac:dyDescent="0.45">
      <c r="K522" s="40">
        <f t="shared" si="127"/>
        <v>4.97</v>
      </c>
      <c r="L522" s="41">
        <f t="shared" si="119"/>
        <v>24.97</v>
      </c>
      <c r="M522">
        <f t="shared" si="128"/>
        <v>0.87526663329348042</v>
      </c>
      <c r="N522">
        <f t="shared" si="129"/>
        <v>0.12473336670651862</v>
      </c>
      <c r="O522">
        <f t="shared" si="120"/>
        <v>8.6008159368688233E-2</v>
      </c>
      <c r="P522">
        <f t="shared" si="121"/>
        <v>0.5</v>
      </c>
      <c r="Q522">
        <f t="shared" si="130"/>
        <v>-1.2913388733141552E-2</v>
      </c>
      <c r="R522" s="6">
        <f t="shared" si="131"/>
        <v>1.2913388733141552E-2</v>
      </c>
      <c r="S522" s="18">
        <f t="shared" si="132"/>
        <v>0.999999999999999</v>
      </c>
      <c r="T522" s="15"/>
      <c r="U522" s="15"/>
      <c r="V522" s="40">
        <f t="shared" si="133"/>
        <v>5.03</v>
      </c>
      <c r="W522" s="41">
        <f t="shared" si="122"/>
        <v>25.03</v>
      </c>
      <c r="X522">
        <f t="shared" si="134"/>
        <v>1.0530954389656894E-2</v>
      </c>
      <c r="Y522">
        <f t="shared" si="135"/>
        <v>1.681849344597816</v>
      </c>
      <c r="Z522" s="33">
        <f t="shared" si="123"/>
        <v>8.6454030200871779E-2</v>
      </c>
      <c r="AA522" s="33">
        <f t="shared" si="124"/>
        <v>0.5</v>
      </c>
      <c r="AB522">
        <f t="shared" si="125"/>
        <v>-1.9586469165498097E-2</v>
      </c>
      <c r="AC522" s="1">
        <f t="shared" si="126"/>
        <v>-8.0248337666029568E-2</v>
      </c>
      <c r="AD522" s="35">
        <f>IF(W522&gt;=FinalAgeForPremium, AE522*Delta-Z522*(Y522-AE522),AE522*Delta+PremiumRevisedForLimitedTerm-Z522*(Y522-AE522))</f>
        <v>-2.7719292189903599E-3</v>
      </c>
      <c r="AE522" s="35">
        <f>AE521-StepSize*AD521</f>
        <v>3.1350450636318049E-2</v>
      </c>
      <c r="AF522" s="1"/>
    </row>
    <row r="523" spans="11:32" x14ac:dyDescent="0.45">
      <c r="K523" s="40">
        <f t="shared" si="127"/>
        <v>4.9800000000000004</v>
      </c>
      <c r="L523" s="41">
        <f t="shared" si="119"/>
        <v>24.98</v>
      </c>
      <c r="M523">
        <f t="shared" si="128"/>
        <v>0.87513749940614904</v>
      </c>
      <c r="N523">
        <f t="shared" si="129"/>
        <v>0.12486250059385004</v>
      </c>
      <c r="O523">
        <f t="shared" si="120"/>
        <v>8.6082311165577532E-2</v>
      </c>
      <c r="P523">
        <f t="shared" si="121"/>
        <v>0.5</v>
      </c>
      <c r="Q523">
        <f t="shared" si="130"/>
        <v>-1.2902608239620528E-2</v>
      </c>
      <c r="R523" s="6">
        <f t="shared" si="131"/>
        <v>1.2902608239620528E-2</v>
      </c>
      <c r="S523" s="18">
        <f t="shared" si="132"/>
        <v>0.99999999999999911</v>
      </c>
      <c r="T523" s="15"/>
      <c r="U523" s="15"/>
      <c r="V523" s="40">
        <f t="shared" si="133"/>
        <v>5.0199999999999996</v>
      </c>
      <c r="W523" s="41">
        <f t="shared" si="122"/>
        <v>25.02</v>
      </c>
      <c r="X523">
        <f t="shared" si="134"/>
        <v>1.0726819081311874E-2</v>
      </c>
      <c r="Y523">
        <f t="shared" si="135"/>
        <v>1.6826518279744762</v>
      </c>
      <c r="Z523" s="33">
        <f t="shared" si="123"/>
        <v>8.6379558203072068E-2</v>
      </c>
      <c r="AA523" s="33">
        <f t="shared" si="124"/>
        <v>0.5</v>
      </c>
      <c r="AB523">
        <f t="shared" si="125"/>
        <v>-1.9504608965445605E-2</v>
      </c>
      <c r="AC523" s="1">
        <f t="shared" si="126"/>
        <v>-7.9904904154693979E-2</v>
      </c>
      <c r="AD523" s="35">
        <f>IF(W523&gt;=FinalAgeForPremium, AE523*Delta-Z523*(Y523-AE523),AE523*Delta+PremiumRevisedForLimitedTerm-Z523*(Y523-AE523))</f>
        <v>-2.7145510837094933E-3</v>
      </c>
      <c r="AE523" s="35">
        <f>AE522-StepSize*AD522</f>
        <v>3.1378169928507955E-2</v>
      </c>
      <c r="AF523" s="1"/>
    </row>
    <row r="524" spans="11:32" x14ac:dyDescent="0.45">
      <c r="K524" s="40">
        <f t="shared" si="127"/>
        <v>4.99</v>
      </c>
      <c r="L524" s="41">
        <f t="shared" si="119"/>
        <v>24.990000000000002</v>
      </c>
      <c r="M524">
        <f t="shared" si="128"/>
        <v>0.87500847332375287</v>
      </c>
      <c r="N524">
        <f t="shared" si="129"/>
        <v>0.12499152667624625</v>
      </c>
      <c r="O524">
        <f t="shared" si="120"/>
        <v>8.6156526892319771E-2</v>
      </c>
      <c r="P524">
        <f t="shared" si="121"/>
        <v>0.5</v>
      </c>
      <c r="Q524">
        <f t="shared" si="130"/>
        <v>-1.2891927724802452E-2</v>
      </c>
      <c r="R524" s="6">
        <f t="shared" si="131"/>
        <v>1.2891927724802452E-2</v>
      </c>
      <c r="S524" s="18">
        <f t="shared" si="132"/>
        <v>0.99999999999999911</v>
      </c>
      <c r="T524" s="15"/>
      <c r="U524" s="15"/>
      <c r="V524" s="40">
        <f t="shared" si="133"/>
        <v>5.01</v>
      </c>
      <c r="W524" s="41">
        <f t="shared" si="122"/>
        <v>25.009999999999998</v>
      </c>
      <c r="X524">
        <f t="shared" si="134"/>
        <v>1.0921865170966331E-2</v>
      </c>
      <c r="Y524">
        <f t="shared" si="135"/>
        <v>1.6834508770160233</v>
      </c>
      <c r="Z524" s="33">
        <f t="shared" si="123"/>
        <v>8.6305150355878713E-2</v>
      </c>
      <c r="AA524" s="33">
        <f t="shared" si="124"/>
        <v>0.5</v>
      </c>
      <c r="AB524">
        <f t="shared" si="125"/>
        <v>-1.9422580885960897E-2</v>
      </c>
      <c r="AC524" s="1">
        <f t="shared" si="126"/>
        <v>-7.956295022667037E-2</v>
      </c>
      <c r="AD524" s="35">
        <f>IF(W524&gt;=FinalAgeForPremium, AE524*Delta-Z524*(Y524-AE524),AE524*Delta+PremiumRevisedForLimitedTerm-Z524*(Y524-AE524))</f>
        <v>-2.6569453404235166E-3</v>
      </c>
      <c r="AE524" s="35">
        <f>AE523-StepSize*AD523</f>
        <v>3.140531543934505E-2</v>
      </c>
      <c r="AF524" s="1"/>
    </row>
    <row r="525" spans="11:32" x14ac:dyDescent="0.45">
      <c r="K525" s="40">
        <f t="shared" si="127"/>
        <v>5</v>
      </c>
      <c r="L525" s="41">
        <f t="shared" si="119"/>
        <v>25</v>
      </c>
      <c r="M525">
        <f t="shared" si="128"/>
        <v>0.87487955404650486</v>
      </c>
      <c r="N525">
        <f t="shared" si="129"/>
        <v>0.12512044595349428</v>
      </c>
      <c r="O525">
        <f t="shared" si="120"/>
        <v>8.6230806604031929E-2</v>
      </c>
      <c r="P525">
        <f t="shared" si="121"/>
        <v>0.5</v>
      </c>
      <c r="Q525">
        <f t="shared" si="130"/>
        <v>-1.2881346650058717E-2</v>
      </c>
      <c r="R525" s="6">
        <f t="shared" si="131"/>
        <v>1.2881346650058717E-2</v>
      </c>
      <c r="S525" s="18">
        <f t="shared" si="132"/>
        <v>0.99999999999999911</v>
      </c>
      <c r="T525" s="15"/>
      <c r="U525" s="15"/>
      <c r="V525" s="40">
        <f t="shared" si="133"/>
        <v>5</v>
      </c>
      <c r="W525" s="41">
        <f t="shared" si="122"/>
        <v>25</v>
      </c>
      <c r="X525">
        <f t="shared" si="134"/>
        <v>1.1116090979825939E-2</v>
      </c>
      <c r="Y525">
        <f t="shared" si="135"/>
        <v>1.6842465065182899</v>
      </c>
      <c r="Z525" s="33">
        <f t="shared" si="123"/>
        <v>8.6230806604031929E-2</v>
      </c>
      <c r="AA525" s="33">
        <f t="shared" si="124"/>
        <v>0.5</v>
      </c>
      <c r="AB525">
        <f t="shared" si="125"/>
        <v>-1.9340387039281898E-2</v>
      </c>
      <c r="AC525" s="1">
        <f t="shared" si="126"/>
        <v>-7.9222466904853572E-2</v>
      </c>
      <c r="AD525" s="35">
        <f>IF(W525&gt;=FinalAgeForPremium, AE525*Delta-Z525*(Y525-AE525),AE525*Delta+PremiumRevisedForLimitedTerm-Z525*(Y525-AE525))</f>
        <v>-2.5991142708242099E-3</v>
      </c>
      <c r="AE525" s="35">
        <f>AE524-StepSize*AD524</f>
        <v>3.1431884892749284E-2</v>
      </c>
      <c r="AF525" s="1"/>
    </row>
    <row r="526" spans="11:32" x14ac:dyDescent="0.45">
      <c r="K526" s="40">
        <f t="shared" si="127"/>
        <v>5.01</v>
      </c>
      <c r="L526" s="41">
        <f t="shared" si="119"/>
        <v>25.009999999999998</v>
      </c>
      <c r="M526">
        <f t="shared" si="128"/>
        <v>0.87475074058000424</v>
      </c>
      <c r="N526">
        <f t="shared" si="129"/>
        <v>0.12524925941999487</v>
      </c>
      <c r="O526">
        <f t="shared" si="120"/>
        <v>8.6305150355878713E-2</v>
      </c>
      <c r="P526">
        <f t="shared" si="121"/>
        <v>0.5</v>
      </c>
      <c r="Q526">
        <f t="shared" si="130"/>
        <v>-1.2870864479676086E-2</v>
      </c>
      <c r="R526" s="6">
        <f t="shared" si="131"/>
        <v>1.2870864479676086E-2</v>
      </c>
      <c r="S526" s="18">
        <f t="shared" si="132"/>
        <v>0.99999999999999911</v>
      </c>
      <c r="T526" s="15"/>
      <c r="U526" s="15"/>
      <c r="V526" s="40">
        <f t="shared" si="133"/>
        <v>4.99</v>
      </c>
      <c r="W526" s="41">
        <f t="shared" si="122"/>
        <v>24.990000000000002</v>
      </c>
      <c r="X526">
        <f t="shared" si="134"/>
        <v>1.1309494850218758E-2</v>
      </c>
      <c r="Y526">
        <f t="shared" si="135"/>
        <v>1.6850387311873385</v>
      </c>
      <c r="Z526" s="33">
        <f t="shared" si="123"/>
        <v>8.6156526892319771E-2</v>
      </c>
      <c r="AA526" s="33">
        <f t="shared" si="124"/>
        <v>0.5</v>
      </c>
      <c r="AB526">
        <f t="shared" si="125"/>
        <v>-1.9258029521082271E-2</v>
      </c>
      <c r="AC526" s="1">
        <f t="shared" si="126"/>
        <v>-7.8883445272073249E-2</v>
      </c>
      <c r="AD526" s="35">
        <f>IF(W526&gt;=FinalAgeForPremium, AE526*Delta-Z526*(Y526-AE526),AE526*Delta+PremiumRevisedForLimitedTerm-Z526*(Y526-AE526))</f>
        <v>-2.5410601394987298E-3</v>
      </c>
      <c r="AE526" s="35">
        <f>AE525-StepSize*AD525</f>
        <v>3.1457876035457528E-2</v>
      </c>
      <c r="AF526" s="1"/>
    </row>
    <row r="527" spans="11:32" x14ac:dyDescent="0.45">
      <c r="K527" s="40">
        <f t="shared" si="127"/>
        <v>5.0199999999999996</v>
      </c>
      <c r="L527" s="41">
        <f t="shared" si="119"/>
        <v>25.02</v>
      </c>
      <c r="M527">
        <f t="shared" si="128"/>
        <v>0.87462203193520749</v>
      </c>
      <c r="N527">
        <f t="shared" si="129"/>
        <v>0.12537796806479162</v>
      </c>
      <c r="O527">
        <f t="shared" si="120"/>
        <v>8.6379558203072068E-2</v>
      </c>
      <c r="P527">
        <f t="shared" si="121"/>
        <v>0.5</v>
      </c>
      <c r="Q527">
        <f t="shared" si="130"/>
        <v>-1.28604806808406E-2</v>
      </c>
      <c r="R527" s="6">
        <f t="shared" si="131"/>
        <v>1.28604806808406E-2</v>
      </c>
      <c r="S527" s="18">
        <f t="shared" si="132"/>
        <v>0.99999999999999911</v>
      </c>
      <c r="T527" s="15"/>
      <c r="U527" s="15"/>
      <c r="V527" s="40">
        <f t="shared" si="133"/>
        <v>4.9800000000000004</v>
      </c>
      <c r="W527" s="41">
        <f t="shared" si="122"/>
        <v>24.98</v>
      </c>
      <c r="X527">
        <f t="shared" si="134"/>
        <v>1.150207514542958E-2</v>
      </c>
      <c r="Y527">
        <f t="shared" si="135"/>
        <v>1.6858275656400592</v>
      </c>
      <c r="Z527" s="33">
        <f t="shared" si="123"/>
        <v>8.6082311165577532E-2</v>
      </c>
      <c r="AA527" s="33">
        <f t="shared" si="124"/>
        <v>0.5</v>
      </c>
      <c r="AB527">
        <f t="shared" si="125"/>
        <v>-1.9175510410597785E-2</v>
      </c>
      <c r="AC527" s="1">
        <f t="shared" si="126"/>
        <v>-7.854587647068223E-2</v>
      </c>
      <c r="AD527" s="35">
        <f>IF(W527&gt;=FinalAgeForPremium, AE527*Delta-Z527*(Y527-AE527),AE527*Delta+PremiumRevisedForLimitedTerm-Z527*(Y527-AE527))</f>
        <v>-2.482785194057896E-3</v>
      </c>
      <c r="AE527" s="35">
        <f>AE526-StepSize*AD526</f>
        <v>3.1483286636852514E-2</v>
      </c>
      <c r="AF527" s="1"/>
    </row>
    <row r="528" spans="11:32" x14ac:dyDescent="0.45">
      <c r="K528" s="40">
        <f t="shared" si="127"/>
        <v>5.03</v>
      </c>
      <c r="L528" s="41">
        <f t="shared" si="119"/>
        <v>25.03</v>
      </c>
      <c r="M528">
        <f t="shared" si="128"/>
        <v>0.87449342712839906</v>
      </c>
      <c r="N528">
        <f t="shared" si="129"/>
        <v>0.12550657287160003</v>
      </c>
      <c r="O528">
        <f t="shared" si="120"/>
        <v>8.6454030200871779E-2</v>
      </c>
      <c r="P528">
        <f t="shared" si="121"/>
        <v>0.5</v>
      </c>
      <c r="Q528">
        <f t="shared" si="130"/>
        <v>-1.2850194723622463E-2</v>
      </c>
      <c r="R528" s="6">
        <f t="shared" si="131"/>
        <v>1.2850194723622463E-2</v>
      </c>
      <c r="S528" s="18">
        <f t="shared" si="132"/>
        <v>0.99999999999999911</v>
      </c>
      <c r="T528" s="15"/>
      <c r="U528" s="15"/>
      <c r="V528" s="40">
        <f t="shared" si="133"/>
        <v>4.97</v>
      </c>
      <c r="W528" s="41">
        <f t="shared" si="122"/>
        <v>24.97</v>
      </c>
      <c r="X528">
        <f t="shared" si="134"/>
        <v>1.1693830249535558E-2</v>
      </c>
      <c r="Y528">
        <f t="shared" si="135"/>
        <v>1.6866130244047661</v>
      </c>
      <c r="Z528" s="33">
        <f t="shared" si="123"/>
        <v>8.6008159368688233E-2</v>
      </c>
      <c r="AA528" s="33">
        <f t="shared" si="124"/>
        <v>0.5</v>
      </c>
      <c r="AB528">
        <f t="shared" si="125"/>
        <v>-1.9092831770753507E-2</v>
      </c>
      <c r="AC528" s="1">
        <f t="shared" si="126"/>
        <v>-7.8209751702146391E-2</v>
      </c>
      <c r="AD528" s="35">
        <f>IF(W528&gt;=FinalAgeForPremium, AE528*Delta-Z528*(Y528-AE528),AE528*Delta+PremiumRevisedForLimitedTerm-Z528*(Y528-AE528))</f>
        <v>-2.4242916652651991E-3</v>
      </c>
      <c r="AE528" s="35">
        <f>AE527-StepSize*AD527</f>
        <v>3.1508114488793093E-2</v>
      </c>
      <c r="AF528" s="1"/>
    </row>
    <row r="529" spans="11:32" x14ac:dyDescent="0.45">
      <c r="K529" s="40">
        <f t="shared" si="127"/>
        <v>5.04</v>
      </c>
      <c r="L529" s="41">
        <f t="shared" si="119"/>
        <v>25.04</v>
      </c>
      <c r="M529">
        <f t="shared" si="128"/>
        <v>0.87436492518116282</v>
      </c>
      <c r="N529">
        <f t="shared" si="129"/>
        <v>0.12563507481883626</v>
      </c>
      <c r="O529">
        <f t="shared" si="120"/>
        <v>8.652856640458513E-2</v>
      </c>
      <c r="P529">
        <f t="shared" si="121"/>
        <v>0.5</v>
      </c>
      <c r="Q529">
        <f t="shared" si="130"/>
        <v>-1.2840006080960226E-2</v>
      </c>
      <c r="R529" s="6">
        <f t="shared" si="131"/>
        <v>1.2840006080960226E-2</v>
      </c>
      <c r="S529" s="18">
        <f t="shared" si="132"/>
        <v>0.99999999999999911</v>
      </c>
      <c r="T529" s="15"/>
      <c r="U529" s="15"/>
      <c r="V529" s="40">
        <f t="shared" si="133"/>
        <v>4.96</v>
      </c>
      <c r="W529" s="41">
        <f t="shared" si="122"/>
        <v>24.96</v>
      </c>
      <c r="X529">
        <f t="shared" si="134"/>
        <v>1.1884758567243093E-2</v>
      </c>
      <c r="Y529">
        <f t="shared" si="135"/>
        <v>1.6873951219217875</v>
      </c>
      <c r="Z529" s="33">
        <f t="shared" si="123"/>
        <v>8.5934071446582383E-2</v>
      </c>
      <c r="AA529" s="33">
        <f t="shared" si="124"/>
        <v>0.5</v>
      </c>
      <c r="AB529">
        <f t="shared" si="125"/>
        <v>-1.9009995648288813E-2</v>
      </c>
      <c r="AC529" s="1">
        <f t="shared" si="126"/>
        <v>-7.7875062226638314E-2</v>
      </c>
      <c r="AD529" s="35">
        <f>IF(W529&gt;=FinalAgeForPremium, AE529*Delta-Z529*(Y529-AE529),AE529*Delta+PremiumRevisedForLimitedTerm-Z529*(Y529-AE529))</f>
        <v>-2.3655817671638935E-3</v>
      </c>
      <c r="AE529" s="35">
        <f>AE528-StepSize*AD528</f>
        <v>3.1532357405445743E-2</v>
      </c>
      <c r="AF529" s="1"/>
    </row>
    <row r="530" spans="11:32" x14ac:dyDescent="0.45">
      <c r="K530" s="40">
        <f t="shared" si="127"/>
        <v>5.05</v>
      </c>
      <c r="L530" s="41">
        <f t="shared" si="119"/>
        <v>25.05</v>
      </c>
      <c r="M530">
        <f t="shared" si="128"/>
        <v>0.87423652512035321</v>
      </c>
      <c r="N530">
        <f t="shared" si="129"/>
        <v>0.12576347487964587</v>
      </c>
      <c r="O530">
        <f t="shared" si="120"/>
        <v>8.660316686956715E-2</v>
      </c>
      <c r="P530">
        <f t="shared" si="121"/>
        <v>0.5</v>
      </c>
      <c r="Q530">
        <f t="shared" si="130"/>
        <v>-1.2829914228645545E-2</v>
      </c>
      <c r="R530" s="6">
        <f t="shared" si="131"/>
        <v>1.2829914228645545E-2</v>
      </c>
      <c r="S530" s="18">
        <f t="shared" si="132"/>
        <v>0.99999999999999911</v>
      </c>
      <c r="T530" s="15"/>
      <c r="U530" s="15"/>
      <c r="V530" s="40">
        <f t="shared" si="133"/>
        <v>4.95</v>
      </c>
      <c r="W530" s="41">
        <f t="shared" si="122"/>
        <v>24.95</v>
      </c>
      <c r="X530">
        <f t="shared" si="134"/>
        <v>1.2074858523725982E-2</v>
      </c>
      <c r="Y530">
        <f t="shared" si="135"/>
        <v>1.6881738725440538</v>
      </c>
      <c r="Z530" s="33">
        <f t="shared" si="123"/>
        <v>8.5860047344237855E-2</v>
      </c>
      <c r="AA530" s="33">
        <f t="shared" si="124"/>
        <v>0.5</v>
      </c>
      <c r="AB530">
        <f t="shared" si="125"/>
        <v>-1.8927004073881759E-2</v>
      </c>
      <c r="AC530" s="1">
        <f t="shared" si="126"/>
        <v>-7.754179936263339E-2</v>
      </c>
      <c r="AD530" s="35">
        <f>IF(W530&gt;=FinalAgeForPremium, AE530*Delta-Z530*(Y530-AE530),AE530*Delta+PremiumRevisedForLimitedTerm-Z530*(Y530-AE530))</f>
        <v>-2.3066576972031461E-3</v>
      </c>
      <c r="AE530" s="35">
        <f>AE529-StepSize*AD529</f>
        <v>3.155601322311738E-2</v>
      </c>
      <c r="AF530" s="1"/>
    </row>
    <row r="531" spans="11:32" x14ac:dyDescent="0.45">
      <c r="K531" s="40">
        <f t="shared" si="127"/>
        <v>5.0599999999999996</v>
      </c>
      <c r="L531" s="41">
        <f t="shared" si="119"/>
        <v>25.06</v>
      </c>
      <c r="M531">
        <f t="shared" si="128"/>
        <v>0.87410822597806681</v>
      </c>
      <c r="N531">
        <f t="shared" si="129"/>
        <v>0.12589177402193233</v>
      </c>
      <c r="O531">
        <f t="shared" si="120"/>
        <v>8.6677831651220616E-2</v>
      </c>
      <c r="P531">
        <f t="shared" si="121"/>
        <v>0.5</v>
      </c>
      <c r="Q531">
        <f t="shared" si="130"/>
        <v>-1.2819918645307821E-2</v>
      </c>
      <c r="R531" s="6">
        <f t="shared" si="131"/>
        <v>1.2819918645307821E-2</v>
      </c>
      <c r="S531" s="18">
        <f t="shared" si="132"/>
        <v>0.99999999999999911</v>
      </c>
      <c r="T531" s="15"/>
      <c r="U531" s="15"/>
      <c r="V531" s="40">
        <f t="shared" si="133"/>
        <v>4.9400000000000004</v>
      </c>
      <c r="W531" s="41">
        <f t="shared" si="122"/>
        <v>24.94</v>
      </c>
      <c r="X531">
        <f t="shared" si="134"/>
        <v>1.2264128564464799E-2</v>
      </c>
      <c r="Y531">
        <f t="shared" si="135"/>
        <v>1.6889492905376802</v>
      </c>
      <c r="Z531" s="33">
        <f t="shared" si="123"/>
        <v>8.5786087006679904E-2</v>
      </c>
      <c r="AA531" s="33">
        <f t="shared" si="124"/>
        <v>0.5</v>
      </c>
      <c r="AB531">
        <f t="shared" si="125"/>
        <v>-1.8843859062272525E-2</v>
      </c>
      <c r="AC531" s="1">
        <f t="shared" si="126"/>
        <v>-7.7209954486508359E-2</v>
      </c>
      <c r="AD531" s="35">
        <f>IF(W531&gt;=FinalAgeForPremium, AE531*Delta-Z531*(Y531-AE531),AE531*Delta+PremiumRevisedForLimitedTerm-Z531*(Y531-AE531))</f>
        <v>-2.2475216363633532E-3</v>
      </c>
      <c r="AE531" s="35">
        <f>AE530-StepSize*AD530</f>
        <v>3.1579079800089414E-2</v>
      </c>
      <c r="AF531" s="1"/>
    </row>
    <row r="532" spans="11:32" x14ac:dyDescent="0.45">
      <c r="K532" s="40">
        <f t="shared" si="127"/>
        <v>5.07</v>
      </c>
      <c r="L532" s="41">
        <f t="shared" si="119"/>
        <v>25.07</v>
      </c>
      <c r="M532">
        <f t="shared" si="128"/>
        <v>0.87398002679161368</v>
      </c>
      <c r="N532">
        <f t="shared" si="129"/>
        <v>0.1260199732083854</v>
      </c>
      <c r="O532">
        <f t="shared" si="120"/>
        <v>8.6752560804996076E-2</v>
      </c>
      <c r="P532">
        <f t="shared" si="121"/>
        <v>0.5</v>
      </c>
      <c r="Q532">
        <f t="shared" si="130"/>
        <v>-1.2810018812398863E-2</v>
      </c>
      <c r="R532" s="6">
        <f t="shared" si="131"/>
        <v>1.2810018812398863E-2</v>
      </c>
      <c r="S532" s="18">
        <f t="shared" si="132"/>
        <v>0.99999999999999911</v>
      </c>
      <c r="T532" s="15"/>
      <c r="U532" s="15"/>
      <c r="V532" s="40">
        <f t="shared" si="133"/>
        <v>4.93</v>
      </c>
      <c r="W532" s="41">
        <f t="shared" si="122"/>
        <v>24.93</v>
      </c>
      <c r="X532">
        <f t="shared" si="134"/>
        <v>1.2452567155087524E-2</v>
      </c>
      <c r="Y532">
        <f t="shared" si="135"/>
        <v>1.6897213900825452</v>
      </c>
      <c r="Z532" s="33">
        <f t="shared" si="123"/>
        <v>8.5712190378981201E-2</v>
      </c>
      <c r="AA532" s="33">
        <f t="shared" si="124"/>
        <v>0.5</v>
      </c>
      <c r="AB532">
        <f t="shared" si="125"/>
        <v>-1.8760562612385928E-2</v>
      </c>
      <c r="AC532" s="1">
        <f t="shared" si="126"/>
        <v>-7.687951903214385E-2</v>
      </c>
      <c r="AD532" s="35">
        <f>IF(W532&gt;=FinalAgeForPremium, AE532*Delta-Z532*(Y532-AE532),AE532*Delta+PremiumRevisedForLimitedTerm-Z532*(Y532-AE532))</f>
        <v>-2.1881757492806242E-3</v>
      </c>
      <c r="AE532" s="35">
        <f>AE531-StepSize*AD531</f>
        <v>3.1601555016453051E-2</v>
      </c>
      <c r="AF532" s="1"/>
    </row>
    <row r="533" spans="11:32" x14ac:dyDescent="0.45">
      <c r="K533" s="40">
        <f t="shared" si="127"/>
        <v>5.08</v>
      </c>
      <c r="L533" s="41">
        <f t="shared" si="119"/>
        <v>25.08</v>
      </c>
      <c r="M533">
        <f t="shared" si="128"/>
        <v>0.87385192660348965</v>
      </c>
      <c r="N533">
        <f t="shared" si="129"/>
        <v>0.12614807339650938</v>
      </c>
      <c r="O533">
        <f t="shared" si="120"/>
        <v>8.6827354386391775E-2</v>
      </c>
      <c r="P533">
        <f t="shared" si="121"/>
        <v>0.5</v>
      </c>
      <c r="Q533">
        <f t="shared" si="130"/>
        <v>-1.2800214214177721E-2</v>
      </c>
      <c r="R533" s="6">
        <f t="shared" si="131"/>
        <v>1.2800214214177721E-2</v>
      </c>
      <c r="S533" s="18">
        <f t="shared" si="132"/>
        <v>0.999999999999999</v>
      </c>
      <c r="T533" s="15"/>
      <c r="U533" s="15"/>
      <c r="V533" s="40">
        <f t="shared" si="133"/>
        <v>4.92</v>
      </c>
      <c r="W533" s="41">
        <f t="shared" si="122"/>
        <v>24.92</v>
      </c>
      <c r="X533">
        <f t="shared" si="134"/>
        <v>1.2640172781211384E-2</v>
      </c>
      <c r="Y533">
        <f t="shared" si="135"/>
        <v>1.6904901852728667</v>
      </c>
      <c r="Z533" s="33">
        <f t="shared" si="123"/>
        <v>8.5638357406261731E-2</v>
      </c>
      <c r="AA533" s="33">
        <f t="shared" si="124"/>
        <v>0.5</v>
      </c>
      <c r="AB533">
        <f t="shared" si="125"/>
        <v>-1.8677116707452868E-2</v>
      </c>
      <c r="AC533" s="1">
        <f t="shared" si="126"/>
        <v>-7.6550484490529036E-2</v>
      </c>
      <c r="AD533" s="35">
        <f>IF(W533&gt;=FinalAgeForPremium, AE533*Delta-Z533*(Y533-AE533),AE533*Delta+PremiumRevisedForLimitedTerm-Z533*(Y533-AE533))</f>
        <v>-2.1286221843700437E-3</v>
      </c>
      <c r="AE533" s="35">
        <f>AE532-StepSize*AD532</f>
        <v>3.1623436773945857E-2</v>
      </c>
      <c r="AF533" s="1"/>
    </row>
    <row r="534" spans="11:32" x14ac:dyDescent="0.45">
      <c r="K534" s="40">
        <f t="shared" si="127"/>
        <v>5.09</v>
      </c>
      <c r="L534" s="41">
        <f t="shared" si="119"/>
        <v>25.09</v>
      </c>
      <c r="M534">
        <f t="shared" si="128"/>
        <v>0.87372392446134783</v>
      </c>
      <c r="N534">
        <f t="shared" si="129"/>
        <v>0.12627607553865117</v>
      </c>
      <c r="O534">
        <f t="shared" si="120"/>
        <v>8.690221245095392E-2</v>
      </c>
      <c r="P534">
        <f t="shared" si="121"/>
        <v>0.5</v>
      </c>
      <c r="Q534">
        <f t="shared" si="130"/>
        <v>-1.2790504337695685E-2</v>
      </c>
      <c r="R534" s="6">
        <f t="shared" si="131"/>
        <v>1.2790504337695685E-2</v>
      </c>
      <c r="S534" s="18">
        <f t="shared" si="132"/>
        <v>0.999999999999999</v>
      </c>
      <c r="T534" s="15"/>
      <c r="U534" s="15"/>
      <c r="V534" s="40">
        <f t="shared" si="133"/>
        <v>4.91</v>
      </c>
      <c r="W534" s="41">
        <f t="shared" si="122"/>
        <v>24.91</v>
      </c>
      <c r="X534">
        <f t="shared" si="134"/>
        <v>1.2826943948285912E-2</v>
      </c>
      <c r="Y534">
        <f t="shared" si="135"/>
        <v>1.691255690117772</v>
      </c>
      <c r="Z534" s="33">
        <f t="shared" si="123"/>
        <v>8.5564588033688715E-2</v>
      </c>
      <c r="AA534" s="33">
        <f t="shared" si="124"/>
        <v>0.5</v>
      </c>
      <c r="AB534">
        <f t="shared" si="125"/>
        <v>-1.8593523315130783E-2</v>
      </c>
      <c r="AC534" s="1">
        <f t="shared" si="126"/>
        <v>-7.6222842409368385E-2</v>
      </c>
      <c r="AD534" s="35">
        <f>IF(W534&gt;=FinalAgeForPremium, AE534*Delta-Z534*(Y534-AE534),AE534*Delta+PremiumRevisedForLimitedTerm-Z534*(Y534-AE534))</f>
        <v>-2.0688630739481295E-3</v>
      </c>
      <c r="AE534" s="35">
        <f>AE533-StepSize*AD533</f>
        <v>3.1644722995789555E-2</v>
      </c>
      <c r="AF534" s="1"/>
    </row>
    <row r="535" spans="11:32" x14ac:dyDescent="0.45">
      <c r="K535" s="40">
        <f t="shared" si="127"/>
        <v>5.0999999999999996</v>
      </c>
      <c r="L535" s="41">
        <f t="shared" si="119"/>
        <v>25.1</v>
      </c>
      <c r="M535">
        <f t="shared" si="128"/>
        <v>0.87359601941797083</v>
      </c>
      <c r="N535">
        <f t="shared" si="129"/>
        <v>0.12640398058202812</v>
      </c>
      <c r="O535">
        <f t="shared" si="120"/>
        <v>8.6977135054276608E-2</v>
      </c>
      <c r="P535">
        <f t="shared" si="121"/>
        <v>0.5</v>
      </c>
      <c r="Q535">
        <f t="shared" si="130"/>
        <v>-1.2780888672781238E-2</v>
      </c>
      <c r="R535" s="6">
        <f t="shared" si="131"/>
        <v>1.2780888672781238E-2</v>
      </c>
      <c r="S535" s="18">
        <f t="shared" si="132"/>
        <v>0.99999999999999889</v>
      </c>
      <c r="T535" s="15"/>
      <c r="U535" s="15"/>
      <c r="V535" s="40">
        <f t="shared" si="133"/>
        <v>4.9000000000000004</v>
      </c>
      <c r="W535" s="41">
        <f t="shared" si="122"/>
        <v>24.9</v>
      </c>
      <c r="X535">
        <f t="shared" si="134"/>
        <v>1.3012879181437219E-2</v>
      </c>
      <c r="Y535">
        <f t="shared" si="135"/>
        <v>1.6920179185418658</v>
      </c>
      <c r="Z535" s="33">
        <f t="shared" si="123"/>
        <v>8.5490882206476576E-2</v>
      </c>
      <c r="AA535" s="33">
        <f t="shared" si="124"/>
        <v>0.5</v>
      </c>
      <c r="AB535">
        <f t="shared" si="125"/>
        <v>-1.8509784387623435E-2</v>
      </c>
      <c r="AC535" s="1">
        <f t="shared" si="126"/>
        <v>-7.5896584392692423E-2</v>
      </c>
      <c r="AD535" s="35">
        <f>IF(W535&gt;=FinalAgeForPremium, AE535*Delta-Z535*(Y535-AE535),AE535*Delta+PremiumRevisedForLimitedTerm-Z535*(Y535-AE535))</f>
        <v>-2.0089005343541244E-3</v>
      </c>
      <c r="AE535" s="35">
        <f>AE534-StepSize*AD534</f>
        <v>3.1665411626529034E-2</v>
      </c>
      <c r="AF535" s="1"/>
    </row>
    <row r="536" spans="11:32" x14ac:dyDescent="0.45">
      <c r="K536" s="40">
        <f t="shared" si="127"/>
        <v>5.1100000000000003</v>
      </c>
      <c r="L536" s="41">
        <f t="shared" si="119"/>
        <v>25.11</v>
      </c>
      <c r="M536">
        <f t="shared" si="128"/>
        <v>0.87346821053124302</v>
      </c>
      <c r="N536">
        <f t="shared" si="129"/>
        <v>0.12653178946875593</v>
      </c>
      <c r="O536">
        <f t="shared" si="120"/>
        <v>8.7052122252001762E-2</v>
      </c>
      <c r="P536">
        <f t="shared" si="121"/>
        <v>0.5</v>
      </c>
      <c r="Q536">
        <f t="shared" si="130"/>
        <v>-1.2771366712025015E-2</v>
      </c>
      <c r="R536" s="6">
        <f t="shared" si="131"/>
        <v>1.2771366712025015E-2</v>
      </c>
      <c r="S536" s="18">
        <f t="shared" si="132"/>
        <v>0.99999999999999889</v>
      </c>
      <c r="T536" s="15"/>
      <c r="U536" s="15"/>
      <c r="V536" s="40">
        <f t="shared" si="133"/>
        <v>4.8899999999999997</v>
      </c>
      <c r="W536" s="41">
        <f t="shared" si="122"/>
        <v>24.89</v>
      </c>
      <c r="X536">
        <f t="shared" si="134"/>
        <v>1.3197977025313454E-2</v>
      </c>
      <c r="Y536">
        <f t="shared" si="135"/>
        <v>1.6927768843857927</v>
      </c>
      <c r="Z536" s="33">
        <f t="shared" si="123"/>
        <v>8.5417239869887057E-2</v>
      </c>
      <c r="AA536" s="33">
        <f t="shared" si="124"/>
        <v>0.5</v>
      </c>
      <c r="AB536">
        <f t="shared" si="125"/>
        <v>-1.8425901861799515E-2</v>
      </c>
      <c r="AC536" s="1">
        <f t="shared" si="126"/>
        <v>-7.5571702100470817E-2</v>
      </c>
      <c r="AD536" s="35">
        <f>IF(W536&gt;=FinalAgeForPremium, AE536*Delta-Z536*(Y536-AE536),AE536*Delta+PremiumRevisedForLimitedTerm-Z536*(Y536-AE536))</f>
        <v>-1.9487366660710104E-3</v>
      </c>
      <c r="AE536" s="35">
        <f>AE535-StepSize*AD535</f>
        <v>3.1685500631872573E-2</v>
      </c>
      <c r="AF536" s="1"/>
    </row>
    <row r="537" spans="11:32" x14ac:dyDescent="0.45">
      <c r="K537" s="40">
        <f t="shared" si="127"/>
        <v>5.12</v>
      </c>
      <c r="L537" s="41">
        <f t="shared" ref="L537:L600" si="136">$L$5+K537</f>
        <v>25.12</v>
      </c>
      <c r="M537">
        <f t="shared" si="128"/>
        <v>0.87334049686412274</v>
      </c>
      <c r="N537">
        <f t="shared" si="129"/>
        <v>0.12665950313587618</v>
      </c>
      <c r="O537">
        <f t="shared" ref="O537:O600" si="137">mu01Parameter_B*mu01Parameter_c^L537</f>
        <v>8.7127174099819363E-2</v>
      </c>
      <c r="P537">
        <f t="shared" ref="P537:P600" si="138">mu10Constant</f>
        <v>0.5</v>
      </c>
      <c r="Q537">
        <f t="shared" si="130"/>
        <v>-1.2761937950765079E-2</v>
      </c>
      <c r="R537" s="6">
        <f t="shared" si="131"/>
        <v>1.2761937950765079E-2</v>
      </c>
      <c r="S537" s="18">
        <f t="shared" si="132"/>
        <v>0.99999999999999889</v>
      </c>
      <c r="T537" s="15"/>
      <c r="U537" s="15"/>
      <c r="V537" s="40">
        <f t="shared" si="133"/>
        <v>4.88</v>
      </c>
      <c r="W537" s="41">
        <f t="shared" ref="W537:W600" si="139">$L$5+V537</f>
        <v>24.88</v>
      </c>
      <c r="X537">
        <f t="shared" si="134"/>
        <v>1.3382236043931449E-2</v>
      </c>
      <c r="Y537">
        <f t="shared" si="135"/>
        <v>1.6935326014067973</v>
      </c>
      <c r="Z537" s="33">
        <f t="shared" ref="Z537:Z600" si="140">mu01Parameter_B*mu01Parameter_c^W537</f>
        <v>8.5343660969228921E-2</v>
      </c>
      <c r="AA537" s="33">
        <f t="shared" ref="AA537:AA600" si="141">mu10Constant</f>
        <v>0.5</v>
      </c>
      <c r="AB537">
        <f t="shared" ref="AB537:AB600" si="142">X537*Delta+Premium-Z537*(Y537-X537)</f>
        <v>-1.8341877659310279E-2</v>
      </c>
      <c r="AC537" s="1">
        <f t="shared" ref="AC537:AC600" si="143">Y537*Delta-AnnuityWhileSIck-AA537*(X537-Y537)</f>
        <v>-7.5248187248227238E-2</v>
      </c>
      <c r="AD537" s="35">
        <f>IF(W537&gt;=FinalAgeForPremium, AE537*Delta-Z537*(Y537-AE537),AE537*Delta+PremiumRevisedForLimitedTerm-Z537*(Y537-AE537))</f>
        <v>-1.8883735538444968E-3</v>
      </c>
      <c r="AE537" s="35">
        <f>AE536-StepSize*AD536</f>
        <v>3.1704987998533281E-2</v>
      </c>
      <c r="AF537" s="1"/>
    </row>
    <row r="538" spans="11:32" x14ac:dyDescent="0.45">
      <c r="K538" s="40">
        <f t="shared" ref="K538:K601" si="144">ROUND(K537+StepSize,2)</f>
        <v>5.13</v>
      </c>
      <c r="L538" s="41">
        <f t="shared" si="136"/>
        <v>25.13</v>
      </c>
      <c r="M538">
        <f t="shared" ref="M538:M601" si="145">M537+StepSize*Q537</f>
        <v>0.87321287748461507</v>
      </c>
      <c r="N538">
        <f t="shared" ref="N538:N601" si="146">N537+StepSize*R537</f>
        <v>0.12678712251538382</v>
      </c>
      <c r="O538">
        <f t="shared" si="137"/>
        <v>8.7202290653467379E-2</v>
      </c>
      <c r="P538">
        <f t="shared" si="138"/>
        <v>0.5</v>
      </c>
      <c r="Q538">
        <f t="shared" ref="Q538:Q601" si="147">N538*P538-M538*O538</f>
        <v>-1.2752601887072099E-2</v>
      </c>
      <c r="R538" s="6">
        <f t="shared" ref="R538:R601" si="148">M538*O538-N538*P538</f>
        <v>1.2752601887072099E-2</v>
      </c>
      <c r="S538" s="18">
        <f t="shared" ref="S538:S601" si="149">M538+N538</f>
        <v>0.99999999999999889</v>
      </c>
      <c r="T538" s="15"/>
      <c r="U538" s="15"/>
      <c r="V538" s="40">
        <f t="shared" ref="V538:V601" si="150">ROUND(V537-StepSize,2)</f>
        <v>4.87</v>
      </c>
      <c r="W538" s="41">
        <f t="shared" si="139"/>
        <v>24.87</v>
      </c>
      <c r="X538">
        <f t="shared" ref="X538:X601" si="151">X537-StepSize*AB537</f>
        <v>1.3565654820524553E-2</v>
      </c>
      <c r="Y538">
        <f t="shared" ref="Y538:Y601" si="152">Y537-StepSize*AC537</f>
        <v>1.6942850832792795</v>
      </c>
      <c r="Z538" s="33">
        <f t="shared" si="140"/>
        <v>8.5270145449858101E-2</v>
      </c>
      <c r="AA538" s="33">
        <f t="shared" si="141"/>
        <v>0.5</v>
      </c>
      <c r="AB538">
        <f t="shared" si="142"/>
        <v>-1.8257713686706534E-2</v>
      </c>
      <c r="AC538" s="1">
        <f t="shared" si="143"/>
        <v>-7.4926031606658561E-2</v>
      </c>
      <c r="AD538" s="35">
        <f>IF(W538&gt;=FinalAgeForPremium, AE538*Delta-Z538*(Y538-AE538),AE538*Delta+PremiumRevisedForLimitedTerm-Z538*(Y538-AE538))</f>
        <v>-1.8278132668020364E-3</v>
      </c>
      <c r="AE538" s="35">
        <f>AE537-StepSize*AD537</f>
        <v>3.1723871734071728E-2</v>
      </c>
      <c r="AF538" s="1"/>
    </row>
    <row r="539" spans="11:32" x14ac:dyDescent="0.45">
      <c r="K539" s="40">
        <f t="shared" si="144"/>
        <v>5.14</v>
      </c>
      <c r="L539" s="41">
        <f t="shared" si="136"/>
        <v>25.14</v>
      </c>
      <c r="M539">
        <f t="shared" si="145"/>
        <v>0.8730853514657444</v>
      </c>
      <c r="N539">
        <f t="shared" si="146"/>
        <v>0.12691464853425455</v>
      </c>
      <c r="O539">
        <f t="shared" si="137"/>
        <v>8.7277471968731909E-2</v>
      </c>
      <c r="P539">
        <f t="shared" si="138"/>
        <v>0.5</v>
      </c>
      <c r="Q539">
        <f t="shared" si="147"/>
        <v>-1.274335802173468E-2</v>
      </c>
      <c r="R539" s="6">
        <f t="shared" si="148"/>
        <v>1.274335802173468E-2</v>
      </c>
      <c r="S539" s="18">
        <f t="shared" si="149"/>
        <v>0.99999999999999889</v>
      </c>
      <c r="T539" s="15"/>
      <c r="U539" s="15"/>
      <c r="V539" s="40">
        <f t="shared" si="150"/>
        <v>4.8600000000000003</v>
      </c>
      <c r="W539" s="41">
        <f t="shared" si="139"/>
        <v>24.86</v>
      </c>
      <c r="X539">
        <f t="shared" si="151"/>
        <v>1.3748231957391619E-2</v>
      </c>
      <c r="Y539">
        <f t="shared" si="152"/>
        <v>1.6950343435953461</v>
      </c>
      <c r="Z539" s="33">
        <f t="shared" si="140"/>
        <v>8.5196693257177575E-2</v>
      </c>
      <c r="AA539" s="33">
        <f t="shared" si="141"/>
        <v>0.5</v>
      </c>
      <c r="AB539">
        <f t="shared" si="142"/>
        <v>-1.8173411835554376E-2</v>
      </c>
      <c r="AC539" s="1">
        <f t="shared" si="143"/>
        <v>-7.4605227001255381E-2</v>
      </c>
      <c r="AD539" s="35">
        <f>IF(W539&gt;=FinalAgeForPremium, AE539*Delta-Z539*(Y539-AE539),AE539*Delta+PremiumRevisedForLimitedTerm-Z539*(Y539-AE539))</f>
        <v>-1.7670578585705088E-3</v>
      </c>
      <c r="AE539" s="35">
        <f>AE538-StepSize*AD538</f>
        <v>3.1742149866739747E-2</v>
      </c>
      <c r="AF539" s="1"/>
    </row>
    <row r="540" spans="11:32" x14ac:dyDescent="0.45">
      <c r="K540" s="40">
        <f t="shared" si="144"/>
        <v>5.15</v>
      </c>
      <c r="L540" s="41">
        <f t="shared" si="136"/>
        <v>25.15</v>
      </c>
      <c r="M540">
        <f t="shared" si="145"/>
        <v>0.87295791788552701</v>
      </c>
      <c r="N540">
        <f t="shared" si="146"/>
        <v>0.1270420821144719</v>
      </c>
      <c r="O540">
        <f t="shared" si="137"/>
        <v>8.7352718101446958E-2</v>
      </c>
      <c r="P540">
        <f t="shared" si="138"/>
        <v>0.5</v>
      </c>
      <c r="Q540">
        <f t="shared" si="147"/>
        <v>-1.2734205858244571E-2</v>
      </c>
      <c r="R540" s="6">
        <f t="shared" si="148"/>
        <v>1.2734205858244571E-2</v>
      </c>
      <c r="S540" s="18">
        <f t="shared" si="149"/>
        <v>0.99999999999999889</v>
      </c>
      <c r="T540" s="15"/>
      <c r="U540" s="15"/>
      <c r="V540" s="40">
        <f t="shared" si="150"/>
        <v>4.8499999999999996</v>
      </c>
      <c r="W540" s="41">
        <f t="shared" si="139"/>
        <v>24.85</v>
      </c>
      <c r="X540">
        <f t="shared" si="151"/>
        <v>1.3929966075747162E-2</v>
      </c>
      <c r="Y540">
        <f t="shared" si="152"/>
        <v>1.6957803958653586</v>
      </c>
      <c r="Z540" s="33">
        <f t="shared" si="140"/>
        <v>8.5123304336637423E-2</v>
      </c>
      <c r="AA540" s="33">
        <f t="shared" si="141"/>
        <v>0.5</v>
      </c>
      <c r="AB540">
        <f t="shared" si="142"/>
        <v>-1.8088973982550521E-2</v>
      </c>
      <c r="AC540" s="1">
        <f t="shared" si="143"/>
        <v>-7.4285765311926433E-2</v>
      </c>
      <c r="AD540" s="35">
        <f>IF(W540&gt;=FinalAgeForPremium, AE540*Delta-Z540*(Y540-AE540),AE540*Delta+PremiumRevisedForLimitedTerm-Z540*(Y540-AE540))</f>
        <v>-1.7061093673931826E-3</v>
      </c>
      <c r="AE540" s="35">
        <f>AE539-StepSize*AD539</f>
        <v>3.1759820445325451E-2</v>
      </c>
      <c r="AF540" s="1"/>
    </row>
    <row r="541" spans="11:32" x14ac:dyDescent="0.45">
      <c r="K541" s="40">
        <f t="shared" si="144"/>
        <v>5.16</v>
      </c>
      <c r="L541" s="41">
        <f t="shared" si="136"/>
        <v>25.16</v>
      </c>
      <c r="M541">
        <f t="shared" si="145"/>
        <v>0.87283057582694457</v>
      </c>
      <c r="N541">
        <f t="shared" si="146"/>
        <v>0.12716942417305435</v>
      </c>
      <c r="O541">
        <f t="shared" si="137"/>
        <v>8.7428029107494865E-2</v>
      </c>
      <c r="P541">
        <f t="shared" si="138"/>
        <v>0.5</v>
      </c>
      <c r="Q541">
        <f t="shared" si="147"/>
        <v>-1.272514490278244E-2</v>
      </c>
      <c r="R541" s="6">
        <f t="shared" si="148"/>
        <v>1.272514490278244E-2</v>
      </c>
      <c r="S541" s="18">
        <f t="shared" si="149"/>
        <v>0.99999999999999889</v>
      </c>
      <c r="T541" s="15"/>
      <c r="U541" s="15"/>
      <c r="V541" s="40">
        <f t="shared" si="150"/>
        <v>4.84</v>
      </c>
      <c r="W541" s="41">
        <f t="shared" si="139"/>
        <v>24.84</v>
      </c>
      <c r="X541">
        <f t="shared" si="151"/>
        <v>1.4110855815572667E-2</v>
      </c>
      <c r="Y541">
        <f t="shared" si="152"/>
        <v>1.6965232535184778</v>
      </c>
      <c r="Z541" s="33">
        <f t="shared" si="140"/>
        <v>8.5049978633734619E-2</v>
      </c>
      <c r="AA541" s="33">
        <f t="shared" si="141"/>
        <v>0.5</v>
      </c>
      <c r="AB541">
        <f t="shared" si="142"/>
        <v>-1.8004401989636015E-2</v>
      </c>
      <c r="AC541" s="1">
        <f t="shared" si="143"/>
        <v>-7.3967638472623554E-2</v>
      </c>
      <c r="AD541" s="35">
        <f>IF(W541&gt;=FinalAgeForPremium, AE541*Delta-Z541*(Y541-AE541),AE541*Delta+PremiumRevisedForLimitedTerm-Z541*(Y541-AE541))</f>
        <v>-1.6449698162453452E-3</v>
      </c>
      <c r="AE541" s="35">
        <f>AE540-StepSize*AD540</f>
        <v>3.177688153899938E-2</v>
      </c>
      <c r="AF541" s="1"/>
    </row>
    <row r="542" spans="11:32" x14ac:dyDescent="0.45">
      <c r="K542" s="40">
        <f t="shared" si="144"/>
        <v>5.17</v>
      </c>
      <c r="L542" s="41">
        <f t="shared" si="136"/>
        <v>25.17</v>
      </c>
      <c r="M542">
        <f t="shared" si="145"/>
        <v>0.87270332437791676</v>
      </c>
      <c r="N542">
        <f t="shared" si="146"/>
        <v>0.12729667562208219</v>
      </c>
      <c r="O542">
        <f t="shared" si="137"/>
        <v>8.7503405042806084E-2</v>
      </c>
      <c r="P542">
        <f t="shared" si="138"/>
        <v>0.5</v>
      </c>
      <c r="Q542">
        <f t="shared" si="147"/>
        <v>-1.2716174664203134E-2</v>
      </c>
      <c r="R542" s="6">
        <f t="shared" si="148"/>
        <v>1.2716174664203134E-2</v>
      </c>
      <c r="S542" s="18">
        <f t="shared" si="149"/>
        <v>0.99999999999999889</v>
      </c>
      <c r="T542" s="15"/>
      <c r="U542" s="15"/>
      <c r="V542" s="40">
        <f t="shared" si="150"/>
        <v>4.83</v>
      </c>
      <c r="W542" s="41">
        <f t="shared" si="139"/>
        <v>24.83</v>
      </c>
      <c r="X542">
        <f t="shared" si="151"/>
        <v>1.4290899835469027E-2</v>
      </c>
      <c r="Y542">
        <f t="shared" si="152"/>
        <v>1.697262929903204</v>
      </c>
      <c r="Z542" s="33">
        <f t="shared" si="140"/>
        <v>8.4976716094013083E-2</v>
      </c>
      <c r="AA542" s="33">
        <f t="shared" si="141"/>
        <v>0.5</v>
      </c>
      <c r="AB542">
        <f t="shared" si="142"/>
        <v>-1.7919697704109672E-2</v>
      </c>
      <c r="AC542" s="1">
        <f t="shared" si="143"/>
        <v>-7.3650838470972202E-2</v>
      </c>
      <c r="AD542" s="35">
        <f>IF(W542&gt;=FinalAgeForPremium, AE542*Delta-Z542*(Y542-AE542),AE542*Delta+PremiumRevisedForLimitedTerm-Z542*(Y542-AE542))</f>
        <v>-1.5836412129495159E-3</v>
      </c>
      <c r="AE542" s="35">
        <f>AE541-StepSize*AD541</f>
        <v>3.1793331237161833E-2</v>
      </c>
      <c r="AF542" s="1"/>
    </row>
    <row r="543" spans="11:32" x14ac:dyDescent="0.45">
      <c r="K543" s="40">
        <f t="shared" si="144"/>
        <v>5.18</v>
      </c>
      <c r="L543" s="41">
        <f t="shared" si="136"/>
        <v>25.18</v>
      </c>
      <c r="M543">
        <f t="shared" si="145"/>
        <v>0.87257616263127469</v>
      </c>
      <c r="N543">
        <f t="shared" si="146"/>
        <v>0.12742383736872423</v>
      </c>
      <c r="O543">
        <f t="shared" si="137"/>
        <v>8.75788459633592E-2</v>
      </c>
      <c r="P543">
        <f t="shared" si="138"/>
        <v>0.5</v>
      </c>
      <c r="Q543">
        <f t="shared" si="147"/>
        <v>-1.2707294654021359E-2</v>
      </c>
      <c r="R543" s="6">
        <f t="shared" si="148"/>
        <v>1.2707294654021359E-2</v>
      </c>
      <c r="S543" s="18">
        <f t="shared" si="149"/>
        <v>0.99999999999999889</v>
      </c>
      <c r="T543" s="15"/>
      <c r="U543" s="15"/>
      <c r="V543" s="40">
        <f t="shared" si="150"/>
        <v>4.82</v>
      </c>
      <c r="W543" s="41">
        <f t="shared" si="139"/>
        <v>24.82</v>
      </c>
      <c r="X543">
        <f t="shared" si="151"/>
        <v>1.4470096812510123E-2</v>
      </c>
      <c r="Y543">
        <f t="shared" si="152"/>
        <v>1.6979994382879138</v>
      </c>
      <c r="Z543" s="33">
        <f t="shared" si="140"/>
        <v>8.4903516663063797E-2</v>
      </c>
      <c r="AA543" s="33">
        <f t="shared" si="141"/>
        <v>0.5</v>
      </c>
      <c r="AB543">
        <f t="shared" si="142"/>
        <v>-1.7834862958740566E-2</v>
      </c>
      <c r="AC543" s="1">
        <f t="shared" si="143"/>
        <v>-7.333535734790253E-2</v>
      </c>
      <c r="AD543" s="35">
        <f>IF(W543&gt;=FinalAgeForPremium, AE543*Delta-Z543*(Y543-AE543),AE543*Delta+PremiumRevisedForLimitedTerm-Z543*(Y543-AE543))</f>
        <v>-1.5221255502899378E-3</v>
      </c>
      <c r="AE543" s="35">
        <f>AE542-StepSize*AD542</f>
        <v>3.1809167649291328E-2</v>
      </c>
      <c r="AF543" s="1"/>
    </row>
    <row r="544" spans="11:32" x14ac:dyDescent="0.45">
      <c r="K544" s="40">
        <f t="shared" si="144"/>
        <v>5.19</v>
      </c>
      <c r="L544" s="41">
        <f t="shared" si="136"/>
        <v>25.19</v>
      </c>
      <c r="M544">
        <f t="shared" si="145"/>
        <v>0.87244908968473445</v>
      </c>
      <c r="N544">
        <f t="shared" si="146"/>
        <v>0.12755091031526444</v>
      </c>
      <c r="O544">
        <f t="shared" si="137"/>
        <v>8.7654351925181187E-2</v>
      </c>
      <c r="P544">
        <f t="shared" si="138"/>
        <v>0.5</v>
      </c>
      <c r="Q544">
        <f t="shared" si="147"/>
        <v>-1.2698504386397455E-2</v>
      </c>
      <c r="R544" s="6">
        <f t="shared" si="148"/>
        <v>1.2698504386397455E-2</v>
      </c>
      <c r="S544" s="18">
        <f t="shared" si="149"/>
        <v>0.99999999999999889</v>
      </c>
      <c r="T544" s="15"/>
      <c r="U544" s="15"/>
      <c r="V544" s="40">
        <f t="shared" si="150"/>
        <v>4.8099999999999996</v>
      </c>
      <c r="W544" s="41">
        <f t="shared" si="139"/>
        <v>24.81</v>
      </c>
      <c r="X544">
        <f t="shared" si="151"/>
        <v>1.4648445442097528E-2</v>
      </c>
      <c r="Y544">
        <f t="shared" si="152"/>
        <v>1.6987327918613928</v>
      </c>
      <c r="Z544" s="33">
        <f t="shared" si="140"/>
        <v>8.4830380286524426E-2</v>
      </c>
      <c r="AA544" s="33">
        <f t="shared" si="141"/>
        <v>0.5</v>
      </c>
      <c r="AB544">
        <f t="shared" si="142"/>
        <v>-1.7749899571879252E-2</v>
      </c>
      <c r="AC544" s="1">
        <f t="shared" si="143"/>
        <v>-7.3021187197282678E-2</v>
      </c>
      <c r="AD544" s="35">
        <f>IF(W544&gt;=FinalAgeForPremium, AE544*Delta-Z544*(Y544-AE544),AE544*Delta+PremiumRevisedForLimitedTerm-Z544*(Y544-AE544))</f>
        <v>-1.4604248061250991E-3</v>
      </c>
      <c r="AE544" s="35">
        <f>AE543-StepSize*AD543</f>
        <v>3.1824388904794228E-2</v>
      </c>
      <c r="AF544" s="1"/>
    </row>
    <row r="545" spans="11:32" x14ac:dyDescent="0.45">
      <c r="K545" s="40">
        <f t="shared" si="144"/>
        <v>5.2</v>
      </c>
      <c r="L545" s="41">
        <f t="shared" si="136"/>
        <v>25.2</v>
      </c>
      <c r="M545">
        <f t="shared" si="145"/>
        <v>0.87232210464087045</v>
      </c>
      <c r="N545">
        <f t="shared" si="146"/>
        <v>0.12767789535912841</v>
      </c>
      <c r="O545">
        <f t="shared" si="137"/>
        <v>8.7729922984347286E-2</v>
      </c>
      <c r="P545">
        <f t="shared" si="138"/>
        <v>0.5</v>
      </c>
      <c r="Q545">
        <f t="shared" si="147"/>
        <v>-1.2689803378123102E-2</v>
      </c>
      <c r="R545" s="6">
        <f t="shared" si="148"/>
        <v>1.2689803378123102E-2</v>
      </c>
      <c r="S545" s="18">
        <f t="shared" si="149"/>
        <v>0.99999999999999889</v>
      </c>
      <c r="T545" s="15"/>
      <c r="U545" s="15"/>
      <c r="V545" s="40">
        <f t="shared" si="150"/>
        <v>4.8</v>
      </c>
      <c r="W545" s="41">
        <f t="shared" si="139"/>
        <v>24.8</v>
      </c>
      <c r="X545">
        <f t="shared" si="151"/>
        <v>1.482594443781632E-2</v>
      </c>
      <c r="Y545">
        <f t="shared" si="152"/>
        <v>1.6994630037333656</v>
      </c>
      <c r="Z545" s="33">
        <f t="shared" si="140"/>
        <v>8.4757306910079572E-2</v>
      </c>
      <c r="AA545" s="33">
        <f t="shared" si="141"/>
        <v>0.5</v>
      </c>
      <c r="AB545">
        <f t="shared" si="142"/>
        <v>-1.7664809347568311E-2</v>
      </c>
      <c r="AC545" s="1">
        <f t="shared" si="143"/>
        <v>-7.2708320165557061E-2</v>
      </c>
      <c r="AD545" s="35">
        <f>IF(W545&gt;=FinalAgeForPremium, AE545*Delta-Z545*(Y545-AE545),AE545*Delta+PremiumRevisedForLimitedTerm-Z545*(Y545-AE545))</f>
        <v>-1.3985409435007534E-3</v>
      </c>
      <c r="AE545" s="35">
        <f>AE544-StepSize*AD544</f>
        <v>3.1838993152855481E-2</v>
      </c>
      <c r="AF545" s="1"/>
    </row>
    <row r="546" spans="11:32" x14ac:dyDescent="0.45">
      <c r="K546" s="40">
        <f t="shared" si="144"/>
        <v>5.21</v>
      </c>
      <c r="L546" s="41">
        <f t="shared" si="136"/>
        <v>25.21</v>
      </c>
      <c r="M546">
        <f t="shared" si="145"/>
        <v>0.87219520660708927</v>
      </c>
      <c r="N546">
        <f t="shared" si="146"/>
        <v>0.12780479339290965</v>
      </c>
      <c r="O546">
        <f t="shared" si="137"/>
        <v>8.7805559196981062E-2</v>
      </c>
      <c r="P546">
        <f t="shared" si="138"/>
        <v>0.5</v>
      </c>
      <c r="Q546">
        <f t="shared" si="147"/>
        <v>-1.2681191148607079E-2</v>
      </c>
      <c r="R546" s="6">
        <f t="shared" si="148"/>
        <v>1.2681191148607079E-2</v>
      </c>
      <c r="S546" s="18">
        <f t="shared" si="149"/>
        <v>0.99999999999999889</v>
      </c>
      <c r="T546" s="15"/>
      <c r="U546" s="15"/>
      <c r="V546" s="40">
        <f t="shared" si="150"/>
        <v>4.79</v>
      </c>
      <c r="W546" s="41">
        <f t="shared" si="139"/>
        <v>24.79</v>
      </c>
      <c r="X546">
        <f t="shared" si="151"/>
        <v>1.5002592531292004E-2</v>
      </c>
      <c r="Y546">
        <f t="shared" si="152"/>
        <v>1.700190086935021</v>
      </c>
      <c r="Z546" s="33">
        <f t="shared" si="140"/>
        <v>8.4684296479460533E-2</v>
      </c>
      <c r="AA546" s="33">
        <f t="shared" si="141"/>
        <v>0.5</v>
      </c>
      <c r="AB546">
        <f t="shared" si="142"/>
        <v>-1.7579594075652349E-2</v>
      </c>
      <c r="AC546" s="1">
        <f t="shared" si="143"/>
        <v>-7.2396748451384441E-2</v>
      </c>
      <c r="AD546" s="35">
        <f>IF(W546&gt;=FinalAgeForPremium, AE546*Delta-Z546*(Y546-AE546),AE546*Delta+PremiumRevisedForLimitedTerm-Z546*(Y546-AE546))</f>
        <v>-1.3364759107611091E-3</v>
      </c>
      <c r="AE546" s="35">
        <f>AE545-StepSize*AD545</f>
        <v>3.1852978562290489E-2</v>
      </c>
      <c r="AF546" s="1"/>
    </row>
    <row r="547" spans="11:32" x14ac:dyDescent="0.45">
      <c r="K547" s="40">
        <f t="shared" si="144"/>
        <v>5.22</v>
      </c>
      <c r="L547" s="41">
        <f t="shared" si="136"/>
        <v>25.22</v>
      </c>
      <c r="M547">
        <f t="shared" si="145"/>
        <v>0.87206839469560316</v>
      </c>
      <c r="N547">
        <f t="shared" si="146"/>
        <v>0.12793160530439571</v>
      </c>
      <c r="O547">
        <f t="shared" si="137"/>
        <v>8.7881260619254373E-2</v>
      </c>
      <c r="P547">
        <f t="shared" si="138"/>
        <v>0.5</v>
      </c>
      <c r="Q547">
        <f t="shared" si="147"/>
        <v>-1.2672667219861239E-2</v>
      </c>
      <c r="R547" s="6">
        <f t="shared" si="148"/>
        <v>1.2672667219861239E-2</v>
      </c>
      <c r="S547" s="18">
        <f t="shared" si="149"/>
        <v>0.99999999999999889</v>
      </c>
      <c r="T547" s="15"/>
      <c r="U547" s="15"/>
      <c r="V547" s="40">
        <f t="shared" si="150"/>
        <v>4.78</v>
      </c>
      <c r="W547" s="41">
        <f t="shared" si="139"/>
        <v>24.78</v>
      </c>
      <c r="X547">
        <f t="shared" si="151"/>
        <v>1.5178388472048528E-2</v>
      </c>
      <c r="Y547">
        <f t="shared" si="152"/>
        <v>1.7009140544195349</v>
      </c>
      <c r="Z547" s="33">
        <f t="shared" si="140"/>
        <v>8.461134894044553E-2</v>
      </c>
      <c r="AA547" s="33">
        <f t="shared" si="141"/>
        <v>0.5</v>
      </c>
      <c r="AB547">
        <f t="shared" si="142"/>
        <v>-1.7494255531887021E-2</v>
      </c>
      <c r="AC547" s="1">
        <f t="shared" si="143"/>
        <v>-7.2086464305279985E-2</v>
      </c>
      <c r="AD547" s="35">
        <f>IF(W547&gt;=FinalAgeForPremium, AE547*Delta-Z547*(Y547-AE547),AE547*Delta+PremiumRevisedForLimitedTerm-Z547*(Y547-AE547))</f>
        <v>-1.2742316416599064E-3</v>
      </c>
      <c r="AE547" s="35">
        <f>AE546-StepSize*AD546</f>
        <v>3.1866343321398101E-2</v>
      </c>
      <c r="AF547" s="1"/>
    </row>
    <row r="548" spans="11:32" x14ac:dyDescent="0.45">
      <c r="K548" s="40">
        <f t="shared" si="144"/>
        <v>5.23</v>
      </c>
      <c r="L548" s="41">
        <f t="shared" si="136"/>
        <v>25.23</v>
      </c>
      <c r="M548">
        <f t="shared" si="145"/>
        <v>0.87194166802340456</v>
      </c>
      <c r="N548">
        <f t="shared" si="146"/>
        <v>0.12805833197659433</v>
      </c>
      <c r="O548">
        <f t="shared" si="137"/>
        <v>8.7957027307387789E-2</v>
      </c>
      <c r="P548">
        <f t="shared" si="138"/>
        <v>0.5</v>
      </c>
      <c r="Q548">
        <f t="shared" si="147"/>
        <v>-1.2664231116486693E-2</v>
      </c>
      <c r="R548" s="6">
        <f t="shared" si="148"/>
        <v>1.2664231116486693E-2</v>
      </c>
      <c r="S548" s="18">
        <f t="shared" si="149"/>
        <v>0.99999999999999889</v>
      </c>
      <c r="T548" s="15"/>
      <c r="U548" s="15"/>
      <c r="V548" s="40">
        <f t="shared" si="150"/>
        <v>4.7699999999999996</v>
      </c>
      <c r="W548" s="41">
        <f t="shared" si="139"/>
        <v>24.77</v>
      </c>
      <c r="X548">
        <f t="shared" si="151"/>
        <v>1.5353331027367398E-2</v>
      </c>
      <c r="Y548">
        <f t="shared" si="152"/>
        <v>1.7016349190625877</v>
      </c>
      <c r="Z548" s="33">
        <f t="shared" si="140"/>
        <v>8.4538464238859232E-2</v>
      </c>
      <c r="AA548" s="33">
        <f t="shared" si="141"/>
        <v>0.5</v>
      </c>
      <c r="AB548">
        <f t="shared" si="142"/>
        <v>-1.7408795478046163E-2</v>
      </c>
      <c r="AC548" s="1">
        <f t="shared" si="143"/>
        <v>-7.1777460029260443E-2</v>
      </c>
      <c r="AD548" s="35">
        <f>IF(W548&gt;=FinalAgeForPremium, AE548*Delta-Z548*(Y548-AE548),AE548*Delta+PremiumRevisedForLimitedTerm-Z548*(Y548-AE548))</f>
        <v>-1.2118100554694977E-3</v>
      </c>
      <c r="AE548" s="35">
        <f>AE547-StepSize*AD547</f>
        <v>3.1879085637814698E-2</v>
      </c>
      <c r="AF548" s="1"/>
    </row>
    <row r="549" spans="11:32" x14ac:dyDescent="0.45">
      <c r="K549" s="40">
        <f t="shared" si="144"/>
        <v>5.24</v>
      </c>
      <c r="L549" s="41">
        <f t="shared" si="136"/>
        <v>25.240000000000002</v>
      </c>
      <c r="M549">
        <f t="shared" si="145"/>
        <v>0.87181502571223968</v>
      </c>
      <c r="N549">
        <f t="shared" si="146"/>
        <v>0.12818497428775918</v>
      </c>
      <c r="O549">
        <f t="shared" si="137"/>
        <v>8.8032859317650036E-2</v>
      </c>
      <c r="P549">
        <f t="shared" si="138"/>
        <v>0.5</v>
      </c>
      <c r="Q549">
        <f t="shared" si="147"/>
        <v>-1.2655882365659454E-2</v>
      </c>
      <c r="R549" s="6">
        <f t="shared" si="148"/>
        <v>1.2655882365659454E-2</v>
      </c>
      <c r="S549" s="18">
        <f t="shared" si="149"/>
        <v>0.99999999999999889</v>
      </c>
      <c r="T549" s="15"/>
      <c r="U549" s="15"/>
      <c r="V549" s="40">
        <f t="shared" si="150"/>
        <v>4.76</v>
      </c>
      <c r="W549" s="41">
        <f t="shared" si="139"/>
        <v>24.759999999999998</v>
      </c>
      <c r="X549">
        <f t="shared" si="151"/>
        <v>1.5527418982147859E-2</v>
      </c>
      <c r="Y549">
        <f t="shared" si="152"/>
        <v>1.7023526936628803</v>
      </c>
      <c r="Z549" s="33">
        <f t="shared" si="140"/>
        <v>8.4465642320573173E-2</v>
      </c>
      <c r="AA549" s="33">
        <f t="shared" si="141"/>
        <v>0.5</v>
      </c>
      <c r="AB549">
        <f t="shared" si="142"/>
        <v>-1.7323215662030295E-2</v>
      </c>
      <c r="AC549" s="1">
        <f t="shared" si="143"/>
        <v>-7.1469727976489761E-2</v>
      </c>
      <c r="AD549" s="35">
        <f>IF(W549&gt;=FinalAgeForPremium, AE549*Delta-Z549*(Y549-AE549),AE549*Delta+PremiumRevisedForLimitedTerm-Z549*(Y549-AE549))</f>
        <v>-1.1492130570904813E-3</v>
      </c>
      <c r="AE549" s="35">
        <f>AE548-StepSize*AD548</f>
        <v>3.1891203738369393E-2</v>
      </c>
      <c r="AF549" s="1"/>
    </row>
    <row r="550" spans="11:32" x14ac:dyDescent="0.45">
      <c r="K550" s="40">
        <f t="shared" si="144"/>
        <v>5.25</v>
      </c>
      <c r="L550" s="41">
        <f t="shared" si="136"/>
        <v>25.25</v>
      </c>
      <c r="M550">
        <f t="shared" si="145"/>
        <v>0.87168846688858304</v>
      </c>
      <c r="N550">
        <f t="shared" si="146"/>
        <v>0.12831153311141577</v>
      </c>
      <c r="O550">
        <f t="shared" si="137"/>
        <v>8.8108756706358454E-2</v>
      </c>
      <c r="P550">
        <f t="shared" si="138"/>
        <v>0.5</v>
      </c>
      <c r="Q550">
        <f t="shared" si="147"/>
        <v>-1.2647620497116874E-2</v>
      </c>
      <c r="R550" s="6">
        <f t="shared" si="148"/>
        <v>1.2647620497116874E-2</v>
      </c>
      <c r="S550" s="18">
        <f t="shared" si="149"/>
        <v>0.99999999999999878</v>
      </c>
      <c r="T550" s="15"/>
      <c r="U550" s="15"/>
      <c r="V550" s="40">
        <f t="shared" si="150"/>
        <v>4.75</v>
      </c>
      <c r="W550" s="41">
        <f t="shared" si="139"/>
        <v>24.75</v>
      </c>
      <c r="X550">
        <f t="shared" si="151"/>
        <v>1.5700651138768163E-2</v>
      </c>
      <c r="Y550">
        <f t="shared" si="152"/>
        <v>1.7030673909426453</v>
      </c>
      <c r="Z550" s="33">
        <f t="shared" si="140"/>
        <v>8.4392883131505558E-2</v>
      </c>
      <c r="AA550" s="33">
        <f t="shared" si="141"/>
        <v>0.5</v>
      </c>
      <c r="AB550">
        <f t="shared" si="142"/>
        <v>-1.7237517817972087E-2</v>
      </c>
      <c r="AC550" s="1">
        <f t="shared" si="143"/>
        <v>-7.1163260550929142E-2</v>
      </c>
      <c r="AD550" s="35">
        <f>IF(W550&gt;=FinalAgeForPremium, AE550*Delta-Z550*(Y550-AE550),AE550*Delta+PremiumRevisedForLimitedTerm-Z550*(Y550-AE550))</f>
        <v>-1.0864425371597264E-3</v>
      </c>
      <c r="AE550" s="35">
        <f>AE549-StepSize*AD549</f>
        <v>3.1902695868940296E-2</v>
      </c>
      <c r="AF550" s="1"/>
    </row>
    <row r="551" spans="11:32" x14ac:dyDescent="0.45">
      <c r="K551" s="40">
        <f t="shared" si="144"/>
        <v>5.26</v>
      </c>
      <c r="L551" s="41">
        <f t="shared" si="136"/>
        <v>25.259999999999998</v>
      </c>
      <c r="M551">
        <f t="shared" si="145"/>
        <v>0.87156199068361184</v>
      </c>
      <c r="N551">
        <f t="shared" si="146"/>
        <v>0.12843800931638694</v>
      </c>
      <c r="O551">
        <f t="shared" si="137"/>
        <v>8.8184719529879066E-2</v>
      </c>
      <c r="P551">
        <f t="shared" si="138"/>
        <v>0.5</v>
      </c>
      <c r="Q551">
        <f t="shared" si="147"/>
        <v>-1.2639445043143918E-2</v>
      </c>
      <c r="R551" s="6">
        <f t="shared" si="148"/>
        <v>1.2639445043143918E-2</v>
      </c>
      <c r="S551" s="18">
        <f t="shared" si="149"/>
        <v>0.99999999999999878</v>
      </c>
      <c r="T551" s="15"/>
      <c r="U551" s="15"/>
      <c r="V551" s="40">
        <f t="shared" si="150"/>
        <v>4.74</v>
      </c>
      <c r="W551" s="41">
        <f t="shared" si="139"/>
        <v>24.740000000000002</v>
      </c>
      <c r="X551">
        <f t="shared" si="151"/>
        <v>1.5873026316947883E-2</v>
      </c>
      <c r="Y551">
        <f t="shared" si="152"/>
        <v>1.7037790235481545</v>
      </c>
      <c r="Z551" s="33">
        <f t="shared" si="140"/>
        <v>8.432018661762096E-2</v>
      </c>
      <c r="AA551" s="33">
        <f t="shared" si="141"/>
        <v>0.5</v>
      </c>
      <c r="AB551">
        <f t="shared" si="142"/>
        <v>-1.7151703666341889E-2</v>
      </c>
      <c r="AC551" s="1">
        <f t="shared" si="143"/>
        <v>-7.0858050206988987E-2</v>
      </c>
      <c r="AD551" s="35">
        <f>IF(W551&gt;=FinalAgeForPremium, AE551*Delta-Z551*(Y551-AE551),AE551*Delta+PremiumRevisedForLimitedTerm-Z551*(Y551-AE551))</f>
        <v>-1.0235003721571767E-3</v>
      </c>
      <c r="AE551" s="35">
        <f>AE550-StepSize*AD550</f>
        <v>3.1913560294311895E-2</v>
      </c>
      <c r="AF551" s="1"/>
    </row>
    <row r="552" spans="11:32" x14ac:dyDescent="0.45">
      <c r="K552" s="40">
        <f t="shared" si="144"/>
        <v>5.27</v>
      </c>
      <c r="L552" s="41">
        <f t="shared" si="136"/>
        <v>25.27</v>
      </c>
      <c r="M552">
        <f t="shared" si="145"/>
        <v>0.87143559623318045</v>
      </c>
      <c r="N552">
        <f t="shared" si="146"/>
        <v>0.12856440376681838</v>
      </c>
      <c r="O552">
        <f t="shared" si="137"/>
        <v>8.8260747844626397E-2</v>
      </c>
      <c r="P552">
        <f t="shared" si="138"/>
        <v>0.5</v>
      </c>
      <c r="Q552">
        <f t="shared" si="147"/>
        <v>-1.2631355538559208E-2</v>
      </c>
      <c r="R552" s="6">
        <f t="shared" si="148"/>
        <v>1.2631355538559208E-2</v>
      </c>
      <c r="S552" s="18">
        <f t="shared" si="149"/>
        <v>0.99999999999999889</v>
      </c>
      <c r="T552" s="15"/>
      <c r="U552" s="15"/>
      <c r="V552" s="40">
        <f t="shared" si="150"/>
        <v>4.7300000000000004</v>
      </c>
      <c r="W552" s="41">
        <f t="shared" si="139"/>
        <v>24.73</v>
      </c>
      <c r="X552">
        <f t="shared" si="151"/>
        <v>1.6044543353611301E-2</v>
      </c>
      <c r="Y552">
        <f t="shared" si="152"/>
        <v>1.7044876040502244</v>
      </c>
      <c r="Z552" s="33">
        <f t="shared" si="140"/>
        <v>8.4247552724930605E-2</v>
      </c>
      <c r="AA552" s="33">
        <f t="shared" si="141"/>
        <v>0.5</v>
      </c>
      <c r="AB552">
        <f t="shared" si="142"/>
        <v>-1.7065774914052867E-2</v>
      </c>
      <c r="AC552" s="1">
        <f t="shared" si="143"/>
        <v>-7.0554089449182289E-2</v>
      </c>
      <c r="AD552" s="35">
        <f>IF(W552&gt;=FinalAgeForPremium, AE552*Delta-Z552*(Y552-AE552),AE552*Delta+PremiumRevisedForLimitedTerm-Z552*(Y552-AE552))</f>
        <v>-9.6038842451273698E-4</v>
      </c>
      <c r="AE552" s="35">
        <f>AE551-StepSize*AD551</f>
        <v>3.1923795298033464E-2</v>
      </c>
      <c r="AF552" s="1"/>
    </row>
    <row r="553" spans="11:32" x14ac:dyDescent="0.45">
      <c r="K553" s="40">
        <f t="shared" si="144"/>
        <v>5.28</v>
      </c>
      <c r="L553" s="41">
        <f t="shared" si="136"/>
        <v>25.28</v>
      </c>
      <c r="M553">
        <f t="shared" si="145"/>
        <v>0.87130928267779484</v>
      </c>
      <c r="N553">
        <f t="shared" si="146"/>
        <v>0.12869071732220397</v>
      </c>
      <c r="O553">
        <f t="shared" si="137"/>
        <v>8.8336841707063504E-2</v>
      </c>
      <c r="P553">
        <f t="shared" si="138"/>
        <v>0.5</v>
      </c>
      <c r="Q553">
        <f t="shared" si="147"/>
        <v>-1.2623351520701431E-2</v>
      </c>
      <c r="R553" s="6">
        <f t="shared" si="148"/>
        <v>1.2623351520701431E-2</v>
      </c>
      <c r="S553" s="18">
        <f t="shared" si="149"/>
        <v>0.99999999999999878</v>
      </c>
      <c r="T553" s="15"/>
      <c r="U553" s="15"/>
      <c r="V553" s="40">
        <f t="shared" si="150"/>
        <v>4.72</v>
      </c>
      <c r="W553" s="41">
        <f t="shared" si="139"/>
        <v>24.72</v>
      </c>
      <c r="X553">
        <f t="shared" si="151"/>
        <v>1.621520110275183E-2</v>
      </c>
      <c r="Y553">
        <f t="shared" si="152"/>
        <v>1.7051931449447162</v>
      </c>
      <c r="Z553" s="33">
        <f t="shared" si="140"/>
        <v>8.417498139949231E-2</v>
      </c>
      <c r="AA553" s="33">
        <f t="shared" si="141"/>
        <v>0.5</v>
      </c>
      <c r="AB553">
        <f t="shared" si="142"/>
        <v>-1.6979733254564866E-2</v>
      </c>
      <c r="AC553" s="1">
        <f t="shared" si="143"/>
        <v>-7.0251370831782012E-2</v>
      </c>
      <c r="AD553" s="35">
        <f>IF(W553&gt;=FinalAgeForPremium, AE553*Delta-Z553*(Y553-AE553),AE553*Delta+PremiumRevisedForLimitedTerm-Z553*(Y553-AE553))</f>
        <v>-8.9710854271196627E-4</v>
      </c>
      <c r="AE553" s="35">
        <f>AE552-StepSize*AD552</f>
        <v>3.1933399182278589E-2</v>
      </c>
      <c r="AF553" s="1"/>
    </row>
    <row r="554" spans="11:32" x14ac:dyDescent="0.45">
      <c r="K554" s="40">
        <f t="shared" si="144"/>
        <v>5.29</v>
      </c>
      <c r="L554" s="41">
        <f t="shared" si="136"/>
        <v>25.29</v>
      </c>
      <c r="M554">
        <f t="shared" si="145"/>
        <v>0.87118304916258782</v>
      </c>
      <c r="N554">
        <f t="shared" si="146"/>
        <v>0.12881695083741099</v>
      </c>
      <c r="O554">
        <f t="shared" si="137"/>
        <v>8.8413001173702266E-2</v>
      </c>
      <c r="P554">
        <f t="shared" si="138"/>
        <v>0.5</v>
      </c>
      <c r="Q554">
        <f t="shared" si="147"/>
        <v>-1.2615432529415896E-2</v>
      </c>
      <c r="R554" s="6">
        <f t="shared" si="148"/>
        <v>1.2615432529415896E-2</v>
      </c>
      <c r="S554" s="18">
        <f t="shared" si="149"/>
        <v>0.99999999999999878</v>
      </c>
      <c r="T554" s="15"/>
      <c r="U554" s="15"/>
      <c r="V554" s="40">
        <f t="shared" si="150"/>
        <v>4.71</v>
      </c>
      <c r="W554" s="41">
        <f t="shared" si="139"/>
        <v>24.71</v>
      </c>
      <c r="X554">
        <f t="shared" si="151"/>
        <v>1.638499843529748E-2</v>
      </c>
      <c r="Y554">
        <f t="shared" si="152"/>
        <v>1.7058956586530341</v>
      </c>
      <c r="Z554" s="33">
        <f t="shared" si="140"/>
        <v>8.4102472587410271E-2</v>
      </c>
      <c r="AA554" s="33">
        <f t="shared" si="141"/>
        <v>0.5</v>
      </c>
      <c r="AB554">
        <f t="shared" si="142"/>
        <v>-1.6893580367987077E-2</v>
      </c>
      <c r="AC554" s="1">
        <f t="shared" si="143"/>
        <v>-6.9949886958480034E-2</v>
      </c>
      <c r="AD554" s="35">
        <f>IF(W554&gt;=FinalAgeForPremium, AE554*Delta-Z554*(Y554-AE554),AE554*Delta+PremiumRevisedForLimitedTerm-Z554*(Y554-AE554))</f>
        <v>-8.336625614005222E-4</v>
      </c>
      <c r="AE554" s="35">
        <f>AE553-StepSize*AD553</f>
        <v>3.1942370267705709E-2</v>
      </c>
      <c r="AF554" s="1"/>
    </row>
    <row r="555" spans="11:32" x14ac:dyDescent="0.45">
      <c r="K555" s="40">
        <f t="shared" si="144"/>
        <v>5.3</v>
      </c>
      <c r="L555" s="41">
        <f t="shared" si="136"/>
        <v>25.3</v>
      </c>
      <c r="M555">
        <f t="shared" si="145"/>
        <v>0.87105689483729365</v>
      </c>
      <c r="N555">
        <f t="shared" si="146"/>
        <v>0.12894310516270516</v>
      </c>
      <c r="O555">
        <f t="shared" si="137"/>
        <v>8.8489226301103299E-2</v>
      </c>
      <c r="P555">
        <f t="shared" si="138"/>
        <v>0.5</v>
      </c>
      <c r="Q555">
        <f t="shared" si="147"/>
        <v>-1.260759810704104E-2</v>
      </c>
      <c r="R555" s="6">
        <f t="shared" si="148"/>
        <v>1.260759810704104E-2</v>
      </c>
      <c r="S555" s="18">
        <f t="shared" si="149"/>
        <v>0.99999999999999878</v>
      </c>
      <c r="T555" s="15"/>
      <c r="U555" s="15"/>
      <c r="V555" s="40">
        <f t="shared" si="150"/>
        <v>4.7</v>
      </c>
      <c r="W555" s="41">
        <f t="shared" si="139"/>
        <v>24.7</v>
      </c>
      <c r="X555">
        <f t="shared" si="151"/>
        <v>1.6553934238977351E-2</v>
      </c>
      <c r="Y555">
        <f t="shared" si="152"/>
        <v>1.7065951575226188</v>
      </c>
      <c r="Z555" s="33">
        <f t="shared" si="140"/>
        <v>8.4030026234835062E-2</v>
      </c>
      <c r="AA555" s="33">
        <f t="shared" si="141"/>
        <v>0.5</v>
      </c>
      <c r="AB555">
        <f t="shared" si="142"/>
        <v>-1.6807317921180592E-2</v>
      </c>
      <c r="AC555" s="1">
        <f t="shared" si="143"/>
        <v>-6.9649630482048308E-2</v>
      </c>
      <c r="AD555" s="35">
        <f>IF(W555&gt;=FinalAgeForPremium, AE555*Delta-Z555*(Y555-AE555),AE555*Delta+PremiumRevisedForLimitedTerm-Z555*(Y555-AE555))</f>
        <v>-7.7005230148843862E-4</v>
      </c>
      <c r="AE555" s="35">
        <f>AE554-StepSize*AD554</f>
        <v>3.1950706893319712E-2</v>
      </c>
      <c r="AF555" s="1"/>
    </row>
    <row r="556" spans="11:32" x14ac:dyDescent="0.45">
      <c r="K556" s="40">
        <f t="shared" si="144"/>
        <v>5.31</v>
      </c>
      <c r="L556" s="41">
        <f t="shared" si="136"/>
        <v>25.31</v>
      </c>
      <c r="M556">
        <f t="shared" si="145"/>
        <v>0.87093081885622325</v>
      </c>
      <c r="N556">
        <f t="shared" si="146"/>
        <v>0.12906918114377558</v>
      </c>
      <c r="O556">
        <f t="shared" si="137"/>
        <v>8.8565517145875836E-2</v>
      </c>
      <c r="P556">
        <f t="shared" si="138"/>
        <v>0.5</v>
      </c>
      <c r="Q556">
        <f t="shared" si="147"/>
        <v>-1.2599847798394737E-2</v>
      </c>
      <c r="R556" s="6">
        <f t="shared" si="148"/>
        <v>1.2599847798394737E-2</v>
      </c>
      <c r="S556" s="18">
        <f t="shared" si="149"/>
        <v>0.99999999999999889</v>
      </c>
      <c r="T556" s="15"/>
      <c r="U556" s="15"/>
      <c r="V556" s="40">
        <f t="shared" si="150"/>
        <v>4.6900000000000004</v>
      </c>
      <c r="W556" s="41">
        <f t="shared" si="139"/>
        <v>24.69</v>
      </c>
      <c r="X556">
        <f t="shared" si="151"/>
        <v>1.6722007418189157E-2</v>
      </c>
      <c r="Y556">
        <f t="shared" si="152"/>
        <v>1.7072916538274392</v>
      </c>
      <c r="Z556" s="33">
        <f t="shared" si="140"/>
        <v>8.3957642287963777E-2</v>
      </c>
      <c r="AA556" s="33">
        <f t="shared" si="141"/>
        <v>0.5</v>
      </c>
      <c r="AB556">
        <f t="shared" si="142"/>
        <v>-1.6720947567860106E-2</v>
      </c>
      <c r="AC556" s="1">
        <f t="shared" si="143"/>
        <v>-6.9350594104003016E-2</v>
      </c>
      <c r="AD556" s="35">
        <f>IF(W556&gt;=FinalAgeForPremium, AE556*Delta-Z556*(Y556-AE556),AE556*Delta+PremiumRevisedForLimitedTerm-Z556*(Y556-AE556))</f>
        <v>-7.0627957025332089E-4</v>
      </c>
      <c r="AE556" s="35">
        <f>AE555-StepSize*AD555</f>
        <v>3.19584074163346E-2</v>
      </c>
      <c r="AF556" s="1"/>
    </row>
    <row r="557" spans="11:32" x14ac:dyDescent="0.45">
      <c r="K557" s="40">
        <f t="shared" si="144"/>
        <v>5.32</v>
      </c>
      <c r="L557" s="41">
        <f t="shared" si="136"/>
        <v>25.32</v>
      </c>
      <c r="M557">
        <f t="shared" si="145"/>
        <v>0.87080482037823925</v>
      </c>
      <c r="N557">
        <f t="shared" si="146"/>
        <v>0.12919517962175953</v>
      </c>
      <c r="O557">
        <f t="shared" si="137"/>
        <v>8.8641873764678039E-2</v>
      </c>
      <c r="P557">
        <f t="shared" si="138"/>
        <v>0.5</v>
      </c>
      <c r="Q557">
        <f t="shared" si="147"/>
        <v>-1.2592181150761259E-2</v>
      </c>
      <c r="R557" s="6">
        <f t="shared" si="148"/>
        <v>1.2592181150761259E-2</v>
      </c>
      <c r="S557" s="18">
        <f t="shared" si="149"/>
        <v>0.99999999999999878</v>
      </c>
      <c r="T557" s="15"/>
      <c r="U557" s="15"/>
      <c r="V557" s="40">
        <f t="shared" si="150"/>
        <v>4.68</v>
      </c>
      <c r="W557" s="41">
        <f t="shared" si="139"/>
        <v>24.68</v>
      </c>
      <c r="X557">
        <f t="shared" si="151"/>
        <v>1.688921689386776E-2</v>
      </c>
      <c r="Y557">
        <f t="shared" si="152"/>
        <v>1.7079851597684792</v>
      </c>
      <c r="Z557" s="33">
        <f t="shared" si="140"/>
        <v>8.3885320693039778E-2</v>
      </c>
      <c r="AA557" s="33">
        <f t="shared" si="141"/>
        <v>0.5</v>
      </c>
      <c r="AB557">
        <f t="shared" si="142"/>
        <v>-1.6634470948694219E-2</v>
      </c>
      <c r="AC557" s="1">
        <f t="shared" si="143"/>
        <v>-6.9052770574270284E-2</v>
      </c>
      <c r="AD557" s="35">
        <f>IF(W557&gt;=FinalAgeForPremium, AE557*Delta-Z557*(Y557-AE557),AE557*Delta+PremiumRevisedForLimitedTerm-Z557*(Y557-AE557))</f>
        <v>-6.4234616144273615E-4</v>
      </c>
      <c r="AE557" s="35">
        <f>AE556-StepSize*AD556</f>
        <v>3.1965470212037134E-2</v>
      </c>
      <c r="AF557" s="1"/>
    </row>
    <row r="558" spans="11:32" x14ac:dyDescent="0.45">
      <c r="K558" s="40">
        <f t="shared" si="144"/>
        <v>5.33</v>
      </c>
      <c r="L558" s="41">
        <f t="shared" si="136"/>
        <v>25.33</v>
      </c>
      <c r="M558">
        <f t="shared" si="145"/>
        <v>0.87067889856673164</v>
      </c>
      <c r="N558">
        <f t="shared" si="146"/>
        <v>0.12932110143326714</v>
      </c>
      <c r="O558">
        <f t="shared" si="137"/>
        <v>8.8718296214216896E-2</v>
      </c>
      <c r="P558">
        <f t="shared" si="138"/>
        <v>0.5</v>
      </c>
      <c r="Q558">
        <f t="shared" si="147"/>
        <v>-1.2584597713877835E-2</v>
      </c>
      <c r="R558" s="6">
        <f t="shared" si="148"/>
        <v>1.2584597713877835E-2</v>
      </c>
      <c r="S558" s="18">
        <f t="shared" si="149"/>
        <v>0.99999999999999878</v>
      </c>
      <c r="T558" s="15"/>
      <c r="U558" s="15"/>
      <c r="V558" s="40">
        <f t="shared" si="150"/>
        <v>4.67</v>
      </c>
      <c r="W558" s="41">
        <f t="shared" si="139"/>
        <v>24.67</v>
      </c>
      <c r="X558">
        <f t="shared" si="151"/>
        <v>1.7055561603354703E-2</v>
      </c>
      <c r="Y558">
        <f t="shared" si="152"/>
        <v>1.7086756874742219</v>
      </c>
      <c r="Z558" s="33">
        <f t="shared" si="140"/>
        <v>8.3813061396352709E-2</v>
      </c>
      <c r="AA558" s="33">
        <f t="shared" si="141"/>
        <v>0.5</v>
      </c>
      <c r="AB558">
        <f t="shared" si="142"/>
        <v>-1.6547889691405471E-2</v>
      </c>
      <c r="AC558" s="1">
        <f t="shared" si="143"/>
        <v>-6.8756152690855332E-2</v>
      </c>
      <c r="AD558" s="35">
        <f>IF(W558&gt;=FinalAgeForPremium, AE558*Delta-Z558*(Y558-AE558),AE558*Delta+PremiumRevisedForLimitedTerm-Z558*(Y558-AE558))</f>
        <v>-5.7825385537557672E-4</v>
      </c>
      <c r="AE558" s="35">
        <f>AE557-StepSize*AD557</f>
        <v>3.1971893673651559E-2</v>
      </c>
      <c r="AF558" s="1"/>
    </row>
    <row r="559" spans="11:32" x14ac:dyDescent="0.45">
      <c r="K559" s="40">
        <f t="shared" si="144"/>
        <v>5.34</v>
      </c>
      <c r="L559" s="41">
        <f t="shared" si="136"/>
        <v>25.34</v>
      </c>
      <c r="M559">
        <f t="shared" si="145"/>
        <v>0.87055305258959281</v>
      </c>
      <c r="N559">
        <f t="shared" si="146"/>
        <v>0.12944694741040591</v>
      </c>
      <c r="O559">
        <f t="shared" si="137"/>
        <v>8.8794784551248299E-2</v>
      </c>
      <c r="P559">
        <f t="shared" si="138"/>
        <v>0.5</v>
      </c>
      <c r="Q559">
        <f t="shared" si="147"/>
        <v>-1.2577097039921464E-2</v>
      </c>
      <c r="R559" s="6">
        <f t="shared" si="148"/>
        <v>1.2577097039921464E-2</v>
      </c>
      <c r="S559" s="18">
        <f t="shared" si="149"/>
        <v>0.99999999999999867</v>
      </c>
      <c r="T559" s="15"/>
      <c r="U559" s="15"/>
      <c r="V559" s="40">
        <f t="shared" si="150"/>
        <v>4.66</v>
      </c>
      <c r="W559" s="41">
        <f t="shared" si="139"/>
        <v>24.66</v>
      </c>
      <c r="X559">
        <f t="shared" si="151"/>
        <v>1.7221040500268757E-2</v>
      </c>
      <c r="Y559">
        <f t="shared" si="152"/>
        <v>1.7093632490011306</v>
      </c>
      <c r="Z559" s="33">
        <f t="shared" si="140"/>
        <v>8.3740864344238483E-2</v>
      </c>
      <c r="AA559" s="33">
        <f t="shared" si="141"/>
        <v>0.5</v>
      </c>
      <c r="AB559">
        <f t="shared" si="142"/>
        <v>-1.646120541086965E-2</v>
      </c>
      <c r="AC559" s="1">
        <f t="shared" si="143"/>
        <v>-6.8460733299512633E-2</v>
      </c>
      <c r="AD559" s="35">
        <f>IF(W559&gt;=FinalAgeForPremium, AE559*Delta-Z559*(Y559-AE559),AE559*Delta+PremiumRevisedForLimitedTerm-Z559*(Y559-AE559))</f>
        <v>-5.1400441904334015E-4</v>
      </c>
      <c r="AE559" s="35">
        <f>AE558-StepSize*AD558</f>
        <v>3.1977676212205312E-2</v>
      </c>
      <c r="AF559" s="1"/>
    </row>
    <row r="560" spans="11:32" x14ac:dyDescent="0.45">
      <c r="K560" s="40">
        <f t="shared" si="144"/>
        <v>5.35</v>
      </c>
      <c r="L560" s="41">
        <f t="shared" si="136"/>
        <v>25.35</v>
      </c>
      <c r="M560">
        <f t="shared" si="145"/>
        <v>0.87042728161919358</v>
      </c>
      <c r="N560">
        <f t="shared" si="146"/>
        <v>0.12957271838080511</v>
      </c>
      <c r="O560">
        <f t="shared" si="137"/>
        <v>8.8871338832576946E-2</v>
      </c>
      <c r="P560">
        <f t="shared" si="138"/>
        <v>0.5</v>
      </c>
      <c r="Q560">
        <f t="shared" si="147"/>
        <v>-1.2569678683495678E-2</v>
      </c>
      <c r="R560" s="6">
        <f t="shared" si="148"/>
        <v>1.2569678683495678E-2</v>
      </c>
      <c r="S560" s="18">
        <f t="shared" si="149"/>
        <v>0.99999999999999867</v>
      </c>
      <c r="T560" s="15"/>
      <c r="U560" s="15"/>
      <c r="V560" s="40">
        <f t="shared" si="150"/>
        <v>4.6500000000000004</v>
      </c>
      <c r="W560" s="41">
        <f t="shared" si="139"/>
        <v>24.65</v>
      </c>
      <c r="X560">
        <f t="shared" si="151"/>
        <v>1.7385652554377455E-2</v>
      </c>
      <c r="Y560">
        <f t="shared" si="152"/>
        <v>1.7100478563341257</v>
      </c>
      <c r="Z560" s="33">
        <f t="shared" si="140"/>
        <v>8.3668729483079365E-2</v>
      </c>
      <c r="AA560" s="33">
        <f t="shared" si="141"/>
        <v>0.5</v>
      </c>
      <c r="AB560">
        <f t="shared" si="142"/>
        <v>-1.6374419709214189E-2</v>
      </c>
      <c r="AC560" s="1">
        <f t="shared" si="143"/>
        <v>-6.816650529341961E-2</v>
      </c>
      <c r="AD560" s="35">
        <f>IF(W560&gt;=FinalAgeForPremium, AE560*Delta-Z560*(Y560-AE560),AE560*Delta+PremiumRevisedForLimitedTerm-Z560*(Y560-AE560))</f>
        <v>-4.4959960620999384E-4</v>
      </c>
      <c r="AE560" s="35">
        <f>AE559-StepSize*AD559</f>
        <v>3.1982816256395749E-2</v>
      </c>
      <c r="AF560" s="1"/>
    </row>
    <row r="561" spans="11:32" x14ac:dyDescent="0.45">
      <c r="K561" s="40">
        <f t="shared" si="144"/>
        <v>5.36</v>
      </c>
      <c r="L561" s="41">
        <f t="shared" si="136"/>
        <v>25.36</v>
      </c>
      <c r="M561">
        <f t="shared" si="145"/>
        <v>0.87030158483235864</v>
      </c>
      <c r="N561">
        <f t="shared" si="146"/>
        <v>0.12969841516764008</v>
      </c>
      <c r="O561">
        <f t="shared" si="137"/>
        <v>8.894795911505668E-2</v>
      </c>
      <c r="P561">
        <f t="shared" si="138"/>
        <v>0.5</v>
      </c>
      <c r="Q561">
        <f t="shared" si="147"/>
        <v>-1.2562342201617629E-2</v>
      </c>
      <c r="R561" s="6">
        <f t="shared" si="148"/>
        <v>1.2562342201617629E-2</v>
      </c>
      <c r="S561" s="18">
        <f t="shared" si="149"/>
        <v>0.99999999999999867</v>
      </c>
      <c r="T561" s="15"/>
      <c r="U561" s="15"/>
      <c r="V561" s="40">
        <f t="shared" si="150"/>
        <v>4.6399999999999997</v>
      </c>
      <c r="W561" s="41">
        <f t="shared" si="139"/>
        <v>24.64</v>
      </c>
      <c r="X561">
        <f t="shared" si="151"/>
        <v>1.7549396751469597E-2</v>
      </c>
      <c r="Y561">
        <f t="shared" si="152"/>
        <v>1.7107295213870599</v>
      </c>
      <c r="Z561" s="33">
        <f t="shared" si="140"/>
        <v>8.3596656759303639E-2</v>
      </c>
      <c r="AA561" s="33">
        <f t="shared" si="141"/>
        <v>0.5</v>
      </c>
      <c r="AB561">
        <f t="shared" si="142"/>
        <v>-1.6287534175915247E-2</v>
      </c>
      <c r="AC561" s="1">
        <f t="shared" si="143"/>
        <v>-6.7873461612851793E-2</v>
      </c>
      <c r="AD561" s="35">
        <f>IF(W561&gt;=FinalAgeForPremium, AE561*Delta-Z561*(Y561-AE561),AE561*Delta+PremiumRevisedForLimitedTerm-Z561*(Y561-AE561))</f>
        <v>-3.8504115751103463E-4</v>
      </c>
      <c r="AE561" s="35">
        <f>AE560-StepSize*AD560</f>
        <v>3.198731225245785E-2</v>
      </c>
      <c r="AF561" s="1"/>
    </row>
    <row r="562" spans="11:32" x14ac:dyDescent="0.45">
      <c r="K562" s="40">
        <f t="shared" si="144"/>
        <v>5.37</v>
      </c>
      <c r="L562" s="41">
        <f t="shared" si="136"/>
        <v>25.37</v>
      </c>
      <c r="M562">
        <f t="shared" si="145"/>
        <v>0.87017596141034248</v>
      </c>
      <c r="N562">
        <f t="shared" si="146"/>
        <v>0.12982403858965624</v>
      </c>
      <c r="O562">
        <f t="shared" si="137"/>
        <v>8.9024645455590315E-2</v>
      </c>
      <c r="P562">
        <f t="shared" si="138"/>
        <v>0.5</v>
      </c>
      <c r="Q562">
        <f t="shared" si="147"/>
        <v>-1.2555087153705055E-2</v>
      </c>
      <c r="R562" s="6">
        <f t="shared" si="148"/>
        <v>1.2555087153705055E-2</v>
      </c>
      <c r="S562" s="18">
        <f t="shared" si="149"/>
        <v>0.99999999999999867</v>
      </c>
      <c r="T562" s="15"/>
      <c r="U562" s="15"/>
      <c r="V562" s="40">
        <f t="shared" si="150"/>
        <v>4.63</v>
      </c>
      <c r="W562" s="41">
        <f t="shared" si="139"/>
        <v>24.63</v>
      </c>
      <c r="X562">
        <f t="shared" si="151"/>
        <v>1.7712272093228749E-2</v>
      </c>
      <c r="Y562">
        <f t="shared" si="152"/>
        <v>1.7114082560031885</v>
      </c>
      <c r="Z562" s="33">
        <f t="shared" si="140"/>
        <v>8.3524646119385773E-2</v>
      </c>
      <c r="AA562" s="33">
        <f t="shared" si="141"/>
        <v>0.5</v>
      </c>
      <c r="AB562">
        <f t="shared" si="142"/>
        <v>-1.6200550387895196E-2</v>
      </c>
      <c r="AC562" s="1">
        <f t="shared" si="143"/>
        <v>-6.7581595244860737E-2</v>
      </c>
      <c r="AD562" s="35">
        <f>IF(W562&gt;=FinalAgeForPremium, AE562*Delta-Z562*(Y562-AE562),AE562*Delta+PremiumRevisedForLimitedTerm-Z562*(Y562-AE562))</f>
        <v>-3.2033080055224317E-4</v>
      </c>
      <c r="AE562" s="35">
        <f>AE561-StepSize*AD561</f>
        <v>3.1991162664032957E-2</v>
      </c>
      <c r="AF562" s="1"/>
    </row>
    <row r="563" spans="11:32" x14ac:dyDescent="0.45">
      <c r="K563" s="40">
        <f t="shared" si="144"/>
        <v>5.38</v>
      </c>
      <c r="L563" s="41">
        <f t="shared" si="136"/>
        <v>25.38</v>
      </c>
      <c r="M563">
        <f t="shared" si="145"/>
        <v>0.87005041053880539</v>
      </c>
      <c r="N563">
        <f t="shared" si="146"/>
        <v>0.12994958946119328</v>
      </c>
      <c r="O563">
        <f t="shared" si="137"/>
        <v>8.9101397911129615E-2</v>
      </c>
      <c r="P563">
        <f t="shared" si="138"/>
        <v>0.5</v>
      </c>
      <c r="Q563">
        <f t="shared" si="147"/>
        <v>-1.2547913101563141E-2</v>
      </c>
      <c r="R563" s="6">
        <f t="shared" si="148"/>
        <v>1.2547913101563141E-2</v>
      </c>
      <c r="S563" s="18">
        <f t="shared" si="149"/>
        <v>0.99999999999999867</v>
      </c>
      <c r="T563" s="15"/>
      <c r="U563" s="15"/>
      <c r="V563" s="40">
        <f t="shared" si="150"/>
        <v>4.62</v>
      </c>
      <c r="W563" s="41">
        <f t="shared" si="139"/>
        <v>24.62</v>
      </c>
      <c r="X563">
        <f t="shared" si="151"/>
        <v>1.7874277597107701E-2</v>
      </c>
      <c r="Y563">
        <f t="shared" si="152"/>
        <v>1.7120840719556372</v>
      </c>
      <c r="Z563" s="33">
        <f t="shared" si="140"/>
        <v>8.3452697509846477E-2</v>
      </c>
      <c r="AA563" s="33">
        <f t="shared" si="141"/>
        <v>0.5</v>
      </c>
      <c r="AB563">
        <f t="shared" si="142"/>
        <v>-1.6113469909618511E-2</v>
      </c>
      <c r="AC563" s="1">
        <f t="shared" si="143"/>
        <v>-6.7290899222953393E-2</v>
      </c>
      <c r="AD563" s="35">
        <f>IF(W563&gt;=FinalAgeForPremium, AE563*Delta-Z563*(Y563-AE563),AE563*Delta+PremiumRevisedForLimitedTerm-Z563*(Y563-AE563))</f>
        <v>-2.5547025000768886E-4</v>
      </c>
      <c r="AE563" s="35">
        <f>AE562-StepSize*AD562</f>
        <v>3.1994365972038481E-2</v>
      </c>
      <c r="AF563" s="1"/>
    </row>
    <row r="564" spans="11:32" x14ac:dyDescent="0.45">
      <c r="K564" s="40">
        <f t="shared" si="144"/>
        <v>5.39</v>
      </c>
      <c r="L564" s="41">
        <f t="shared" si="136"/>
        <v>25.39</v>
      </c>
      <c r="M564">
        <f t="shared" si="145"/>
        <v>0.8699249314077897</v>
      </c>
      <c r="N564">
        <f t="shared" si="146"/>
        <v>0.13007506859220891</v>
      </c>
      <c r="O564">
        <f t="shared" si="137"/>
        <v>8.9178216538675553E-2</v>
      </c>
      <c r="P564">
        <f t="shared" si="138"/>
        <v>0.5</v>
      </c>
      <c r="Q564">
        <f t="shared" si="147"/>
        <v>-1.2540819609371895E-2</v>
      </c>
      <c r="R564" s="6">
        <f t="shared" si="148"/>
        <v>1.2540819609371895E-2</v>
      </c>
      <c r="S564" s="18">
        <f t="shared" si="149"/>
        <v>0.99999999999999867</v>
      </c>
      <c r="T564" s="15"/>
      <c r="U564" s="15"/>
      <c r="V564" s="40">
        <f t="shared" si="150"/>
        <v>4.6100000000000003</v>
      </c>
      <c r="W564" s="41">
        <f t="shared" si="139"/>
        <v>24.61</v>
      </c>
      <c r="X564">
        <f t="shared" si="151"/>
        <v>1.8035412296203885E-2</v>
      </c>
      <c r="Y564">
        <f t="shared" si="152"/>
        <v>1.7127569809478667</v>
      </c>
      <c r="Z564" s="33">
        <f t="shared" si="140"/>
        <v>8.3380810877252354E-2</v>
      </c>
      <c r="AA564" s="33">
        <f t="shared" si="141"/>
        <v>0.5</v>
      </c>
      <c r="AB564">
        <f t="shared" si="142"/>
        <v>-1.6026294293186888E-2</v>
      </c>
      <c r="AC564" s="1">
        <f t="shared" si="143"/>
        <v>-6.7001366626775249E-2</v>
      </c>
      <c r="AD564" s="35">
        <f>IF(W564&gt;=FinalAgeForPremium, AE564*Delta-Z564*(Y564-AE564),AE564*Delta+PremiumRevisedForLimitedTerm-Z564*(Y564-AE564))</f>
        <v>-1.9046120771618047E-4</v>
      </c>
      <c r="AE564" s="35">
        <f>AE563-StepSize*AD563</f>
        <v>3.1996920674538555E-2</v>
      </c>
      <c r="AF564" s="1"/>
    </row>
    <row r="565" spans="11:32" x14ac:dyDescent="0.45">
      <c r="K565" s="40">
        <f t="shared" si="144"/>
        <v>5.4</v>
      </c>
      <c r="L565" s="41">
        <f t="shared" si="136"/>
        <v>25.4</v>
      </c>
      <c r="M565">
        <f t="shared" si="145"/>
        <v>0.86979952321169596</v>
      </c>
      <c r="N565">
        <f t="shared" si="146"/>
        <v>0.13020047678830263</v>
      </c>
      <c r="O565">
        <f t="shared" si="137"/>
        <v>8.9255101395278244E-2</v>
      </c>
      <c r="P565">
        <f t="shared" si="138"/>
        <v>0.5</v>
      </c>
      <c r="Q565">
        <f t="shared" si="147"/>
        <v>-1.2533806243673284E-2</v>
      </c>
      <c r="R565" s="6">
        <f t="shared" si="148"/>
        <v>1.2533806243673284E-2</v>
      </c>
      <c r="S565" s="18">
        <f t="shared" si="149"/>
        <v>0.99999999999999856</v>
      </c>
      <c r="T565" s="15"/>
      <c r="U565" s="15"/>
      <c r="V565" s="40">
        <f t="shared" si="150"/>
        <v>4.5999999999999996</v>
      </c>
      <c r="W565" s="41">
        <f t="shared" si="139"/>
        <v>24.6</v>
      </c>
      <c r="X565">
        <f t="shared" si="151"/>
        <v>1.8195675239135754E-2</v>
      </c>
      <c r="Y565">
        <f t="shared" si="152"/>
        <v>1.7134269946141345</v>
      </c>
      <c r="Z565" s="33">
        <f t="shared" si="140"/>
        <v>8.3308986168216151E-2</v>
      </c>
      <c r="AA565" s="33">
        <f t="shared" si="141"/>
        <v>0.5</v>
      </c>
      <c r="AB565">
        <f t="shared" si="142"/>
        <v>-1.5939025078434144E-2</v>
      </c>
      <c r="AC565" s="1">
        <f t="shared" si="143"/>
        <v>-6.6712990581793918E-2</v>
      </c>
      <c r="AD565" s="35">
        <f>IF(W565&gt;=FinalAgeForPremium, AE565*Delta-Z565*(Y565-AE565),AE565*Delta+PremiumRevisedForLimitedTerm-Z565*(Y565-AE565))</f>
        <v>-1.2530536277796656E-4</v>
      </c>
      <c r="AE565" s="35">
        <f>AE564-StepSize*AD564</f>
        <v>3.1998825286615719E-2</v>
      </c>
      <c r="AF565" s="1"/>
    </row>
    <row r="566" spans="11:32" x14ac:dyDescent="0.45">
      <c r="K566" s="40">
        <f t="shared" si="144"/>
        <v>5.41</v>
      </c>
      <c r="L566" s="41">
        <f t="shared" si="136"/>
        <v>25.41</v>
      </c>
      <c r="M566">
        <f t="shared" si="145"/>
        <v>0.8696741851492592</v>
      </c>
      <c r="N566">
        <f t="shared" si="146"/>
        <v>0.13032581485073935</v>
      </c>
      <c r="O566">
        <f t="shared" si="137"/>
        <v>8.9332052538037013E-2</v>
      </c>
      <c r="P566">
        <f t="shared" si="138"/>
        <v>0.5</v>
      </c>
      <c r="Q566">
        <f t="shared" si="147"/>
        <v>-1.252687257335848E-2</v>
      </c>
      <c r="R566" s="6">
        <f t="shared" si="148"/>
        <v>1.252687257335848E-2</v>
      </c>
      <c r="S566" s="18">
        <f t="shared" si="149"/>
        <v>0.99999999999999856</v>
      </c>
      <c r="T566" s="15"/>
      <c r="U566" s="15"/>
      <c r="V566" s="40">
        <f t="shared" si="150"/>
        <v>4.59</v>
      </c>
      <c r="W566" s="41">
        <f t="shared" si="139"/>
        <v>24.59</v>
      </c>
      <c r="X566">
        <f t="shared" si="151"/>
        <v>1.8355065489920094E-2</v>
      </c>
      <c r="Y566">
        <f t="shared" si="152"/>
        <v>1.7140941245199524</v>
      </c>
      <c r="Z566" s="33">
        <f t="shared" si="140"/>
        <v>8.3237223329396481E-2</v>
      </c>
      <c r="AA566" s="33">
        <f t="shared" si="141"/>
        <v>0.5</v>
      </c>
      <c r="AB566">
        <f t="shared" si="142"/>
        <v>-1.5851663793019749E-2</v>
      </c>
      <c r="AC566" s="1">
        <f t="shared" si="143"/>
        <v>-6.6425764258986164E-2</v>
      </c>
      <c r="AD566" s="35">
        <f>IF(W566&gt;=FinalAgeForPremium, AE566*Delta-Z566*(Y566-AE566),AE566*Delta+PremiumRevisedForLimitedTerm-Z566*(Y566-AE566))</f>
        <v>-6.0004391649881583E-5</v>
      </c>
      <c r="AE566" s="35">
        <f>AE565-StepSize*AD565</f>
        <v>3.2000078340243501E-2</v>
      </c>
      <c r="AF566" s="1"/>
    </row>
    <row r="567" spans="11:32" x14ac:dyDescent="0.45">
      <c r="K567" s="40">
        <f t="shared" si="144"/>
        <v>5.42</v>
      </c>
      <c r="L567" s="41">
        <f t="shared" si="136"/>
        <v>25.42</v>
      </c>
      <c r="M567">
        <f t="shared" si="145"/>
        <v>0.86954891642352561</v>
      </c>
      <c r="N567">
        <f t="shared" si="146"/>
        <v>0.13045108357647295</v>
      </c>
      <c r="O567">
        <f t="shared" si="137"/>
        <v>8.9409070024100243E-2</v>
      </c>
      <c r="P567">
        <f t="shared" si="138"/>
        <v>0.5</v>
      </c>
      <c r="Q567">
        <f t="shared" si="147"/>
        <v>-1.252001816965502E-2</v>
      </c>
      <c r="R567" s="6">
        <f t="shared" si="148"/>
        <v>1.252001816965502E-2</v>
      </c>
      <c r="S567" s="18">
        <f t="shared" si="149"/>
        <v>0.99999999999999856</v>
      </c>
      <c r="T567" s="15"/>
      <c r="U567" s="15"/>
      <c r="V567" s="40">
        <f t="shared" si="150"/>
        <v>4.58</v>
      </c>
      <c r="W567" s="41">
        <f t="shared" si="139"/>
        <v>24.58</v>
      </c>
      <c r="X567">
        <f t="shared" si="151"/>
        <v>1.8513582127850294E-2</v>
      </c>
      <c r="Y567">
        <f t="shared" si="152"/>
        <v>1.7147583821625423</v>
      </c>
      <c r="Z567" s="33">
        <f t="shared" si="140"/>
        <v>8.3165522307498088E-2</v>
      </c>
      <c r="AA567" s="33">
        <f t="shared" si="141"/>
        <v>0.5</v>
      </c>
      <c r="AB567">
        <f t="shared" si="142"/>
        <v>-1.5764211952522644E-2</v>
      </c>
      <c r="AC567" s="1">
        <f t="shared" si="143"/>
        <v>-6.6139680874526929E-2</v>
      </c>
      <c r="AD567" s="35">
        <f>IF(W567&gt;=FinalAgeForPremium, AE567*Delta-Z567*(Y567-AE567),AE567*Delta+PremiumRevisedForLimitedTerm-Z567*(Y567-AE567))</f>
        <v>5.4400417592304073E-6</v>
      </c>
      <c r="AE567" s="35">
        <f>AE566-StepSize*AD566</f>
        <v>3.200067838416E-2</v>
      </c>
      <c r="AF567" s="1"/>
    </row>
    <row r="568" spans="11:32" x14ac:dyDescent="0.45">
      <c r="K568" s="40">
        <f t="shared" si="144"/>
        <v>5.43</v>
      </c>
      <c r="L568" s="41">
        <f t="shared" si="136"/>
        <v>25.43</v>
      </c>
      <c r="M568">
        <f t="shared" si="145"/>
        <v>0.86942371624182901</v>
      </c>
      <c r="N568">
        <f t="shared" si="146"/>
        <v>0.13057628375816949</v>
      </c>
      <c r="O568">
        <f t="shared" si="137"/>
        <v>8.9486153910665764E-2</v>
      </c>
      <c r="P568">
        <f t="shared" si="138"/>
        <v>0.5</v>
      </c>
      <c r="Q568">
        <f t="shared" si="147"/>
        <v>-1.2513242606114569E-2</v>
      </c>
      <c r="R568" s="6">
        <f t="shared" si="148"/>
        <v>1.2513242606114569E-2</v>
      </c>
      <c r="S568" s="18">
        <f t="shared" si="149"/>
        <v>0.99999999999999845</v>
      </c>
      <c r="T568" s="15"/>
      <c r="U568" s="15"/>
      <c r="V568" s="40">
        <f t="shared" si="150"/>
        <v>4.57</v>
      </c>
      <c r="W568" s="41">
        <f t="shared" si="139"/>
        <v>24.57</v>
      </c>
      <c r="X568">
        <f t="shared" si="151"/>
        <v>1.867122424737552E-2</v>
      </c>
      <c r="Y568">
        <f t="shared" si="152"/>
        <v>1.7154197789712875</v>
      </c>
      <c r="Z568" s="33">
        <f t="shared" si="140"/>
        <v>8.3093883049271455E-2</v>
      </c>
      <c r="AA568" s="33">
        <f t="shared" si="141"/>
        <v>0.5</v>
      </c>
      <c r="AB568">
        <f t="shared" si="142"/>
        <v>-1.5676671060532665E-2</v>
      </c>
      <c r="AC568" s="1">
        <f t="shared" si="143"/>
        <v>-6.5854733689479583E-2</v>
      </c>
      <c r="AD568" s="35">
        <f>IF(W568&gt;=FinalAgeForPremium, AE568*Delta-Z568*(Y568-AE568),AE568*Delta+PremiumRevisedForLimitedTerm-Z568*(Y568-AE568))</f>
        <v>7.1026285995201555E-5</v>
      </c>
      <c r="AE568" s="35">
        <f>AE567-StepSize*AD567</f>
        <v>3.2000623983742406E-2</v>
      </c>
      <c r="AF568" s="1"/>
    </row>
    <row r="569" spans="11:32" x14ac:dyDescent="0.45">
      <c r="K569" s="40">
        <f t="shared" si="144"/>
        <v>5.44</v>
      </c>
      <c r="L569" s="41">
        <f t="shared" si="136"/>
        <v>25.44</v>
      </c>
      <c r="M569">
        <f t="shared" si="145"/>
        <v>0.86929858381576786</v>
      </c>
      <c r="N569">
        <f t="shared" si="146"/>
        <v>0.13070141618423065</v>
      </c>
      <c r="O569">
        <f t="shared" si="137"/>
        <v>8.9563304254980713E-2</v>
      </c>
      <c r="P569">
        <f t="shared" si="138"/>
        <v>0.5</v>
      </c>
      <c r="Q569">
        <f t="shared" si="147"/>
        <v>-1.2506545458600152E-2</v>
      </c>
      <c r="R569" s="6">
        <f t="shared" si="148"/>
        <v>1.2506545458600152E-2</v>
      </c>
      <c r="S569" s="18">
        <f t="shared" si="149"/>
        <v>0.99999999999999845</v>
      </c>
      <c r="T569" s="15"/>
      <c r="U569" s="15"/>
      <c r="V569" s="40">
        <f t="shared" si="150"/>
        <v>4.5599999999999996</v>
      </c>
      <c r="W569" s="41">
        <f t="shared" si="139"/>
        <v>24.56</v>
      </c>
      <c r="X569">
        <f t="shared" si="151"/>
        <v>1.8827990957980847E-2</v>
      </c>
      <c r="Y569">
        <f t="shared" si="152"/>
        <v>1.7160783263081822</v>
      </c>
      <c r="Z569" s="33">
        <f t="shared" si="140"/>
        <v>8.3022305501512988E-2</v>
      </c>
      <c r="AA569" s="33">
        <f t="shared" si="141"/>
        <v>0.5</v>
      </c>
      <c r="AB569">
        <f t="shared" si="142"/>
        <v>-1.5589042608743053E-2</v>
      </c>
      <c r="AC569" s="1">
        <f t="shared" si="143"/>
        <v>-6.5570916009490166E-2</v>
      </c>
      <c r="AD569" s="35">
        <f>IF(W569&gt;=FinalAgeForPremium, AE569*Delta-Z569*(Y569-AE569),AE569*Delta+PremiumRevisedForLimitedTerm-Z569*(Y569-AE569))</f>
        <v>1.3675270196483735E-4</v>
      </c>
      <c r="AE569" s="35">
        <f>AE568-StepSize*AD568</f>
        <v>3.1999913720882456E-2</v>
      </c>
      <c r="AF569" s="1"/>
    </row>
    <row r="570" spans="11:32" x14ac:dyDescent="0.45">
      <c r="K570" s="40">
        <f t="shared" si="144"/>
        <v>5.45</v>
      </c>
      <c r="L570" s="41">
        <f t="shared" si="136"/>
        <v>25.45</v>
      </c>
      <c r="M570">
        <f t="shared" si="145"/>
        <v>0.86917351836118184</v>
      </c>
      <c r="N570">
        <f t="shared" si="146"/>
        <v>0.13082648163881666</v>
      </c>
      <c r="O570">
        <f t="shared" si="137"/>
        <v>8.9640521114341412E-2</v>
      </c>
      <c r="P570">
        <f t="shared" si="138"/>
        <v>0.5</v>
      </c>
      <c r="Q570">
        <f t="shared" si="147"/>
        <v>-1.2499926305273606E-2</v>
      </c>
      <c r="R570" s="6">
        <f t="shared" si="148"/>
        <v>1.2499926305273606E-2</v>
      </c>
      <c r="S570" s="18">
        <f t="shared" si="149"/>
        <v>0.99999999999999845</v>
      </c>
      <c r="T570" s="15"/>
      <c r="U570" s="15"/>
      <c r="V570" s="40">
        <f t="shared" si="150"/>
        <v>4.55</v>
      </c>
      <c r="W570" s="41">
        <f t="shared" si="139"/>
        <v>24.55</v>
      </c>
      <c r="X570">
        <f t="shared" si="151"/>
        <v>1.8983881384068278E-2</v>
      </c>
      <c r="Y570">
        <f t="shared" si="152"/>
        <v>1.7167340354682772</v>
      </c>
      <c r="Z570" s="33">
        <f t="shared" si="140"/>
        <v>8.2950789611065029E-2</v>
      </c>
      <c r="AA570" s="33">
        <f t="shared" si="141"/>
        <v>0.5</v>
      </c>
      <c r="AB570">
        <f t="shared" si="142"/>
        <v>-1.5501328077041354E-2</v>
      </c>
      <c r="AC570" s="1">
        <f t="shared" si="143"/>
        <v>-6.5288221184481743E-2</v>
      </c>
      <c r="AD570" s="35">
        <f>IF(W570&gt;=FinalAgeForPremium, AE570*Delta-Z570*(Y570-AE570),AE570*Delta+PremiumRevisedForLimitedTerm-Z570*(Y570-AE570))</f>
        <v>2.0261766284301874E-4</v>
      </c>
      <c r="AE570" s="35">
        <f>AE569-StepSize*AD569</f>
        <v>3.199854619386281E-2</v>
      </c>
      <c r="AF570" s="1"/>
    </row>
    <row r="571" spans="11:32" x14ac:dyDescent="0.45">
      <c r="K571" s="40">
        <f t="shared" si="144"/>
        <v>5.46</v>
      </c>
      <c r="L571" s="41">
        <f t="shared" si="136"/>
        <v>25.46</v>
      </c>
      <c r="M571">
        <f t="shared" si="145"/>
        <v>0.86904851909812908</v>
      </c>
      <c r="N571">
        <f t="shared" si="146"/>
        <v>0.13095148090186939</v>
      </c>
      <c r="O571">
        <f t="shared" si="137"/>
        <v>8.9717804546093835E-2</v>
      </c>
      <c r="P571">
        <f t="shared" si="138"/>
        <v>0.5</v>
      </c>
      <c r="Q571">
        <f t="shared" si="147"/>
        <v>-1.249338472658354E-2</v>
      </c>
      <c r="R571" s="6">
        <f t="shared" si="148"/>
        <v>1.249338472658354E-2</v>
      </c>
      <c r="S571" s="18">
        <f t="shared" si="149"/>
        <v>0.99999999999999845</v>
      </c>
      <c r="T571" s="15"/>
      <c r="U571" s="15"/>
      <c r="V571" s="40">
        <f t="shared" si="150"/>
        <v>4.54</v>
      </c>
      <c r="W571" s="41">
        <f t="shared" si="139"/>
        <v>24.54</v>
      </c>
      <c r="X571">
        <f t="shared" si="151"/>
        <v>1.9138894664838691E-2</v>
      </c>
      <c r="Y571">
        <f t="shared" si="152"/>
        <v>1.717386917680122</v>
      </c>
      <c r="Z571" s="33">
        <f t="shared" si="140"/>
        <v>8.2879335324815478E-2</v>
      </c>
      <c r="AA571" s="33">
        <f t="shared" si="141"/>
        <v>0.5</v>
      </c>
      <c r="AB571">
        <f t="shared" si="142"/>
        <v>-1.5413528933599013E-2</v>
      </c>
      <c r="AC571" s="1">
        <f t="shared" si="143"/>
        <v>-6.5006642608352316E-2</v>
      </c>
      <c r="AD571" s="35">
        <f>IF(W571&gt;=FinalAgeForPremium, AE571*Delta-Z571*(Y571-AE571),AE571*Delta+PremiumRevisedForLimitedTerm-Z571*(Y571-AE571))</f>
        <v>2.6861955398169157E-4</v>
      </c>
      <c r="AE571" s="35">
        <f>AE570-StepSize*AD570</f>
        <v>3.1996520017234381E-2</v>
      </c>
      <c r="AF571" s="1"/>
    </row>
    <row r="572" spans="11:32" x14ac:dyDescent="0.45">
      <c r="K572" s="40">
        <f t="shared" si="144"/>
        <v>5.47</v>
      </c>
      <c r="L572" s="41">
        <f t="shared" si="136"/>
        <v>25.47</v>
      </c>
      <c r="M572">
        <f t="shared" si="145"/>
        <v>0.86892358525086322</v>
      </c>
      <c r="N572">
        <f t="shared" si="146"/>
        <v>0.13107641474913523</v>
      </c>
      <c r="O572">
        <f t="shared" si="137"/>
        <v>8.9795154607633168E-2</v>
      </c>
      <c r="P572">
        <f t="shared" si="138"/>
        <v>0.5</v>
      </c>
      <c r="Q572">
        <f t="shared" si="147"/>
        <v>-1.2486920305252572E-2</v>
      </c>
      <c r="R572" s="6">
        <f t="shared" si="148"/>
        <v>1.2486920305252572E-2</v>
      </c>
      <c r="S572" s="18">
        <f t="shared" si="149"/>
        <v>0.99999999999999845</v>
      </c>
      <c r="T572" s="15"/>
      <c r="U572" s="15"/>
      <c r="V572" s="40">
        <f t="shared" si="150"/>
        <v>4.53</v>
      </c>
      <c r="W572" s="41">
        <f t="shared" si="139"/>
        <v>24.53</v>
      </c>
      <c r="X572">
        <f t="shared" si="151"/>
        <v>1.929302995417468E-2</v>
      </c>
      <c r="Y572">
        <f t="shared" si="152"/>
        <v>1.7180369841062055</v>
      </c>
      <c r="Z572" s="33">
        <f t="shared" si="140"/>
        <v>8.2807942589698258E-2</v>
      </c>
      <c r="AA572" s="33">
        <f t="shared" si="141"/>
        <v>0.5</v>
      </c>
      <c r="AB572">
        <f t="shared" si="142"/>
        <v>-1.532564663496197E-2</v>
      </c>
      <c r="AC572" s="1">
        <f t="shared" si="143"/>
        <v>-6.4726173718674285E-2</v>
      </c>
      <c r="AD572" s="35">
        <f>IF(W572&gt;=FinalAgeForPremium, AE572*Delta-Z572*(Y572-AE572),AE572*Delta+PremiumRevisedForLimitedTerm-Z572*(Y572-AE572))</f>
        <v>3.3475677281749605E-4</v>
      </c>
      <c r="AE572" s="35">
        <f>AE571-StepSize*AD571</f>
        <v>3.1993833821694566E-2</v>
      </c>
      <c r="AF572" s="1"/>
    </row>
    <row r="573" spans="11:32" x14ac:dyDescent="0.45">
      <c r="K573" s="40">
        <f t="shared" si="144"/>
        <v>5.48</v>
      </c>
      <c r="L573" s="41">
        <f t="shared" si="136"/>
        <v>25.48</v>
      </c>
      <c r="M573">
        <f t="shared" si="145"/>
        <v>0.86879871604781067</v>
      </c>
      <c r="N573">
        <f t="shared" si="146"/>
        <v>0.13120128395218775</v>
      </c>
      <c r="O573">
        <f t="shared" si="137"/>
        <v>8.987257135640421E-2</v>
      </c>
      <c r="P573">
        <f t="shared" si="138"/>
        <v>0.5</v>
      </c>
      <c r="Q573">
        <f t="shared" si="147"/>
        <v>-1.2480532626265348E-2</v>
      </c>
      <c r="R573" s="6">
        <f t="shared" si="148"/>
        <v>1.2480532626265348E-2</v>
      </c>
      <c r="S573" s="18">
        <f t="shared" si="149"/>
        <v>0.99999999999999845</v>
      </c>
      <c r="T573" s="15"/>
      <c r="U573" s="15"/>
      <c r="V573" s="40">
        <f t="shared" si="150"/>
        <v>4.5199999999999996</v>
      </c>
      <c r="W573" s="41">
        <f t="shared" si="139"/>
        <v>24.52</v>
      </c>
      <c r="X573">
        <f t="shared" si="151"/>
        <v>1.94462864205243E-2</v>
      </c>
      <c r="Y573">
        <f t="shared" si="152"/>
        <v>1.7186842458433922</v>
      </c>
      <c r="Z573" s="33">
        <f t="shared" si="140"/>
        <v>8.2736611352692793E-2</v>
      </c>
      <c r="AA573" s="33">
        <f t="shared" si="141"/>
        <v>0.5</v>
      </c>
      <c r="AB573">
        <f t="shared" si="142"/>
        <v>-1.5237682626138699E-2</v>
      </c>
      <c r="AC573" s="1">
        <f t="shared" si="143"/>
        <v>-6.444680799639646E-2</v>
      </c>
      <c r="AD573" s="35">
        <f>IF(W573&gt;=FinalAgeForPremium, AE573*Delta-Z573*(Y573-AE573),AE573*Delta+PremiumRevisedForLimitedTerm-Z573*(Y573-AE573))</f>
        <v>4.0102772878228277E-4</v>
      </c>
      <c r="AE573" s="35">
        <f>AE572-StepSize*AD572</f>
        <v>3.1990486253966388E-2</v>
      </c>
      <c r="AF573" s="1"/>
    </row>
    <row r="574" spans="11:32" x14ac:dyDescent="0.45">
      <c r="K574" s="40">
        <f t="shared" si="144"/>
        <v>5.49</v>
      </c>
      <c r="L574" s="41">
        <f t="shared" si="136"/>
        <v>25.490000000000002</v>
      </c>
      <c r="M574">
        <f t="shared" si="145"/>
        <v>0.86867391072154798</v>
      </c>
      <c r="N574">
        <f t="shared" si="146"/>
        <v>0.13132608927845041</v>
      </c>
      <c r="O574">
        <f t="shared" si="137"/>
        <v>8.9950054849901304E-2</v>
      </c>
      <c r="P574">
        <f t="shared" si="138"/>
        <v>0.5</v>
      </c>
      <c r="Q574">
        <f t="shared" si="147"/>
        <v>-1.2474221276856309E-2</v>
      </c>
      <c r="R574" s="6">
        <f t="shared" si="148"/>
        <v>1.2474221276856309E-2</v>
      </c>
      <c r="S574" s="18">
        <f t="shared" si="149"/>
        <v>0.99999999999999845</v>
      </c>
      <c r="T574" s="15"/>
      <c r="U574" s="15"/>
      <c r="V574" s="40">
        <f t="shared" si="150"/>
        <v>4.51</v>
      </c>
      <c r="W574" s="41">
        <f t="shared" si="139"/>
        <v>24.509999999999998</v>
      </c>
      <c r="X574">
        <f t="shared" si="151"/>
        <v>1.9598663246785688E-2</v>
      </c>
      <c r="Y574">
        <f t="shared" si="152"/>
        <v>1.7193287139233562</v>
      </c>
      <c r="Z574" s="33">
        <f t="shared" si="140"/>
        <v>8.2665341560824238E-2</v>
      </c>
      <c r="AA574" s="33">
        <f t="shared" si="141"/>
        <v>0.5</v>
      </c>
      <c r="AB574">
        <f t="shared" si="142"/>
        <v>-1.5149638340688831E-2</v>
      </c>
      <c r="AC574" s="1">
        <f t="shared" si="143"/>
        <v>-6.4168538965546973E-2</v>
      </c>
      <c r="AD574" s="35">
        <f>IF(W574&gt;=FinalAgeForPremium, AE574*Delta-Z574*(Y574-AE574),AE574*Delta+PremiumRevisedForLimitedTerm-Z574*(Y574-AE574))</f>
        <v>4.6743084321279604E-4</v>
      </c>
      <c r="AE574" s="35">
        <f>AE573-StepSize*AD573</f>
        <v>3.1986475976678565E-2</v>
      </c>
      <c r="AF574" s="1"/>
    </row>
    <row r="575" spans="11:32" x14ac:dyDescent="0.45">
      <c r="K575" s="40">
        <f t="shared" si="144"/>
        <v>5.5</v>
      </c>
      <c r="L575" s="41">
        <f t="shared" si="136"/>
        <v>25.5</v>
      </c>
      <c r="M575">
        <f t="shared" si="145"/>
        <v>0.86854916850877939</v>
      </c>
      <c r="N575">
        <f t="shared" si="146"/>
        <v>0.13145083149121897</v>
      </c>
      <c r="O575">
        <f t="shared" si="137"/>
        <v>9.002760514566821E-2</v>
      </c>
      <c r="P575">
        <f t="shared" si="138"/>
        <v>0.5</v>
      </c>
      <c r="Q575">
        <f t="shared" si="147"/>
        <v>-1.2467985846497345E-2</v>
      </c>
      <c r="R575" s="6">
        <f t="shared" si="148"/>
        <v>1.2467985846497345E-2</v>
      </c>
      <c r="S575" s="18">
        <f t="shared" si="149"/>
        <v>0.99999999999999833</v>
      </c>
      <c r="T575" s="15"/>
      <c r="U575" s="15"/>
      <c r="V575" s="40">
        <f t="shared" si="150"/>
        <v>4.5</v>
      </c>
      <c r="W575" s="41">
        <f t="shared" si="139"/>
        <v>24.5</v>
      </c>
      <c r="X575">
        <f t="shared" si="151"/>
        <v>1.9750159630192575E-2</v>
      </c>
      <c r="Y575">
        <f t="shared" si="152"/>
        <v>1.7199703993130115</v>
      </c>
      <c r="Z575" s="33">
        <f t="shared" si="140"/>
        <v>8.2594133161163472E-2</v>
      </c>
      <c r="AA575" s="33">
        <f t="shared" si="141"/>
        <v>0.5</v>
      </c>
      <c r="AB575">
        <f t="shared" si="142"/>
        <v>-1.5061515200810727E-2</v>
      </c>
      <c r="AC575" s="1">
        <f t="shared" si="143"/>
        <v>-6.389136019293995E-2</v>
      </c>
      <c r="AD575" s="35">
        <f>IF(W575&gt;=FinalAgeForPremium, AE575*Delta-Z575*(Y575-AE575),AE575*Delta+PremiumRevisedForLimitedTerm-Z575*(Y575-AE575))</f>
        <v>5.3396454926155079E-4</v>
      </c>
      <c r="AE575" s="35">
        <f>AE574-StepSize*AD574</f>
        <v>3.1981801668246435E-2</v>
      </c>
      <c r="AF575" s="1"/>
    </row>
    <row r="576" spans="11:32" x14ac:dyDescent="0.45">
      <c r="K576" s="40">
        <f t="shared" si="144"/>
        <v>5.51</v>
      </c>
      <c r="L576" s="41">
        <f t="shared" si="136"/>
        <v>25.509999999999998</v>
      </c>
      <c r="M576">
        <f t="shared" si="145"/>
        <v>0.86842448865031441</v>
      </c>
      <c r="N576">
        <f t="shared" si="146"/>
        <v>0.13157551134968395</v>
      </c>
      <c r="O576">
        <f t="shared" si="137"/>
        <v>9.0105222301298443E-2</v>
      </c>
      <c r="P576">
        <f t="shared" si="138"/>
        <v>0.5</v>
      </c>
      <c r="Q576">
        <f t="shared" si="147"/>
        <v>-1.2461825926886036E-2</v>
      </c>
      <c r="R576" s="6">
        <f t="shared" si="148"/>
        <v>1.2461825926886036E-2</v>
      </c>
      <c r="S576" s="18">
        <f t="shared" si="149"/>
        <v>0.99999999999999833</v>
      </c>
      <c r="T576" s="15"/>
      <c r="U576" s="15"/>
      <c r="V576" s="40">
        <f t="shared" si="150"/>
        <v>4.49</v>
      </c>
      <c r="W576" s="41">
        <f t="shared" si="139"/>
        <v>24.490000000000002</v>
      </c>
      <c r="X576">
        <f t="shared" si="151"/>
        <v>1.9900774782200682E-2</v>
      </c>
      <c r="Y576">
        <f t="shared" si="152"/>
        <v>1.7206093129149409</v>
      </c>
      <c r="Z576" s="33">
        <f t="shared" si="140"/>
        <v>8.2522986100826867E-2</v>
      </c>
      <c r="AA576" s="33">
        <f t="shared" si="141"/>
        <v>0.5</v>
      </c>
      <c r="AB576">
        <f t="shared" si="142"/>
        <v>-1.4973314617427985E-2</v>
      </c>
      <c r="AC576" s="1">
        <f t="shared" si="143"/>
        <v>-6.3615265287882861E-2</v>
      </c>
      <c r="AD576" s="35">
        <f>IF(W576&gt;=FinalAgeForPremium, AE576*Delta-Z576*(Y576-AE576),AE576*Delta+PremiumRevisedForLimitedTerm-Z576*(Y576-AE576))</f>
        <v>6.0062729180862529E-4</v>
      </c>
      <c r="AE576" s="35">
        <f>AE575-StepSize*AD575</f>
        <v>3.1976462022753817E-2</v>
      </c>
      <c r="AF576" s="1"/>
    </row>
    <row r="577" spans="11:32" x14ac:dyDescent="0.45">
      <c r="K577" s="40">
        <f t="shared" si="144"/>
        <v>5.52</v>
      </c>
      <c r="L577" s="41">
        <f t="shared" si="136"/>
        <v>25.52</v>
      </c>
      <c r="M577">
        <f t="shared" si="145"/>
        <v>0.8682998703910455</v>
      </c>
      <c r="N577">
        <f t="shared" si="146"/>
        <v>0.1317001296089528</v>
      </c>
      <c r="O577">
        <f t="shared" si="137"/>
        <v>9.0182906374435115E-2</v>
      </c>
      <c r="P577">
        <f t="shared" si="138"/>
        <v>0.5</v>
      </c>
      <c r="Q577">
        <f t="shared" si="147"/>
        <v>-1.2455741111933399E-2</v>
      </c>
      <c r="R577" s="6">
        <f t="shared" si="148"/>
        <v>1.2455741111933399E-2</v>
      </c>
      <c r="S577" s="18">
        <f t="shared" si="149"/>
        <v>0.99999999999999833</v>
      </c>
      <c r="T577" s="15"/>
      <c r="U577" s="15"/>
      <c r="V577" s="40">
        <f t="shared" si="150"/>
        <v>4.4800000000000004</v>
      </c>
      <c r="W577" s="41">
        <f t="shared" si="139"/>
        <v>24.48</v>
      </c>
      <c r="X577">
        <f t="shared" si="151"/>
        <v>2.0050507928374962E-2</v>
      </c>
      <c r="Y577">
        <f t="shared" si="152"/>
        <v>1.7212454655678198</v>
      </c>
      <c r="Z577" s="33">
        <f t="shared" si="140"/>
        <v>8.2451900326976371E-2</v>
      </c>
      <c r="AA577" s="33">
        <f t="shared" si="141"/>
        <v>0.5</v>
      </c>
      <c r="AB577">
        <f t="shared" si="142"/>
        <v>-1.4885037990275879E-2</v>
      </c>
      <c r="AC577" s="1">
        <f t="shared" si="143"/>
        <v>-6.3340247901886637E-2</v>
      </c>
      <c r="AD577" s="35">
        <f>IF(W577&gt;=FinalAgeForPremium, AE577*Delta-Z577*(Y577-AE577),AE577*Delta+PremiumRevisedForLimitedTerm-Z577*(Y577-AE577))</f>
        <v>6.6741752737387028E-4</v>
      </c>
      <c r="AE577" s="35">
        <f>AE576-StepSize*AD576</f>
        <v>3.197045574983573E-2</v>
      </c>
      <c r="AF577" s="1"/>
    </row>
    <row r="578" spans="11:32" x14ac:dyDescent="0.45">
      <c r="K578" s="40">
        <f t="shared" si="144"/>
        <v>5.53</v>
      </c>
      <c r="L578" s="41">
        <f t="shared" si="136"/>
        <v>25.53</v>
      </c>
      <c r="M578">
        <f t="shared" si="145"/>
        <v>0.86817531297992612</v>
      </c>
      <c r="N578">
        <f t="shared" si="146"/>
        <v>0.13182468702007213</v>
      </c>
      <c r="O578">
        <f t="shared" si="137"/>
        <v>9.0260657422771118E-2</v>
      </c>
      <c r="P578">
        <f t="shared" si="138"/>
        <v>0.5</v>
      </c>
      <c r="Q578">
        <f t="shared" si="147"/>
        <v>-1.2449730997752137E-2</v>
      </c>
      <c r="R578" s="6">
        <f t="shared" si="148"/>
        <v>1.2449730997752137E-2</v>
      </c>
      <c r="S578" s="18">
        <f t="shared" si="149"/>
        <v>0.99999999999999822</v>
      </c>
      <c r="T578" s="15"/>
      <c r="U578" s="15"/>
      <c r="V578" s="40">
        <f t="shared" si="150"/>
        <v>4.47</v>
      </c>
      <c r="W578" s="41">
        <f t="shared" si="139"/>
        <v>24.47</v>
      </c>
      <c r="X578">
        <f t="shared" si="151"/>
        <v>2.019935830827772E-2</v>
      </c>
      <c r="Y578">
        <f t="shared" si="152"/>
        <v>1.7218788680468387</v>
      </c>
      <c r="Z578" s="33">
        <f t="shared" si="140"/>
        <v>8.2380875786819421E-2</v>
      </c>
      <c r="AA578" s="33">
        <f t="shared" si="141"/>
        <v>0.5</v>
      </c>
      <c r="AB578">
        <f t="shared" si="142"/>
        <v>-1.4796686707986589E-2</v>
      </c>
      <c r="AC578" s="1">
        <f t="shared" si="143"/>
        <v>-6.3066301728377572E-2</v>
      </c>
      <c r="AD578" s="35">
        <f>IF(W578&gt;=FinalAgeForPremium, AE578*Delta-Z578*(Y578-AE578),AE578*Delta+PremiumRevisedForLimitedTerm-Z578*(Y578-AE578))</f>
        <v>7.3433372402981201E-4</v>
      </c>
      <c r="AE578" s="35">
        <f>AE577-StepSize*AD577</f>
        <v>3.1963781574561992E-2</v>
      </c>
      <c r="AF578" s="1"/>
    </row>
    <row r="579" spans="11:32" x14ac:dyDescent="0.45">
      <c r="K579" s="40">
        <f t="shared" si="144"/>
        <v>5.54</v>
      </c>
      <c r="L579" s="41">
        <f t="shared" si="136"/>
        <v>25.54</v>
      </c>
      <c r="M579">
        <f t="shared" si="145"/>
        <v>0.86805081566994857</v>
      </c>
      <c r="N579">
        <f t="shared" si="146"/>
        <v>0.13194918433004965</v>
      </c>
      <c r="O579">
        <f t="shared" si="137"/>
        <v>9.0338475504048901E-2</v>
      </c>
      <c r="P579">
        <f t="shared" si="138"/>
        <v>0.5</v>
      </c>
      <c r="Q579">
        <f t="shared" si="147"/>
        <v>-1.244379518264449E-2</v>
      </c>
      <c r="R579" s="6">
        <f t="shared" si="148"/>
        <v>1.244379518264449E-2</v>
      </c>
      <c r="S579" s="18">
        <f t="shared" si="149"/>
        <v>0.99999999999999822</v>
      </c>
      <c r="T579" s="15"/>
      <c r="U579" s="15"/>
      <c r="V579" s="40">
        <f t="shared" si="150"/>
        <v>4.46</v>
      </c>
      <c r="W579" s="41">
        <f t="shared" si="139"/>
        <v>24.46</v>
      </c>
      <c r="X579">
        <f t="shared" si="151"/>
        <v>2.0347325175357586E-2</v>
      </c>
      <c r="Y579">
        <f t="shared" si="152"/>
        <v>1.7225095310641225</v>
      </c>
      <c r="Z579" s="33">
        <f t="shared" si="140"/>
        <v>8.2309912427609003E-2</v>
      </c>
      <c r="AA579" s="33">
        <f t="shared" si="141"/>
        <v>0.5</v>
      </c>
      <c r="AB579">
        <f t="shared" si="142"/>
        <v>-1.4708262148174472E-2</v>
      </c>
      <c r="AC579" s="1">
        <f t="shared" si="143"/>
        <v>-6.2793420502411434E-2</v>
      </c>
      <c r="AD579" s="35">
        <f>IF(W579&gt;=FinalAgeForPremium, AE579*Delta-Z579*(Y579-AE579),AE579*Delta+PremiumRevisedForLimitedTerm-Z579*(Y579-AE579))</f>
        <v>8.0137436131508255E-4</v>
      </c>
      <c r="AE579" s="35">
        <f>AE578-StepSize*AD578</f>
        <v>3.1956438237321694E-2</v>
      </c>
      <c r="AF579" s="1"/>
    </row>
    <row r="580" spans="11:32" x14ac:dyDescent="0.45">
      <c r="K580" s="40">
        <f t="shared" si="144"/>
        <v>5.55</v>
      </c>
      <c r="L580" s="41">
        <f t="shared" si="136"/>
        <v>25.55</v>
      </c>
      <c r="M580">
        <f t="shared" si="145"/>
        <v>0.86792637771812209</v>
      </c>
      <c r="N580">
        <f t="shared" si="146"/>
        <v>0.13207362228187611</v>
      </c>
      <c r="O580">
        <f t="shared" si="137"/>
        <v>9.0416360676060861E-2</v>
      </c>
      <c r="P580">
        <f t="shared" si="138"/>
        <v>0.5</v>
      </c>
      <c r="Q580">
        <f t="shared" si="147"/>
        <v>-1.2437933267090709E-2</v>
      </c>
      <c r="R580" s="6">
        <f t="shared" si="148"/>
        <v>1.2437933267090709E-2</v>
      </c>
      <c r="S580" s="18">
        <f t="shared" si="149"/>
        <v>0.99999999999999822</v>
      </c>
      <c r="T580" s="15"/>
      <c r="U580" s="15"/>
      <c r="V580" s="40">
        <f t="shared" si="150"/>
        <v>4.45</v>
      </c>
      <c r="W580" s="41">
        <f t="shared" si="139"/>
        <v>24.45</v>
      </c>
      <c r="X580">
        <f t="shared" si="151"/>
        <v>2.049440779683933E-2</v>
      </c>
      <c r="Y580">
        <f t="shared" si="152"/>
        <v>1.7231374652691467</v>
      </c>
      <c r="Z580" s="33">
        <f t="shared" si="140"/>
        <v>8.2239010196643494E-2</v>
      </c>
      <c r="AA580" s="33">
        <f t="shared" si="141"/>
        <v>0.5</v>
      </c>
      <c r="AB580">
        <f t="shared" si="142"/>
        <v>-1.4619765677519714E-2</v>
      </c>
      <c r="AC580" s="1">
        <f t="shared" si="143"/>
        <v>-6.2521598000389034E-2</v>
      </c>
      <c r="AD580" s="35">
        <f>IF(W580&gt;=FinalAgeForPremium, AE580*Delta-Z580*(Y580-AE580),AE580*Delta+PremiumRevisedForLimitedTerm-Z580*(Y580-AE580))</f>
        <v>8.6853793014898817E-4</v>
      </c>
      <c r="AE580" s="35">
        <f>AE579-StepSize*AD579</f>
        <v>3.1948424493708542E-2</v>
      </c>
      <c r="AF580" s="1"/>
    </row>
    <row r="581" spans="11:32" x14ac:dyDescent="0.45">
      <c r="K581" s="40">
        <f t="shared" si="144"/>
        <v>5.56</v>
      </c>
      <c r="L581" s="41">
        <f t="shared" si="136"/>
        <v>25.56</v>
      </c>
      <c r="M581">
        <f t="shared" si="145"/>
        <v>0.86780199838545113</v>
      </c>
      <c r="N581">
        <f t="shared" si="146"/>
        <v>0.13219800161454701</v>
      </c>
      <c r="O581">
        <f t="shared" si="137"/>
        <v>9.0494312996649173E-2</v>
      </c>
      <c r="P581">
        <f t="shared" si="138"/>
        <v>0.5</v>
      </c>
      <c r="Q581">
        <f t="shared" si="147"/>
        <v>-1.2432144853737156E-2</v>
      </c>
      <c r="R581" s="6">
        <f t="shared" si="148"/>
        <v>1.2432144853737156E-2</v>
      </c>
      <c r="S581" s="18">
        <f t="shared" si="149"/>
        <v>0.99999999999999811</v>
      </c>
      <c r="T581" s="15"/>
      <c r="U581" s="15"/>
      <c r="V581" s="40">
        <f t="shared" si="150"/>
        <v>4.4400000000000004</v>
      </c>
      <c r="W581" s="41">
        <f t="shared" si="139"/>
        <v>24.44</v>
      </c>
      <c r="X581">
        <f t="shared" si="151"/>
        <v>2.0640605453614527E-2</v>
      </c>
      <c r="Y581">
        <f t="shared" si="152"/>
        <v>1.7237626812491507</v>
      </c>
      <c r="Z581" s="33">
        <f t="shared" si="140"/>
        <v>8.2168169041266684E-2</v>
      </c>
      <c r="AA581" s="33">
        <f t="shared" si="141"/>
        <v>0.5</v>
      </c>
      <c r="AB581">
        <f t="shared" si="142"/>
        <v>-1.4531198651852234E-2</v>
      </c>
      <c r="AC581" s="1">
        <f t="shared" si="143"/>
        <v>-6.2250828039774442E-2</v>
      </c>
      <c r="AD581" s="35">
        <f>IF(W581&gt;=FinalAgeForPremium, AE581*Delta-Z581*(Y581-AE581),AE581*Delta+PremiumRevisedForLimitedTerm-Z581*(Y581-AE581))</f>
        <v>9.3582293274613315E-4</v>
      </c>
      <c r="AE581" s="35">
        <f>AE580-StepSize*AD580</f>
        <v>3.1939739114407055E-2</v>
      </c>
      <c r="AF581" s="1"/>
    </row>
    <row r="582" spans="11:32" x14ac:dyDescent="0.45">
      <c r="K582" s="40">
        <f t="shared" si="144"/>
        <v>5.57</v>
      </c>
      <c r="L582" s="41">
        <f t="shared" si="136"/>
        <v>25.57</v>
      </c>
      <c r="M582">
        <f t="shared" si="145"/>
        <v>0.86767767693691378</v>
      </c>
      <c r="N582">
        <f t="shared" si="146"/>
        <v>0.13232232306308439</v>
      </c>
      <c r="O582">
        <f t="shared" si="137"/>
        <v>9.0572332523705903E-2</v>
      </c>
      <c r="P582">
        <f t="shared" si="138"/>
        <v>0.5</v>
      </c>
      <c r="Q582">
        <f t="shared" si="147"/>
        <v>-1.2426429547384626E-2</v>
      </c>
      <c r="R582" s="6">
        <f t="shared" si="148"/>
        <v>1.2426429547384626E-2</v>
      </c>
      <c r="S582" s="18">
        <f t="shared" si="149"/>
        <v>0.99999999999999822</v>
      </c>
      <c r="T582" s="15"/>
      <c r="U582" s="15"/>
      <c r="V582" s="40">
        <f t="shared" si="150"/>
        <v>4.43</v>
      </c>
      <c r="W582" s="41">
        <f t="shared" si="139"/>
        <v>24.43</v>
      </c>
      <c r="X582">
        <f t="shared" si="151"/>
        <v>2.0785917440133049E-2</v>
      </c>
      <c r="Y582">
        <f t="shared" si="152"/>
        <v>1.7243851895295483</v>
      </c>
      <c r="Z582" s="33">
        <f t="shared" si="140"/>
        <v>8.2097388908867655E-2</v>
      </c>
      <c r="AA582" s="33">
        <f t="shared" si="141"/>
        <v>0.5</v>
      </c>
      <c r="AB582">
        <f t="shared" si="142"/>
        <v>-1.4442562416234261E-2</v>
      </c>
      <c r="AC582" s="1">
        <f t="shared" si="143"/>
        <v>-6.1981104478814886E-2</v>
      </c>
      <c r="AD582" s="35">
        <f>IF(W582&gt;=FinalAgeForPremium, AE582*Delta-Z582*(Y582-AE582),AE582*Delta+PremiumRevisedForLimitedTerm-Z582*(Y582-AE582))</f>
        <v>1.0032278825323759E-3</v>
      </c>
      <c r="AE582" s="35">
        <f>AE581-StepSize*AD581</f>
        <v>3.1930380885079594E-2</v>
      </c>
      <c r="AF582" s="1"/>
    </row>
    <row r="583" spans="11:32" x14ac:dyDescent="0.45">
      <c r="K583" s="40">
        <f t="shared" si="144"/>
        <v>5.58</v>
      </c>
      <c r="L583" s="41">
        <f t="shared" si="136"/>
        <v>25.58</v>
      </c>
      <c r="M583">
        <f t="shared" si="145"/>
        <v>0.86755341264143992</v>
      </c>
      <c r="N583">
        <f t="shared" si="146"/>
        <v>0.13244658735855824</v>
      </c>
      <c r="O583">
        <f t="shared" si="137"/>
        <v>9.0650419315172925E-2</v>
      </c>
      <c r="P583">
        <f t="shared" si="138"/>
        <v>0.5</v>
      </c>
      <c r="Q583">
        <f t="shared" si="147"/>
        <v>-1.2420786954976656E-2</v>
      </c>
      <c r="R583" s="6">
        <f t="shared" si="148"/>
        <v>1.2420786954976656E-2</v>
      </c>
      <c r="S583" s="18">
        <f t="shared" si="149"/>
        <v>0.99999999999999822</v>
      </c>
      <c r="T583" s="15"/>
      <c r="U583" s="15"/>
      <c r="V583" s="40">
        <f t="shared" si="150"/>
        <v>4.42</v>
      </c>
      <c r="W583" s="41">
        <f t="shared" si="139"/>
        <v>24.42</v>
      </c>
      <c r="X583">
        <f t="shared" si="151"/>
        <v>2.0930343064295392E-2</v>
      </c>
      <c r="Y583">
        <f t="shared" si="152"/>
        <v>1.7250050005743365</v>
      </c>
      <c r="Z583" s="33">
        <f t="shared" si="140"/>
        <v>8.2026669746880929E-2</v>
      </c>
      <c r="AA583" s="33">
        <f t="shared" si="141"/>
        <v>0.5</v>
      </c>
      <c r="AB583">
        <f t="shared" si="142"/>
        <v>-1.435385830504296E-2</v>
      </c>
      <c r="AC583" s="1">
        <f t="shared" si="143"/>
        <v>-6.1712421216262636E-2</v>
      </c>
      <c r="AD583" s="35">
        <f>IF(W583&gt;=FinalAgeForPremium, AE583*Delta-Z583*(Y583-AE583),AE583*Delta+PremiumRevisedForLimitedTerm-Z583*(Y583-AE583))</f>
        <v>1.0707513040605354E-3</v>
      </c>
      <c r="AE583" s="35">
        <f>AE582-StepSize*AD582</f>
        <v>3.192034860625427E-2</v>
      </c>
      <c r="AF583" s="1"/>
    </row>
    <row r="584" spans="11:32" x14ac:dyDescent="0.45">
      <c r="K584" s="40">
        <f t="shared" si="144"/>
        <v>5.59</v>
      </c>
      <c r="L584" s="41">
        <f t="shared" si="136"/>
        <v>25.59</v>
      </c>
      <c r="M584">
        <f t="shared" si="145"/>
        <v>0.86742920477189012</v>
      </c>
      <c r="N584">
        <f t="shared" si="146"/>
        <v>0.132570795228108</v>
      </c>
      <c r="O584">
        <f t="shared" si="137"/>
        <v>9.0728573429042184E-2</v>
      </c>
      <c r="P584">
        <f t="shared" si="138"/>
        <v>0.5</v>
      </c>
      <c r="Q584">
        <f t="shared" si="147"/>
        <v>-1.2415216685588107E-2</v>
      </c>
      <c r="R584" s="6">
        <f t="shared" si="148"/>
        <v>1.2415216685588107E-2</v>
      </c>
      <c r="S584" s="18">
        <f t="shared" si="149"/>
        <v>0.99999999999999811</v>
      </c>
      <c r="T584" s="15"/>
      <c r="U584" s="15"/>
      <c r="V584" s="40">
        <f t="shared" si="150"/>
        <v>4.41</v>
      </c>
      <c r="W584" s="41">
        <f t="shared" si="139"/>
        <v>24.41</v>
      </c>
      <c r="X584">
        <f t="shared" si="151"/>
        <v>2.1073881647345822E-2</v>
      </c>
      <c r="Y584">
        <f t="shared" si="152"/>
        <v>1.7256221247864991</v>
      </c>
      <c r="Z584" s="33">
        <f t="shared" si="140"/>
        <v>8.1956011502786238E-2</v>
      </c>
      <c r="AA584" s="33">
        <f t="shared" si="141"/>
        <v>0.5</v>
      </c>
      <c r="AB584">
        <f t="shared" si="142"/>
        <v>-1.426508764205156E-2</v>
      </c>
      <c r="AC584" s="1">
        <f t="shared" si="143"/>
        <v>-6.1444772191098451E-2</v>
      </c>
      <c r="AD584" s="35">
        <f>IF(W584&gt;=FinalAgeForPremium, AE584*Delta-Z584*(Y584-AE584),AE584*Delta+PremiumRevisedForLimitedTerm-Z584*(Y584-AE584))</f>
        <v>1.1383917329276516E-3</v>
      </c>
      <c r="AE584" s="35">
        <f>AE583-StepSize*AD583</f>
        <v>3.1909641093213661E-2</v>
      </c>
      <c r="AF584" s="1"/>
    </row>
    <row r="585" spans="11:32" x14ac:dyDescent="0.45">
      <c r="K585" s="40">
        <f t="shared" si="144"/>
        <v>5.6</v>
      </c>
      <c r="L585" s="41">
        <f t="shared" si="136"/>
        <v>25.6</v>
      </c>
      <c r="M585">
        <f t="shared" si="145"/>
        <v>0.86730505260503421</v>
      </c>
      <c r="N585">
        <f t="shared" si="146"/>
        <v>0.13269494739496387</v>
      </c>
      <c r="O585">
        <f t="shared" si="137"/>
        <v>9.0806794923355624E-2</v>
      </c>
      <c r="P585">
        <f t="shared" si="138"/>
        <v>0.5</v>
      </c>
      <c r="Q585">
        <f t="shared" si="147"/>
        <v>-1.2409718350413559E-2</v>
      </c>
      <c r="R585" s="6">
        <f t="shared" si="148"/>
        <v>1.2409718350413559E-2</v>
      </c>
      <c r="S585" s="18">
        <f t="shared" si="149"/>
        <v>0.99999999999999811</v>
      </c>
      <c r="T585" s="15"/>
      <c r="U585" s="15"/>
      <c r="V585" s="40">
        <f t="shared" si="150"/>
        <v>4.4000000000000004</v>
      </c>
      <c r="W585" s="41">
        <f t="shared" si="139"/>
        <v>24.4</v>
      </c>
      <c r="X585">
        <f t="shared" si="151"/>
        <v>2.1216532523766339E-2</v>
      </c>
      <c r="Y585">
        <f t="shared" si="152"/>
        <v>1.7262365725084101</v>
      </c>
      <c r="Z585" s="33">
        <f t="shared" si="140"/>
        <v>8.1885414124108477E-2</v>
      </c>
      <c r="AA585" s="33">
        <f t="shared" si="141"/>
        <v>0.5</v>
      </c>
      <c r="AB585">
        <f t="shared" si="142"/>
        <v>-1.417625174051057E-2</v>
      </c>
      <c r="AC585" s="1">
        <f t="shared" si="143"/>
        <v>-6.1178151382257573E-2</v>
      </c>
      <c r="AD585" s="35">
        <f>IF(W585&gt;=FinalAgeForPremium, AE585*Delta-Z585*(Y585-AE585),AE585*Delta+PremiumRevisedForLimitedTerm-Z585*(Y585-AE585))</f>
        <v>1.2061477156925793E-3</v>
      </c>
      <c r="AE585" s="35">
        <f>AE584-StepSize*AD584</f>
        <v>3.1898257175884383E-2</v>
      </c>
      <c r="AF585" s="1"/>
    </row>
    <row r="586" spans="11:32" x14ac:dyDescent="0.45">
      <c r="K586" s="40">
        <f t="shared" si="144"/>
        <v>5.61</v>
      </c>
      <c r="L586" s="41">
        <f t="shared" si="136"/>
        <v>25.61</v>
      </c>
      <c r="M586">
        <f t="shared" si="145"/>
        <v>0.86718095542153006</v>
      </c>
      <c r="N586">
        <f t="shared" si="146"/>
        <v>0.13281904457846802</v>
      </c>
      <c r="O586">
        <f t="shared" si="137"/>
        <v>9.0885083856205084E-2</v>
      </c>
      <c r="P586">
        <f t="shared" si="138"/>
        <v>0.5</v>
      </c>
      <c r="Q586">
        <f t="shared" si="147"/>
        <v>-1.2404291562755798E-2</v>
      </c>
      <c r="R586" s="6">
        <f t="shared" si="148"/>
        <v>1.2404291562755798E-2</v>
      </c>
      <c r="S586" s="18">
        <f t="shared" si="149"/>
        <v>0.99999999999999811</v>
      </c>
      <c r="T586" s="15"/>
      <c r="U586" s="15"/>
      <c r="V586" s="40">
        <f t="shared" si="150"/>
        <v>4.3899999999999997</v>
      </c>
      <c r="W586" s="41">
        <f t="shared" si="139"/>
        <v>24.39</v>
      </c>
      <c r="X586">
        <f t="shared" si="151"/>
        <v>2.1358295041171444E-2</v>
      </c>
      <c r="Y586">
        <f t="shared" si="152"/>
        <v>1.7268483540222328</v>
      </c>
      <c r="Z586" s="33">
        <f t="shared" si="140"/>
        <v>8.1814877558417931E-2</v>
      </c>
      <c r="AA586" s="33">
        <f t="shared" si="141"/>
        <v>0.5</v>
      </c>
      <c r="AB586">
        <f t="shared" si="142"/>
        <v>-1.4087351903228268E-2</v>
      </c>
      <c r="AC586" s="1">
        <f t="shared" si="143"/>
        <v>-6.0912552808357723E-2</v>
      </c>
      <c r="AD586" s="35">
        <f>IF(W586&gt;=FinalAgeForPremium, AE586*Delta-Z586*(Y586-AE586),AE586*Delta+PremiumRevisedForLimitedTerm-Z586*(Y586-AE586))</f>
        <v>1.2740178097935539E-3</v>
      </c>
      <c r="AE586" s="35">
        <f>AE585-StepSize*AD585</f>
        <v>3.1886195698727457E-2</v>
      </c>
      <c r="AF586" s="1"/>
    </row>
    <row r="587" spans="11:32" x14ac:dyDescent="0.45">
      <c r="K587" s="40">
        <f t="shared" si="144"/>
        <v>5.62</v>
      </c>
      <c r="L587" s="41">
        <f t="shared" si="136"/>
        <v>25.62</v>
      </c>
      <c r="M587">
        <f t="shared" si="145"/>
        <v>0.86705691250590256</v>
      </c>
      <c r="N587">
        <f t="shared" si="146"/>
        <v>0.13294308749409559</v>
      </c>
      <c r="O587">
        <f t="shared" si="137"/>
        <v>9.096344028573268E-2</v>
      </c>
      <c r="P587">
        <f t="shared" si="138"/>
        <v>0.5</v>
      </c>
      <c r="Q587">
        <f t="shared" si="147"/>
        <v>-1.2398935938014624E-2</v>
      </c>
      <c r="R587" s="6">
        <f t="shared" si="148"/>
        <v>1.2398935938014624E-2</v>
      </c>
      <c r="S587" s="18">
        <f t="shared" si="149"/>
        <v>0.99999999999999811</v>
      </c>
      <c r="T587" s="15"/>
      <c r="U587" s="15"/>
      <c r="V587" s="40">
        <f t="shared" si="150"/>
        <v>4.38</v>
      </c>
      <c r="W587" s="41">
        <f t="shared" si="139"/>
        <v>24.38</v>
      </c>
      <c r="X587">
        <f t="shared" si="151"/>
        <v>2.1499168560203726E-2</v>
      </c>
      <c r="Y587">
        <f t="shared" si="152"/>
        <v>1.7274574795503164</v>
      </c>
      <c r="Z587" s="33">
        <f t="shared" si="140"/>
        <v>8.1744401753329893E-2</v>
      </c>
      <c r="AA587" s="33">
        <f t="shared" si="141"/>
        <v>0.5</v>
      </c>
      <c r="AB587">
        <f t="shared" si="142"/>
        <v>-1.3998389422650026E-2</v>
      </c>
      <c r="AC587" s="1">
        <f t="shared" si="143"/>
        <v>-6.0647970527427875E-2</v>
      </c>
      <c r="AD587" s="35">
        <f>IF(W587&gt;=FinalAgeForPremium, AE587*Delta-Z587*(Y587-AE587),AE587*Delta+PremiumRevisedForLimitedTerm-Z587*(Y587-AE587))</f>
        <v>1.3420005834675341E-3</v>
      </c>
      <c r="AE587" s="35">
        <f>AE586-StepSize*AD586</f>
        <v>3.1873455520629521E-2</v>
      </c>
      <c r="AF587" s="1"/>
    </row>
    <row r="588" spans="11:32" x14ac:dyDescent="0.45">
      <c r="K588" s="40">
        <f t="shared" si="144"/>
        <v>5.63</v>
      </c>
      <c r="L588" s="41">
        <f t="shared" si="136"/>
        <v>25.63</v>
      </c>
      <c r="M588">
        <f t="shared" si="145"/>
        <v>0.86693292314652237</v>
      </c>
      <c r="N588">
        <f t="shared" si="146"/>
        <v>0.13306707685347574</v>
      </c>
      <c r="O588">
        <f t="shared" si="137"/>
        <v>9.1041864270130515E-2</v>
      </c>
      <c r="P588">
        <f t="shared" si="138"/>
        <v>0.5</v>
      </c>
      <c r="Q588">
        <f t="shared" si="147"/>
        <v>-1.2393651093675309E-2</v>
      </c>
      <c r="R588" s="6">
        <f t="shared" si="148"/>
        <v>1.2393651093675309E-2</v>
      </c>
      <c r="S588" s="18">
        <f t="shared" si="149"/>
        <v>0.99999999999999811</v>
      </c>
      <c r="T588" s="15"/>
      <c r="U588" s="15"/>
      <c r="V588" s="40">
        <f t="shared" si="150"/>
        <v>4.37</v>
      </c>
      <c r="W588" s="41">
        <f t="shared" si="139"/>
        <v>24.37</v>
      </c>
      <c r="X588">
        <f t="shared" si="151"/>
        <v>2.1639152454430228E-2</v>
      </c>
      <c r="Y588">
        <f t="shared" si="152"/>
        <v>1.7280639592555906</v>
      </c>
      <c r="Z588" s="33">
        <f t="shared" si="140"/>
        <v>8.1673986656504841E-2</v>
      </c>
      <c r="AA588" s="33">
        <f t="shared" si="141"/>
        <v>0.5</v>
      </c>
      <c r="AB588">
        <f t="shared" si="142"/>
        <v>-1.3909365580937638E-2</v>
      </c>
      <c r="AC588" s="1">
        <f t="shared" si="143"/>
        <v>-6.0384398636640246E-2</v>
      </c>
      <c r="AD588" s="35">
        <f>IF(W588&gt;=FinalAgeForPremium, AE588*Delta-Z588*(Y588-AE588),AE588*Delta+PremiumRevisedForLimitedTerm-Z588*(Y588-AE588))</f>
        <v>1.4100946156693772E-3</v>
      </c>
      <c r="AE588" s="35">
        <f>AE587-StepSize*AD587</f>
        <v>3.1860035514794847E-2</v>
      </c>
      <c r="AF588" s="1"/>
    </row>
    <row r="589" spans="11:32" x14ac:dyDescent="0.45">
      <c r="K589" s="40">
        <f t="shared" si="144"/>
        <v>5.64</v>
      </c>
      <c r="L589" s="41">
        <f t="shared" si="136"/>
        <v>25.64</v>
      </c>
      <c r="M589">
        <f t="shared" si="145"/>
        <v>0.86680898663558559</v>
      </c>
      <c r="N589">
        <f t="shared" si="146"/>
        <v>0.1331910133644125</v>
      </c>
      <c r="O589">
        <f t="shared" si="137"/>
        <v>9.1120355867640973E-2</v>
      </c>
      <c r="P589">
        <f t="shared" si="138"/>
        <v>0.5</v>
      </c>
      <c r="Q589">
        <f t="shared" si="147"/>
        <v>-1.2388436649297563E-2</v>
      </c>
      <c r="R589" s="6">
        <f t="shared" si="148"/>
        <v>1.2388436649297563E-2</v>
      </c>
      <c r="S589" s="18">
        <f t="shared" si="149"/>
        <v>0.99999999999999811</v>
      </c>
      <c r="T589" s="15"/>
      <c r="U589" s="15"/>
      <c r="V589" s="40">
        <f t="shared" si="150"/>
        <v>4.3600000000000003</v>
      </c>
      <c r="W589" s="41">
        <f t="shared" si="139"/>
        <v>24.36</v>
      </c>
      <c r="X589">
        <f t="shared" si="151"/>
        <v>2.1778246110239603E-2</v>
      </c>
      <c r="Y589">
        <f t="shared" si="152"/>
        <v>1.7286678032419571</v>
      </c>
      <c r="Z589" s="33">
        <f t="shared" si="140"/>
        <v>8.1603632215648314E-2</v>
      </c>
      <c r="AA589" s="33">
        <f t="shared" si="141"/>
        <v>0.5</v>
      </c>
      <c r="AB589">
        <f t="shared" si="142"/>
        <v>-1.3820281650047866E-2</v>
      </c>
      <c r="AC589" s="1">
        <f t="shared" si="143"/>
        <v>-6.0121831272043402E-2</v>
      </c>
      <c r="AD589" s="35">
        <f>IF(W589&gt;=FinalAgeForPremium, AE589*Delta-Z589*(Y589-AE589),AE589*Delta+PremiumRevisedForLimitedTerm-Z589*(Y589-AE589))</f>
        <v>1.4782984959918477E-3</v>
      </c>
      <c r="AE589" s="35">
        <f>AE588-StepSize*AD588</f>
        <v>3.1845934568638157E-2</v>
      </c>
      <c r="AF589" s="1"/>
    </row>
    <row r="590" spans="11:32" x14ac:dyDescent="0.45">
      <c r="K590" s="40">
        <f t="shared" si="144"/>
        <v>5.65</v>
      </c>
      <c r="L590" s="41">
        <f t="shared" si="136"/>
        <v>25.65</v>
      </c>
      <c r="M590">
        <f t="shared" si="145"/>
        <v>0.86668510226909257</v>
      </c>
      <c r="N590">
        <f t="shared" si="146"/>
        <v>0.13331489773090546</v>
      </c>
      <c r="O590">
        <f t="shared" si="137"/>
        <v>9.1198915136556494E-2</v>
      </c>
      <c r="P590">
        <f t="shared" si="138"/>
        <v>0.5</v>
      </c>
      <c r="Q590">
        <f t="shared" si="147"/>
        <v>-1.2383292226504028E-2</v>
      </c>
      <c r="R590" s="6">
        <f t="shared" si="148"/>
        <v>1.2383292226504028E-2</v>
      </c>
      <c r="S590" s="18">
        <f t="shared" si="149"/>
        <v>0.999999999999998</v>
      </c>
      <c r="T590" s="15"/>
      <c r="U590" s="15"/>
      <c r="V590" s="40">
        <f t="shared" si="150"/>
        <v>4.3499999999999996</v>
      </c>
      <c r="W590" s="41">
        <f t="shared" si="139"/>
        <v>24.35</v>
      </c>
      <c r="X590">
        <f t="shared" si="151"/>
        <v>2.1916448926740082E-2</v>
      </c>
      <c r="Y590">
        <f t="shared" si="152"/>
        <v>1.7292690215546775</v>
      </c>
      <c r="Z590" s="33">
        <f t="shared" si="140"/>
        <v>8.1533338378510969E-2</v>
      </c>
      <c r="AA590" s="33">
        <f t="shared" si="141"/>
        <v>0.5</v>
      </c>
      <c r="AB590">
        <f t="shared" si="142"/>
        <v>-1.3731138891810185E-2</v>
      </c>
      <c r="AC590" s="1">
        <f t="shared" si="143"/>
        <v>-5.9860262608297354E-2</v>
      </c>
      <c r="AD590" s="35">
        <f>IF(W590&gt;=FinalAgeForPremium, AE590*Delta-Z590*(Y590-AE590),AE590*Delta+PremiumRevisedForLimitedTerm-Z590*(Y590-AE590))</f>
        <v>1.5466108245860699E-3</v>
      </c>
      <c r="AE590" s="35">
        <f>AE589-StepSize*AD589</f>
        <v>3.183115158367824E-2</v>
      </c>
      <c r="AF590" s="1"/>
    </row>
    <row r="591" spans="11:32" x14ac:dyDescent="0.45">
      <c r="K591" s="40">
        <f t="shared" si="144"/>
        <v>5.66</v>
      </c>
      <c r="L591" s="41">
        <f t="shared" si="136"/>
        <v>25.66</v>
      </c>
      <c r="M591">
        <f t="shared" si="145"/>
        <v>0.86656126934682753</v>
      </c>
      <c r="N591">
        <f t="shared" si="146"/>
        <v>0.1334387306531705</v>
      </c>
      <c r="O591">
        <f t="shared" si="137"/>
        <v>9.1277542135219977E-2</v>
      </c>
      <c r="P591">
        <f t="shared" si="138"/>
        <v>0.5</v>
      </c>
      <c r="Q591">
        <f t="shared" si="147"/>
        <v>-1.2378217448969511E-2</v>
      </c>
      <c r="R591" s="6">
        <f t="shared" si="148"/>
        <v>1.2378217448969511E-2</v>
      </c>
      <c r="S591" s="18">
        <f t="shared" si="149"/>
        <v>0.999999999999998</v>
      </c>
      <c r="T591" s="15"/>
      <c r="U591" s="15"/>
      <c r="V591" s="40">
        <f t="shared" si="150"/>
        <v>4.34</v>
      </c>
      <c r="W591" s="41">
        <f t="shared" si="139"/>
        <v>24.34</v>
      </c>
      <c r="X591">
        <f t="shared" si="151"/>
        <v>2.2053760315658182E-2</v>
      </c>
      <c r="Y591">
        <f t="shared" si="152"/>
        <v>1.7298676241807605</v>
      </c>
      <c r="Z591" s="33">
        <f t="shared" si="140"/>
        <v>8.1463105092888316E-2</v>
      </c>
      <c r="AA591" s="33">
        <f t="shared" si="141"/>
        <v>0.5</v>
      </c>
      <c r="AB591">
        <f t="shared" si="142"/>
        <v>-1.3641938558003913E-2</v>
      </c>
      <c r="AC591" s="1">
        <f t="shared" si="143"/>
        <v>-5.9599686858410772E-2</v>
      </c>
      <c r="AD591" s="35">
        <f>IF(W591&gt;=FinalAgeForPremium, AE591*Delta-Z591*(Y591-AE591),AE591*Delta+PremiumRevisedForLimitedTerm-Z591*(Y591-AE591))</f>
        <v>1.6150302120832849E-3</v>
      </c>
      <c r="AE591" s="35">
        <f>AE590-StepSize*AD590</f>
        <v>3.1815685475432377E-2</v>
      </c>
      <c r="AF591" s="1"/>
    </row>
    <row r="592" spans="11:32" x14ac:dyDescent="0.45">
      <c r="K592" s="40">
        <f t="shared" si="144"/>
        <v>5.67</v>
      </c>
      <c r="L592" s="41">
        <f t="shared" si="136"/>
        <v>25.67</v>
      </c>
      <c r="M592">
        <f t="shared" si="145"/>
        <v>0.86643748717233782</v>
      </c>
      <c r="N592">
        <f t="shared" si="146"/>
        <v>0.13356251282766018</v>
      </c>
      <c r="O592">
        <f t="shared" si="137"/>
        <v>9.1356236922024478E-2</v>
      </c>
      <c r="P592">
        <f t="shared" si="138"/>
        <v>0.5</v>
      </c>
      <c r="Q592">
        <f t="shared" si="147"/>
        <v>-1.2373211942409548E-2</v>
      </c>
      <c r="R592" s="6">
        <f t="shared" si="148"/>
        <v>1.2373211942409548E-2</v>
      </c>
      <c r="S592" s="18">
        <f t="shared" si="149"/>
        <v>0.999999999999998</v>
      </c>
      <c r="T592" s="15"/>
      <c r="U592" s="15"/>
      <c r="V592" s="40">
        <f t="shared" si="150"/>
        <v>4.33</v>
      </c>
      <c r="W592" s="41">
        <f t="shared" si="139"/>
        <v>24.33</v>
      </c>
      <c r="X592">
        <f t="shared" si="151"/>
        <v>2.2190179701238221E-2</v>
      </c>
      <c r="Y592">
        <f t="shared" si="152"/>
        <v>1.7304636210493445</v>
      </c>
      <c r="Z592" s="33">
        <f t="shared" si="140"/>
        <v>8.139293230662098E-2</v>
      </c>
      <c r="AA592" s="33">
        <f t="shared" si="141"/>
        <v>0.5</v>
      </c>
      <c r="AB592">
        <f t="shared" si="142"/>
        <v>-1.3552681890435292E-2</v>
      </c>
      <c r="AC592" s="1">
        <f t="shared" si="143"/>
        <v>-5.9340098273479636E-2</v>
      </c>
      <c r="AD592" s="35">
        <f>IF(W592&gt;=FinalAgeForPremium, AE592*Delta-Z592*(Y592-AE592),AE592*Delta+PremiumRevisedForLimitedTerm-Z592*(Y592-AE592))</f>
        <v>1.6835552795159692E-3</v>
      </c>
      <c r="AE592" s="35">
        <f>AE591-StepSize*AD591</f>
        <v>3.1799535173311543E-2</v>
      </c>
      <c r="AF592" s="1"/>
    </row>
    <row r="593" spans="11:32" x14ac:dyDescent="0.45">
      <c r="K593" s="40">
        <f t="shared" si="144"/>
        <v>5.68</v>
      </c>
      <c r="L593" s="41">
        <f t="shared" si="136"/>
        <v>25.68</v>
      </c>
      <c r="M593">
        <f t="shared" si="145"/>
        <v>0.86631375505291375</v>
      </c>
      <c r="N593">
        <f t="shared" si="146"/>
        <v>0.13368624494708428</v>
      </c>
      <c r="O593">
        <f t="shared" si="137"/>
        <v>9.1434999555413329E-2</v>
      </c>
      <c r="P593">
        <f t="shared" si="138"/>
        <v>0.5</v>
      </c>
      <c r="Q593">
        <f t="shared" si="147"/>
        <v>-1.2368275334569481E-2</v>
      </c>
      <c r="R593" s="6">
        <f t="shared" si="148"/>
        <v>1.2368275334569481E-2</v>
      </c>
      <c r="S593" s="18">
        <f t="shared" si="149"/>
        <v>0.999999999999998</v>
      </c>
      <c r="T593" s="15"/>
      <c r="U593" s="15"/>
      <c r="V593" s="40">
        <f t="shared" si="150"/>
        <v>4.32</v>
      </c>
      <c r="W593" s="41">
        <f t="shared" si="139"/>
        <v>24.32</v>
      </c>
      <c r="X593">
        <f t="shared" si="151"/>
        <v>2.2325706520142576E-2</v>
      </c>
      <c r="Y593">
        <f t="shared" si="152"/>
        <v>1.7310570220320793</v>
      </c>
      <c r="Z593" s="33">
        <f t="shared" si="140"/>
        <v>8.1322819967594551E-2</v>
      </c>
      <c r="AA593" s="33">
        <f t="shared" si="141"/>
        <v>0.5</v>
      </c>
      <c r="AB593">
        <f t="shared" si="142"/>
        <v>-1.3463370121013452E-2</v>
      </c>
      <c r="AC593" s="1">
        <f t="shared" si="143"/>
        <v>-5.9081491142427667E-2</v>
      </c>
      <c r="AD593" s="35">
        <f>IF(W593&gt;=FinalAgeForPremium, AE593*Delta-Z593*(Y593-AE593),AE593*Delta+PremiumRevisedForLimitedTerm-Z593*(Y593-AE593))</f>
        <v>1.7521846582405909E-3</v>
      </c>
      <c r="AE593" s="35">
        <f>AE592-StepSize*AD592</f>
        <v>3.1782699620516386E-2</v>
      </c>
      <c r="AF593" s="1"/>
    </row>
    <row r="594" spans="11:32" x14ac:dyDescent="0.45">
      <c r="K594" s="40">
        <f t="shared" si="144"/>
        <v>5.69</v>
      </c>
      <c r="L594" s="41">
        <f t="shared" si="136"/>
        <v>25.69</v>
      </c>
      <c r="M594">
        <f t="shared" si="145"/>
        <v>0.86619007229956801</v>
      </c>
      <c r="N594">
        <f t="shared" si="146"/>
        <v>0.13380992770042999</v>
      </c>
      <c r="O594">
        <f t="shared" si="137"/>
        <v>9.1513830093880547E-2</v>
      </c>
      <c r="P594">
        <f t="shared" si="138"/>
        <v>0.5</v>
      </c>
      <c r="Q594">
        <f t="shared" si="147"/>
        <v>-1.2363407255213774E-2</v>
      </c>
      <c r="R594" s="6">
        <f t="shared" si="148"/>
        <v>1.2363407255213774E-2</v>
      </c>
      <c r="S594" s="18">
        <f t="shared" si="149"/>
        <v>0.999999999999998</v>
      </c>
      <c r="T594" s="15"/>
      <c r="U594" s="15"/>
      <c r="V594" s="40">
        <f t="shared" si="150"/>
        <v>4.3099999999999996</v>
      </c>
      <c r="W594" s="41">
        <f t="shared" si="139"/>
        <v>24.31</v>
      </c>
      <c r="X594">
        <f t="shared" si="151"/>
        <v>2.2460340221352709E-2</v>
      </c>
      <c r="Y594">
        <f t="shared" si="152"/>
        <v>1.7316478369435035</v>
      </c>
      <c r="Z594" s="33">
        <f t="shared" si="140"/>
        <v>8.1252768023739291E-2</v>
      </c>
      <c r="AA594" s="33">
        <f t="shared" si="141"/>
        <v>0.5</v>
      </c>
      <c r="AB594">
        <f t="shared" si="142"/>
        <v>-1.3374004471825268E-2</v>
      </c>
      <c r="AC594" s="1">
        <f t="shared" si="143"/>
        <v>-5.8823859791749422E-2</v>
      </c>
      <c r="AD594" s="35">
        <f>IF(W594&gt;=FinalAgeForPremium, AE594*Delta-Z594*(Y594-AE594),AE594*Delta+PremiumRevisedForLimitedTerm-Z594*(Y594-AE594))</f>
        <v>1.8209169898611433E-3</v>
      </c>
      <c r="AE594" s="35">
        <f>AE593-StepSize*AD593</f>
        <v>3.1765177773933978E-2</v>
      </c>
      <c r="AF594" s="1"/>
    </row>
    <row r="595" spans="11:32" x14ac:dyDescent="0.45">
      <c r="K595" s="40">
        <f t="shared" si="144"/>
        <v>5.7</v>
      </c>
      <c r="L595" s="41">
        <f t="shared" si="136"/>
        <v>25.7</v>
      </c>
      <c r="M595">
        <f t="shared" si="145"/>
        <v>0.8660664382270159</v>
      </c>
      <c r="N595">
        <f t="shared" si="146"/>
        <v>0.13393356177298213</v>
      </c>
      <c r="O595">
        <f t="shared" si="137"/>
        <v>9.159272859597023E-2</v>
      </c>
      <c r="P595">
        <f t="shared" si="138"/>
        <v>0.5</v>
      </c>
      <c r="Q595">
        <f t="shared" si="147"/>
        <v>-1.2358607336114616E-2</v>
      </c>
      <c r="R595" s="6">
        <f t="shared" si="148"/>
        <v>1.2358607336114616E-2</v>
      </c>
      <c r="S595" s="18">
        <f t="shared" si="149"/>
        <v>0.999999999999998</v>
      </c>
      <c r="T595" s="15"/>
      <c r="U595" s="15"/>
      <c r="V595" s="40">
        <f t="shared" si="150"/>
        <v>4.3</v>
      </c>
      <c r="W595" s="41">
        <f t="shared" si="139"/>
        <v>24.3</v>
      </c>
      <c r="X595">
        <f t="shared" si="151"/>
        <v>2.2594080266070963E-2</v>
      </c>
      <c r="Y595">
        <f t="shared" si="152"/>
        <v>1.732236075541421</v>
      </c>
      <c r="Z595" s="33">
        <f t="shared" si="140"/>
        <v>8.1182776423030525E-2</v>
      </c>
      <c r="AA595" s="33">
        <f t="shared" si="141"/>
        <v>0.5</v>
      </c>
      <c r="AB595">
        <f t="shared" si="142"/>
        <v>-1.3284586155211331E-2</v>
      </c>
      <c r="AC595" s="1">
        <f t="shared" si="143"/>
        <v>-5.8567198585253832E-2</v>
      </c>
      <c r="AD595" s="35">
        <f>IF(W595&gt;=FinalAgeForPremium, AE595*Delta-Z595*(Y595-AE595),AE595*Delta+PremiumRevisedForLimitedTerm-Z595*(Y595-AE595))</f>
        <v>1.8897509261516787E-3</v>
      </c>
      <c r="AE595" s="35">
        <f>AE594-StepSize*AD594</f>
        <v>3.1746968604035364E-2</v>
      </c>
      <c r="AF595" s="1"/>
    </row>
    <row r="596" spans="11:32" x14ac:dyDescent="0.45">
      <c r="K596" s="40">
        <f t="shared" si="144"/>
        <v>5.71</v>
      </c>
      <c r="L596" s="41">
        <f t="shared" si="136"/>
        <v>25.71</v>
      </c>
      <c r="M596">
        <f t="shared" si="145"/>
        <v>0.86594285215365474</v>
      </c>
      <c r="N596">
        <f t="shared" si="146"/>
        <v>0.13405714784634329</v>
      </c>
      <c r="O596">
        <f t="shared" si="137"/>
        <v>9.1671695120277161E-2</v>
      </c>
      <c r="P596">
        <f t="shared" si="138"/>
        <v>0.5</v>
      </c>
      <c r="Q596">
        <f t="shared" si="147"/>
        <v>-1.2353875211041435E-2</v>
      </c>
      <c r="R596" s="6">
        <f t="shared" si="148"/>
        <v>1.2353875211041435E-2</v>
      </c>
      <c r="S596" s="18">
        <f t="shared" si="149"/>
        <v>0.999999999999998</v>
      </c>
      <c r="T596" s="15"/>
      <c r="U596" s="15"/>
      <c r="V596" s="40">
        <f t="shared" si="150"/>
        <v>4.29</v>
      </c>
      <c r="W596" s="41">
        <f t="shared" si="139"/>
        <v>24.29</v>
      </c>
      <c r="X596">
        <f t="shared" si="151"/>
        <v>2.2726926127623077E-2</v>
      </c>
      <c r="Y596">
        <f t="shared" si="152"/>
        <v>1.7328217475272736</v>
      </c>
      <c r="Z596" s="33">
        <f t="shared" si="140"/>
        <v>8.1112845113488333E-2</v>
      </c>
      <c r="AA596" s="33">
        <f t="shared" si="141"/>
        <v>0.5</v>
      </c>
      <c r="AB596">
        <f t="shared" si="142"/>
        <v>-1.3195116373839522E-2</v>
      </c>
      <c r="AC596" s="1">
        <f t="shared" si="143"/>
        <v>-5.8311501923811071E-2</v>
      </c>
      <c r="AD596" s="35">
        <f>IF(W596&gt;=FinalAgeForPremium, AE596*Delta-Z596*(Y596-AE596),AE596*Delta+PremiumRevisedForLimitedTerm-Z596*(Y596-AE596))</f>
        <v>1.9586851289814244E-3</v>
      </c>
      <c r="AE596" s="35">
        <f>AE595-StepSize*AD595</f>
        <v>3.1728071094773845E-2</v>
      </c>
      <c r="AF596" s="1"/>
    </row>
    <row r="597" spans="11:32" x14ac:dyDescent="0.45">
      <c r="K597" s="40">
        <f t="shared" si="144"/>
        <v>5.72</v>
      </c>
      <c r="L597" s="41">
        <f t="shared" si="136"/>
        <v>25.72</v>
      </c>
      <c r="M597">
        <f t="shared" si="145"/>
        <v>0.86581931340154428</v>
      </c>
      <c r="N597">
        <f t="shared" si="146"/>
        <v>0.1341806865984537</v>
      </c>
      <c r="O597">
        <f t="shared" si="137"/>
        <v>9.1750729725446609E-2</v>
      </c>
      <c r="P597">
        <f t="shared" si="138"/>
        <v>0.5</v>
      </c>
      <c r="Q597">
        <f t="shared" si="147"/>
        <v>-1.2349210515749998E-2</v>
      </c>
      <c r="R597" s="6">
        <f t="shared" si="148"/>
        <v>1.2349210515749998E-2</v>
      </c>
      <c r="S597" s="18">
        <f t="shared" si="149"/>
        <v>0.999999999999998</v>
      </c>
      <c r="T597" s="15"/>
      <c r="U597" s="15"/>
      <c r="V597" s="40">
        <f t="shared" si="150"/>
        <v>4.28</v>
      </c>
      <c r="W597" s="41">
        <f t="shared" si="139"/>
        <v>24.28</v>
      </c>
      <c r="X597">
        <f t="shared" si="151"/>
        <v>2.2858877291361473E-2</v>
      </c>
      <c r="Y597">
        <f t="shared" si="152"/>
        <v>1.7334048625465117</v>
      </c>
      <c r="Z597" s="33">
        <f t="shared" si="140"/>
        <v>8.1042974043177535E-2</v>
      </c>
      <c r="AA597" s="33">
        <f t="shared" si="141"/>
        <v>0.5</v>
      </c>
      <c r="AB597">
        <f t="shared" si="142"/>
        <v>-1.3105596320778956E-2</v>
      </c>
      <c r="AC597" s="1">
        <f t="shared" si="143"/>
        <v>-5.8056764245099202E-2</v>
      </c>
      <c r="AD597" s="35">
        <f>IF(W597&gt;=FinalAgeForPremium, AE597*Delta-Z597*(Y597-AE597),AE597*Delta+PremiumRevisedForLimitedTerm-Z597*(Y597-AE597))</f>
        <v>2.0277182702392593E-3</v>
      </c>
      <c r="AE597" s="35">
        <f>AE596-StepSize*AD596</f>
        <v>3.1708484243484034E-2</v>
      </c>
      <c r="AF597" s="1"/>
    </row>
    <row r="598" spans="11:32" x14ac:dyDescent="0.45">
      <c r="K598" s="40">
        <f t="shared" si="144"/>
        <v>5.73</v>
      </c>
      <c r="L598" s="41">
        <f t="shared" si="136"/>
        <v>25.73</v>
      </c>
      <c r="M598">
        <f t="shared" si="145"/>
        <v>0.86569582129638678</v>
      </c>
      <c r="N598">
        <f t="shared" si="146"/>
        <v>0.13430417870361119</v>
      </c>
      <c r="O598">
        <f t="shared" si="137"/>
        <v>9.1829832470174386E-2</v>
      </c>
      <c r="P598">
        <f t="shared" si="138"/>
        <v>0.5</v>
      </c>
      <c r="Q598">
        <f t="shared" si="147"/>
        <v>-1.2344612887971618E-2</v>
      </c>
      <c r="R598" s="6">
        <f t="shared" si="148"/>
        <v>1.2344612887971618E-2</v>
      </c>
      <c r="S598" s="18">
        <f t="shared" si="149"/>
        <v>0.999999999999998</v>
      </c>
      <c r="T598" s="15"/>
      <c r="U598" s="15"/>
      <c r="V598" s="40">
        <f t="shared" si="150"/>
        <v>4.2699999999999996</v>
      </c>
      <c r="W598" s="41">
        <f t="shared" si="139"/>
        <v>24.27</v>
      </c>
      <c r="X598">
        <f t="shared" si="151"/>
        <v>2.2989933254569262E-2</v>
      </c>
      <c r="Y598">
        <f t="shared" si="152"/>
        <v>1.7339854301889628</v>
      </c>
      <c r="Z598" s="33">
        <f t="shared" si="140"/>
        <v>8.0973163160207681E-2</v>
      </c>
      <c r="AA598" s="33">
        <f t="shared" si="141"/>
        <v>0.5</v>
      </c>
      <c r="AB598">
        <f t="shared" si="142"/>
        <v>-1.301602717957312E-2</v>
      </c>
      <c r="AC598" s="1">
        <f t="shared" si="143"/>
        <v>-5.7802980023355155E-2</v>
      </c>
      <c r="AD598" s="35">
        <f>IF(W598&gt;=FinalAgeForPremium, AE598*Delta-Z598*(Y598-AE598),AE598*Delta+PremiumRevisedForLimitedTerm-Z598*(Y598-AE598))</f>
        <v>2.0968490317589406E-3</v>
      </c>
      <c r="AE598" s="35">
        <f>AE597-StepSize*AD597</f>
        <v>3.168820706078164E-2</v>
      </c>
      <c r="AF598" s="1"/>
    </row>
    <row r="599" spans="11:32" x14ac:dyDescent="0.45">
      <c r="K599" s="40">
        <f t="shared" si="144"/>
        <v>5.74</v>
      </c>
      <c r="L599" s="41">
        <f t="shared" si="136"/>
        <v>25.740000000000002</v>
      </c>
      <c r="M599">
        <f t="shared" si="145"/>
        <v>0.86557237516750707</v>
      </c>
      <c r="N599">
        <f t="shared" si="146"/>
        <v>0.13442762483249091</v>
      </c>
      <c r="O599">
        <f t="shared" si="137"/>
        <v>9.1909003413206819E-2</v>
      </c>
      <c r="P599">
        <f t="shared" si="138"/>
        <v>0.5</v>
      </c>
      <c r="Q599">
        <f t="shared" si="147"/>
        <v>-1.2340081967402494E-2</v>
      </c>
      <c r="R599" s="6">
        <f t="shared" si="148"/>
        <v>1.2340081967402494E-2</v>
      </c>
      <c r="S599" s="18">
        <f t="shared" si="149"/>
        <v>0.999999999999998</v>
      </c>
      <c r="T599" s="15"/>
      <c r="U599" s="15"/>
      <c r="V599" s="40">
        <f t="shared" si="150"/>
        <v>4.26</v>
      </c>
      <c r="W599" s="41">
        <f t="shared" si="139"/>
        <v>24.259999999999998</v>
      </c>
      <c r="X599">
        <f t="shared" si="151"/>
        <v>2.3120093526364995E-2</v>
      </c>
      <c r="Y599">
        <f t="shared" si="152"/>
        <v>1.7345634599891964</v>
      </c>
      <c r="Z599" s="33">
        <f t="shared" si="140"/>
        <v>8.0903412412733119E-2</v>
      </c>
      <c r="AA599" s="33">
        <f t="shared" si="141"/>
        <v>0.5</v>
      </c>
      <c r="AB599">
        <f t="shared" si="142"/>
        <v>-1.2926410124312865E-2</v>
      </c>
      <c r="AC599" s="1">
        <f t="shared" si="143"/>
        <v>-5.7550143769124484E-2</v>
      </c>
      <c r="AD599" s="35">
        <f>IF(W599&gt;=FinalAgeForPremium, AE599*Delta-Z599*(Y599-AE599),AE599*Delta+PremiumRevisedForLimitedTerm-Z599*(Y599-AE599))</f>
        <v>2.1660761052451627E-3</v>
      </c>
      <c r="AE599" s="35">
        <f>AE598-StepSize*AD598</f>
        <v>3.1667238570464051E-2</v>
      </c>
      <c r="AF599" s="1"/>
    </row>
    <row r="600" spans="11:32" x14ac:dyDescent="0.45">
      <c r="K600" s="40">
        <f t="shared" si="144"/>
        <v>5.75</v>
      </c>
      <c r="L600" s="41">
        <f t="shared" si="136"/>
        <v>25.75</v>
      </c>
      <c r="M600">
        <f t="shared" si="145"/>
        <v>0.86544897434783308</v>
      </c>
      <c r="N600">
        <f t="shared" si="146"/>
        <v>0.13455102565216492</v>
      </c>
      <c r="O600">
        <f t="shared" si="137"/>
        <v>9.1988242613341042E-2</v>
      </c>
      <c r="P600">
        <f t="shared" si="138"/>
        <v>0.5</v>
      </c>
      <c r="Q600">
        <f t="shared" si="147"/>
        <v>-1.233561739569318E-2</v>
      </c>
      <c r="R600" s="6">
        <f t="shared" si="148"/>
        <v>1.233561739569318E-2</v>
      </c>
      <c r="S600" s="18">
        <f t="shared" si="149"/>
        <v>0.999999999999998</v>
      </c>
      <c r="T600" s="15"/>
      <c r="U600" s="15"/>
      <c r="V600" s="40">
        <f t="shared" si="150"/>
        <v>4.25</v>
      </c>
      <c r="W600" s="41">
        <f t="shared" si="139"/>
        <v>24.25</v>
      </c>
      <c r="X600">
        <f t="shared" si="151"/>
        <v>2.3249357627608123E-2</v>
      </c>
      <c r="Y600">
        <f t="shared" si="152"/>
        <v>1.7351389614268875</v>
      </c>
      <c r="Z600" s="33">
        <f t="shared" si="140"/>
        <v>8.0833721748952744E-2</v>
      </c>
      <c r="AA600" s="33">
        <f t="shared" si="141"/>
        <v>0.5</v>
      </c>
      <c r="AB600">
        <f t="shared" si="142"/>
        <v>-1.2836746319707854E-2</v>
      </c>
      <c r="AC600" s="1">
        <f t="shared" si="143"/>
        <v>-5.7298250029015896E-2</v>
      </c>
      <c r="AD600" s="35">
        <f>IF(W600&gt;=FinalAgeForPremium, AE600*Delta-Z600*(Y600-AE600),AE600*Delta+PremiumRevisedForLimitedTerm-Z600*(Y600-AE600))</f>
        <v>2.235398192200061E-3</v>
      </c>
      <c r="AE600" s="35">
        <f>AE599-StepSize*AD599</f>
        <v>3.1645577809411601E-2</v>
      </c>
      <c r="AF600" s="1"/>
    </row>
    <row r="601" spans="11:32" x14ac:dyDescent="0.45">
      <c r="K601" s="40">
        <f t="shared" si="144"/>
        <v>5.76</v>
      </c>
      <c r="L601" s="41">
        <f t="shared" ref="L601:L664" si="153">$L$5+K601</f>
        <v>25.759999999999998</v>
      </c>
      <c r="M601">
        <f t="shared" si="145"/>
        <v>0.8653256181738761</v>
      </c>
      <c r="N601">
        <f t="shared" si="146"/>
        <v>0.13467438182612185</v>
      </c>
      <c r="O601">
        <f t="shared" ref="O601:O664" si="154">mu01Parameter_B*mu01Parameter_c^L601</f>
        <v>9.2067550129424788E-2</v>
      </c>
      <c r="P601">
        <f t="shared" ref="P601:P664" si="155">mu10Constant</f>
        <v>0.5</v>
      </c>
      <c r="Q601">
        <f t="shared" si="147"/>
        <v>-1.2331218816437908E-2</v>
      </c>
      <c r="R601" s="6">
        <f t="shared" si="148"/>
        <v>1.2331218816437908E-2</v>
      </c>
      <c r="S601" s="18">
        <f t="shared" si="149"/>
        <v>0.999999999999998</v>
      </c>
      <c r="T601" s="15"/>
      <c r="U601" s="15"/>
      <c r="V601" s="40">
        <f t="shared" si="150"/>
        <v>4.24</v>
      </c>
      <c r="W601" s="41">
        <f t="shared" ref="W601:W664" si="156">$L$5+V601</f>
        <v>24.240000000000002</v>
      </c>
      <c r="X601">
        <f t="shared" si="151"/>
        <v>2.3377725090805202E-2</v>
      </c>
      <c r="Y601">
        <f t="shared" si="152"/>
        <v>1.7357119439271778</v>
      </c>
      <c r="Z601" s="33">
        <f t="shared" ref="Z601:Z664" si="157">mu01Parameter_B*mu01Parameter_c^W601</f>
        <v>8.0764091117110123E-2</v>
      </c>
      <c r="AA601" s="33">
        <f t="shared" ref="AA601:AA664" si="158">mu10Constant</f>
        <v>0.5</v>
      </c>
      <c r="AB601">
        <f t="shared" ref="AB601:AB664" si="159">X601*Delta+Premium-Z601*(Y601-X601)</f>
        <v>-1.2747036921158444E-2</v>
      </c>
      <c r="AC601" s="1">
        <f t="shared" ref="AC601:AC664" si="160">Y601*Delta-AnnuityWhileSIck-AA601*(X601-Y601)</f>
        <v>-5.7047293385454778E-2</v>
      </c>
      <c r="AD601" s="35">
        <f>IF(W601&gt;=FinalAgeForPremium, AE601*Delta-Z601*(Y601-AE601),AE601*Delta+PremiumRevisedForLimitedTerm-Z601*(Y601-AE601))</f>
        <v>2.3048140038502418E-3</v>
      </c>
      <c r="AE601" s="35">
        <f>AE600-StepSize*AD600</f>
        <v>3.1623223827489604E-2</v>
      </c>
      <c r="AF601" s="1"/>
    </row>
    <row r="602" spans="11:32" x14ac:dyDescent="0.45">
      <c r="K602" s="40">
        <f t="shared" ref="K602:K665" si="161">ROUND(K601+StepSize,2)</f>
        <v>5.77</v>
      </c>
      <c r="L602" s="41">
        <f t="shared" si="153"/>
        <v>25.77</v>
      </c>
      <c r="M602">
        <f t="shared" ref="M602:M665" si="162">M601+StepSize*Q601</f>
        <v>0.86520230598571168</v>
      </c>
      <c r="N602">
        <f t="shared" ref="N602:N665" si="163">N601+StepSize*R601</f>
        <v>0.13479769401428623</v>
      </c>
      <c r="O602">
        <f t="shared" si="154"/>
        <v>9.2146926020356582E-2</v>
      </c>
      <c r="P602">
        <f t="shared" si="155"/>
        <v>0.5</v>
      </c>
      <c r="Q602">
        <f t="shared" ref="Q602:Q665" si="164">N602*P602-M602*O602</f>
        <v>-1.2326885875164173E-2</v>
      </c>
      <c r="R602" s="6">
        <f t="shared" ref="R602:R665" si="165">M602*O602-N602*P602</f>
        <v>1.2326885875164173E-2</v>
      </c>
      <c r="S602" s="18">
        <f t="shared" ref="S602:S665" si="166">M602+N602</f>
        <v>0.99999999999999789</v>
      </c>
      <c r="T602" s="15"/>
      <c r="U602" s="15"/>
      <c r="V602" s="40">
        <f t="shared" ref="V602:V665" si="167">ROUND(V601-StepSize,2)</f>
        <v>4.2300000000000004</v>
      </c>
      <c r="W602" s="41">
        <f t="shared" si="156"/>
        <v>24.23</v>
      </c>
      <c r="X602">
        <f t="shared" ref="X602:X665" si="168">X601-StepSize*AB601</f>
        <v>2.3505195460016788E-2</v>
      </c>
      <c r="Y602">
        <f t="shared" ref="Y602:Y665" si="169">Y601-StepSize*AC601</f>
        <v>1.7362824168610322</v>
      </c>
      <c r="Z602" s="33">
        <f t="shared" si="157"/>
        <v>8.0694520465493358E-2</v>
      </c>
      <c r="AA602" s="33">
        <f t="shared" si="158"/>
        <v>0.5</v>
      </c>
      <c r="AB602">
        <f t="shared" si="159"/>
        <v>-1.2657283074826609E-2</v>
      </c>
      <c r="AC602" s="1">
        <f t="shared" si="160"/>
        <v>-5.6797268456440619E-2</v>
      </c>
      <c r="AD602" s="35">
        <f>IF(W602&gt;=FinalAgeForPremium, AE602*Delta-Z602*(Y602-AE602),AE602*Delta+PremiumRevisedForLimitedTerm-Z602*(Y602-AE602))</f>
        <v>2.3743222610744796E-3</v>
      </c>
      <c r="AE602" s="35">
        <f>AE601-StepSize*AD601</f>
        <v>3.1600175687451104E-2</v>
      </c>
      <c r="AF602" s="1"/>
    </row>
    <row r="603" spans="11:32" x14ac:dyDescent="0.45">
      <c r="K603" s="40">
        <f t="shared" si="161"/>
        <v>5.78</v>
      </c>
      <c r="L603" s="41">
        <f t="shared" si="153"/>
        <v>25.78</v>
      </c>
      <c r="M603">
        <f t="shared" si="162"/>
        <v>0.86507903712695999</v>
      </c>
      <c r="N603">
        <f t="shared" si="163"/>
        <v>0.13492096287303787</v>
      </c>
      <c r="O603">
        <f t="shared" si="154"/>
        <v>9.2226370345085601E-2</v>
      </c>
      <c r="P603">
        <f t="shared" si="155"/>
        <v>0.5</v>
      </c>
      <c r="Q603">
        <f t="shared" si="164"/>
        <v>-1.2322618219322137E-2</v>
      </c>
      <c r="R603" s="6">
        <f t="shared" si="165"/>
        <v>1.2322618219322137E-2</v>
      </c>
      <c r="S603" s="18">
        <f t="shared" si="166"/>
        <v>0.99999999999999789</v>
      </c>
      <c r="T603" s="15"/>
      <c r="U603" s="15"/>
      <c r="V603" s="40">
        <f t="shared" si="167"/>
        <v>4.22</v>
      </c>
      <c r="W603" s="41">
        <f t="shared" si="156"/>
        <v>24.22</v>
      </c>
      <c r="X603">
        <f t="shared" si="168"/>
        <v>2.3631768290765055E-2</v>
      </c>
      <c r="Y603">
        <f t="shared" si="169"/>
        <v>1.7368503895455967</v>
      </c>
      <c r="Z603" s="33">
        <f t="shared" si="157"/>
        <v>8.0625009742435236E-2</v>
      </c>
      <c r="AA603" s="33">
        <f t="shared" si="158"/>
        <v>0.5</v>
      </c>
      <c r="AB603">
        <f t="shared" si="159"/>
        <v>-1.2567485917706345E-2</v>
      </c>
      <c r="AC603" s="1">
        <f t="shared" si="160"/>
        <v>-5.6548169895304312E-2</v>
      </c>
      <c r="AD603" s="35">
        <f>IF(W603&gt;=FinalAgeForPremium, AE603*Delta-Z603*(Y603-AE603),AE603*Delta+PremiumRevisedForLimitedTerm-Z603*(Y603-AE603))</f>
        <v>2.4439216943314968E-3</v>
      </c>
      <c r="AE603" s="35">
        <f>AE602-StepSize*AD602</f>
        <v>3.1576432464840362E-2</v>
      </c>
      <c r="AF603" s="1"/>
    </row>
    <row r="604" spans="11:32" x14ac:dyDescent="0.45">
      <c r="K604" s="40">
        <f t="shared" si="161"/>
        <v>5.79</v>
      </c>
      <c r="L604" s="41">
        <f t="shared" si="153"/>
        <v>25.79</v>
      </c>
      <c r="M604">
        <f t="shared" si="162"/>
        <v>0.86495581094476681</v>
      </c>
      <c r="N604">
        <f t="shared" si="163"/>
        <v>0.13504418905523108</v>
      </c>
      <c r="O604">
        <f t="shared" si="154"/>
        <v>9.2305883162611999E-2</v>
      </c>
      <c r="P604">
        <f t="shared" si="155"/>
        <v>0.5</v>
      </c>
      <c r="Q604">
        <f t="shared" si="164"/>
        <v>-1.2318415498274421E-2</v>
      </c>
      <c r="R604" s="6">
        <f t="shared" si="165"/>
        <v>1.2318415498274421E-2</v>
      </c>
      <c r="S604" s="18">
        <f t="shared" si="166"/>
        <v>0.99999999999999789</v>
      </c>
      <c r="T604" s="15"/>
      <c r="U604" s="15"/>
      <c r="V604" s="40">
        <f t="shared" si="167"/>
        <v>4.21</v>
      </c>
      <c r="W604" s="41">
        <f t="shared" si="156"/>
        <v>24.21</v>
      </c>
      <c r="X604">
        <f t="shared" si="168"/>
        <v>2.3757443149942117E-2</v>
      </c>
      <c r="Y604">
        <f t="shared" si="169"/>
        <v>1.7374158712445498</v>
      </c>
      <c r="Z604" s="33">
        <f t="shared" si="157"/>
        <v>8.0555558896312884E-2</v>
      </c>
      <c r="AA604" s="33">
        <f t="shared" si="158"/>
        <v>0.5</v>
      </c>
      <c r="AB604">
        <f t="shared" si="159"/>
        <v>-1.2477646577693347E-2</v>
      </c>
      <c r="AC604" s="1">
        <f t="shared" si="160"/>
        <v>-5.6299992390468678E-2</v>
      </c>
      <c r="AD604" s="35">
        <f>IF(W604&gt;=FinalAgeForPremium, AE604*Delta-Z604*(Y604-AE604),AE604*Delta+PremiumRevisedForLimitedTerm-Z604*(Y604-AE604))</f>
        <v>2.5136110435893533E-3</v>
      </c>
      <c r="AE604" s="35">
        <f>AE603-StepSize*AD603</f>
        <v>3.1551993247897051E-2</v>
      </c>
      <c r="AF604" s="1"/>
    </row>
    <row r="605" spans="11:32" x14ac:dyDescent="0.45">
      <c r="K605" s="40">
        <f t="shared" si="161"/>
        <v>5.8</v>
      </c>
      <c r="L605" s="41">
        <f t="shared" si="153"/>
        <v>25.8</v>
      </c>
      <c r="M605">
        <f t="shared" si="162"/>
        <v>0.86483262678978412</v>
      </c>
      <c r="N605">
        <f t="shared" si="163"/>
        <v>0.13516737321021383</v>
      </c>
      <c r="O605">
        <f t="shared" si="154"/>
        <v>9.2385464531986747E-2</v>
      </c>
      <c r="P605">
        <f t="shared" si="155"/>
        <v>0.5</v>
      </c>
      <c r="Q605">
        <f t="shared" si="164"/>
        <v>-1.2314277363285622E-2</v>
      </c>
      <c r="R605" s="6">
        <f t="shared" si="165"/>
        <v>1.2314277363285622E-2</v>
      </c>
      <c r="S605" s="18">
        <f t="shared" si="166"/>
        <v>0.999999999999998</v>
      </c>
      <c r="T605" s="15"/>
      <c r="U605" s="15"/>
      <c r="V605" s="40">
        <f t="shared" si="167"/>
        <v>4.2</v>
      </c>
      <c r="W605" s="41">
        <f t="shared" si="156"/>
        <v>24.2</v>
      </c>
      <c r="X605">
        <f t="shared" si="168"/>
        <v>2.3882219615719052E-2</v>
      </c>
      <c r="Y605">
        <f t="shared" si="169"/>
        <v>1.7379788711684545</v>
      </c>
      <c r="Z605" s="33">
        <f t="shared" si="157"/>
        <v>8.0486167875547937E-2</v>
      </c>
      <c r="AA605" s="33">
        <f t="shared" si="158"/>
        <v>0.5</v>
      </c>
      <c r="AB605">
        <f t="shared" si="159"/>
        <v>-1.2387766173654419E-2</v>
      </c>
      <c r="AC605" s="1">
        <f t="shared" si="160"/>
        <v>-5.6052730665209549E-2</v>
      </c>
      <c r="AD605" s="35">
        <f>IF(W605&gt;=FinalAgeForPremium, AE605*Delta-Z605*(Y605-AE605),AE605*Delta+PremiumRevisedForLimitedTerm-Z605*(Y605-AE605))</f>
        <v>2.5833890582541708E-3</v>
      </c>
      <c r="AE605" s="35">
        <f>AE604-StepSize*AD604</f>
        <v>3.1526857137461159E-2</v>
      </c>
      <c r="AF605" s="1"/>
    </row>
    <row r="606" spans="11:32" x14ac:dyDescent="0.45">
      <c r="K606" s="40">
        <f t="shared" si="161"/>
        <v>5.81</v>
      </c>
      <c r="L606" s="41">
        <f t="shared" si="153"/>
        <v>25.81</v>
      </c>
      <c r="M606">
        <f t="shared" si="162"/>
        <v>0.86470948401615122</v>
      </c>
      <c r="N606">
        <f t="shared" si="163"/>
        <v>0.13529051598384667</v>
      </c>
      <c r="O606">
        <f t="shared" si="154"/>
        <v>9.2465114512311639E-2</v>
      </c>
      <c r="P606">
        <f t="shared" si="155"/>
        <v>0.5</v>
      </c>
      <c r="Q606">
        <f t="shared" si="164"/>
        <v>-1.2310203467511993E-2</v>
      </c>
      <c r="R606" s="6">
        <f t="shared" si="165"/>
        <v>1.2310203467511993E-2</v>
      </c>
      <c r="S606" s="18">
        <f t="shared" si="166"/>
        <v>0.99999999999999789</v>
      </c>
      <c r="T606" s="15"/>
      <c r="U606" s="15"/>
      <c r="V606" s="40">
        <f t="shared" si="167"/>
        <v>4.1900000000000004</v>
      </c>
      <c r="W606" s="41">
        <f t="shared" si="156"/>
        <v>24.19</v>
      </c>
      <c r="X606">
        <f t="shared" si="168"/>
        <v>2.4006097277455597E-2</v>
      </c>
      <c r="Y606">
        <f t="shared" si="169"/>
        <v>1.7385393984751065</v>
      </c>
      <c r="Z606" s="33">
        <f t="shared" si="157"/>
        <v>8.0416836628606575E-2</v>
      </c>
      <c r="AA606" s="33">
        <f t="shared" si="158"/>
        <v>0.5</v>
      </c>
      <c r="AB606">
        <f t="shared" si="159"/>
        <v>-1.2297845815496561E-2</v>
      </c>
      <c r="AC606" s="1">
        <f t="shared" si="160"/>
        <v>-5.5806379477419177E-2</v>
      </c>
      <c r="AD606" s="35">
        <f>IF(W606&gt;=FinalAgeForPremium, AE606*Delta-Z606*(Y606-AE606),AE606*Delta+PremiumRevisedForLimitedTerm-Z606*(Y606-AE606))</f>
        <v>2.6532544971000771E-3</v>
      </c>
      <c r="AE606" s="35">
        <f>AE605-StepSize*AD605</f>
        <v>3.1501023246878618E-2</v>
      </c>
      <c r="AF606" s="1"/>
    </row>
    <row r="607" spans="11:32" x14ac:dyDescent="0.45">
      <c r="K607" s="40">
        <f t="shared" si="161"/>
        <v>5.82</v>
      </c>
      <c r="L607" s="41">
        <f t="shared" si="153"/>
        <v>25.82</v>
      </c>
      <c r="M607">
        <f t="shared" si="162"/>
        <v>0.86458638198147608</v>
      </c>
      <c r="N607">
        <f t="shared" si="163"/>
        <v>0.13541361801852178</v>
      </c>
      <c r="O607">
        <f t="shared" si="154"/>
        <v>9.2544833162739551E-2</v>
      </c>
      <c r="P607">
        <f t="shared" si="155"/>
        <v>0.5</v>
      </c>
      <c r="Q607">
        <f t="shared" si="164"/>
        <v>-1.2306193465991419E-2</v>
      </c>
      <c r="R607" s="6">
        <f t="shared" si="165"/>
        <v>1.2306193465991419E-2</v>
      </c>
      <c r="S607" s="18">
        <f t="shared" si="166"/>
        <v>0.99999999999999789</v>
      </c>
      <c r="T607" s="15"/>
      <c r="U607" s="15"/>
      <c r="V607" s="40">
        <f t="shared" si="167"/>
        <v>4.18</v>
      </c>
      <c r="W607" s="41">
        <f t="shared" si="156"/>
        <v>24.18</v>
      </c>
      <c r="X607">
        <f t="shared" si="168"/>
        <v>2.4129075735610562E-2</v>
      </c>
      <c r="Y607">
        <f t="shared" si="169"/>
        <v>1.7390974622698807</v>
      </c>
      <c r="Z607" s="33">
        <f t="shared" si="157"/>
        <v>8.0347565103999263E-2</v>
      </c>
      <c r="AA607" s="33">
        <f t="shared" si="158"/>
        <v>0.5</v>
      </c>
      <c r="AB607">
        <f t="shared" si="159"/>
        <v>-1.2207886604234636E-2</v>
      </c>
      <c r="AC607" s="1">
        <f t="shared" si="160"/>
        <v>-5.5560933619370867E-2</v>
      </c>
      <c r="AD607" s="35">
        <f>IF(W607&gt;=FinalAgeForPremium, AE607*Delta-Z607*(Y607-AE607),AE607*Delta+PremiumRevisedForLimitedTerm-Z607*(Y607-AE607))</f>
        <v>2.7232061281995124E-3</v>
      </c>
      <c r="AE607" s="35">
        <f>AE606-StepSize*AD606</f>
        <v>3.1474490701907616E-2</v>
      </c>
      <c r="AF607" s="1"/>
    </row>
    <row r="608" spans="11:32" x14ac:dyDescent="0.45">
      <c r="K608" s="40">
        <f t="shared" si="161"/>
        <v>5.83</v>
      </c>
      <c r="L608" s="41">
        <f t="shared" si="153"/>
        <v>25.83</v>
      </c>
      <c r="M608">
        <f t="shared" si="162"/>
        <v>0.86446332004681614</v>
      </c>
      <c r="N608">
        <f t="shared" si="163"/>
        <v>0.13553667995318169</v>
      </c>
      <c r="O608">
        <f t="shared" si="154"/>
        <v>9.2624620542474292E-2</v>
      </c>
      <c r="P608">
        <f t="shared" si="155"/>
        <v>0.5</v>
      </c>
      <c r="Q608">
        <f t="shared" si="164"/>
        <v>-1.2302247015633011E-2</v>
      </c>
      <c r="R608" s="6">
        <f t="shared" si="165"/>
        <v>1.2302247015633011E-2</v>
      </c>
      <c r="S608" s="18">
        <f t="shared" si="166"/>
        <v>0.99999999999999778</v>
      </c>
      <c r="T608" s="15"/>
      <c r="U608" s="15"/>
      <c r="V608" s="40">
        <f t="shared" si="167"/>
        <v>4.17</v>
      </c>
      <c r="W608" s="41">
        <f t="shared" si="156"/>
        <v>24.17</v>
      </c>
      <c r="X608">
        <f t="shared" si="168"/>
        <v>2.4251154601652909E-2</v>
      </c>
      <c r="Y608">
        <f t="shared" si="169"/>
        <v>1.7396530716060745</v>
      </c>
      <c r="Z608" s="33">
        <f t="shared" si="157"/>
        <v>8.0278353250280793E-2</v>
      </c>
      <c r="AA608" s="33">
        <f t="shared" si="158"/>
        <v>0.5</v>
      </c>
      <c r="AB608">
        <f t="shared" si="159"/>
        <v>-1.2117889632059509E-2</v>
      </c>
      <c r="AC608" s="1">
        <f t="shared" si="160"/>
        <v>-5.5316387917485388E-2</v>
      </c>
      <c r="AD608" s="35">
        <f>IF(W608&gt;=FinalAgeForPremium, AE608*Delta-Z608*(Y608-AE608),AE608*Delta+PremiumRevisedForLimitedTerm-Z608*(Y608-AE608))</f>
        <v>2.7932427288544226E-3</v>
      </c>
      <c r="AE608" s="35">
        <f>AE607-StepSize*AD607</f>
        <v>3.1447258640625621E-2</v>
      </c>
      <c r="AF608" s="1"/>
    </row>
    <row r="609" spans="11:32" x14ac:dyDescent="0.45">
      <c r="K609" s="40">
        <f t="shared" si="161"/>
        <v>5.84</v>
      </c>
      <c r="L609" s="41">
        <f t="shared" si="153"/>
        <v>25.84</v>
      </c>
      <c r="M609">
        <f t="shared" si="162"/>
        <v>0.86434029757665987</v>
      </c>
      <c r="N609">
        <f t="shared" si="163"/>
        <v>0.13565970242333802</v>
      </c>
      <c r="O609">
        <f t="shared" si="154"/>
        <v>9.2704476710770756E-2</v>
      </c>
      <c r="P609">
        <f t="shared" si="155"/>
        <v>0.5</v>
      </c>
      <c r="Q609">
        <f t="shared" si="164"/>
        <v>-1.2298363775207113E-2</v>
      </c>
      <c r="R609" s="6">
        <f t="shared" si="165"/>
        <v>1.2298363775207113E-2</v>
      </c>
      <c r="S609" s="18">
        <f t="shared" si="166"/>
        <v>0.99999999999999789</v>
      </c>
      <c r="T609" s="15"/>
      <c r="U609" s="15"/>
      <c r="V609" s="40">
        <f t="shared" si="167"/>
        <v>4.16</v>
      </c>
      <c r="W609" s="41">
        <f t="shared" si="156"/>
        <v>24.16</v>
      </c>
      <c r="X609">
        <f t="shared" si="168"/>
        <v>2.4372333497973502E-2</v>
      </c>
      <c r="Y609">
        <f t="shared" si="169"/>
        <v>1.7402062354852494</v>
      </c>
      <c r="Z609" s="33">
        <f t="shared" si="157"/>
        <v>8.0209201016050322E-2</v>
      </c>
      <c r="AA609" s="33">
        <f t="shared" si="158"/>
        <v>0.5</v>
      </c>
      <c r="AB609">
        <f t="shared" si="159"/>
        <v>-1.202785598240505E-2</v>
      </c>
      <c r="AC609" s="1">
        <f t="shared" si="160"/>
        <v>-5.50727372320996E-2</v>
      </c>
      <c r="AD609" s="35">
        <f>IF(W609&gt;=FinalAgeForPremium, AE609*Delta-Z609*(Y609-AE609),AE609*Delta+PremiumRevisedForLimitedTerm-Z609*(Y609-AE609))</f>
        <v>2.8633630855272318E-3</v>
      </c>
      <c r="AE609" s="35">
        <f>AE608-StepSize*AD608</f>
        <v>3.1419326213337075E-2</v>
      </c>
      <c r="AF609" s="1"/>
    </row>
    <row r="610" spans="11:32" x14ac:dyDescent="0.45">
      <c r="K610" s="40">
        <f t="shared" si="161"/>
        <v>5.85</v>
      </c>
      <c r="L610" s="41">
        <f t="shared" si="153"/>
        <v>25.85</v>
      </c>
      <c r="M610">
        <f t="shared" si="162"/>
        <v>0.86421731393890777</v>
      </c>
      <c r="N610">
        <f t="shared" si="163"/>
        <v>0.13578268606109009</v>
      </c>
      <c r="O610">
        <f t="shared" si="154"/>
        <v>9.2784401726934806E-2</v>
      </c>
      <c r="P610">
        <f t="shared" si="155"/>
        <v>0.5</v>
      </c>
      <c r="Q610">
        <f t="shared" si="164"/>
        <v>-1.2294543405335104E-2</v>
      </c>
      <c r="R610" s="6">
        <f t="shared" si="165"/>
        <v>1.2294543405335104E-2</v>
      </c>
      <c r="S610" s="18">
        <f t="shared" si="166"/>
        <v>0.99999999999999789</v>
      </c>
      <c r="T610" s="15"/>
      <c r="U610" s="15"/>
      <c r="V610" s="40">
        <f t="shared" si="167"/>
        <v>4.1500000000000004</v>
      </c>
      <c r="W610" s="41">
        <f t="shared" si="156"/>
        <v>24.15</v>
      </c>
      <c r="X610">
        <f t="shared" si="168"/>
        <v>2.4492612057797552E-2</v>
      </c>
      <c r="Y610">
        <f t="shared" si="169"/>
        <v>1.7407569628575705</v>
      </c>
      <c r="Z610" s="33">
        <f t="shared" si="157"/>
        <v>8.0140108349951319E-2</v>
      </c>
      <c r="AA610" s="33">
        <f t="shared" si="158"/>
        <v>0.5</v>
      </c>
      <c r="AB610">
        <f t="shared" si="159"/>
        <v>-1.1937786730015137E-2</v>
      </c>
      <c r="AC610" s="1">
        <f t="shared" si="160"/>
        <v>-5.4829976457234975E-2</v>
      </c>
      <c r="AD610" s="35">
        <f>IF(W610&gt;=FinalAgeForPremium, AE610*Delta-Z610*(Y610-AE610),AE610*Delta+PremiumRevisedForLimitedTerm-Z610*(Y610-AE610))</f>
        <v>2.9335659937728686E-3</v>
      </c>
      <c r="AE610" s="35">
        <f>AE609-StepSize*AD609</f>
        <v>3.1390692582481804E-2</v>
      </c>
      <c r="AF610" s="1"/>
    </row>
    <row r="611" spans="11:32" x14ac:dyDescent="0.45">
      <c r="K611" s="40">
        <f t="shared" si="161"/>
        <v>5.86</v>
      </c>
      <c r="L611" s="41">
        <f t="shared" si="153"/>
        <v>25.86</v>
      </c>
      <c r="M611">
        <f t="shared" si="162"/>
        <v>0.86409436850485444</v>
      </c>
      <c r="N611">
        <f t="shared" si="163"/>
        <v>0.13590563149514345</v>
      </c>
      <c r="O611">
        <f t="shared" si="154"/>
        <v>9.2864395650323589E-2</v>
      </c>
      <c r="P611">
        <f t="shared" si="155"/>
        <v>0.5</v>
      </c>
      <c r="Q611">
        <f t="shared" si="164"/>
        <v>-1.2290785568479581E-2</v>
      </c>
      <c r="R611" s="6">
        <f t="shared" si="165"/>
        <v>1.2290785568479581E-2</v>
      </c>
      <c r="S611" s="18">
        <f t="shared" si="166"/>
        <v>0.99999999999999789</v>
      </c>
      <c r="T611" s="15"/>
      <c r="U611" s="15"/>
      <c r="V611" s="40">
        <f t="shared" si="167"/>
        <v>4.1399999999999997</v>
      </c>
      <c r="W611" s="41">
        <f t="shared" si="156"/>
        <v>24.14</v>
      </c>
      <c r="X611">
        <f t="shared" si="168"/>
        <v>2.4611989925097704E-2</v>
      </c>
      <c r="Y611">
        <f t="shared" si="169"/>
        <v>1.7413052626221428</v>
      </c>
      <c r="Z611" s="33">
        <f t="shared" si="157"/>
        <v>8.0071075200671443E-2</v>
      </c>
      <c r="AA611" s="33">
        <f t="shared" si="158"/>
        <v>0.5</v>
      </c>
      <c r="AB611">
        <f t="shared" si="159"/>
        <v>-1.1847682941009324E-2</v>
      </c>
      <c r="AC611" s="1">
        <f t="shared" si="160"/>
        <v>-5.458810052037022E-2</v>
      </c>
      <c r="AD611" s="35">
        <f>IF(W611&gt;=FinalAgeForPremium, AE611*Delta-Z611*(Y611-AE611),AE611*Delta+PremiumRevisedForLimitedTerm-Z611*(Y611-AE611))</f>
        <v>3.0038502581713478E-3</v>
      </c>
      <c r="AE611" s="35">
        <f>AE610-StepSize*AD610</f>
        <v>3.1361356922544076E-2</v>
      </c>
      <c r="AF611" s="1"/>
    </row>
    <row r="612" spans="11:32" x14ac:dyDescent="0.45">
      <c r="K612" s="40">
        <f t="shared" si="161"/>
        <v>5.87</v>
      </c>
      <c r="L612" s="41">
        <f t="shared" si="153"/>
        <v>25.87</v>
      </c>
      <c r="M612">
        <f t="shared" si="162"/>
        <v>0.86397146064916963</v>
      </c>
      <c r="N612">
        <f t="shared" si="163"/>
        <v>0.13602853935082826</v>
      </c>
      <c r="O612">
        <f t="shared" si="154"/>
        <v>9.2944458540345373E-2</v>
      </c>
      <c r="P612">
        <f t="shared" si="155"/>
        <v>0.5</v>
      </c>
      <c r="Q612">
        <f t="shared" si="164"/>
        <v>-1.228708992893425E-2</v>
      </c>
      <c r="R612" s="6">
        <f t="shared" si="165"/>
        <v>1.228708992893425E-2</v>
      </c>
      <c r="S612" s="18">
        <f t="shared" si="166"/>
        <v>0.99999999999999789</v>
      </c>
      <c r="T612" s="15"/>
      <c r="U612" s="15"/>
      <c r="V612" s="40">
        <f t="shared" si="167"/>
        <v>4.13</v>
      </c>
      <c r="W612" s="41">
        <f t="shared" si="156"/>
        <v>24.13</v>
      </c>
      <c r="X612">
        <f t="shared" si="168"/>
        <v>2.4730466754507796E-2</v>
      </c>
      <c r="Y612">
        <f t="shared" si="169"/>
        <v>1.7418511436273465</v>
      </c>
      <c r="Z612" s="33">
        <f t="shared" si="157"/>
        <v>8.0002101516942523E-2</v>
      </c>
      <c r="AA612" s="33">
        <f t="shared" si="158"/>
        <v>0.5</v>
      </c>
      <c r="AB612">
        <f t="shared" si="159"/>
        <v>-1.1757545672948844E-2</v>
      </c>
      <c r="AC612" s="1">
        <f t="shared" si="160"/>
        <v>-5.4347104382213351E-2</v>
      </c>
      <c r="AD612" s="35">
        <f>IF(W612&gt;=FinalAgeForPremium, AE612*Delta-Z612*(Y612-AE612),AE612*Delta+PremiumRevisedForLimitedTerm-Z612*(Y612-AE612))</f>
        <v>3.0742146922607405E-3</v>
      </c>
      <c r="AE612" s="35">
        <f>AE611-StepSize*AD611</f>
        <v>3.133131841996236E-2</v>
      </c>
      <c r="AF612" s="1"/>
    </row>
    <row r="613" spans="11:32" x14ac:dyDescent="0.45">
      <c r="K613" s="40">
        <f t="shared" si="161"/>
        <v>5.88</v>
      </c>
      <c r="L613" s="41">
        <f t="shared" si="153"/>
        <v>25.88</v>
      </c>
      <c r="M613">
        <f t="shared" si="162"/>
        <v>0.86384858974988032</v>
      </c>
      <c r="N613">
        <f t="shared" si="163"/>
        <v>0.13615141025011759</v>
      </c>
      <c r="O613">
        <f t="shared" si="154"/>
        <v>9.3024590456459499E-2</v>
      </c>
      <c r="P613">
        <f t="shared" si="155"/>
        <v>0.5</v>
      </c>
      <c r="Q613">
        <f t="shared" si="164"/>
        <v>-1.2283456152813912E-2</v>
      </c>
      <c r="R613" s="6">
        <f t="shared" si="165"/>
        <v>1.2283456152813912E-2</v>
      </c>
      <c r="S613" s="18">
        <f t="shared" si="166"/>
        <v>0.99999999999999789</v>
      </c>
      <c r="T613" s="15"/>
      <c r="U613" s="15"/>
      <c r="V613" s="40">
        <f t="shared" si="167"/>
        <v>4.12</v>
      </c>
      <c r="W613" s="41">
        <f t="shared" si="156"/>
        <v>24.12</v>
      </c>
      <c r="X613">
        <f t="shared" si="168"/>
        <v>2.4848042211237285E-2</v>
      </c>
      <c r="Y613">
        <f t="shared" si="169"/>
        <v>1.7423946146711686</v>
      </c>
      <c r="Z613" s="33">
        <f t="shared" si="157"/>
        <v>7.9933187247540713E-2</v>
      </c>
      <c r="AA613" s="33">
        <f t="shared" si="158"/>
        <v>0.5</v>
      </c>
      <c r="AB613">
        <f t="shared" si="159"/>
        <v>-1.1667375974901917E-2</v>
      </c>
      <c r="AC613" s="1">
        <f t="shared" si="160"/>
        <v>-5.4106983036475875E-2</v>
      </c>
      <c r="AD613" s="35">
        <f>IF(W613&gt;=FinalAgeForPremium, AE613*Delta-Z613*(Y613-AE613),AE613*Delta+PremiumRevisedForLimitedTerm-Z613*(Y613-AE613))</f>
        <v>3.144658118470256E-3</v>
      </c>
      <c r="AE613" s="35">
        <f>AE612-StepSize*AD612</f>
        <v>3.1300576273039754E-2</v>
      </c>
      <c r="AF613" s="1"/>
    </row>
    <row r="614" spans="11:32" x14ac:dyDescent="0.45">
      <c r="K614" s="40">
        <f t="shared" si="161"/>
        <v>5.89</v>
      </c>
      <c r="L614" s="41">
        <f t="shared" si="153"/>
        <v>25.89</v>
      </c>
      <c r="M614">
        <f t="shared" si="162"/>
        <v>0.86372575518835215</v>
      </c>
      <c r="N614">
        <f t="shared" si="163"/>
        <v>0.13627424481164574</v>
      </c>
      <c r="O614">
        <f t="shared" si="154"/>
        <v>9.3104791458176892E-2</v>
      </c>
      <c r="P614">
        <f t="shared" si="155"/>
        <v>0.5</v>
      </c>
      <c r="Q614">
        <f t="shared" si="164"/>
        <v>-1.2279883908045006E-2</v>
      </c>
      <c r="R614" s="6">
        <f t="shared" si="165"/>
        <v>1.2279883908045006E-2</v>
      </c>
      <c r="S614" s="18">
        <f t="shared" si="166"/>
        <v>0.99999999999999789</v>
      </c>
      <c r="T614" s="15"/>
      <c r="U614" s="15"/>
      <c r="V614" s="40">
        <f t="shared" si="167"/>
        <v>4.1100000000000003</v>
      </c>
      <c r="W614" s="41">
        <f t="shared" si="156"/>
        <v>24.11</v>
      </c>
      <c r="X614">
        <f t="shared" si="168"/>
        <v>2.4964715970986304E-2</v>
      </c>
      <c r="Y614">
        <f t="shared" si="169"/>
        <v>1.7429356845015334</v>
      </c>
      <c r="Z614" s="33">
        <f t="shared" si="157"/>
        <v>7.9864332341285996E-2</v>
      </c>
      <c r="AA614" s="33">
        <f t="shared" si="158"/>
        <v>0.5</v>
      </c>
      <c r="AB614">
        <f t="shared" si="159"/>
        <v>-1.1577174887507619E-2</v>
      </c>
      <c r="AC614" s="1">
        <f t="shared" si="160"/>
        <v>-5.3867731509649741E-2</v>
      </c>
      <c r="AD614" s="35">
        <f>IF(W614&gt;=FinalAgeForPremium, AE614*Delta-Z614*(Y614-AE614),AE614*Delta+PremiumRevisedForLimitedTerm-Z614*(Y614-AE614))</f>
        <v>3.2151793680551266E-3</v>
      </c>
      <c r="AE614" s="35">
        <f>AE613-StepSize*AD613</f>
        <v>3.1269129691855052E-2</v>
      </c>
      <c r="AF614" s="1"/>
    </row>
    <row r="615" spans="11:32" x14ac:dyDescent="0.45">
      <c r="K615" s="40">
        <f t="shared" si="161"/>
        <v>5.9</v>
      </c>
      <c r="L615" s="41">
        <f t="shared" si="153"/>
        <v>25.9</v>
      </c>
      <c r="M615">
        <f t="shared" si="162"/>
        <v>0.86360295634927176</v>
      </c>
      <c r="N615">
        <f t="shared" si="163"/>
        <v>0.13639704365072619</v>
      </c>
      <c r="O615">
        <f t="shared" si="154"/>
        <v>9.3185061605059474E-2</v>
      </c>
      <c r="P615">
        <f t="shared" si="155"/>
        <v>0.5</v>
      </c>
      <c r="Q615">
        <f t="shared" si="164"/>
        <v>-1.2276372864355276E-2</v>
      </c>
      <c r="R615" s="6">
        <f t="shared" si="165"/>
        <v>1.2276372864355276E-2</v>
      </c>
      <c r="S615" s="18">
        <f t="shared" si="166"/>
        <v>0.999999999999998</v>
      </c>
      <c r="T615" s="15"/>
      <c r="U615" s="15"/>
      <c r="V615" s="40">
        <f t="shared" si="167"/>
        <v>4.0999999999999996</v>
      </c>
      <c r="W615" s="41">
        <f t="shared" si="156"/>
        <v>24.1</v>
      </c>
      <c r="X615">
        <f t="shared" si="168"/>
        <v>2.5080487719861381E-2</v>
      </c>
      <c r="Y615">
        <f t="shared" si="169"/>
        <v>1.74347436181663</v>
      </c>
      <c r="Z615" s="33">
        <f t="shared" si="157"/>
        <v>7.9795536747042747E-2</v>
      </c>
      <c r="AA615" s="33">
        <f t="shared" si="158"/>
        <v>0.5</v>
      </c>
      <c r="AB615">
        <f t="shared" si="159"/>
        <v>-1.1486943443041103E-2</v>
      </c>
      <c r="AC615" s="1">
        <f t="shared" si="160"/>
        <v>-5.3629344860784189E-2</v>
      </c>
      <c r="AD615" s="35">
        <f>IF(W615&gt;=FinalAgeForPremium, AE615*Delta-Z615*(Y615-AE615),AE615*Delta+PremiumRevisedForLimitedTerm-Z615*(Y615-AE615))</f>
        <v>3.285777281029828E-3</v>
      </c>
      <c r="AE615" s="35">
        <f>AE614-StepSize*AD614</f>
        <v>3.1236977898174499E-2</v>
      </c>
      <c r="AF615" s="1"/>
    </row>
    <row r="616" spans="11:32" x14ac:dyDescent="0.45">
      <c r="K616" s="40">
        <f t="shared" si="161"/>
        <v>5.91</v>
      </c>
      <c r="L616" s="41">
        <f t="shared" si="153"/>
        <v>25.91</v>
      </c>
      <c r="M616">
        <f t="shared" si="162"/>
        <v>0.86348019262062825</v>
      </c>
      <c r="N616">
        <f t="shared" si="163"/>
        <v>0.13651980737936975</v>
      </c>
      <c r="O616">
        <f t="shared" si="154"/>
        <v>9.3265400956720673E-2</v>
      </c>
      <c r="P616">
        <f t="shared" si="155"/>
        <v>0.5</v>
      </c>
      <c r="Q616">
        <f t="shared" si="164"/>
        <v>-1.2272922693264424E-2</v>
      </c>
      <c r="R616" s="6">
        <f t="shared" si="165"/>
        <v>1.2272922693264424E-2</v>
      </c>
      <c r="S616" s="18">
        <f t="shared" si="166"/>
        <v>0.999999999999998</v>
      </c>
      <c r="T616" s="15"/>
      <c r="U616" s="15"/>
      <c r="V616" s="40">
        <f t="shared" si="167"/>
        <v>4.09</v>
      </c>
      <c r="W616" s="41">
        <f t="shared" si="156"/>
        <v>24.09</v>
      </c>
      <c r="X616">
        <f t="shared" si="168"/>
        <v>2.5195357154291793E-2</v>
      </c>
      <c r="Y616">
        <f t="shared" si="169"/>
        <v>1.7440106552652379</v>
      </c>
      <c r="Z616" s="33">
        <f t="shared" si="157"/>
        <v>7.9726800413719212E-2</v>
      </c>
      <c r="AA616" s="33">
        <f t="shared" si="158"/>
        <v>0.5</v>
      </c>
      <c r="AB616">
        <f t="shared" si="159"/>
        <v>-1.1396682665476415E-2</v>
      </c>
      <c r="AC616" s="1">
        <f t="shared" si="160"/>
        <v>-5.3391818181265038E-2</v>
      </c>
      <c r="AD616" s="35">
        <f>IF(W616&gt;=FinalAgeForPremium, AE616*Delta-Z616*(Y616-AE616),AE616*Delta+PremiumRevisedForLimitedTerm-Z616*(Y616-AE616))</f>
        <v>3.3564507061041027E-3</v>
      </c>
      <c r="AE616" s="35">
        <f>AE615-StepSize*AD615</f>
        <v>3.12041201253642E-2</v>
      </c>
      <c r="AF616" s="1"/>
    </row>
    <row r="617" spans="11:32" x14ac:dyDescent="0.45">
      <c r="K617" s="40">
        <f t="shared" si="161"/>
        <v>5.92</v>
      </c>
      <c r="L617" s="41">
        <f t="shared" si="153"/>
        <v>25.92</v>
      </c>
      <c r="M617">
        <f t="shared" si="162"/>
        <v>0.86335746339369557</v>
      </c>
      <c r="N617">
        <f t="shared" si="163"/>
        <v>0.13664253660630241</v>
      </c>
      <c r="O617">
        <f t="shared" si="154"/>
        <v>9.3345809572825303E-2</v>
      </c>
      <c r="P617">
        <f t="shared" si="155"/>
        <v>0.5</v>
      </c>
      <c r="Q617">
        <f t="shared" si="164"/>
        <v>-1.2269533068074198E-2</v>
      </c>
      <c r="R617" s="6">
        <f t="shared" si="165"/>
        <v>1.2269533068074198E-2</v>
      </c>
      <c r="S617" s="18">
        <f t="shared" si="166"/>
        <v>0.999999999999998</v>
      </c>
      <c r="T617" s="15"/>
      <c r="U617" s="15"/>
      <c r="V617" s="40">
        <f t="shared" si="167"/>
        <v>4.08</v>
      </c>
      <c r="W617" s="41">
        <f t="shared" si="156"/>
        <v>24.08</v>
      </c>
      <c r="X617">
        <f t="shared" si="168"/>
        <v>2.5309323980946558E-2</v>
      </c>
      <c r="Y617">
        <f t="shared" si="169"/>
        <v>1.7445445734470506</v>
      </c>
      <c r="Z617" s="33">
        <f t="shared" si="157"/>
        <v>7.9658123290267668E-2</v>
      </c>
      <c r="AA617" s="33">
        <f t="shared" si="158"/>
        <v>0.5</v>
      </c>
      <c r="AB617">
        <f t="shared" si="159"/>
        <v>-1.1306393570549994E-2</v>
      </c>
      <c r="AC617" s="1">
        <f t="shared" si="160"/>
        <v>-5.3155146594595415E-2</v>
      </c>
      <c r="AD617" s="35">
        <f>IF(W617&gt;=FinalAgeForPremium, AE617*Delta-Z617*(Y617-AE617),AE617*Delta+PremiumRevisedForLimitedTerm-Z617*(Y617-AE617))</f>
        <v>3.4271985006180672E-3</v>
      </c>
      <c r="AE617" s="35">
        <f>AE616-StepSize*AD616</f>
        <v>3.1170555618303158E-2</v>
      </c>
      <c r="AF617" s="1"/>
    </row>
    <row r="618" spans="11:32" x14ac:dyDescent="0.45">
      <c r="K618" s="40">
        <f t="shared" si="161"/>
        <v>5.93</v>
      </c>
      <c r="L618" s="41">
        <f t="shared" si="153"/>
        <v>25.93</v>
      </c>
      <c r="M618">
        <f t="shared" si="162"/>
        <v>0.8632347680630148</v>
      </c>
      <c r="N618">
        <f t="shared" si="163"/>
        <v>0.13676523193698314</v>
      </c>
      <c r="O618">
        <f t="shared" si="154"/>
        <v>9.3426287513089526E-2</v>
      </c>
      <c r="P618">
        <f t="shared" si="155"/>
        <v>0.5</v>
      </c>
      <c r="Q618">
        <f t="shared" si="164"/>
        <v>-1.2266203663858805E-2</v>
      </c>
      <c r="R618" s="6">
        <f t="shared" si="165"/>
        <v>1.2266203663858805E-2</v>
      </c>
      <c r="S618" s="18">
        <f t="shared" si="166"/>
        <v>0.999999999999998</v>
      </c>
      <c r="T618" s="15"/>
      <c r="U618" s="15"/>
      <c r="V618" s="40">
        <f t="shared" si="167"/>
        <v>4.07</v>
      </c>
      <c r="W618" s="41">
        <f t="shared" si="156"/>
        <v>24.07</v>
      </c>
      <c r="X618">
        <f t="shared" si="168"/>
        <v>2.5422387916652057E-2</v>
      </c>
      <c r="Y618">
        <f t="shared" si="169"/>
        <v>1.7450761249129965</v>
      </c>
      <c r="Z618" s="33">
        <f t="shared" si="157"/>
        <v>7.958950532568447E-2</v>
      </c>
      <c r="AA618" s="33">
        <f t="shared" si="158"/>
        <v>0.5</v>
      </c>
      <c r="AB618">
        <f t="shared" si="159"/>
        <v>-1.1216077165823513E-2</v>
      </c>
      <c r="AC618" s="1">
        <f t="shared" si="160"/>
        <v>-5.2919325256177929E-2</v>
      </c>
      <c r="AD618" s="35">
        <f>IF(W618&gt;=FinalAgeForPremium, AE618*Delta-Z618*(Y618-AE618),AE618*Delta+PremiumRevisedForLimitedTerm-Z618*(Y618-AE618))</f>
        <v>3.4980195304779305E-3</v>
      </c>
      <c r="AE618" s="35">
        <f>AE617-StepSize*AD617</f>
        <v>3.1136283633296978E-2</v>
      </c>
      <c r="AF618" s="1"/>
    </row>
    <row r="619" spans="11:32" x14ac:dyDescent="0.45">
      <c r="K619" s="40">
        <f t="shared" si="161"/>
        <v>5.94</v>
      </c>
      <c r="L619" s="41">
        <f t="shared" si="153"/>
        <v>25.94</v>
      </c>
      <c r="M619">
        <f t="shared" si="162"/>
        <v>0.86311210602637622</v>
      </c>
      <c r="N619">
        <f t="shared" si="163"/>
        <v>0.13688789397362172</v>
      </c>
      <c r="O619">
        <f t="shared" si="154"/>
        <v>9.3506834837281089E-2</v>
      </c>
      <c r="P619">
        <f t="shared" si="155"/>
        <v>0.5</v>
      </c>
      <c r="Q619">
        <f t="shared" si="164"/>
        <v>-1.2262934157455344E-2</v>
      </c>
      <c r="R619" s="6">
        <f t="shared" si="165"/>
        <v>1.2262934157455344E-2</v>
      </c>
      <c r="S619" s="18">
        <f t="shared" si="166"/>
        <v>0.999999999999998</v>
      </c>
      <c r="T619" s="15"/>
      <c r="U619" s="15"/>
      <c r="V619" s="40">
        <f t="shared" si="167"/>
        <v>4.0599999999999996</v>
      </c>
      <c r="W619" s="41">
        <f t="shared" si="156"/>
        <v>24.06</v>
      </c>
      <c r="X619">
        <f t="shared" si="168"/>
        <v>2.5534548688310291E-2</v>
      </c>
      <c r="Y619">
        <f t="shared" si="169"/>
        <v>1.7456053181655582</v>
      </c>
      <c r="Z619" s="33">
        <f t="shared" si="157"/>
        <v>7.9520946469009757E-2</v>
      </c>
      <c r="AA619" s="33">
        <f t="shared" si="158"/>
        <v>0.5</v>
      </c>
      <c r="AB619">
        <f t="shared" si="159"/>
        <v>-1.1125734450745467E-2</v>
      </c>
      <c r="AC619" s="1">
        <f t="shared" si="160"/>
        <v>-5.2684349353098181E-2</v>
      </c>
      <c r="AD619" s="35">
        <f>IF(W619&gt;=FinalAgeForPremium, AE619*Delta-Z619*(Y619-AE619),AE619*Delta+PremiumRevisedForLimitedTerm-Z619*(Y619-AE619))</f>
        <v>3.568912670093044E-3</v>
      </c>
      <c r="AE619" s="35">
        <f>AE618-StepSize*AD618</f>
        <v>3.1101303437992198E-2</v>
      </c>
      <c r="AF619" s="1"/>
    </row>
    <row r="620" spans="11:32" x14ac:dyDescent="0.45">
      <c r="K620" s="40">
        <f t="shared" si="161"/>
        <v>5.95</v>
      </c>
      <c r="L620" s="41">
        <f t="shared" si="153"/>
        <v>25.95</v>
      </c>
      <c r="M620">
        <f t="shared" si="162"/>
        <v>0.86298947668480164</v>
      </c>
      <c r="N620">
        <f t="shared" si="163"/>
        <v>0.13701052331519628</v>
      </c>
      <c r="O620">
        <f t="shared" si="154"/>
        <v>9.3587451605219224E-2</v>
      </c>
      <c r="P620">
        <f t="shared" si="155"/>
        <v>0.5</v>
      </c>
      <c r="Q620">
        <f t="shared" si="164"/>
        <v>-1.2259724227454194E-2</v>
      </c>
      <c r="R620" s="6">
        <f t="shared" si="165"/>
        <v>1.2259724227454194E-2</v>
      </c>
      <c r="S620" s="18">
        <f t="shared" si="166"/>
        <v>0.99999999999999789</v>
      </c>
      <c r="T620" s="15"/>
      <c r="U620" s="15"/>
      <c r="V620" s="40">
        <f t="shared" si="167"/>
        <v>4.05</v>
      </c>
      <c r="W620" s="41">
        <f t="shared" si="156"/>
        <v>24.05</v>
      </c>
      <c r="X620">
        <f t="shared" si="168"/>
        <v>2.5645806032817745E-2</v>
      </c>
      <c r="Y620">
        <f t="shared" si="169"/>
        <v>1.7461321616590892</v>
      </c>
      <c r="Z620" s="33">
        <f t="shared" si="157"/>
        <v>7.9452446669327687E-2</v>
      </c>
      <c r="AA620" s="33">
        <f t="shared" si="158"/>
        <v>0.5</v>
      </c>
      <c r="AB620">
        <f t="shared" si="159"/>
        <v>-1.1035366416713738E-2</v>
      </c>
      <c r="AC620" s="1">
        <f t="shared" si="160"/>
        <v>-5.245021410390982E-2</v>
      </c>
      <c r="AD620" s="35">
        <f>IF(W620&gt;=FinalAgeForPremium, AE620*Delta-Z620*(Y620-AE620),AE620*Delta+PremiumRevisedForLimitedTerm-Z620*(Y620-AE620))</f>
        <v>3.6398768023122308E-3</v>
      </c>
      <c r="AE620" s="35">
        <f>AE619-StepSize*AD619</f>
        <v>3.1065614311291269E-2</v>
      </c>
      <c r="AF620" s="1"/>
    </row>
    <row r="621" spans="11:32" x14ac:dyDescent="0.45">
      <c r="K621" s="40">
        <f t="shared" si="161"/>
        <v>5.96</v>
      </c>
      <c r="L621" s="41">
        <f t="shared" si="153"/>
        <v>25.96</v>
      </c>
      <c r="M621">
        <f t="shared" si="162"/>
        <v>0.86286687944252705</v>
      </c>
      <c r="N621">
        <f t="shared" si="163"/>
        <v>0.13713312055747082</v>
      </c>
      <c r="O621">
        <f t="shared" si="154"/>
        <v>9.3668137876774818E-2</v>
      </c>
      <c r="P621">
        <f t="shared" si="155"/>
        <v>0.5</v>
      </c>
      <c r="Q621">
        <f t="shared" si="164"/>
        <v>-1.2256573554189645E-2</v>
      </c>
      <c r="R621" s="6">
        <f t="shared" si="165"/>
        <v>1.2256573554189645E-2</v>
      </c>
      <c r="S621" s="18">
        <f t="shared" si="166"/>
        <v>0.99999999999999789</v>
      </c>
      <c r="T621" s="15"/>
      <c r="U621" s="15"/>
      <c r="V621" s="40">
        <f t="shared" si="167"/>
        <v>4.04</v>
      </c>
      <c r="W621" s="41">
        <f t="shared" si="156"/>
        <v>24.04</v>
      </c>
      <c r="X621">
        <f t="shared" si="168"/>
        <v>2.5756159696984884E-2</v>
      </c>
      <c r="Y621">
        <f t="shared" si="169"/>
        <v>1.7466566638001284</v>
      </c>
      <c r="Z621" s="33">
        <f t="shared" si="157"/>
        <v>7.9384005875766162E-2</v>
      </c>
      <c r="AA621" s="33">
        <f t="shared" si="158"/>
        <v>0.5</v>
      </c>
      <c r="AB621">
        <f t="shared" si="159"/>
        <v>-1.0944974047135986E-2</v>
      </c>
      <c r="AC621" s="1">
        <f t="shared" si="160"/>
        <v>-5.2216914758421829E-2</v>
      </c>
      <c r="AD621" s="35">
        <f>IF(W621&gt;=FinalAgeForPremium, AE621*Delta-Z621*(Y621-AE621),AE621*Delta+PremiumRevisedForLimitedTerm-Z621*(Y621-AE621))</f>
        <v>3.7109108183616402E-3</v>
      </c>
      <c r="AE621" s="35">
        <f>AE620-StepSize*AD620</f>
        <v>3.1029215543268148E-2</v>
      </c>
      <c r="AF621" s="1"/>
    </row>
    <row r="622" spans="11:32" x14ac:dyDescent="0.45">
      <c r="K622" s="40">
        <f t="shared" si="161"/>
        <v>5.97</v>
      </c>
      <c r="L622" s="41">
        <f t="shared" si="153"/>
        <v>25.97</v>
      </c>
      <c r="M622">
        <f t="shared" si="162"/>
        <v>0.86274431370698512</v>
      </c>
      <c r="N622">
        <f t="shared" si="163"/>
        <v>0.13725568629301271</v>
      </c>
      <c r="O622">
        <f t="shared" si="154"/>
        <v>9.3748893711870188E-2</v>
      </c>
      <c r="P622">
        <f t="shared" si="155"/>
        <v>0.5</v>
      </c>
      <c r="Q622">
        <f t="shared" si="164"/>
        <v>-1.2253481819730183E-2</v>
      </c>
      <c r="R622" s="6">
        <f t="shared" si="165"/>
        <v>1.2253481819730183E-2</v>
      </c>
      <c r="S622" s="18">
        <f t="shared" si="166"/>
        <v>0.99999999999999778</v>
      </c>
      <c r="T622" s="15"/>
      <c r="U622" s="15"/>
      <c r="V622" s="40">
        <f t="shared" si="167"/>
        <v>4.03</v>
      </c>
      <c r="W622" s="41">
        <f t="shared" si="156"/>
        <v>24.03</v>
      </c>
      <c r="X622">
        <f t="shared" si="168"/>
        <v>2.5865609437456243E-2</v>
      </c>
      <c r="Y622">
        <f t="shared" si="169"/>
        <v>1.7471788329477127</v>
      </c>
      <c r="Z622" s="33">
        <f t="shared" si="157"/>
        <v>7.9315624037497034E-2</v>
      </c>
      <c r="AA622" s="33">
        <f t="shared" si="158"/>
        <v>0.5</v>
      </c>
      <c r="AB622">
        <f t="shared" si="159"/>
        <v>-1.0854558317491131E-2</v>
      </c>
      <c r="AC622" s="1">
        <f t="shared" si="160"/>
        <v>-5.1984446597486134E-2</v>
      </c>
      <c r="AD622" s="35">
        <f>IF(W622&gt;=FinalAgeForPremium, AE622*Delta-Z622*(Y622-AE622),AE622*Delta+PremiumRevisedForLimitedTerm-Z622*(Y622-AE622))</f>
        <v>3.7820136177823815E-3</v>
      </c>
      <c r="AE622" s="35">
        <f>AE621-StepSize*AD621</f>
        <v>3.0992106435084533E-2</v>
      </c>
      <c r="AF622" s="1"/>
    </row>
    <row r="623" spans="11:32" x14ac:dyDescent="0.45">
      <c r="K623" s="40">
        <f t="shared" si="161"/>
        <v>5.98</v>
      </c>
      <c r="L623" s="41">
        <f t="shared" si="153"/>
        <v>25.98</v>
      </c>
      <c r="M623">
        <f t="shared" si="162"/>
        <v>0.86262177888878777</v>
      </c>
      <c r="N623">
        <f t="shared" si="163"/>
        <v>0.13737822111121001</v>
      </c>
      <c r="O623">
        <f t="shared" si="154"/>
        <v>9.3829719170479498E-2</v>
      </c>
      <c r="P623">
        <f t="shared" si="155"/>
        <v>0.5</v>
      </c>
      <c r="Q623">
        <f t="shared" si="164"/>
        <v>-1.2250448707869413E-2</v>
      </c>
      <c r="R623" s="6">
        <f t="shared" si="165"/>
        <v>1.2250448707869413E-2</v>
      </c>
      <c r="S623" s="18">
        <f t="shared" si="166"/>
        <v>0.99999999999999778</v>
      </c>
      <c r="T623" s="15"/>
      <c r="U623" s="15"/>
      <c r="V623" s="40">
        <f t="shared" si="167"/>
        <v>4.0199999999999996</v>
      </c>
      <c r="W623" s="41">
        <f t="shared" si="156"/>
        <v>24.02</v>
      </c>
      <c r="X623">
        <f t="shared" si="168"/>
        <v>2.5974155020631155E-2</v>
      </c>
      <c r="Y623">
        <f t="shared" si="169"/>
        <v>1.7476986774136876</v>
      </c>
      <c r="Z623" s="33">
        <f t="shared" si="157"/>
        <v>7.9247301103735873E-2</v>
      </c>
      <c r="AA623" s="33">
        <f t="shared" si="158"/>
        <v>0.5</v>
      </c>
      <c r="AB623">
        <f t="shared" si="159"/>
        <v>-1.0764120195389137E-2</v>
      </c>
      <c r="AC623" s="1">
        <f t="shared" si="160"/>
        <v>-5.1752804932787444E-2</v>
      </c>
      <c r="AD623" s="35">
        <f>IF(W623&gt;=FinalAgeForPremium, AE623*Delta-Z623*(Y623-AE623),AE623*Delta+PremiumRevisedForLimitedTerm-Z623*(Y623-AE623))</f>
        <v>3.8531841083691287E-3</v>
      </c>
      <c r="AE623" s="35">
        <f>AE622-StepSize*AD622</f>
        <v>3.0954286298906709E-2</v>
      </c>
      <c r="AF623" s="1"/>
    </row>
    <row r="624" spans="11:32" x14ac:dyDescent="0.45">
      <c r="K624" s="40">
        <f t="shared" si="161"/>
        <v>5.99</v>
      </c>
      <c r="L624" s="41">
        <f t="shared" si="153"/>
        <v>25.990000000000002</v>
      </c>
      <c r="M624">
        <f t="shared" si="162"/>
        <v>0.86249927440170904</v>
      </c>
      <c r="N624">
        <f t="shared" si="163"/>
        <v>0.13750072559828871</v>
      </c>
      <c r="O624">
        <f t="shared" si="154"/>
        <v>9.3910614312628579E-2</v>
      </c>
      <c r="P624">
        <f t="shared" si="155"/>
        <v>0.5</v>
      </c>
      <c r="Q624">
        <f t="shared" si="164"/>
        <v>-1.224747390411654E-2</v>
      </c>
      <c r="R624" s="6">
        <f t="shared" si="165"/>
        <v>1.224747390411654E-2</v>
      </c>
      <c r="S624" s="18">
        <f t="shared" si="166"/>
        <v>0.99999999999999778</v>
      </c>
      <c r="T624" s="15"/>
      <c r="U624" s="15"/>
      <c r="V624" s="40">
        <f t="shared" si="167"/>
        <v>4.01</v>
      </c>
      <c r="W624" s="41">
        <f t="shared" si="156"/>
        <v>24.009999999999998</v>
      </c>
      <c r="X624">
        <f t="shared" si="168"/>
        <v>2.6081796222585045E-2</v>
      </c>
      <c r="Y624">
        <f t="shared" si="169"/>
        <v>1.7482162054630155</v>
      </c>
      <c r="Z624" s="33">
        <f t="shared" si="157"/>
        <v>7.9179037023741933E-2</v>
      </c>
      <c r="AA624" s="33">
        <f t="shared" si="158"/>
        <v>0.5</v>
      </c>
      <c r="AB624">
        <f t="shared" si="159"/>
        <v>-1.0673660640631077E-2</v>
      </c>
      <c r="AC624" s="1">
        <f t="shared" si="160"/>
        <v>-5.1521985106633972E-2</v>
      </c>
      <c r="AD624" s="35">
        <f>IF(W624&gt;=FinalAgeForPremium, AE624*Delta-Z624*(Y624-AE624),AE624*Delta+PremiumRevisedForLimitedTerm-Z624*(Y624-AE624))</f>
        <v>3.9244212061088357E-3</v>
      </c>
      <c r="AE624" s="35">
        <f>AE623-StepSize*AD623</f>
        <v>3.0915754457823019E-2</v>
      </c>
      <c r="AF624" s="1"/>
    </row>
    <row r="625" spans="11:32" x14ac:dyDescent="0.45">
      <c r="K625" s="40">
        <f t="shared" si="161"/>
        <v>6</v>
      </c>
      <c r="L625" s="41">
        <f t="shared" si="153"/>
        <v>26</v>
      </c>
      <c r="M625">
        <f t="shared" si="162"/>
        <v>0.86237679966266789</v>
      </c>
      <c r="N625">
        <f t="shared" si="163"/>
        <v>0.13762320033732989</v>
      </c>
      <c r="O625">
        <f t="shared" si="154"/>
        <v>9.399157919839482E-2</v>
      </c>
      <c r="P625">
        <f t="shared" si="155"/>
        <v>0.5</v>
      </c>
      <c r="Q625">
        <f t="shared" si="164"/>
        <v>-1.2244557095686975E-2</v>
      </c>
      <c r="R625" s="6">
        <f t="shared" si="165"/>
        <v>1.2244557095686975E-2</v>
      </c>
      <c r="S625" s="18">
        <f t="shared" si="166"/>
        <v>0.99999999999999778</v>
      </c>
      <c r="T625" s="15"/>
      <c r="U625" s="15"/>
      <c r="V625" s="40">
        <f t="shared" si="167"/>
        <v>4</v>
      </c>
      <c r="W625" s="41">
        <f t="shared" si="156"/>
        <v>24</v>
      </c>
      <c r="X625">
        <f t="shared" si="168"/>
        <v>2.6188532828991355E-2</v>
      </c>
      <c r="Y625">
        <f t="shared" si="169"/>
        <v>1.7487314253140818</v>
      </c>
      <c r="Z625" s="33">
        <f t="shared" si="157"/>
        <v>7.911083174681828E-2</v>
      </c>
      <c r="AA625" s="33">
        <f t="shared" si="158"/>
        <v>0.5</v>
      </c>
      <c r="AB625">
        <f t="shared" si="159"/>
        <v>-1.0583180605268444E-2</v>
      </c>
      <c r="AC625" s="1">
        <f t="shared" si="160"/>
        <v>-5.1291982491750598E-2</v>
      </c>
      <c r="AD625" s="35">
        <f>IF(W625&gt;=FinalAgeForPremium, AE625*Delta-Z625*(Y625-AE625),AE625*Delta+PremiumRevisedForLimitedTerm-Z625*(Y625-AE625))</f>
        <v>3.9957238351199797E-3</v>
      </c>
      <c r="AE625" s="35">
        <f>AE624-StepSize*AD624</f>
        <v>3.0876510245761931E-2</v>
      </c>
      <c r="AF625" s="1"/>
    </row>
    <row r="626" spans="11:32" x14ac:dyDescent="0.45">
      <c r="K626" s="40">
        <f t="shared" si="161"/>
        <v>6.01</v>
      </c>
      <c r="L626" s="41">
        <f t="shared" si="153"/>
        <v>26.009999999999998</v>
      </c>
      <c r="M626">
        <f t="shared" si="162"/>
        <v>0.86225435409171103</v>
      </c>
      <c r="N626">
        <f t="shared" si="163"/>
        <v>0.13774564590828675</v>
      </c>
      <c r="O626">
        <f t="shared" si="154"/>
        <v>9.407261388790783E-2</v>
      </c>
      <c r="P626">
        <f t="shared" si="155"/>
        <v>0.5</v>
      </c>
      <c r="Q626">
        <f t="shared" si="164"/>
        <v>-1.224169797149352E-2</v>
      </c>
      <c r="R626" s="6">
        <f t="shared" si="165"/>
        <v>1.224169797149352E-2</v>
      </c>
      <c r="S626" s="18">
        <f t="shared" si="166"/>
        <v>0.99999999999999778</v>
      </c>
      <c r="T626" s="15"/>
      <c r="U626" s="15"/>
      <c r="V626" s="40">
        <f t="shared" si="167"/>
        <v>3.99</v>
      </c>
      <c r="W626" s="41">
        <f t="shared" si="156"/>
        <v>23.990000000000002</v>
      </c>
      <c r="X626">
        <f t="shared" si="168"/>
        <v>2.6294364635044039E-2</v>
      </c>
      <c r="Y626">
        <f t="shared" si="169"/>
        <v>1.7492443451389992</v>
      </c>
      <c r="Z626" s="33">
        <f t="shared" si="157"/>
        <v>7.9042685222311712E-2</v>
      </c>
      <c r="AA626" s="33">
        <f t="shared" si="158"/>
        <v>0.5</v>
      </c>
      <c r="AB626">
        <f t="shared" si="159"/>
        <v>-1.0492681033662354E-2</v>
      </c>
      <c r="AC626" s="1">
        <f t="shared" si="160"/>
        <v>-5.1062792491072484E-2</v>
      </c>
      <c r="AD626" s="35">
        <f>IF(W626&gt;=FinalAgeForPremium, AE626*Delta-Z626*(Y626-AE626),AE626*Delta+PremiumRevisedForLimitedTerm-Z626*(Y626-AE626))</f>
        <v>4.0670909275922762E-3</v>
      </c>
      <c r="AE626" s="35">
        <f>AE625-StepSize*AD625</f>
        <v>3.0836553007410731E-2</v>
      </c>
      <c r="AF626" s="1"/>
    </row>
    <row r="627" spans="11:32" x14ac:dyDescent="0.45">
      <c r="K627" s="40">
        <f t="shared" si="161"/>
        <v>6.02</v>
      </c>
      <c r="L627" s="41">
        <f t="shared" si="153"/>
        <v>26.02</v>
      </c>
      <c r="M627">
        <f t="shared" si="162"/>
        <v>0.86213193711199609</v>
      </c>
      <c r="N627">
        <f t="shared" si="163"/>
        <v>0.13786806288800169</v>
      </c>
      <c r="O627">
        <f t="shared" si="154"/>
        <v>9.415371844134858E-2</v>
      </c>
      <c r="P627">
        <f t="shared" si="155"/>
        <v>0.5</v>
      </c>
      <c r="Q627">
        <f t="shared" si="164"/>
        <v>-1.2238896222136475E-2</v>
      </c>
      <c r="R627" s="6">
        <f t="shared" si="165"/>
        <v>1.2238896222136475E-2</v>
      </c>
      <c r="S627" s="18">
        <f t="shared" si="166"/>
        <v>0.99999999999999778</v>
      </c>
      <c r="T627" s="15"/>
      <c r="U627" s="15"/>
      <c r="V627" s="40">
        <f t="shared" si="167"/>
        <v>3.98</v>
      </c>
      <c r="W627" s="41">
        <f t="shared" si="156"/>
        <v>23.98</v>
      </c>
      <c r="X627">
        <f t="shared" si="168"/>
        <v>2.6399291445380661E-2</v>
      </c>
      <c r="Y627">
        <f t="shared" si="169"/>
        <v>1.7497549730639099</v>
      </c>
      <c r="Z627" s="33">
        <f t="shared" si="157"/>
        <v>7.8974597399612406E-2</v>
      </c>
      <c r="AA627" s="33">
        <f t="shared" si="158"/>
        <v>0.5</v>
      </c>
      <c r="AB627">
        <f t="shared" si="159"/>
        <v>-1.0402162862541281E-2</v>
      </c>
      <c r="AC627" s="1">
        <f t="shared" si="160"/>
        <v>-5.0834410537539787E-2</v>
      </c>
      <c r="AD627" s="35">
        <f>IF(W627&gt;=FinalAgeForPremium, AE627*Delta-Z627*(Y627-AE627),AE627*Delta+PremiumRevisedForLimitedTerm-Z627*(Y627-AE627))</f>
        <v>4.1385214237274759E-3</v>
      </c>
      <c r="AE627" s="35">
        <f>AE626-StepSize*AD626</f>
        <v>3.0795882098134809E-2</v>
      </c>
      <c r="AF627" s="1"/>
    </row>
    <row r="628" spans="11:32" x14ac:dyDescent="0.45">
      <c r="K628" s="40">
        <f t="shared" si="161"/>
        <v>6.03</v>
      </c>
      <c r="L628" s="41">
        <f t="shared" si="153"/>
        <v>26.03</v>
      </c>
      <c r="M628">
        <f t="shared" si="162"/>
        <v>0.86200954814977471</v>
      </c>
      <c r="N628">
        <f t="shared" si="163"/>
        <v>0.13799045185022304</v>
      </c>
      <c r="O628">
        <f t="shared" si="154"/>
        <v>9.4234892918950278E-2</v>
      </c>
      <c r="P628">
        <f t="shared" si="155"/>
        <v>0.5</v>
      </c>
      <c r="Q628">
        <f t="shared" si="164"/>
        <v>-1.2236151539895213E-2</v>
      </c>
      <c r="R628" s="6">
        <f t="shared" si="165"/>
        <v>1.2236151539895213E-2</v>
      </c>
      <c r="S628" s="18">
        <f t="shared" si="166"/>
        <v>0.99999999999999778</v>
      </c>
      <c r="T628" s="15"/>
      <c r="U628" s="15"/>
      <c r="V628" s="40">
        <f t="shared" si="167"/>
        <v>3.97</v>
      </c>
      <c r="W628" s="41">
        <f t="shared" si="156"/>
        <v>23.97</v>
      </c>
      <c r="X628">
        <f t="shared" si="168"/>
        <v>2.6503313074006073E-2</v>
      </c>
      <c r="Y628">
        <f t="shared" si="169"/>
        <v>1.7502633171692854</v>
      </c>
      <c r="Z628" s="33">
        <f t="shared" si="157"/>
        <v>7.8906568228154325E-2</v>
      </c>
      <c r="AA628" s="33">
        <f t="shared" si="158"/>
        <v>0.5</v>
      </c>
      <c r="AB628">
        <f t="shared" si="159"/>
        <v>-1.0311627021059783E-2</v>
      </c>
      <c r="AC628" s="1">
        <f t="shared" si="160"/>
        <v>-5.0606832093896048E-2</v>
      </c>
      <c r="AD628" s="35">
        <f>IF(W628&gt;=FinalAgeForPremium, AE628*Delta-Z628*(Y628-AE628),AE628*Delta+PremiumRevisedForLimitedTerm-Z628*(Y628-AE628))</f>
        <v>4.2100142716793021E-3</v>
      </c>
      <c r="AE628" s="35">
        <f>AE627-StepSize*AD627</f>
        <v>3.0754496883897534E-2</v>
      </c>
      <c r="AF628" s="1"/>
    </row>
    <row r="629" spans="11:32" x14ac:dyDescent="0.45">
      <c r="K629" s="40">
        <f t="shared" si="161"/>
        <v>6.04</v>
      </c>
      <c r="L629" s="41">
        <f t="shared" si="153"/>
        <v>26.04</v>
      </c>
      <c r="M629">
        <f t="shared" si="162"/>
        <v>0.8618871866343758</v>
      </c>
      <c r="N629">
        <f t="shared" si="163"/>
        <v>0.13811281336562201</v>
      </c>
      <c r="O629">
        <f t="shared" si="154"/>
        <v>9.4316137380997811E-2</v>
      </c>
      <c r="P629">
        <f t="shared" si="155"/>
        <v>0.5</v>
      </c>
      <c r="Q629">
        <f t="shared" si="164"/>
        <v>-1.2233463618718479E-2</v>
      </c>
      <c r="R629" s="6">
        <f t="shared" si="165"/>
        <v>1.2233463618718479E-2</v>
      </c>
      <c r="S629" s="18">
        <f t="shared" si="166"/>
        <v>0.99999999999999778</v>
      </c>
      <c r="T629" s="15"/>
      <c r="U629" s="15"/>
      <c r="V629" s="40">
        <f t="shared" si="167"/>
        <v>3.96</v>
      </c>
      <c r="W629" s="41">
        <f t="shared" si="156"/>
        <v>23.96</v>
      </c>
      <c r="X629">
        <f t="shared" si="168"/>
        <v>2.660642934421667E-2</v>
      </c>
      <c r="Y629">
        <f t="shared" si="169"/>
        <v>1.7507693854902244</v>
      </c>
      <c r="Z629" s="33">
        <f t="shared" si="157"/>
        <v>7.8838597657415008E-2</v>
      </c>
      <c r="AA629" s="33">
        <f t="shared" si="158"/>
        <v>0.5</v>
      </c>
      <c r="AB629">
        <f t="shared" si="159"/>
        <v>-1.0221074430855875E-2</v>
      </c>
      <c r="AC629" s="1">
        <f t="shared" si="160"/>
        <v>-5.0380052652484908E-2</v>
      </c>
      <c r="AD629" s="35">
        <f>IF(W629&gt;=FinalAgeForPremium, AE629*Delta-Z629*(Y629-AE629),AE629*Delta+PremiumRevisedForLimitedTerm-Z629*(Y629-AE629))</f>
        <v>4.281568427494914E-3</v>
      </c>
      <c r="AE629" s="35">
        <f>AE628-StepSize*AD628</f>
        <v>3.0712396741180741E-2</v>
      </c>
      <c r="AF629" s="1"/>
    </row>
    <row r="630" spans="11:32" x14ac:dyDescent="0.45">
      <c r="K630" s="40">
        <f t="shared" si="161"/>
        <v>6.05</v>
      </c>
      <c r="L630" s="41">
        <f t="shared" si="153"/>
        <v>26.05</v>
      </c>
      <c r="M630">
        <f t="shared" si="162"/>
        <v>0.86176485199818864</v>
      </c>
      <c r="N630">
        <f t="shared" si="163"/>
        <v>0.13823514800180919</v>
      </c>
      <c r="O630">
        <f t="shared" si="154"/>
        <v>9.4397451887828221E-2</v>
      </c>
      <c r="P630">
        <f t="shared" si="155"/>
        <v>0.5</v>
      </c>
      <c r="Q630">
        <f t="shared" si="164"/>
        <v>-1.2230832154215818E-2</v>
      </c>
      <c r="R630" s="6">
        <f t="shared" si="165"/>
        <v>1.2230832154215818E-2</v>
      </c>
      <c r="S630" s="18">
        <f t="shared" si="166"/>
        <v>0.99999999999999778</v>
      </c>
      <c r="T630" s="15"/>
      <c r="U630" s="15"/>
      <c r="V630" s="40">
        <f t="shared" si="167"/>
        <v>3.95</v>
      </c>
      <c r="W630" s="41">
        <f t="shared" si="156"/>
        <v>23.95</v>
      </c>
      <c r="X630">
        <f t="shared" si="168"/>
        <v>2.6708640088525228E-2</v>
      </c>
      <c r="Y630">
        <f t="shared" si="169"/>
        <v>1.7512731860167492</v>
      </c>
      <c r="Z630" s="33">
        <f t="shared" si="157"/>
        <v>7.8770685636915444E-2</v>
      </c>
      <c r="AA630" s="33">
        <f t="shared" si="158"/>
        <v>0.5</v>
      </c>
      <c r="AB630">
        <f t="shared" si="159"/>
        <v>-1.0130506006108042E-2</v>
      </c>
      <c r="AC630" s="1">
        <f t="shared" si="160"/>
        <v>-5.01540677350506E-2</v>
      </c>
      <c r="AD630" s="35">
        <f>IF(W630&gt;=FinalAgeForPremium, AE630*Delta-Z630*(Y630-AE630),AE630*Delta+PremiumRevisedForLimitedTerm-Z630*(Y630-AE630))</f>
        <v>4.3531828550565643E-3</v>
      </c>
      <c r="AE630" s="35">
        <f>AE629-StepSize*AD629</f>
        <v>3.066958105690579E-2</v>
      </c>
      <c r="AF630" s="1"/>
    </row>
    <row r="631" spans="11:32" x14ac:dyDescent="0.45">
      <c r="K631" s="40">
        <f t="shared" si="161"/>
        <v>6.06</v>
      </c>
      <c r="L631" s="41">
        <f t="shared" si="153"/>
        <v>26.06</v>
      </c>
      <c r="M631">
        <f t="shared" si="162"/>
        <v>0.8616425436766465</v>
      </c>
      <c r="N631">
        <f t="shared" si="163"/>
        <v>0.13835745632335136</v>
      </c>
      <c r="O631">
        <f t="shared" si="154"/>
        <v>9.4478836499830493E-2</v>
      </c>
      <c r="P631">
        <f t="shared" si="155"/>
        <v>0.5</v>
      </c>
      <c r="Q631">
        <f t="shared" si="164"/>
        <v>-1.2228256843648255E-2</v>
      </c>
      <c r="R631" s="6">
        <f t="shared" si="165"/>
        <v>1.2228256843648255E-2</v>
      </c>
      <c r="S631" s="18">
        <f t="shared" si="166"/>
        <v>0.99999999999999789</v>
      </c>
      <c r="T631" s="15"/>
      <c r="U631" s="15"/>
      <c r="V631" s="40">
        <f t="shared" si="167"/>
        <v>3.94</v>
      </c>
      <c r="W631" s="41">
        <f t="shared" si="156"/>
        <v>23.94</v>
      </c>
      <c r="X631">
        <f t="shared" si="168"/>
        <v>2.6809945148586308E-2</v>
      </c>
      <c r="Y631">
        <f t="shared" si="169"/>
        <v>1.7517747266940997</v>
      </c>
      <c r="Z631" s="33">
        <f t="shared" si="157"/>
        <v>7.8702832116220089E-2</v>
      </c>
      <c r="AA631" s="33">
        <f t="shared" si="158"/>
        <v>0.5</v>
      </c>
      <c r="AB631">
        <f t="shared" si="159"/>
        <v>-1.0039922653591826E-2</v>
      </c>
      <c r="AC631" s="1">
        <f t="shared" si="160"/>
        <v>-4.9928872892538334E-2</v>
      </c>
      <c r="AD631" s="35">
        <f>IF(W631&gt;=FinalAgeForPremium, AE631*Delta-Z631*(Y631-AE631),AE631*Delta+PremiumRevisedForLimitedTerm-Z631*(Y631-AE631))</f>
        <v>4.4248565260235628E-3</v>
      </c>
      <c r="AE631" s="35">
        <f>AE630-StepSize*AD630</f>
        <v>3.0626049228355226E-2</v>
      </c>
      <c r="AF631" s="1"/>
    </row>
    <row r="632" spans="11:32" x14ac:dyDescent="0.45">
      <c r="K632" s="40">
        <f t="shared" si="161"/>
        <v>6.07</v>
      </c>
      <c r="L632" s="41">
        <f t="shared" si="153"/>
        <v>26.07</v>
      </c>
      <c r="M632">
        <f t="shared" si="162"/>
        <v>0.86152026110821001</v>
      </c>
      <c r="N632">
        <f t="shared" si="163"/>
        <v>0.13847973889178786</v>
      </c>
      <c r="O632">
        <f t="shared" si="154"/>
        <v>9.4560291277445752E-2</v>
      </c>
      <c r="P632">
        <f t="shared" si="155"/>
        <v>0.5</v>
      </c>
      <c r="Q632">
        <f t="shared" si="164"/>
        <v>-1.2225737385919533E-2</v>
      </c>
      <c r="R632" s="6">
        <f t="shared" si="165"/>
        <v>1.2225737385919533E-2</v>
      </c>
      <c r="S632" s="18">
        <f t="shared" si="166"/>
        <v>0.99999999999999789</v>
      </c>
      <c r="T632" s="15"/>
      <c r="U632" s="15"/>
      <c r="V632" s="40">
        <f t="shared" si="167"/>
        <v>3.93</v>
      </c>
      <c r="W632" s="41">
        <f t="shared" si="156"/>
        <v>23.93</v>
      </c>
      <c r="X632">
        <f t="shared" si="168"/>
        <v>2.6910344375122228E-2</v>
      </c>
      <c r="Y632">
        <f t="shared" si="169"/>
        <v>1.7522740154230252</v>
      </c>
      <c r="Z632" s="33">
        <f t="shared" si="157"/>
        <v>7.8635037044936851E-2</v>
      </c>
      <c r="AA632" s="33">
        <f t="shared" si="158"/>
        <v>0.5</v>
      </c>
      <c r="AB632">
        <f t="shared" si="159"/>
        <v>-9.9493252727363146E-3</v>
      </c>
      <c r="AC632" s="1">
        <f t="shared" si="160"/>
        <v>-4.9704463704897228E-2</v>
      </c>
      <c r="AD632" s="35">
        <f>IF(W632&gt;=FinalAgeForPremium, AE632*Delta-Z632*(Y632-AE632),AE632*Delta+PremiumRevisedForLimitedTerm-Z632*(Y632-AE632))</f>
        <v>4.4965884197747941E-3</v>
      </c>
      <c r="AE632" s="35">
        <f>AE631-StepSize*AD631</f>
        <v>3.0581800663094991E-2</v>
      </c>
      <c r="AF632" s="1"/>
    </row>
    <row r="633" spans="11:32" x14ac:dyDescent="0.45">
      <c r="K633" s="40">
        <f t="shared" si="161"/>
        <v>6.08</v>
      </c>
      <c r="L633" s="41">
        <f t="shared" si="153"/>
        <v>26.08</v>
      </c>
      <c r="M633">
        <f t="shared" si="162"/>
        <v>0.86139800373435083</v>
      </c>
      <c r="N633">
        <f t="shared" si="163"/>
        <v>0.13860199626564706</v>
      </c>
      <c r="O633">
        <f t="shared" si="154"/>
        <v>9.4641816281167024E-2</v>
      </c>
      <c r="P633">
        <f t="shared" si="155"/>
        <v>0.5</v>
      </c>
      <c r="Q633">
        <f t="shared" si="164"/>
        <v>-1.2223273481566918E-2</v>
      </c>
      <c r="R633" s="6">
        <f t="shared" si="165"/>
        <v>1.2223273481566918E-2</v>
      </c>
      <c r="S633" s="18">
        <f t="shared" si="166"/>
        <v>0.99999999999999789</v>
      </c>
      <c r="T633" s="15"/>
      <c r="U633" s="15"/>
      <c r="V633" s="40">
        <f t="shared" si="167"/>
        <v>3.92</v>
      </c>
      <c r="W633" s="41">
        <f t="shared" si="156"/>
        <v>23.92</v>
      </c>
      <c r="X633">
        <f t="shared" si="168"/>
        <v>2.700983762784959E-2</v>
      </c>
      <c r="Y633">
        <f t="shared" si="169"/>
        <v>1.7527710600600741</v>
      </c>
      <c r="Z633" s="33">
        <f t="shared" si="157"/>
        <v>7.8567300372717197E-2</v>
      </c>
      <c r="AA633" s="33">
        <f t="shared" si="158"/>
        <v>0.5</v>
      </c>
      <c r="AB633">
        <f t="shared" si="159"/>
        <v>-9.8587147556800647E-3</v>
      </c>
      <c r="AC633" s="1">
        <f t="shared" si="160"/>
        <v>-4.9480835780884025E-2</v>
      </c>
      <c r="AD633" s="35">
        <f>IF(W633&gt;=FinalAgeForPremium, AE633*Delta-Z633*(Y633-AE633),AE633*Delta+PremiumRevisedForLimitedTerm-Z633*(Y633-AE633))</f>
        <v>4.5683775233512636E-3</v>
      </c>
      <c r="AE633" s="35">
        <f>AE632-StepSize*AD632</f>
        <v>3.0536834778897244E-2</v>
      </c>
      <c r="AF633" s="1"/>
    </row>
    <row r="634" spans="11:32" x14ac:dyDescent="0.45">
      <c r="K634" s="40">
        <f t="shared" si="161"/>
        <v>6.09</v>
      </c>
      <c r="L634" s="41">
        <f t="shared" si="153"/>
        <v>26.09</v>
      </c>
      <c r="M634">
        <f t="shared" si="162"/>
        <v>0.86127577099953512</v>
      </c>
      <c r="N634">
        <f t="shared" si="163"/>
        <v>0.13872422900046275</v>
      </c>
      <c r="O634">
        <f t="shared" si="154"/>
        <v>9.4723411571539809E-2</v>
      </c>
      <c r="P634">
        <f t="shared" si="155"/>
        <v>0.5</v>
      </c>
      <c r="Q634">
        <f t="shared" si="164"/>
        <v>-1.2220864832752865E-2</v>
      </c>
      <c r="R634" s="6">
        <f t="shared" si="165"/>
        <v>1.2220864832752865E-2</v>
      </c>
      <c r="S634" s="18">
        <f t="shared" si="166"/>
        <v>0.99999999999999789</v>
      </c>
      <c r="T634" s="15"/>
      <c r="U634" s="15"/>
      <c r="V634" s="40">
        <f t="shared" si="167"/>
        <v>3.91</v>
      </c>
      <c r="W634" s="41">
        <f t="shared" si="156"/>
        <v>23.91</v>
      </c>
      <c r="X634">
        <f t="shared" si="168"/>
        <v>2.7108424775406391E-2</v>
      </c>
      <c r="Y634">
        <f t="shared" si="169"/>
        <v>1.753265868417883</v>
      </c>
      <c r="Z634" s="33">
        <f t="shared" si="157"/>
        <v>7.8499622049255674E-2</v>
      </c>
      <c r="AA634" s="33">
        <f t="shared" si="158"/>
        <v>0.5</v>
      </c>
      <c r="AB634">
        <f t="shared" si="159"/>
        <v>-9.7680919873257832E-3</v>
      </c>
      <c r="AC634" s="1">
        <f t="shared" si="160"/>
        <v>-4.9257984757867468E-2</v>
      </c>
      <c r="AD634" s="35">
        <f>IF(W634&gt;=FinalAgeForPremium, AE634*Delta-Z634*(Y634-AE634),AE634*Delta+PremiumRevisedForLimitedTerm-Z634*(Y634-AE634))</f>
        <v>4.6402228314002536E-3</v>
      </c>
      <c r="AE634" s="35">
        <f>AE633-StepSize*AD633</f>
        <v>3.049115100366373E-2</v>
      </c>
      <c r="AF634" s="1"/>
    </row>
    <row r="635" spans="11:32" x14ac:dyDescent="0.45">
      <c r="K635" s="40">
        <f t="shared" si="161"/>
        <v>6.1</v>
      </c>
      <c r="L635" s="41">
        <f t="shared" si="153"/>
        <v>26.1</v>
      </c>
      <c r="M635">
        <f t="shared" si="162"/>
        <v>0.86115356235120755</v>
      </c>
      <c r="N635">
        <f t="shared" si="163"/>
        <v>0.13884643764879026</v>
      </c>
      <c r="O635">
        <f t="shared" si="154"/>
        <v>9.4805077209161537E-2</v>
      </c>
      <c r="P635">
        <f t="shared" si="155"/>
        <v>0.5</v>
      </c>
      <c r="Q635">
        <f t="shared" si="164"/>
        <v>-1.2218511143255603E-2</v>
      </c>
      <c r="R635" s="6">
        <f t="shared" si="165"/>
        <v>1.2218511143255603E-2</v>
      </c>
      <c r="S635" s="18">
        <f t="shared" si="166"/>
        <v>0.99999999999999778</v>
      </c>
      <c r="T635" s="15"/>
      <c r="U635" s="15"/>
      <c r="V635" s="40">
        <f t="shared" si="167"/>
        <v>3.9</v>
      </c>
      <c r="W635" s="41">
        <f t="shared" si="156"/>
        <v>23.9</v>
      </c>
      <c r="X635">
        <f t="shared" si="168"/>
        <v>2.7206105695279648E-2</v>
      </c>
      <c r="Y635">
        <f t="shared" si="169"/>
        <v>1.7537584482654618</v>
      </c>
      <c r="Z635" s="33">
        <f t="shared" si="157"/>
        <v>7.8432002024290418E-2</v>
      </c>
      <c r="AA635" s="33">
        <f t="shared" si="158"/>
        <v>0.5</v>
      </c>
      <c r="AB635">
        <f t="shared" si="159"/>
        <v>-9.6774578453962257E-3</v>
      </c>
      <c r="AC635" s="1">
        <f t="shared" si="160"/>
        <v>-4.9035906301635901E-2</v>
      </c>
      <c r="AD635" s="35">
        <f>IF(W635&gt;=FinalAgeForPremium, AE635*Delta-Z635*(Y635-AE635),AE635*Delta+PremiumRevisedForLimitedTerm-Z635*(Y635-AE635))</f>
        <v>4.7121233461181466E-3</v>
      </c>
      <c r="AE635" s="35">
        <f>AE634-StepSize*AD634</f>
        <v>3.0444748775349726E-2</v>
      </c>
      <c r="AF635" s="1"/>
    </row>
    <row r="636" spans="11:32" x14ac:dyDescent="0.45">
      <c r="K636" s="40">
        <f t="shared" si="161"/>
        <v>6.11</v>
      </c>
      <c r="L636" s="41">
        <f t="shared" si="153"/>
        <v>26.11</v>
      </c>
      <c r="M636">
        <f t="shared" si="162"/>
        <v>0.86103137723977496</v>
      </c>
      <c r="N636">
        <f t="shared" si="163"/>
        <v>0.13896862276022282</v>
      </c>
      <c r="O636">
        <f t="shared" si="154"/>
        <v>9.4886813254681887E-2</v>
      </c>
      <c r="P636">
        <f t="shared" si="155"/>
        <v>0.5</v>
      </c>
      <c r="Q636">
        <f t="shared" si="164"/>
        <v>-1.2216212118460676E-2</v>
      </c>
      <c r="R636" s="6">
        <f t="shared" si="165"/>
        <v>1.2216212118460676E-2</v>
      </c>
      <c r="S636" s="18">
        <f t="shared" si="166"/>
        <v>0.99999999999999778</v>
      </c>
      <c r="T636" s="15"/>
      <c r="U636" s="15"/>
      <c r="V636" s="40">
        <f t="shared" si="167"/>
        <v>3.89</v>
      </c>
      <c r="W636" s="41">
        <f t="shared" si="156"/>
        <v>23.89</v>
      </c>
      <c r="X636">
        <f t="shared" si="168"/>
        <v>2.730288027373361E-2</v>
      </c>
      <c r="Y636">
        <f t="shared" si="169"/>
        <v>1.7542488073284781</v>
      </c>
      <c r="Z636" s="33">
        <f t="shared" si="157"/>
        <v>7.8364440247602821E-2</v>
      </c>
      <c r="AA636" s="33">
        <f t="shared" si="158"/>
        <v>0.5</v>
      </c>
      <c r="AB636">
        <f t="shared" si="159"/>
        <v>-9.5868132004882367E-3</v>
      </c>
      <c r="AC636" s="1">
        <f t="shared" si="160"/>
        <v>-4.8814596106203867E-2</v>
      </c>
      <c r="AD636" s="35">
        <f>IF(W636&gt;=FinalAgeForPremium, AE636*Delta-Z636*(Y636-AE636),AE636*Delta+PremiumRevisedForLimitedTerm-Z636*(Y636-AE636))</f>
        <v>4.7840780771951363E-3</v>
      </c>
      <c r="AE636" s="35">
        <f>AE635-StepSize*AD635</f>
        <v>3.0397627541888544E-2</v>
      </c>
      <c r="AF636" s="1"/>
    </row>
    <row r="637" spans="11:32" x14ac:dyDescent="0.45">
      <c r="K637" s="40">
        <f t="shared" si="161"/>
        <v>6.12</v>
      </c>
      <c r="L637" s="41">
        <f t="shared" si="153"/>
        <v>26.12</v>
      </c>
      <c r="M637">
        <f t="shared" si="162"/>
        <v>0.86090921511859031</v>
      </c>
      <c r="N637">
        <f t="shared" si="163"/>
        <v>0.13909078488140741</v>
      </c>
      <c r="O637">
        <f t="shared" si="154"/>
        <v>9.4968619768803109E-2</v>
      </c>
      <c r="P637">
        <f t="shared" si="155"/>
        <v>0.5</v>
      </c>
      <c r="Q637">
        <f t="shared" si="164"/>
        <v>-1.2213967465352416E-2</v>
      </c>
      <c r="R637" s="6">
        <f t="shared" si="165"/>
        <v>1.2213967465352416E-2</v>
      </c>
      <c r="S637" s="18">
        <f t="shared" si="166"/>
        <v>0.99999999999999778</v>
      </c>
      <c r="T637" s="15"/>
      <c r="U637" s="15"/>
      <c r="V637" s="40">
        <f t="shared" si="167"/>
        <v>3.88</v>
      </c>
      <c r="W637" s="41">
        <f t="shared" si="156"/>
        <v>23.88</v>
      </c>
      <c r="X637">
        <f t="shared" si="168"/>
        <v>2.7398748405738492E-2</v>
      </c>
      <c r="Y637">
        <f t="shared" si="169"/>
        <v>1.75473695328954</v>
      </c>
      <c r="Z637" s="33">
        <f t="shared" si="157"/>
        <v>7.8296936669017353E-2</v>
      </c>
      <c r="AA637" s="33">
        <f t="shared" si="158"/>
        <v>0.5</v>
      </c>
      <c r="AB637">
        <f t="shared" si="159"/>
        <v>-9.4961589161265403E-3</v>
      </c>
      <c r="AC637" s="1">
        <f t="shared" si="160"/>
        <v>-4.859404989362226E-2</v>
      </c>
      <c r="AD637" s="35">
        <f>IF(W637&gt;=FinalAgeForPremium, AE637*Delta-Z637*(Y637-AE637),AE637*Delta+PremiumRevisedForLimitedTerm-Z637*(Y637-AE637))</f>
        <v>4.8560860417601048E-3</v>
      </c>
      <c r="AE637" s="35">
        <f>AE636-StepSize*AD636</f>
        <v>3.0349786761116593E-2</v>
      </c>
      <c r="AF637" s="1"/>
    </row>
    <row r="638" spans="11:32" x14ac:dyDescent="0.45">
      <c r="K638" s="40">
        <f t="shared" si="161"/>
        <v>6.13</v>
      </c>
      <c r="L638" s="41">
        <f t="shared" si="153"/>
        <v>26.13</v>
      </c>
      <c r="M638">
        <f t="shared" si="162"/>
        <v>0.86078707544393673</v>
      </c>
      <c r="N638">
        <f t="shared" si="163"/>
        <v>0.13921292455606094</v>
      </c>
      <c r="O638">
        <f t="shared" si="154"/>
        <v>9.5050496812279464E-2</v>
      </c>
      <c r="P638">
        <f t="shared" si="155"/>
        <v>0.5</v>
      </c>
      <c r="Q638">
        <f t="shared" si="164"/>
        <v>-1.22117768925048E-2</v>
      </c>
      <c r="R638" s="6">
        <f t="shared" si="165"/>
        <v>1.22117768925048E-2</v>
      </c>
      <c r="S638" s="18">
        <f t="shared" si="166"/>
        <v>0.99999999999999767</v>
      </c>
      <c r="T638" s="15"/>
      <c r="U638" s="15"/>
      <c r="V638" s="40">
        <f t="shared" si="167"/>
        <v>3.87</v>
      </c>
      <c r="W638" s="41">
        <f t="shared" si="156"/>
        <v>23.87</v>
      </c>
      <c r="X638">
        <f t="shared" si="168"/>
        <v>2.7493709994899758E-2</v>
      </c>
      <c r="Y638">
        <f t="shared" si="169"/>
        <v>1.7552228937884762</v>
      </c>
      <c r="Z638" s="33">
        <f t="shared" si="157"/>
        <v>7.8229491238401921E-2</v>
      </c>
      <c r="AA638" s="33">
        <f t="shared" si="158"/>
        <v>0.5</v>
      </c>
      <c r="AB638">
        <f t="shared" si="159"/>
        <v>-9.4054958488182239E-3</v>
      </c>
      <c r="AC638" s="1">
        <f t="shared" si="160"/>
        <v>-4.8374263413788032E-2</v>
      </c>
      <c r="AD638" s="35">
        <f>IF(W638&gt;=FinalAgeForPremium, AE638*Delta-Z638*(Y638-AE638),AE638*Delta+PremiumRevisedForLimitedTerm-Z638*(Y638-AE638))</f>
        <v>4.9281462643250007E-3</v>
      </c>
      <c r="AE638" s="35">
        <f>AE637-StepSize*AD637</f>
        <v>3.0301225900698992E-2</v>
      </c>
      <c r="AF638" s="1"/>
    </row>
    <row r="639" spans="11:32" x14ac:dyDescent="0.45">
      <c r="K639" s="40">
        <f t="shared" si="161"/>
        <v>6.14</v>
      </c>
      <c r="L639" s="41">
        <f t="shared" si="153"/>
        <v>26.14</v>
      </c>
      <c r="M639">
        <f t="shared" si="162"/>
        <v>0.86066495767501172</v>
      </c>
      <c r="N639">
        <f t="shared" si="163"/>
        <v>0.13933504232498597</v>
      </c>
      <c r="O639">
        <f t="shared" si="154"/>
        <v>9.5132444445917758E-2</v>
      </c>
      <c r="P639">
        <f t="shared" si="155"/>
        <v>0.5</v>
      </c>
      <c r="Q639">
        <f t="shared" si="164"/>
        <v>-1.2209640110073222E-2</v>
      </c>
      <c r="R639" s="6">
        <f t="shared" si="165"/>
        <v>1.2209640110073222E-2</v>
      </c>
      <c r="S639" s="18">
        <f t="shared" si="166"/>
        <v>0.99999999999999767</v>
      </c>
      <c r="T639" s="15"/>
      <c r="U639" s="15"/>
      <c r="V639" s="40">
        <f t="shared" si="167"/>
        <v>3.86</v>
      </c>
      <c r="W639" s="41">
        <f t="shared" si="156"/>
        <v>23.86</v>
      </c>
      <c r="X639">
        <f t="shared" si="168"/>
        <v>2.7587764953387939E-2</v>
      </c>
      <c r="Y639">
        <f t="shared" si="169"/>
        <v>1.7557066364226142</v>
      </c>
      <c r="Z639" s="33">
        <f t="shared" si="157"/>
        <v>7.8162103905667524E-2</v>
      </c>
      <c r="AA639" s="33">
        <f t="shared" si="158"/>
        <v>0.5</v>
      </c>
      <c r="AB639">
        <f t="shared" si="159"/>
        <v>-9.3148248481054741E-3</v>
      </c>
      <c r="AC639" s="1">
        <f t="shared" si="160"/>
        <v>-4.8155232444256235E-2</v>
      </c>
      <c r="AD639" s="35">
        <f>IF(W639&gt;=FinalAgeForPremium, AE639*Delta-Z639*(Y639-AE639),AE639*Delta+PremiumRevisedForLimitedTerm-Z639*(Y639-AE639))</f>
        <v>5.0002577767307155E-3</v>
      </c>
      <c r="AE639" s="35">
        <f>AE638-StepSize*AD638</f>
        <v>3.0251944438055744E-2</v>
      </c>
      <c r="AF639" s="1"/>
    </row>
    <row r="640" spans="11:32" x14ac:dyDescent="0.45">
      <c r="K640" s="40">
        <f t="shared" si="161"/>
        <v>6.15</v>
      </c>
      <c r="L640" s="41">
        <f t="shared" si="153"/>
        <v>26.15</v>
      </c>
      <c r="M640">
        <f t="shared" si="162"/>
        <v>0.860542861273911</v>
      </c>
      <c r="N640">
        <f t="shared" si="163"/>
        <v>0.1394571387260867</v>
      </c>
      <c r="O640">
        <f t="shared" si="154"/>
        <v>9.5214462730577168E-2</v>
      </c>
      <c r="P640">
        <f t="shared" si="155"/>
        <v>0.5</v>
      </c>
      <c r="Q640">
        <f t="shared" si="164"/>
        <v>-1.2207556829785693E-2</v>
      </c>
      <c r="R640" s="6">
        <f t="shared" si="165"/>
        <v>1.2207556829785693E-2</v>
      </c>
      <c r="S640" s="18">
        <f t="shared" si="166"/>
        <v>0.99999999999999767</v>
      </c>
      <c r="T640" s="15"/>
      <c r="U640" s="15"/>
      <c r="V640" s="40">
        <f t="shared" si="167"/>
        <v>3.85</v>
      </c>
      <c r="W640" s="41">
        <f t="shared" si="156"/>
        <v>23.85</v>
      </c>
      <c r="X640">
        <f t="shared" si="168"/>
        <v>2.7680913201868995E-2</v>
      </c>
      <c r="Y640">
        <f t="shared" si="169"/>
        <v>1.7561881887470567</v>
      </c>
      <c r="Z640" s="33">
        <f t="shared" si="157"/>
        <v>7.809477462076829E-2</v>
      </c>
      <c r="AA640" s="33">
        <f t="shared" si="158"/>
        <v>0.5</v>
      </c>
      <c r="AB640">
        <f t="shared" si="159"/>
        <v>-9.224146756618562E-3</v>
      </c>
      <c r="AC640" s="1">
        <f t="shared" si="160"/>
        <v>-4.7936952790053278E-2</v>
      </c>
      <c r="AD640" s="35">
        <f>IF(W640&gt;=FinalAgeForPremium, AE640*Delta-Z640*(Y640-AE640),AE640*Delta+PremiumRevisedForLimitedTerm-Z640*(Y640-AE640))</f>
        <v>5.0724196180930436E-3</v>
      </c>
      <c r="AE640" s="35">
        <f>AE639-StepSize*AD639</f>
        <v>3.0201941860288437E-2</v>
      </c>
      <c r="AF640" s="1"/>
    </row>
    <row r="641" spans="11:32" x14ac:dyDescent="0.45">
      <c r="K641" s="40">
        <f t="shared" si="161"/>
        <v>6.16</v>
      </c>
      <c r="L641" s="41">
        <f t="shared" si="153"/>
        <v>26.16</v>
      </c>
      <c r="M641">
        <f t="shared" si="162"/>
        <v>0.86042078570561309</v>
      </c>
      <c r="N641">
        <f t="shared" si="163"/>
        <v>0.13957921429438455</v>
      </c>
      <c r="O641">
        <f t="shared" si="154"/>
        <v>9.5296551727169415E-2</v>
      </c>
      <c r="P641">
        <f t="shared" si="155"/>
        <v>0.5</v>
      </c>
      <c r="Q641">
        <f t="shared" si="164"/>
        <v>-1.220552676493443E-2</v>
      </c>
      <c r="R641" s="6">
        <f t="shared" si="165"/>
        <v>1.220552676493443E-2</v>
      </c>
      <c r="S641" s="18">
        <f t="shared" si="166"/>
        <v>0.99999999999999767</v>
      </c>
      <c r="T641" s="15"/>
      <c r="U641" s="15"/>
      <c r="V641" s="40">
        <f t="shared" si="167"/>
        <v>3.84</v>
      </c>
      <c r="W641" s="41">
        <f t="shared" si="156"/>
        <v>23.84</v>
      </c>
      <c r="X641">
        <f t="shared" si="168"/>
        <v>2.7773154669435182E-2</v>
      </c>
      <c r="Y641">
        <f t="shared" si="169"/>
        <v>1.7566675582749574</v>
      </c>
      <c r="Z641" s="33">
        <f t="shared" si="157"/>
        <v>7.8027503333701467E-2</v>
      </c>
      <c r="AA641" s="33">
        <f t="shared" si="158"/>
        <v>0.5</v>
      </c>
      <c r="AB641">
        <f t="shared" si="159"/>
        <v>-9.1334624101282735E-3</v>
      </c>
      <c r="AC641" s="1">
        <f t="shared" si="160"/>
        <v>-4.7719420283490965E-2</v>
      </c>
      <c r="AD641" s="35">
        <f>IF(W641&gt;=FinalAgeForPremium, AE641*Delta-Z641*(Y641-AE641),AE641*Delta+PremiumRevisedForLimitedTerm-Z641*(Y641-AE641))</f>
        <v>5.1446308347487812E-3</v>
      </c>
      <c r="AE641" s="35">
        <f>AE640-StepSize*AD640</f>
        <v>3.0151217664107506E-2</v>
      </c>
      <c r="AF641" s="1"/>
    </row>
    <row r="642" spans="11:32" x14ac:dyDescent="0.45">
      <c r="K642" s="40">
        <f t="shared" si="161"/>
        <v>6.17</v>
      </c>
      <c r="L642" s="41">
        <f t="shared" si="153"/>
        <v>26.17</v>
      </c>
      <c r="M642">
        <f t="shared" si="162"/>
        <v>0.86029873043796379</v>
      </c>
      <c r="N642">
        <f t="shared" si="163"/>
        <v>0.13970126956203391</v>
      </c>
      <c r="O642">
        <f t="shared" si="154"/>
        <v>9.5378711496658608E-2</v>
      </c>
      <c r="P642">
        <f t="shared" si="155"/>
        <v>0.5</v>
      </c>
      <c r="Q642">
        <f t="shared" si="164"/>
        <v>-1.2203549630367266E-2</v>
      </c>
      <c r="R642" s="6">
        <f t="shared" si="165"/>
        <v>1.2203549630367266E-2</v>
      </c>
      <c r="S642" s="18">
        <f t="shared" si="166"/>
        <v>0.99999999999999767</v>
      </c>
      <c r="T642" s="15"/>
      <c r="U642" s="15"/>
      <c r="V642" s="40">
        <f t="shared" si="167"/>
        <v>3.83</v>
      </c>
      <c r="W642" s="41">
        <f t="shared" si="156"/>
        <v>23.83</v>
      </c>
      <c r="X642">
        <f t="shared" si="168"/>
        <v>2.7864489293536465E-2</v>
      </c>
      <c r="Y642">
        <f t="shared" si="169"/>
        <v>1.7571447524777923</v>
      </c>
      <c r="Z642" s="33">
        <f t="shared" si="157"/>
        <v>7.7960289994507437E-2</v>
      </c>
      <c r="AA642" s="33">
        <f t="shared" si="158"/>
        <v>0.5</v>
      </c>
      <c r="AB642">
        <f t="shared" si="159"/>
        <v>-9.0427726375982287E-3</v>
      </c>
      <c r="AC642" s="1">
        <f t="shared" si="160"/>
        <v>-4.7502630783982425E-2</v>
      </c>
      <c r="AD642" s="35">
        <f>IF(W642&gt;=FinalAgeForPremium, AE642*Delta-Z642*(Y642-AE642),AE642*Delta+PremiumRevisedForLimitedTerm-Z642*(Y642-AE642))</f>
        <v>5.2168904802022686E-3</v>
      </c>
      <c r="AE642" s="35">
        <f>AE641-StepSize*AD641</f>
        <v>3.009977135576002E-2</v>
      </c>
      <c r="AF642" s="1"/>
    </row>
    <row r="643" spans="11:32" x14ac:dyDescent="0.45">
      <c r="K643" s="40">
        <f t="shared" si="161"/>
        <v>6.18</v>
      </c>
      <c r="L643" s="41">
        <f t="shared" si="153"/>
        <v>26.18</v>
      </c>
      <c r="M643">
        <f t="shared" si="162"/>
        <v>0.86017669494166016</v>
      </c>
      <c r="N643">
        <f t="shared" si="163"/>
        <v>0.13982330505833759</v>
      </c>
      <c r="O643">
        <f t="shared" si="154"/>
        <v>9.5460942100061508E-2</v>
      </c>
      <c r="P643">
        <f t="shared" si="155"/>
        <v>0.5</v>
      </c>
      <c r="Q643">
        <f t="shared" si="164"/>
        <v>-1.22016251424793E-2</v>
      </c>
      <c r="R643" s="6">
        <f t="shared" si="165"/>
        <v>1.22016251424793E-2</v>
      </c>
      <c r="S643" s="18">
        <f t="shared" si="166"/>
        <v>0.99999999999999778</v>
      </c>
      <c r="T643" s="15"/>
      <c r="U643" s="15"/>
      <c r="V643" s="40">
        <f t="shared" si="167"/>
        <v>3.82</v>
      </c>
      <c r="W643" s="41">
        <f t="shared" si="156"/>
        <v>23.82</v>
      </c>
      <c r="X643">
        <f t="shared" si="168"/>
        <v>2.7954917019912446E-2</v>
      </c>
      <c r="Y643">
        <f t="shared" si="169"/>
        <v>1.7576197787856322</v>
      </c>
      <c r="Z643" s="33">
        <f t="shared" si="157"/>
        <v>7.7893134553269558E-2</v>
      </c>
      <c r="AA643" s="33">
        <f t="shared" si="158"/>
        <v>0.5</v>
      </c>
      <c r="AB643">
        <f t="shared" si="159"/>
        <v>-8.9520782612363126E-3</v>
      </c>
      <c r="AC643" s="1">
        <f t="shared" si="160"/>
        <v>-4.7286580177858473E-2</v>
      </c>
      <c r="AD643" s="35">
        <f>IF(W643&gt;=FinalAgeForPremium, AE643*Delta-Z643*(Y643-AE643),AE643*Delta+PremiumRevisedForLimitedTerm-Z643*(Y643-AE643))</f>
        <v>5.2891976150729325E-3</v>
      </c>
      <c r="AE643" s="35">
        <f>AE642-StepSize*AD642</f>
        <v>3.0047602450957996E-2</v>
      </c>
      <c r="AF643" s="1"/>
    </row>
    <row r="644" spans="11:32" x14ac:dyDescent="0.45">
      <c r="K644" s="40">
        <f t="shared" si="161"/>
        <v>6.19</v>
      </c>
      <c r="L644" s="41">
        <f t="shared" si="153"/>
        <v>26.19</v>
      </c>
      <c r="M644">
        <f t="shared" si="162"/>
        <v>0.86005467869023533</v>
      </c>
      <c r="N644">
        <f t="shared" si="163"/>
        <v>0.13994532130976239</v>
      </c>
      <c r="O644">
        <f t="shared" si="154"/>
        <v>9.5543243598447528E-2</v>
      </c>
      <c r="P644">
        <f t="shared" si="155"/>
        <v>0.5</v>
      </c>
      <c r="Q644">
        <f t="shared" si="164"/>
        <v>-1.2199753019204479E-2</v>
      </c>
      <c r="R644" s="6">
        <f t="shared" si="165"/>
        <v>1.2199753019204479E-2</v>
      </c>
      <c r="S644" s="18">
        <f t="shared" si="166"/>
        <v>0.99999999999999778</v>
      </c>
      <c r="T644" s="15"/>
      <c r="U644" s="15"/>
      <c r="V644" s="40">
        <f t="shared" si="167"/>
        <v>3.81</v>
      </c>
      <c r="W644" s="41">
        <f t="shared" si="156"/>
        <v>23.81</v>
      </c>
      <c r="X644">
        <f t="shared" si="168"/>
        <v>2.8044437802524809E-2</v>
      </c>
      <c r="Y644">
        <f t="shared" si="169"/>
        <v>1.7580926445874108</v>
      </c>
      <c r="Z644" s="33">
        <f t="shared" si="157"/>
        <v>7.7826036960114142E-2</v>
      </c>
      <c r="AA644" s="33">
        <f t="shared" si="158"/>
        <v>0.5</v>
      </c>
      <c r="AB644">
        <f t="shared" si="159"/>
        <v>-8.8613800965458012E-3</v>
      </c>
      <c r="AC644" s="1">
        <f t="shared" si="160"/>
        <v>-4.7071264378186539E-2</v>
      </c>
      <c r="AD644" s="35">
        <f>IF(W644&gt;=FinalAgeForPremium, AE644*Delta-Z644*(Y644-AE644),AE644*Delta+PremiumRevisedForLimitedTerm-Z644*(Y644-AE644))</f>
        <v>5.3615513070425225E-3</v>
      </c>
      <c r="AE644" s="35">
        <f>AE643-StepSize*AD643</f>
        <v>2.9994710474807267E-2</v>
      </c>
      <c r="AF644" s="1"/>
    </row>
    <row r="645" spans="11:32" x14ac:dyDescent="0.45">
      <c r="K645" s="40">
        <f t="shared" si="161"/>
        <v>6.2</v>
      </c>
      <c r="L645" s="41">
        <f t="shared" si="153"/>
        <v>26.2</v>
      </c>
      <c r="M645">
        <f t="shared" si="162"/>
        <v>0.85993268116004329</v>
      </c>
      <c r="N645">
        <f t="shared" si="163"/>
        <v>0.14006731883995444</v>
      </c>
      <c r="O645">
        <f t="shared" si="154"/>
        <v>9.5625616052938553E-2</v>
      </c>
      <c r="P645">
        <f t="shared" si="155"/>
        <v>0.5</v>
      </c>
      <c r="Q645">
        <f t="shared" si="164"/>
        <v>-1.2197932980007112E-2</v>
      </c>
      <c r="R645" s="6">
        <f t="shared" si="165"/>
        <v>1.2197932980007112E-2</v>
      </c>
      <c r="S645" s="18">
        <f t="shared" si="166"/>
        <v>0.99999999999999778</v>
      </c>
      <c r="T645" s="15"/>
      <c r="U645" s="15"/>
      <c r="V645" s="40">
        <f t="shared" si="167"/>
        <v>3.8</v>
      </c>
      <c r="W645" s="41">
        <f t="shared" si="156"/>
        <v>23.8</v>
      </c>
      <c r="X645">
        <f t="shared" si="168"/>
        <v>2.8133051603490267E-2</v>
      </c>
      <c r="Y645">
        <f t="shared" si="169"/>
        <v>1.7585633572311927</v>
      </c>
      <c r="Z645" s="33">
        <f t="shared" si="157"/>
        <v>7.7758997165210605E-2</v>
      </c>
      <c r="AA645" s="33">
        <f t="shared" si="158"/>
        <v>0.5</v>
      </c>
      <c r="AB645">
        <f t="shared" si="159"/>
        <v>-8.770678952376848E-3</v>
      </c>
      <c r="AC645" s="1">
        <f t="shared" si="160"/>
        <v>-4.6856679324589146E-2</v>
      </c>
      <c r="AD645" s="35">
        <f>IF(W645&gt;=FinalAgeForPremium, AE645*Delta-Z645*(Y645-AE645),AE645*Delta+PremiumRevisedForLimitedTerm-Z645*(Y645-AE645))</f>
        <v>5.4339506308028196E-3</v>
      </c>
      <c r="AE645" s="35">
        <f>AE644-StepSize*AD644</f>
        <v>2.9941094961736841E-2</v>
      </c>
      <c r="AF645" s="1"/>
    </row>
    <row r="646" spans="11:32" x14ac:dyDescent="0.45">
      <c r="K646" s="40">
        <f t="shared" si="161"/>
        <v>6.21</v>
      </c>
      <c r="L646" s="41">
        <f t="shared" si="153"/>
        <v>26.21</v>
      </c>
      <c r="M646">
        <f t="shared" si="162"/>
        <v>0.85981070183024322</v>
      </c>
      <c r="N646">
        <f t="shared" si="163"/>
        <v>0.14018929816975451</v>
      </c>
      <c r="O646">
        <f t="shared" si="154"/>
        <v>9.570805952470933E-2</v>
      </c>
      <c r="P646">
        <f t="shared" si="155"/>
        <v>0.5</v>
      </c>
      <c r="Q646">
        <f t="shared" si="164"/>
        <v>-1.2196164745873775E-2</v>
      </c>
      <c r="R646" s="6">
        <f t="shared" si="165"/>
        <v>1.2196164745873775E-2</v>
      </c>
      <c r="S646" s="18">
        <f t="shared" si="166"/>
        <v>0.99999999999999778</v>
      </c>
      <c r="T646" s="15"/>
      <c r="U646" s="15"/>
      <c r="V646" s="40">
        <f t="shared" si="167"/>
        <v>3.79</v>
      </c>
      <c r="W646" s="41">
        <f t="shared" si="156"/>
        <v>23.79</v>
      </c>
      <c r="X646">
        <f t="shared" si="168"/>
        <v>2.8220758393014037E-2</v>
      </c>
      <c r="Y646">
        <f t="shared" si="169"/>
        <v>1.7590319240244385</v>
      </c>
      <c r="Z646" s="33">
        <f t="shared" si="157"/>
        <v>7.7692015118771149E-2</v>
      </c>
      <c r="AA646" s="33">
        <f t="shared" si="158"/>
        <v>0.5</v>
      </c>
      <c r="AB646">
        <f t="shared" si="159"/>
        <v>-8.6799756309761666E-3</v>
      </c>
      <c r="AC646" s="1">
        <f t="shared" si="160"/>
        <v>-4.6642820983065825E-2</v>
      </c>
      <c r="AD646" s="35">
        <f>IF(W646&gt;=FinalAgeForPremium, AE646*Delta-Z646*(Y646-AE646),AE646*Delta+PremiumRevisedForLimitedTerm-Z646*(Y646-AE646))</f>
        <v>5.5063946680043996E-3</v>
      </c>
      <c r="AE646" s="35">
        <f>AE645-StepSize*AD645</f>
        <v>2.9886755455428814E-2</v>
      </c>
      <c r="AF646" s="1"/>
    </row>
    <row r="647" spans="11:32" x14ac:dyDescent="0.45">
      <c r="K647" s="40">
        <f t="shared" si="161"/>
        <v>6.22</v>
      </c>
      <c r="L647" s="41">
        <f t="shared" si="153"/>
        <v>26.22</v>
      </c>
      <c r="M647">
        <f t="shared" si="162"/>
        <v>0.85968874018278452</v>
      </c>
      <c r="N647">
        <f t="shared" si="163"/>
        <v>0.14031125981721324</v>
      </c>
      <c r="O647">
        <f t="shared" si="154"/>
        <v>9.5790574074987284E-2</v>
      </c>
      <c r="P647">
        <f t="shared" si="155"/>
        <v>0.5</v>
      </c>
      <c r="Q647">
        <f t="shared" si="164"/>
        <v>-1.2194448039304903E-2</v>
      </c>
      <c r="R647" s="6">
        <f t="shared" si="165"/>
        <v>1.2194448039304903E-2</v>
      </c>
      <c r="S647" s="18">
        <f t="shared" si="166"/>
        <v>0.99999999999999778</v>
      </c>
      <c r="T647" s="15"/>
      <c r="U647" s="15"/>
      <c r="V647" s="40">
        <f t="shared" si="167"/>
        <v>3.78</v>
      </c>
      <c r="W647" s="41">
        <f t="shared" si="156"/>
        <v>23.78</v>
      </c>
      <c r="X647">
        <f t="shared" si="168"/>
        <v>2.83075581493238E-2</v>
      </c>
      <c r="Y647">
        <f t="shared" si="169"/>
        <v>1.7594983522342691</v>
      </c>
      <c r="Z647" s="33">
        <f t="shared" si="157"/>
        <v>7.7625090771050925E-2</v>
      </c>
      <c r="AA647" s="33">
        <f t="shared" si="158"/>
        <v>0.5</v>
      </c>
      <c r="AB647">
        <f t="shared" si="159"/>
        <v>-8.5892709280377677E-3</v>
      </c>
      <c r="AC647" s="1">
        <f t="shared" si="160"/>
        <v>-4.642968534581382E-2</v>
      </c>
      <c r="AD647" s="35">
        <f>IF(W647&gt;=FinalAgeForPremium, AE647*Delta-Z647*(Y647-AE647),AE647*Delta+PremiumRevisedForLimitedTerm-Z647*(Y647-AE647))</f>
        <v>5.5788825072049242E-3</v>
      </c>
      <c r="AE647" s="35">
        <f>AE646-StepSize*AD646</f>
        <v>2.9831691508748769E-2</v>
      </c>
      <c r="AF647" s="1"/>
    </row>
    <row r="648" spans="11:32" x14ac:dyDescent="0.45">
      <c r="K648" s="40">
        <f t="shared" si="161"/>
        <v>6.23</v>
      </c>
      <c r="L648" s="41">
        <f t="shared" si="153"/>
        <v>26.23</v>
      </c>
      <c r="M648">
        <f t="shared" si="162"/>
        <v>0.85956679570239147</v>
      </c>
      <c r="N648">
        <f t="shared" si="163"/>
        <v>0.14043320429760628</v>
      </c>
      <c r="O648">
        <f t="shared" si="154"/>
        <v>9.5873159765052701E-2</v>
      </c>
      <c r="P648">
        <f t="shared" si="155"/>
        <v>0.5</v>
      </c>
      <c r="Q648">
        <f t="shared" si="164"/>
        <v>-1.2192782584306658E-2</v>
      </c>
      <c r="R648" s="6">
        <f t="shared" si="165"/>
        <v>1.2192782584306658E-2</v>
      </c>
      <c r="S648" s="18">
        <f t="shared" si="166"/>
        <v>0.99999999999999778</v>
      </c>
      <c r="T648" s="15"/>
      <c r="U648" s="15"/>
      <c r="V648" s="40">
        <f t="shared" si="167"/>
        <v>3.77</v>
      </c>
      <c r="W648" s="41">
        <f t="shared" si="156"/>
        <v>23.77</v>
      </c>
      <c r="X648">
        <f t="shared" si="168"/>
        <v>2.8393450858604178E-2</v>
      </c>
      <c r="Y648">
        <f t="shared" si="169"/>
        <v>1.7599626490877271</v>
      </c>
      <c r="Z648" s="33">
        <f t="shared" si="157"/>
        <v>7.7558224072347901E-2</v>
      </c>
      <c r="AA648" s="33">
        <f t="shared" si="158"/>
        <v>0.5</v>
      </c>
      <c r="AB648">
        <f t="shared" si="159"/>
        <v>-8.498565632752253E-3</v>
      </c>
      <c r="AC648" s="1">
        <f t="shared" si="160"/>
        <v>-4.6217268431052116E-2</v>
      </c>
      <c r="AD648" s="35">
        <f>IF(W648&gt;=FinalAgeForPremium, AE648*Delta-Z648*(Y648-AE648),AE648*Delta+PremiumRevisedForLimitedTerm-Z648*(Y648-AE648))</f>
        <v>5.6514132438184872E-3</v>
      </c>
      <c r="AE648" s="35">
        <f>AE647-StepSize*AD647</f>
        <v>2.9775902683676719E-2</v>
      </c>
      <c r="AF648" s="1"/>
    </row>
    <row r="649" spans="11:32" x14ac:dyDescent="0.45">
      <c r="K649" s="40">
        <f t="shared" si="161"/>
        <v>6.24</v>
      </c>
      <c r="L649" s="41">
        <f t="shared" si="153"/>
        <v>26.240000000000002</v>
      </c>
      <c r="M649">
        <f t="shared" si="162"/>
        <v>0.85944486787654839</v>
      </c>
      <c r="N649">
        <f t="shared" si="163"/>
        <v>0.14055513212344933</v>
      </c>
      <c r="O649">
        <f t="shared" si="154"/>
        <v>9.5955816656238521E-2</v>
      </c>
      <c r="P649">
        <f t="shared" si="155"/>
        <v>0.5</v>
      </c>
      <c r="Q649">
        <f t="shared" si="164"/>
        <v>-1.2191168106382544E-2</v>
      </c>
      <c r="R649" s="6">
        <f t="shared" si="165"/>
        <v>1.2191168106382544E-2</v>
      </c>
      <c r="S649" s="18">
        <f t="shared" si="166"/>
        <v>0.99999999999999778</v>
      </c>
      <c r="T649" s="15"/>
      <c r="U649" s="15"/>
      <c r="V649" s="40">
        <f t="shared" si="167"/>
        <v>3.76</v>
      </c>
      <c r="W649" s="41">
        <f t="shared" si="156"/>
        <v>23.759999999999998</v>
      </c>
      <c r="X649">
        <f t="shared" si="168"/>
        <v>2.8478436514931701E-2</v>
      </c>
      <c r="Y649">
        <f t="shared" si="169"/>
        <v>1.7604248217720377</v>
      </c>
      <c r="Z649" s="33">
        <f t="shared" si="157"/>
        <v>7.7491414973002937E-2</v>
      </c>
      <c r="AA649" s="33">
        <f t="shared" si="158"/>
        <v>0.5</v>
      </c>
      <c r="AB649">
        <f t="shared" si="159"/>
        <v>-8.4078605278565532E-3</v>
      </c>
      <c r="AC649" s="1">
        <f t="shared" si="160"/>
        <v>-4.6005566282845134E-2</v>
      </c>
      <c r="AD649" s="35">
        <f>IF(W649&gt;=FinalAgeForPremium, AE649*Delta-Z649*(Y649-AE649),AE649*Delta+PremiumRevisedForLimitedTerm-Z649*(Y649-AE649))</f>
        <v>5.7239859800647108E-3</v>
      </c>
      <c r="AE649" s="35">
        <f>AE648-StepSize*AD648</f>
        <v>2.9719388551238533E-2</v>
      </c>
      <c r="AF649" s="1"/>
    </row>
    <row r="650" spans="11:32" x14ac:dyDescent="0.45">
      <c r="K650" s="40">
        <f t="shared" si="161"/>
        <v>6.25</v>
      </c>
      <c r="L650" s="41">
        <f t="shared" si="153"/>
        <v>26.25</v>
      </c>
      <c r="M650">
        <f t="shared" si="162"/>
        <v>0.8593229561954846</v>
      </c>
      <c r="N650">
        <f t="shared" si="163"/>
        <v>0.14067704380451315</v>
      </c>
      <c r="O650">
        <f t="shared" si="154"/>
        <v>9.6038544809930737E-2</v>
      </c>
      <c r="P650">
        <f t="shared" si="155"/>
        <v>0.5</v>
      </c>
      <c r="Q650">
        <f t="shared" si="164"/>
        <v>-1.2189604332525625E-2</v>
      </c>
      <c r="R650" s="6">
        <f t="shared" si="165"/>
        <v>1.2189604332525625E-2</v>
      </c>
      <c r="S650" s="18">
        <f t="shared" si="166"/>
        <v>0.99999999999999778</v>
      </c>
      <c r="T650" s="15"/>
      <c r="U650" s="15"/>
      <c r="V650" s="40">
        <f t="shared" si="167"/>
        <v>3.75</v>
      </c>
      <c r="W650" s="41">
        <f t="shared" si="156"/>
        <v>23.75</v>
      </c>
      <c r="X650">
        <f t="shared" si="168"/>
        <v>2.8562515120210265E-2</v>
      </c>
      <c r="Y650">
        <f t="shared" si="169"/>
        <v>1.7608848774348662</v>
      </c>
      <c r="Z650" s="33">
        <f t="shared" si="157"/>
        <v>7.7424663423399584E-2</v>
      </c>
      <c r="AA650" s="33">
        <f t="shared" si="158"/>
        <v>0.5</v>
      </c>
      <c r="AB650">
        <f t="shared" si="159"/>
        <v>-8.3171563896825285E-3</v>
      </c>
      <c r="AC650" s="1">
        <f t="shared" si="160"/>
        <v>-4.5794574970928759E-2</v>
      </c>
      <c r="AD650" s="35">
        <f>IF(W650&gt;=FinalAgeForPremium, AE650*Delta-Z650*(Y650-AE650),AE650*Delta+PremiumRevisedForLimitedTerm-Z650*(Y650-AE650))</f>
        <v>5.7965998249190909E-3</v>
      </c>
      <c r="AE650" s="35">
        <f>AE649-StepSize*AD649</f>
        <v>2.9662148691437885E-2</v>
      </c>
      <c r="AF650" s="1"/>
    </row>
    <row r="651" spans="11:32" x14ac:dyDescent="0.45">
      <c r="K651" s="40">
        <f t="shared" si="161"/>
        <v>6.26</v>
      </c>
      <c r="L651" s="41">
        <f t="shared" si="153"/>
        <v>26.259999999999998</v>
      </c>
      <c r="M651">
        <f t="shared" si="162"/>
        <v>0.85920106015215936</v>
      </c>
      <c r="N651">
        <f t="shared" si="163"/>
        <v>0.14079893984783839</v>
      </c>
      <c r="O651">
        <f t="shared" si="154"/>
        <v>9.6121344287568203E-2</v>
      </c>
      <c r="P651">
        <f t="shared" si="155"/>
        <v>0.5</v>
      </c>
      <c r="Q651">
        <f t="shared" si="164"/>
        <v>-1.2188090991210113E-2</v>
      </c>
      <c r="R651" s="6">
        <f t="shared" si="165"/>
        <v>1.2188090991210113E-2</v>
      </c>
      <c r="S651" s="18">
        <f t="shared" si="166"/>
        <v>0.99999999999999778</v>
      </c>
      <c r="T651" s="15"/>
      <c r="U651" s="15"/>
      <c r="V651" s="40">
        <f t="shared" si="167"/>
        <v>3.74</v>
      </c>
      <c r="W651" s="41">
        <f t="shared" si="156"/>
        <v>23.740000000000002</v>
      </c>
      <c r="X651">
        <f t="shared" si="168"/>
        <v>2.864568668410709E-2</v>
      </c>
      <c r="Y651">
        <f t="shared" si="169"/>
        <v>1.7613428231845756</v>
      </c>
      <c r="Z651" s="33">
        <f t="shared" si="157"/>
        <v>7.7357969373964164E-2</v>
      </c>
      <c r="AA651" s="33">
        <f t="shared" si="158"/>
        <v>0.5</v>
      </c>
      <c r="AB651">
        <f t="shared" si="159"/>
        <v>-8.2264539882056231E-3</v>
      </c>
      <c r="AC651" s="1">
        <f t="shared" si="160"/>
        <v>-4.5584290590537035E-2</v>
      </c>
      <c r="AD651" s="35">
        <f>IF(W651&gt;=FinalAgeForPremium, AE651*Delta-Z651*(Y651-AE651),AE651*Delta+PremiumRevisedForLimitedTerm-Z651*(Y651-AE651))</f>
        <v>5.8692538940629257E-3</v>
      </c>
      <c r="AE651" s="35">
        <f>AE650-StepSize*AD650</f>
        <v>2.9604182693188694E-2</v>
      </c>
      <c r="AF651" s="1"/>
    </row>
    <row r="652" spans="11:32" x14ac:dyDescent="0.45">
      <c r="K652" s="40">
        <f t="shared" si="161"/>
        <v>6.27</v>
      </c>
      <c r="L652" s="41">
        <f t="shared" si="153"/>
        <v>26.27</v>
      </c>
      <c r="M652">
        <f t="shared" si="162"/>
        <v>0.8590791792422473</v>
      </c>
      <c r="N652">
        <f t="shared" si="163"/>
        <v>0.1409208207577505</v>
      </c>
      <c r="O652">
        <f t="shared" si="154"/>
        <v>9.6204215150642786E-2</v>
      </c>
      <c r="P652">
        <f t="shared" si="155"/>
        <v>0.5</v>
      </c>
      <c r="Q652">
        <f t="shared" si="164"/>
        <v>-1.2186627812383527E-2</v>
      </c>
      <c r="R652" s="6">
        <f t="shared" si="165"/>
        <v>1.2186627812383527E-2</v>
      </c>
      <c r="S652" s="18">
        <f t="shared" si="166"/>
        <v>0.99999999999999778</v>
      </c>
      <c r="T652" s="15"/>
      <c r="U652" s="15"/>
      <c r="V652" s="40">
        <f t="shared" si="167"/>
        <v>3.73</v>
      </c>
      <c r="W652" s="41">
        <f t="shared" si="156"/>
        <v>23.73</v>
      </c>
      <c r="X652">
        <f t="shared" si="168"/>
        <v>2.8727951223989148E-2</v>
      </c>
      <c r="Y652">
        <f t="shared" si="169"/>
        <v>1.761798666090481</v>
      </c>
      <c r="Z652" s="33">
        <f t="shared" si="157"/>
        <v>7.7291332775165672E-2</v>
      </c>
      <c r="AA652" s="33">
        <f t="shared" si="158"/>
        <v>0.5</v>
      </c>
      <c r="AB652">
        <f t="shared" si="159"/>
        <v>-8.1357540870931611E-3</v>
      </c>
      <c r="AC652" s="1">
        <f t="shared" si="160"/>
        <v>-4.5374709262229973E-2</v>
      </c>
      <c r="AD652" s="35">
        <f>IF(W652&gt;=FinalAgeForPremium, AE652*Delta-Z652*(Y652-AE652),AE652*Delta+PremiumRevisedForLimitedTerm-Z652*(Y652-AE652))</f>
        <v>5.9419473098339393E-3</v>
      </c>
      <c r="AE652" s="35">
        <f>AE651-StepSize*AD651</f>
        <v>2.9545490154248063E-2</v>
      </c>
      <c r="AF652" s="1"/>
    </row>
    <row r="653" spans="11:32" x14ac:dyDescent="0.45">
      <c r="K653" s="40">
        <f t="shared" si="161"/>
        <v>6.28</v>
      </c>
      <c r="L653" s="41">
        <f t="shared" si="153"/>
        <v>26.28</v>
      </c>
      <c r="M653">
        <f t="shared" si="162"/>
        <v>0.85895731296412348</v>
      </c>
      <c r="N653">
        <f t="shared" si="163"/>
        <v>0.14104268703587433</v>
      </c>
      <c r="O653">
        <f t="shared" si="154"/>
        <v>9.6287157460699227E-2</v>
      </c>
      <c r="P653">
        <f t="shared" si="155"/>
        <v>0.5</v>
      </c>
      <c r="Q653">
        <f t="shared" si="164"/>
        <v>-1.2185214527458493E-2</v>
      </c>
      <c r="R653" s="6">
        <f t="shared" si="165"/>
        <v>1.2185214527458493E-2</v>
      </c>
      <c r="S653" s="18">
        <f t="shared" si="166"/>
        <v>0.99999999999999778</v>
      </c>
      <c r="T653" s="15"/>
      <c r="U653" s="15"/>
      <c r="V653" s="40">
        <f t="shared" si="167"/>
        <v>3.72</v>
      </c>
      <c r="W653" s="41">
        <f t="shared" si="156"/>
        <v>23.72</v>
      </c>
      <c r="X653">
        <f t="shared" si="168"/>
        <v>2.880930876486008E-2</v>
      </c>
      <c r="Y653">
        <f t="shared" si="169"/>
        <v>1.7622524131831032</v>
      </c>
      <c r="Z653" s="33">
        <f t="shared" si="157"/>
        <v>7.7224753577515876E-2</v>
      </c>
      <c r="AA653" s="33">
        <f t="shared" si="158"/>
        <v>0.5</v>
      </c>
      <c r="AB653">
        <f t="shared" si="159"/>
        <v>-8.0450574437522793E-3</v>
      </c>
      <c r="AC653" s="1">
        <f t="shared" si="160"/>
        <v>-4.5165827131723235E-2</v>
      </c>
      <c r="AD653" s="35">
        <f>IF(W653&gt;=FinalAgeForPremium, AE653*Delta-Z653*(Y653-AE653),AE653*Delta+PremiumRevisedForLimitedTerm-Z653*(Y653-AE653))</f>
        <v>6.014679201177181E-3</v>
      </c>
      <c r="AE653" s="35">
        <f>AE652-StepSize*AD652</f>
        <v>2.9486070681149723E-2</v>
      </c>
      <c r="AF653" s="1"/>
    </row>
    <row r="654" spans="11:32" x14ac:dyDescent="0.45">
      <c r="K654" s="40">
        <f t="shared" si="161"/>
        <v>6.29</v>
      </c>
      <c r="L654" s="41">
        <f t="shared" si="153"/>
        <v>26.29</v>
      </c>
      <c r="M654">
        <f t="shared" si="162"/>
        <v>0.85883546081884887</v>
      </c>
      <c r="N654">
        <f t="shared" si="163"/>
        <v>0.14116453918114891</v>
      </c>
      <c r="O654">
        <f t="shared" si="154"/>
        <v>9.637017127933549E-2</v>
      </c>
      <c r="P654">
        <f t="shared" si="155"/>
        <v>0.5</v>
      </c>
      <c r="Q654">
        <f t="shared" si="164"/>
        <v>-1.2183850869305041E-2</v>
      </c>
      <c r="R654" s="6">
        <f t="shared" si="165"/>
        <v>1.2183850869305041E-2</v>
      </c>
      <c r="S654" s="18">
        <f t="shared" si="166"/>
        <v>0.99999999999999778</v>
      </c>
      <c r="T654" s="15"/>
      <c r="U654" s="15"/>
      <c r="V654" s="40">
        <f t="shared" si="167"/>
        <v>3.71</v>
      </c>
      <c r="W654" s="41">
        <f t="shared" si="156"/>
        <v>23.71</v>
      </c>
      <c r="X654">
        <f t="shared" si="168"/>
        <v>2.8889759339297601E-2</v>
      </c>
      <c r="Y654">
        <f t="shared" si="169"/>
        <v>1.7627040714544204</v>
      </c>
      <c r="Z654" s="33">
        <f t="shared" si="157"/>
        <v>7.7158231731569035E-2</v>
      </c>
      <c r="AA654" s="33">
        <f t="shared" si="158"/>
        <v>0.5</v>
      </c>
      <c r="AB654">
        <f t="shared" si="159"/>
        <v>-7.9543648093770569E-3</v>
      </c>
      <c r="AC654" s="1">
        <f t="shared" si="160"/>
        <v>-4.4957640369717611E-2</v>
      </c>
      <c r="AD654" s="35">
        <f>IF(W654&gt;=FinalAgeForPremium, AE654*Delta-Z654*(Y654-AE654),AE654*Delta+PremiumRevisedForLimitedTerm-Z654*(Y654-AE654))</f>
        <v>6.0874487035966762E-3</v>
      </c>
      <c r="AE654" s="35">
        <f>AE653-StepSize*AD653</f>
        <v>2.942592388913795E-2</v>
      </c>
      <c r="AF654" s="1"/>
    </row>
    <row r="655" spans="11:32" x14ac:dyDescent="0.45">
      <c r="K655" s="40">
        <f t="shared" si="161"/>
        <v>6.3</v>
      </c>
      <c r="L655" s="41">
        <f t="shared" si="153"/>
        <v>26.3</v>
      </c>
      <c r="M655">
        <f t="shared" si="162"/>
        <v>0.8587136223101558</v>
      </c>
      <c r="N655">
        <f t="shared" si="163"/>
        <v>0.14128637768984195</v>
      </c>
      <c r="O655">
        <f t="shared" si="154"/>
        <v>9.6453256668202605E-2</v>
      </c>
      <c r="P655">
        <f t="shared" si="155"/>
        <v>0.5</v>
      </c>
      <c r="Q655">
        <f t="shared" si="164"/>
        <v>-1.2182536572242469E-2</v>
      </c>
      <c r="R655" s="6">
        <f t="shared" si="165"/>
        <v>1.2182536572242469E-2</v>
      </c>
      <c r="S655" s="18">
        <f t="shared" si="166"/>
        <v>0.99999999999999778</v>
      </c>
      <c r="T655" s="15"/>
      <c r="U655" s="15"/>
      <c r="V655" s="40">
        <f t="shared" si="167"/>
        <v>3.7</v>
      </c>
      <c r="W655" s="41">
        <f t="shared" si="156"/>
        <v>23.7</v>
      </c>
      <c r="X655">
        <f t="shared" si="168"/>
        <v>2.8969302987391372E-2</v>
      </c>
      <c r="Y655">
        <f t="shared" si="169"/>
        <v>1.7631536478581176</v>
      </c>
      <c r="Z655" s="33">
        <f t="shared" si="157"/>
        <v>7.7091767187922045E-2</v>
      </c>
      <c r="AA655" s="33">
        <f t="shared" si="158"/>
        <v>0.5</v>
      </c>
      <c r="AB655">
        <f t="shared" si="159"/>
        <v>-7.8636769289958941E-3</v>
      </c>
      <c r="AC655" s="1">
        <f t="shared" si="160"/>
        <v>-4.4750145171731037E-2</v>
      </c>
      <c r="AD655" s="35">
        <f>IF(W655&gt;=FinalAgeForPremium, AE655*Delta-Z655*(Y655-AE655),AE655*Delta+PremiumRevisedForLimitedTerm-Z655*(Y655-AE655))</f>
        <v>6.1602549591068256E-3</v>
      </c>
      <c r="AE655" s="35">
        <f>AE654-StepSize*AD654</f>
        <v>2.9365049402101984E-2</v>
      </c>
      <c r="AF655" s="1"/>
    </row>
    <row r="656" spans="11:32" x14ac:dyDescent="0.45">
      <c r="K656" s="40">
        <f t="shared" si="161"/>
        <v>6.31</v>
      </c>
      <c r="L656" s="41">
        <f t="shared" si="153"/>
        <v>26.31</v>
      </c>
      <c r="M656">
        <f t="shared" si="162"/>
        <v>0.85859179694443333</v>
      </c>
      <c r="N656">
        <f t="shared" si="163"/>
        <v>0.14140820305556437</v>
      </c>
      <c r="O656">
        <f t="shared" si="154"/>
        <v>9.6536413689004646E-2</v>
      </c>
      <c r="P656">
        <f t="shared" si="155"/>
        <v>0.5</v>
      </c>
      <c r="Q656">
        <f t="shared" si="164"/>
        <v>-1.218127137203151E-2</v>
      </c>
      <c r="R656" s="6">
        <f t="shared" si="165"/>
        <v>1.218127137203151E-2</v>
      </c>
      <c r="S656" s="18">
        <f t="shared" si="166"/>
        <v>0.99999999999999767</v>
      </c>
      <c r="T656" s="15"/>
      <c r="U656" s="15"/>
      <c r="V656" s="40">
        <f t="shared" si="167"/>
        <v>3.69</v>
      </c>
      <c r="W656" s="41">
        <f t="shared" si="156"/>
        <v>23.69</v>
      </c>
      <c r="X656">
        <f t="shared" si="168"/>
        <v>2.904793975668133E-2</v>
      </c>
      <c r="Y656">
        <f t="shared" si="169"/>
        <v>1.7636011493098349</v>
      </c>
      <c r="Z656" s="33">
        <f t="shared" si="157"/>
        <v>7.7025359897214485E-2</v>
      </c>
      <c r="AA656" s="33">
        <f t="shared" si="158"/>
        <v>0.5</v>
      </c>
      <c r="AB656">
        <f t="shared" si="159"/>
        <v>-7.7729945415184187E-3</v>
      </c>
      <c r="AC656" s="1">
        <f t="shared" si="160"/>
        <v>-4.4543337757931512E-2</v>
      </c>
      <c r="AD656" s="35">
        <f>IF(W656&gt;=FinalAgeForPremium, AE656*Delta-Z656*(Y656-AE656),AE656*Delta+PremiumRevisedForLimitedTerm-Z656*(Y656-AE656))</f>
        <v>6.2330971161844995E-3</v>
      </c>
      <c r="AE656" s="35">
        <f>AE655-StepSize*AD655</f>
        <v>2.9303446852510916E-2</v>
      </c>
      <c r="AF656" s="1"/>
    </row>
    <row r="657" spans="11:32" x14ac:dyDescent="0.45">
      <c r="K657" s="40">
        <f t="shared" si="161"/>
        <v>6.32</v>
      </c>
      <c r="L657" s="41">
        <f t="shared" si="153"/>
        <v>26.32</v>
      </c>
      <c r="M657">
        <f t="shared" si="162"/>
        <v>0.85846998423071297</v>
      </c>
      <c r="N657">
        <f t="shared" si="163"/>
        <v>0.14153001576928467</v>
      </c>
      <c r="O657">
        <f t="shared" si="154"/>
        <v>9.6619642403499087E-2</v>
      </c>
      <c r="P657">
        <f t="shared" si="155"/>
        <v>0.5</v>
      </c>
      <c r="Q657">
        <f t="shared" si="164"/>
        <v>-1.218005500586665E-2</v>
      </c>
      <c r="R657" s="6">
        <f t="shared" si="165"/>
        <v>1.218005500586665E-2</v>
      </c>
      <c r="S657" s="18">
        <f t="shared" si="166"/>
        <v>0.99999999999999767</v>
      </c>
      <c r="T657" s="15"/>
      <c r="U657" s="15"/>
      <c r="V657" s="40">
        <f t="shared" si="167"/>
        <v>3.68</v>
      </c>
      <c r="W657" s="41">
        <f t="shared" si="156"/>
        <v>23.68</v>
      </c>
      <c r="X657">
        <f t="shared" si="168"/>
        <v>2.9125669702096516E-2</v>
      </c>
      <c r="Y657">
        <f t="shared" si="169"/>
        <v>1.7640465826874143</v>
      </c>
      <c r="Z657" s="33">
        <f t="shared" si="157"/>
        <v>7.6959009810128209E-2</v>
      </c>
      <c r="AA657" s="33">
        <f t="shared" si="158"/>
        <v>0.5</v>
      </c>
      <c r="AB657">
        <f t="shared" si="159"/>
        <v>-7.6823183797811723E-3</v>
      </c>
      <c r="AC657" s="1">
        <f t="shared" si="160"/>
        <v>-4.4337214372970335E-2</v>
      </c>
      <c r="AD657" s="35">
        <f>IF(W657&gt;=FinalAgeForPremium, AE657*Delta-Z657*(Y657-AE657),AE657*Delta+PremiumRevisedForLimitedTerm-Z657*(Y657-AE657))</f>
        <v>6.3059743297219639E-3</v>
      </c>
      <c r="AE657" s="35">
        <f>AE656-StepSize*AD656</f>
        <v>2.9241115881349072E-2</v>
      </c>
      <c r="AF657" s="1"/>
    </row>
    <row r="658" spans="11:32" x14ac:dyDescent="0.45">
      <c r="K658" s="40">
        <f t="shared" si="161"/>
        <v>6.33</v>
      </c>
      <c r="L658" s="41">
        <f t="shared" si="153"/>
        <v>26.33</v>
      </c>
      <c r="M658">
        <f t="shared" si="162"/>
        <v>0.85834818368065435</v>
      </c>
      <c r="N658">
        <f t="shared" si="163"/>
        <v>0.14165181631934334</v>
      </c>
      <c r="O658">
        <f t="shared" si="154"/>
        <v>9.6702942873496428E-2</v>
      </c>
      <c r="P658">
        <f t="shared" si="155"/>
        <v>0.5</v>
      </c>
      <c r="Q658">
        <f t="shared" si="164"/>
        <v>-1.2178887212368067E-2</v>
      </c>
      <c r="R658" s="6">
        <f t="shared" si="165"/>
        <v>1.2178887212368067E-2</v>
      </c>
      <c r="S658" s="18">
        <f t="shared" si="166"/>
        <v>0.99999999999999767</v>
      </c>
      <c r="T658" s="15"/>
      <c r="U658" s="15"/>
      <c r="V658" s="40">
        <f t="shared" si="167"/>
        <v>3.67</v>
      </c>
      <c r="W658" s="41">
        <f t="shared" si="156"/>
        <v>23.67</v>
      </c>
      <c r="X658">
        <f t="shared" si="168"/>
        <v>2.9202492885894327E-2</v>
      </c>
      <c r="Y658">
        <f t="shared" si="169"/>
        <v>1.7644899548311441</v>
      </c>
      <c r="Z658" s="33">
        <f t="shared" si="157"/>
        <v>7.6892716877387787E-2</v>
      </c>
      <c r="AA658" s="33">
        <f t="shared" si="158"/>
        <v>0.5</v>
      </c>
      <c r="AB658">
        <f t="shared" si="159"/>
        <v>-7.5916491705945444E-3</v>
      </c>
      <c r="AC658" s="1">
        <f t="shared" si="160"/>
        <v>-4.4131771285817911E-2</v>
      </c>
      <c r="AD658" s="35">
        <f>IF(W658&gt;=FinalAgeForPremium, AE658*Delta-Z658*(Y658-AE658),AE658*Delta+PremiumRevisedForLimitedTerm-Z658*(Y658-AE658))</f>
        <v>6.3788857609789473E-3</v>
      </c>
      <c r="AE658" s="35">
        <f>AE657-StepSize*AD657</f>
        <v>2.9178056138051852E-2</v>
      </c>
      <c r="AF658" s="1"/>
    </row>
    <row r="659" spans="11:32" x14ac:dyDescent="0.45">
      <c r="K659" s="40">
        <f t="shared" si="161"/>
        <v>6.34</v>
      </c>
      <c r="L659" s="41">
        <f t="shared" si="153"/>
        <v>26.34</v>
      </c>
      <c r="M659">
        <f t="shared" si="162"/>
        <v>0.85822639480853069</v>
      </c>
      <c r="N659">
        <f t="shared" si="163"/>
        <v>0.14177360519146703</v>
      </c>
      <c r="O659">
        <f t="shared" si="154"/>
        <v>9.67863151608606E-2</v>
      </c>
      <c r="P659">
        <f t="shared" si="155"/>
        <v>0.5</v>
      </c>
      <c r="Q659">
        <f t="shared" si="164"/>
        <v>-1.2177767731574113E-2</v>
      </c>
      <c r="R659" s="6">
        <f t="shared" si="165"/>
        <v>1.2177767731574113E-2</v>
      </c>
      <c r="S659" s="18">
        <f t="shared" si="166"/>
        <v>0.99999999999999778</v>
      </c>
      <c r="T659" s="15"/>
      <c r="U659" s="15"/>
      <c r="V659" s="40">
        <f t="shared" si="167"/>
        <v>3.66</v>
      </c>
      <c r="W659" s="41">
        <f t="shared" si="156"/>
        <v>23.66</v>
      </c>
      <c r="X659">
        <f t="shared" si="168"/>
        <v>2.9278409377600272E-2</v>
      </c>
      <c r="Y659">
        <f t="shared" si="169"/>
        <v>1.7649312725440023</v>
      </c>
      <c r="Z659" s="33">
        <f t="shared" si="157"/>
        <v>7.6826481049760101E-2</v>
      </c>
      <c r="AA659" s="33">
        <f t="shared" si="158"/>
        <v>0.5</v>
      </c>
      <c r="AB659">
        <f t="shared" si="159"/>
        <v>-7.5009876347877646E-3</v>
      </c>
      <c r="AC659" s="1">
        <f t="shared" si="160"/>
        <v>-4.3927004789598878E-2</v>
      </c>
      <c r="AD659" s="35">
        <f>IF(W659&gt;=FinalAgeForPremium, AE659*Delta-Z659*(Y659-AE659),AE659*Delta+PremiumRevisedForLimitedTerm-Z659*(Y659-AE659))</f>
        <v>6.4518305775364271E-3</v>
      </c>
      <c r="AE659" s="35">
        <f>AE658-StepSize*AD658</f>
        <v>2.9114267280442061E-2</v>
      </c>
      <c r="AF659" s="1"/>
    </row>
    <row r="660" spans="11:32" x14ac:dyDescent="0.45">
      <c r="K660" s="40">
        <f t="shared" si="161"/>
        <v>6.35</v>
      </c>
      <c r="L660" s="41">
        <f t="shared" si="153"/>
        <v>26.35</v>
      </c>
      <c r="M660">
        <f t="shared" si="162"/>
        <v>0.858104617131215</v>
      </c>
      <c r="N660">
        <f t="shared" si="163"/>
        <v>0.14189538286878278</v>
      </c>
      <c r="O660">
        <f t="shared" si="154"/>
        <v>9.6869759327508881E-2</v>
      </c>
      <c r="P660">
        <f t="shared" si="155"/>
        <v>0.5</v>
      </c>
      <c r="Q660">
        <f t="shared" si="164"/>
        <v>-1.2176696304933565E-2</v>
      </c>
      <c r="R660" s="6">
        <f t="shared" si="165"/>
        <v>1.2176696304933565E-2</v>
      </c>
      <c r="S660" s="18">
        <f t="shared" si="166"/>
        <v>0.99999999999999778</v>
      </c>
      <c r="T660" s="15"/>
      <c r="U660" s="15"/>
      <c r="V660" s="40">
        <f t="shared" si="167"/>
        <v>3.65</v>
      </c>
      <c r="W660" s="41">
        <f t="shared" si="156"/>
        <v>23.65</v>
      </c>
      <c r="X660">
        <f t="shared" si="168"/>
        <v>2.9353419253948149E-2</v>
      </c>
      <c r="Y660">
        <f t="shared" si="169"/>
        <v>1.7653705425918982</v>
      </c>
      <c r="Z660" s="33">
        <f t="shared" si="157"/>
        <v>7.6760302278054443E-2</v>
      </c>
      <c r="AA660" s="33">
        <f t="shared" si="158"/>
        <v>0.5</v>
      </c>
      <c r="AB660">
        <f t="shared" si="159"/>
        <v>-7.4103344872544774E-3</v>
      </c>
      <c r="AC660" s="1">
        <f t="shared" si="160"/>
        <v>-4.3722911201430126E-2</v>
      </c>
      <c r="AD660" s="35">
        <f>IF(W660&gt;=FinalAgeForPremium, AE660*Delta-Z660*(Y660-AE660),AE660*Delta+PremiumRevisedForLimitedTerm-Z660*(Y660-AE660))</f>
        <v>6.524807953249806E-3</v>
      </c>
      <c r="AE660" s="35">
        <f>AE659-StepSize*AD659</f>
        <v>2.9049748974666698E-2</v>
      </c>
      <c r="AF660" s="1"/>
    </row>
    <row r="661" spans="11:32" x14ac:dyDescent="0.45">
      <c r="K661" s="40">
        <f t="shared" si="161"/>
        <v>6.36</v>
      </c>
      <c r="L661" s="41">
        <f t="shared" si="153"/>
        <v>26.36</v>
      </c>
      <c r="M661">
        <f t="shared" si="162"/>
        <v>0.85798285016816567</v>
      </c>
      <c r="N661">
        <f t="shared" si="163"/>
        <v>0.14201714983183211</v>
      </c>
      <c r="O661">
        <f t="shared" si="154"/>
        <v>9.6953275435411795E-2</v>
      </c>
      <c r="P661">
        <f t="shared" si="155"/>
        <v>0.5</v>
      </c>
      <c r="Q661">
        <f t="shared" si="164"/>
        <v>-1.2175672675297761E-2</v>
      </c>
      <c r="R661" s="6">
        <f t="shared" si="165"/>
        <v>1.2175672675297761E-2</v>
      </c>
      <c r="S661" s="18">
        <f t="shared" si="166"/>
        <v>0.99999999999999778</v>
      </c>
      <c r="T661" s="15"/>
      <c r="U661" s="15"/>
      <c r="V661" s="40">
        <f t="shared" si="167"/>
        <v>3.64</v>
      </c>
      <c r="W661" s="41">
        <f t="shared" si="156"/>
        <v>23.64</v>
      </c>
      <c r="X661">
        <f t="shared" si="168"/>
        <v>2.9427522598820696E-2</v>
      </c>
      <c r="Y661">
        <f t="shared" si="169"/>
        <v>1.7658077717039125</v>
      </c>
      <c r="Z661" s="33">
        <f t="shared" si="157"/>
        <v>7.6694180513122587E-2</v>
      </c>
      <c r="AA661" s="33">
        <f t="shared" si="158"/>
        <v>0.5</v>
      </c>
      <c r="AB661">
        <f t="shared" si="159"/>
        <v>-7.3196904369979554E-3</v>
      </c>
      <c r="AC661" s="1">
        <f t="shared" si="160"/>
        <v>-4.3519486862258483E-2</v>
      </c>
      <c r="AD661" s="35">
        <f>IF(W661&gt;=FinalAgeForPremium, AE661*Delta-Z661*(Y661-AE661),AE661*Delta+PremiumRevisedForLimitedTerm-Z661*(Y661-AE661))</f>
        <v>6.5978170682028103E-3</v>
      </c>
      <c r="AE661" s="35">
        <f>AE660-StepSize*AD660</f>
        <v>2.8984500895134199E-2</v>
      </c>
      <c r="AF661" s="1"/>
    </row>
    <row r="662" spans="11:32" x14ac:dyDescent="0.45">
      <c r="K662" s="40">
        <f t="shared" si="161"/>
        <v>6.37</v>
      </c>
      <c r="L662" s="41">
        <f t="shared" si="153"/>
        <v>26.37</v>
      </c>
      <c r="M662">
        <f t="shared" si="162"/>
        <v>0.8578610934414127</v>
      </c>
      <c r="N662">
        <f t="shared" si="163"/>
        <v>0.14213890655858508</v>
      </c>
      <c r="O662">
        <f t="shared" si="154"/>
        <v>9.703686354659341E-2</v>
      </c>
      <c r="P662">
        <f t="shared" si="155"/>
        <v>0.5</v>
      </c>
      <c r="Q662">
        <f t="shared" si="164"/>
        <v>-1.2174696586913239E-2</v>
      </c>
      <c r="R662" s="6">
        <f t="shared" si="165"/>
        <v>1.2174696586913239E-2</v>
      </c>
      <c r="S662" s="18">
        <f t="shared" si="166"/>
        <v>0.99999999999999778</v>
      </c>
      <c r="T662" s="15"/>
      <c r="U662" s="15"/>
      <c r="V662" s="40">
        <f t="shared" si="167"/>
        <v>3.63</v>
      </c>
      <c r="W662" s="41">
        <f t="shared" si="156"/>
        <v>23.63</v>
      </c>
      <c r="X662">
        <f t="shared" si="168"/>
        <v>2.9500719503190675E-2</v>
      </c>
      <c r="Y662">
        <f t="shared" si="169"/>
        <v>1.766242966572535</v>
      </c>
      <c r="Z662" s="33">
        <f t="shared" si="157"/>
        <v>7.6628115705858535E-2</v>
      </c>
      <c r="AA662" s="33">
        <f t="shared" si="158"/>
        <v>0.5</v>
      </c>
      <c r="AB662">
        <f t="shared" si="159"/>
        <v>-7.229056187175259E-3</v>
      </c>
      <c r="AC662" s="1">
        <f t="shared" si="160"/>
        <v>-4.3316728136701066E-2</v>
      </c>
      <c r="AD662" s="35">
        <f>IF(W662&gt;=FinalAgeForPremium, AE662*Delta-Z662*(Y662-AE662),AE662*Delta+PremiumRevisedForLimitedTerm-Z662*(Y662-AE662))</f>
        <v>6.6708571086619151E-3</v>
      </c>
      <c r="AE662" s="35">
        <f>AE661-StepSize*AD661</f>
        <v>2.891852272445217E-2</v>
      </c>
      <c r="AF662" s="1"/>
    </row>
    <row r="663" spans="11:32" x14ac:dyDescent="0.45">
      <c r="K663" s="40">
        <f t="shared" si="161"/>
        <v>6.38</v>
      </c>
      <c r="L663" s="41">
        <f t="shared" si="153"/>
        <v>26.38</v>
      </c>
      <c r="M663">
        <f t="shared" si="162"/>
        <v>0.85773934647554362</v>
      </c>
      <c r="N663">
        <f t="shared" si="163"/>
        <v>0.14226065352445422</v>
      </c>
      <c r="O663">
        <f t="shared" si="154"/>
        <v>9.712052372313125E-2</v>
      </c>
      <c r="P663">
        <f t="shared" si="155"/>
        <v>0.5</v>
      </c>
      <c r="Q663">
        <f t="shared" si="164"/>
        <v>-1.2173767785414014E-2</v>
      </c>
      <c r="R663" s="6">
        <f t="shared" si="165"/>
        <v>1.2173767785414014E-2</v>
      </c>
      <c r="S663" s="18">
        <f t="shared" si="166"/>
        <v>0.99999999999999778</v>
      </c>
      <c r="T663" s="15"/>
      <c r="U663" s="15"/>
      <c r="V663" s="40">
        <f t="shared" si="167"/>
        <v>3.62</v>
      </c>
      <c r="W663" s="41">
        <f t="shared" si="156"/>
        <v>23.62</v>
      </c>
      <c r="X663">
        <f t="shared" si="168"/>
        <v>2.9573010065062428E-2</v>
      </c>
      <c r="Y663">
        <f t="shared" si="169"/>
        <v>1.7666761338539021</v>
      </c>
      <c r="Z663" s="33">
        <f t="shared" si="157"/>
        <v>7.6562107807198618E-2</v>
      </c>
      <c r="AA663" s="33">
        <f t="shared" si="158"/>
        <v>0.5</v>
      </c>
      <c r="AB663">
        <f t="shared" si="159"/>
        <v>-7.1384324351418393E-3</v>
      </c>
      <c r="AC663" s="1">
        <f t="shared" si="160"/>
        <v>-4.3114631412885074E-2</v>
      </c>
      <c r="AD663" s="35">
        <f>IF(W663&gt;=FinalAgeForPremium, AE663*Delta-Z663*(Y663-AE663),AE663*Delta+PremiumRevisedForLimitedTerm-Z663*(Y663-AE663))</f>
        <v>6.7439272670307415E-3</v>
      </c>
      <c r="AE663" s="35">
        <f>AE662-StepSize*AD662</f>
        <v>2.8851814153365553E-2</v>
      </c>
      <c r="AF663" s="1"/>
    </row>
    <row r="664" spans="11:32" x14ac:dyDescent="0.45">
      <c r="K664" s="40">
        <f t="shared" si="161"/>
        <v>6.39</v>
      </c>
      <c r="L664" s="41">
        <f t="shared" si="153"/>
        <v>26.39</v>
      </c>
      <c r="M664">
        <f t="shared" si="162"/>
        <v>0.85761760879768945</v>
      </c>
      <c r="N664">
        <f t="shared" si="163"/>
        <v>0.14238239120230836</v>
      </c>
      <c r="O664">
        <f t="shared" si="154"/>
        <v>9.7204256027156377E-2</v>
      </c>
      <c r="P664">
        <f t="shared" si="155"/>
        <v>0.5</v>
      </c>
      <c r="Q664">
        <f t="shared" si="164"/>
        <v>-1.2172886017814064E-2</v>
      </c>
      <c r="R664" s="6">
        <f t="shared" si="165"/>
        <v>1.2172886017814064E-2</v>
      </c>
      <c r="S664" s="18">
        <f t="shared" si="166"/>
        <v>0.99999999999999778</v>
      </c>
      <c r="T664" s="15"/>
      <c r="U664" s="15"/>
      <c r="V664" s="40">
        <f t="shared" si="167"/>
        <v>3.61</v>
      </c>
      <c r="W664" s="41">
        <f t="shared" si="156"/>
        <v>23.61</v>
      </c>
      <c r="X664">
        <f t="shared" si="168"/>
        <v>2.9644394389413846E-2</v>
      </c>
      <c r="Y664">
        <f t="shared" si="169"/>
        <v>1.767107280168031</v>
      </c>
      <c r="Z664" s="33">
        <f t="shared" si="157"/>
        <v>7.6496156768121423E-2</v>
      </c>
      <c r="AA664" s="33">
        <f t="shared" si="158"/>
        <v>0.5</v>
      </c>
      <c r="AB664">
        <f t="shared" si="159"/>
        <v>-7.0478198724953922E-3</v>
      </c>
      <c r="AC664" s="1">
        <f t="shared" si="160"/>
        <v>-4.2913193102289804E-2</v>
      </c>
      <c r="AD664" s="35">
        <f>IF(W664&gt;=FinalAgeForPremium, AE664*Delta-Z664*(Y664-AE664),AE664*Delta+PremiumRevisedForLimitedTerm-Z664*(Y664-AE664))</f>
        <v>6.8170267418049824E-3</v>
      </c>
      <c r="AE664" s="35">
        <f>AE663-StepSize*AD663</f>
        <v>2.8784374880695244E-2</v>
      </c>
      <c r="AF664" s="1"/>
    </row>
    <row r="665" spans="11:32" x14ac:dyDescent="0.45">
      <c r="K665" s="40">
        <f t="shared" si="161"/>
        <v>6.4</v>
      </c>
      <c r="L665" s="41">
        <f t="shared" ref="L665:L728" si="170">$L$5+K665</f>
        <v>26.4</v>
      </c>
      <c r="M665">
        <f t="shared" si="162"/>
        <v>0.85749587993751131</v>
      </c>
      <c r="N665">
        <f t="shared" si="163"/>
        <v>0.1425041200624865</v>
      </c>
      <c r="O665">
        <f t="shared" ref="O665:O728" si="171">mu01Parameter_B*mu01Parameter_c^L665</f>
        <v>9.7288060520853328E-2</v>
      </c>
      <c r="P665">
        <f t="shared" ref="P665:P728" si="172">mu10Constant</f>
        <v>0.5</v>
      </c>
      <c r="Q665">
        <f t="shared" si="164"/>
        <v>-1.2172051032499728E-2</v>
      </c>
      <c r="R665" s="6">
        <f t="shared" si="165"/>
        <v>1.2172051032499728E-2</v>
      </c>
      <c r="S665" s="18">
        <f t="shared" si="166"/>
        <v>0.99999999999999778</v>
      </c>
      <c r="T665" s="15"/>
      <c r="U665" s="15"/>
      <c r="V665" s="40">
        <f t="shared" si="167"/>
        <v>3.6</v>
      </c>
      <c r="W665" s="41">
        <f t="shared" ref="W665:W728" si="173">$L$5+V665</f>
        <v>23.6</v>
      </c>
      <c r="X665">
        <f t="shared" si="168"/>
        <v>2.9714872588138801E-2</v>
      </c>
      <c r="Y665">
        <f t="shared" si="169"/>
        <v>1.767536412099054</v>
      </c>
      <c r="Z665" s="33">
        <f t="shared" ref="Z665:Z728" si="174">mu01Parameter_B*mu01Parameter_c^W665</f>
        <v>7.6430262539647825E-2</v>
      </c>
      <c r="AA665" s="33">
        <f t="shared" ref="AA665:AA728" si="175">mu10Constant</f>
        <v>0.5</v>
      </c>
      <c r="AB665">
        <f t="shared" ref="AB665:AB728" si="176">X665*Delta+Premium-Z665*(Y665-X665)</f>
        <v>-6.9572191851196008E-3</v>
      </c>
      <c r="AC665" s="1">
        <f t="shared" ref="AC665:AC728" si="177">Y665*Delta-AnnuityWhileSIck-AA665*(X665-Y665)</f>
        <v>-4.2712409639589777E-2</v>
      </c>
      <c r="AD665" s="35">
        <f>IF(W665&gt;=FinalAgeForPremium, AE665*Delta-Z665*(Y665-AE665),AE665*Delta+PremiumRevisedForLimitedTerm-Z665*(Y665-AE665))</f>
        <v>6.8901547375275762E-3</v>
      </c>
      <c r="AE665" s="35">
        <f>AE664-StepSize*AD664</f>
        <v>2.8716204613277195E-2</v>
      </c>
      <c r="AF665" s="1"/>
    </row>
    <row r="666" spans="11:32" x14ac:dyDescent="0.45">
      <c r="K666" s="40">
        <f t="shared" ref="K666:K729" si="178">ROUND(K665+StepSize,2)</f>
        <v>6.41</v>
      </c>
      <c r="L666" s="41">
        <f t="shared" si="170"/>
        <v>26.41</v>
      </c>
      <c r="M666">
        <f t="shared" ref="M666:M729" si="179">M665+StepSize*Q665</f>
        <v>0.85737415942718631</v>
      </c>
      <c r="N666">
        <f t="shared" ref="N666:N729" si="180">N665+StepSize*R665</f>
        <v>0.1426258405728115</v>
      </c>
      <c r="O666">
        <f t="shared" si="171"/>
        <v>9.7371937266460318E-2</v>
      </c>
      <c r="P666">
        <f t="shared" si="172"/>
        <v>0.5</v>
      </c>
      <c r="Q666">
        <f t="shared" ref="Q666:Q729" si="181">N666*P666-M666*O666</f>
        <v>-1.2171262579222381E-2</v>
      </c>
      <c r="R666" s="6">
        <f t="shared" ref="R666:R729" si="182">M666*O666-N666*P666</f>
        <v>1.2171262579222381E-2</v>
      </c>
      <c r="S666" s="18">
        <f t="shared" ref="S666:S729" si="183">M666+N666</f>
        <v>0.99999999999999778</v>
      </c>
      <c r="T666" s="15"/>
      <c r="U666" s="15"/>
      <c r="V666" s="40">
        <f t="shared" ref="V666:V729" si="184">ROUND(V665-StepSize,2)</f>
        <v>3.59</v>
      </c>
      <c r="W666" s="41">
        <f t="shared" si="173"/>
        <v>23.59</v>
      </c>
      <c r="X666">
        <f t="shared" ref="X666:X729" si="185">X665-StepSize*AB665</f>
        <v>2.9784444779989996E-2</v>
      </c>
      <c r="Y666">
        <f t="shared" ref="Y666:Y729" si="186">Y665-StepSize*AC665</f>
        <v>1.76796353619545</v>
      </c>
      <c r="Z666" s="33">
        <f t="shared" si="174"/>
        <v>7.636442507284083E-2</v>
      </c>
      <c r="AA666" s="33">
        <f t="shared" si="175"/>
        <v>0.5</v>
      </c>
      <c r="AB666">
        <f t="shared" si="176"/>
        <v>-6.8666310532272679E-3</v>
      </c>
      <c r="AC666" s="1">
        <f t="shared" si="177"/>
        <v>-4.2512277482497529E-2</v>
      </c>
      <c r="AD666" s="35">
        <f>IF(W666&gt;=FinalAgeForPremium, AE666*Delta-Z666*(Y666-AE666),AE666*Delta+PremiumRevisedForLimitedTerm-Z666*(Y666-AE666))</f>
        <v>6.963310464744521E-3</v>
      </c>
      <c r="AE666" s="35">
        <f>AE665-StepSize*AD665</f>
        <v>2.8647303065901918E-2</v>
      </c>
      <c r="AF666" s="1"/>
    </row>
    <row r="667" spans="11:32" x14ac:dyDescent="0.45">
      <c r="K667" s="40">
        <f t="shared" si="178"/>
        <v>6.42</v>
      </c>
      <c r="L667" s="41">
        <f t="shared" si="170"/>
        <v>26.42</v>
      </c>
      <c r="M667">
        <f t="shared" si="179"/>
        <v>0.85725244680139412</v>
      </c>
      <c r="N667">
        <f t="shared" si="180"/>
        <v>0.14274755319860372</v>
      </c>
      <c r="O667">
        <f t="shared" si="171"/>
        <v>9.7455886326269281E-2</v>
      </c>
      <c r="P667">
        <f t="shared" si="172"/>
        <v>0.5</v>
      </c>
      <c r="Q667">
        <f t="shared" si="181"/>
        <v>-1.2170520409091015E-2</v>
      </c>
      <c r="R667" s="6">
        <f t="shared" si="182"/>
        <v>1.2170520409091015E-2</v>
      </c>
      <c r="S667" s="18">
        <f t="shared" si="183"/>
        <v>0.99999999999999778</v>
      </c>
      <c r="T667" s="15"/>
      <c r="U667" s="15"/>
      <c r="V667" s="40">
        <f t="shared" si="184"/>
        <v>3.58</v>
      </c>
      <c r="W667" s="41">
        <f t="shared" si="173"/>
        <v>23.58</v>
      </c>
      <c r="X667">
        <f t="shared" si="185"/>
        <v>2.9853111090522268E-2</v>
      </c>
      <c r="Y667">
        <f t="shared" si="186"/>
        <v>1.7683886589702749</v>
      </c>
      <c r="Z667" s="33">
        <f t="shared" si="174"/>
        <v>7.6298644318805564E-2</v>
      </c>
      <c r="AA667" s="33">
        <f t="shared" si="175"/>
        <v>0.5</v>
      </c>
      <c r="AB667">
        <f t="shared" si="176"/>
        <v>-6.7760561514032258E-3</v>
      </c>
      <c r="AC667" s="1">
        <f t="shared" si="177"/>
        <v>-4.2312793111609959E-2</v>
      </c>
      <c r="AD667" s="35">
        <f>IF(W667&gt;=FinalAgeForPremium, AE667*Delta-Z667*(Y667-AE667),AE667*Delta+PremiumRevisedForLimitedTerm-Z667*(Y667-AE667))</f>
        <v>7.0364931399606867E-3</v>
      </c>
      <c r="AE667" s="35">
        <f>AE666-StepSize*AD666</f>
        <v>2.8577669961254472E-2</v>
      </c>
      <c r="AF667" s="1"/>
    </row>
    <row r="668" spans="11:32" x14ac:dyDescent="0.45">
      <c r="K668" s="40">
        <f t="shared" si="178"/>
        <v>6.43</v>
      </c>
      <c r="L668" s="41">
        <f t="shared" si="170"/>
        <v>26.43</v>
      </c>
      <c r="M668">
        <f t="shared" si="179"/>
        <v>0.85713074159730318</v>
      </c>
      <c r="N668">
        <f t="shared" si="180"/>
        <v>0.14286925840269463</v>
      </c>
      <c r="O668">
        <f t="shared" si="171"/>
        <v>9.7539907762625708E-2</v>
      </c>
      <c r="P668">
        <f t="shared" si="172"/>
        <v>0.5</v>
      </c>
      <c r="Q668">
        <f t="shared" si="181"/>
        <v>-1.2169824274564603E-2</v>
      </c>
      <c r="R668" s="6">
        <f t="shared" si="182"/>
        <v>1.2169824274564603E-2</v>
      </c>
      <c r="S668" s="18">
        <f t="shared" si="183"/>
        <v>0.99999999999999778</v>
      </c>
      <c r="T668" s="15"/>
      <c r="U668" s="15"/>
      <c r="V668" s="40">
        <f t="shared" si="184"/>
        <v>3.57</v>
      </c>
      <c r="W668" s="41">
        <f t="shared" si="173"/>
        <v>23.57</v>
      </c>
      <c r="X668">
        <f t="shared" si="185"/>
        <v>2.9920871652036302E-2</v>
      </c>
      <c r="Y668">
        <f t="shared" si="186"/>
        <v>1.7688117869013911</v>
      </c>
      <c r="Z668" s="33">
        <f t="shared" si="174"/>
        <v>7.6232920228689396E-2</v>
      </c>
      <c r="AA668" s="33">
        <f t="shared" si="175"/>
        <v>0.5</v>
      </c>
      <c r="AB668">
        <f t="shared" si="176"/>
        <v>-6.6854951486472747E-3</v>
      </c>
      <c r="AC668" s="1">
        <f t="shared" si="177"/>
        <v>-4.2113953030253004E-2</v>
      </c>
      <c r="AD668" s="35">
        <f>IF(W668&gt;=FinalAgeForPremium, AE668*Delta-Z668*(Y668-AE668),AE668*Delta+PremiumRevisedForLimitedTerm-Z668*(Y668-AE668))</f>
        <v>7.109701985595851E-3</v>
      </c>
      <c r="AE668" s="35">
        <f>AE667-StepSize*AD667</f>
        <v>2.8507305029854865E-2</v>
      </c>
      <c r="AF668" s="1"/>
    </row>
    <row r="669" spans="11:32" x14ac:dyDescent="0.45">
      <c r="K669" s="40">
        <f t="shared" si="178"/>
        <v>6.44</v>
      </c>
      <c r="L669" s="41">
        <f t="shared" si="170"/>
        <v>26.44</v>
      </c>
      <c r="M669">
        <f t="shared" si="179"/>
        <v>0.85700904335455752</v>
      </c>
      <c r="N669">
        <f t="shared" si="180"/>
        <v>0.14299095664544026</v>
      </c>
      <c r="O669">
        <f t="shared" si="171"/>
        <v>9.7624001637928948E-2</v>
      </c>
      <c r="P669">
        <f t="shared" si="172"/>
        <v>0.5</v>
      </c>
      <c r="Q669">
        <f t="shared" si="181"/>
        <v>-1.216917392944511E-2</v>
      </c>
      <c r="R669" s="6">
        <f t="shared" si="182"/>
        <v>1.216917392944511E-2</v>
      </c>
      <c r="S669" s="18">
        <f t="shared" si="183"/>
        <v>0.99999999999999778</v>
      </c>
      <c r="T669" s="15"/>
      <c r="U669" s="15"/>
      <c r="V669" s="40">
        <f t="shared" si="184"/>
        <v>3.56</v>
      </c>
      <c r="W669" s="41">
        <f t="shared" si="173"/>
        <v>23.56</v>
      </c>
      <c r="X669">
        <f t="shared" si="185"/>
        <v>2.9987726603522773E-2</v>
      </c>
      <c r="Y669">
        <f t="shared" si="186"/>
        <v>1.7692329264316935</v>
      </c>
      <c r="Z669" s="33">
        <f t="shared" si="174"/>
        <v>7.616725275368165E-2</v>
      </c>
      <c r="AA669" s="33">
        <f t="shared" si="175"/>
        <v>0.5</v>
      </c>
      <c r="AB669">
        <f t="shared" si="176"/>
        <v>-6.5949487084160374E-3</v>
      </c>
      <c r="AC669" s="1">
        <f t="shared" si="177"/>
        <v>-4.1915753764329877E-2</v>
      </c>
      <c r="AD669" s="35">
        <f>IF(W669&gt;=FinalAgeForPremium, AE669*Delta-Z669*(Y669-AE669),AE669*Delta+PremiumRevisedForLimitedTerm-Z669*(Y669-AE669))</f>
        <v>7.1829362299416777E-3</v>
      </c>
      <c r="AE669" s="35">
        <f>AE668-StepSize*AD668</f>
        <v>2.8436208009998905E-2</v>
      </c>
      <c r="AF669" s="1"/>
    </row>
    <row r="670" spans="11:32" x14ac:dyDescent="0.45">
      <c r="K670" s="40">
        <f t="shared" si="178"/>
        <v>6.45</v>
      </c>
      <c r="L670" s="41">
        <f t="shared" si="170"/>
        <v>26.45</v>
      </c>
      <c r="M670">
        <f t="shared" si="179"/>
        <v>0.85688735161526308</v>
      </c>
      <c r="N670">
        <f t="shared" si="180"/>
        <v>0.1431126483847347</v>
      </c>
      <c r="O670">
        <f t="shared" si="171"/>
        <v>9.7708168014632141E-2</v>
      </c>
      <c r="P670">
        <f t="shared" si="172"/>
        <v>0.5</v>
      </c>
      <c r="Q670">
        <f t="shared" si="181"/>
        <v>-1.2168569128869947E-2</v>
      </c>
      <c r="R670" s="6">
        <f t="shared" si="182"/>
        <v>1.2168569128869947E-2</v>
      </c>
      <c r="S670" s="18">
        <f t="shared" si="183"/>
        <v>0.99999999999999778</v>
      </c>
      <c r="T670" s="15"/>
      <c r="U670" s="15"/>
      <c r="V670" s="40">
        <f t="shared" si="184"/>
        <v>3.55</v>
      </c>
      <c r="W670" s="41">
        <f t="shared" si="173"/>
        <v>23.55</v>
      </c>
      <c r="X670">
        <f t="shared" si="185"/>
        <v>3.0053676090606933E-2</v>
      </c>
      <c r="Y670">
        <f t="shared" si="186"/>
        <v>1.7696520839693368</v>
      </c>
      <c r="Z670" s="33">
        <f t="shared" si="174"/>
        <v>7.6101641845013765E-2</v>
      </c>
      <c r="AA670" s="33">
        <f t="shared" si="175"/>
        <v>0.5</v>
      </c>
      <c r="AB670">
        <f t="shared" si="176"/>
        <v>-6.5044174886652595E-3</v>
      </c>
      <c r="AC670" s="1">
        <f t="shared" si="177"/>
        <v>-4.1718191862168186E-2</v>
      </c>
      <c r="AD670" s="35">
        <f>IF(W670&gt;=FinalAgeForPremium, AE670*Delta-Z670*(Y670-AE670),AE670*Delta+PremiumRevisedForLimitedTerm-Z670*(Y670-AE670))</f>
        <v>7.2561951071183906E-3</v>
      </c>
      <c r="AE670" s="35">
        <f>AE669-StepSize*AD669</f>
        <v>2.836437864769949E-2</v>
      </c>
      <c r="AF670" s="1"/>
    </row>
    <row r="671" spans="11:32" x14ac:dyDescent="0.45">
      <c r="K671" s="40">
        <f t="shared" si="178"/>
        <v>6.46</v>
      </c>
      <c r="L671" s="41">
        <f t="shared" si="170"/>
        <v>26.46</v>
      </c>
      <c r="M671">
        <f t="shared" si="179"/>
        <v>0.85676566592397441</v>
      </c>
      <c r="N671">
        <f t="shared" si="180"/>
        <v>0.1432343340760234</v>
      </c>
      <c r="O671">
        <f t="shared" si="171"/>
        <v>9.77924069552423E-2</v>
      </c>
      <c r="P671">
        <f t="shared" si="172"/>
        <v>0.5</v>
      </c>
      <c r="Q671">
        <f t="shared" si="181"/>
        <v>-1.2168009629304782E-2</v>
      </c>
      <c r="R671" s="6">
        <f t="shared" si="182"/>
        <v>1.2168009629304782E-2</v>
      </c>
      <c r="S671" s="18">
        <f t="shared" si="183"/>
        <v>0.99999999999999778</v>
      </c>
      <c r="T671" s="15"/>
      <c r="U671" s="15"/>
      <c r="V671" s="40">
        <f t="shared" si="184"/>
        <v>3.54</v>
      </c>
      <c r="W671" s="41">
        <f t="shared" si="173"/>
        <v>23.54</v>
      </c>
      <c r="X671">
        <f t="shared" si="185"/>
        <v>3.0118720265493587E-2</v>
      </c>
      <c r="Y671">
        <f t="shared" si="186"/>
        <v>1.7700692658879584</v>
      </c>
      <c r="Z671" s="33">
        <f t="shared" si="174"/>
        <v>7.603608745395915E-2</v>
      </c>
      <c r="AA671" s="33">
        <f t="shared" si="175"/>
        <v>0.5</v>
      </c>
      <c r="AB671">
        <f t="shared" si="176"/>
        <v>-6.4139021418913311E-3</v>
      </c>
      <c r="AC671" s="1">
        <f t="shared" si="177"/>
        <v>-4.1521263894369609E-2</v>
      </c>
      <c r="AD671" s="35">
        <f>IF(W671&gt;=FinalAgeForPremium, AE671*Delta-Z671*(Y671-AE671),AE671*Delta+PremiumRevisedForLimitedTerm-Z671*(Y671-AE671))</f>
        <v>7.3294778570321129E-3</v>
      </c>
      <c r="AE671" s="35">
        <f>AE670-StepSize*AD670</f>
        <v>2.8291816696628308E-2</v>
      </c>
      <c r="AF671" s="1"/>
    </row>
    <row r="672" spans="11:32" x14ac:dyDescent="0.45">
      <c r="K672" s="40">
        <f t="shared" si="178"/>
        <v>6.47</v>
      </c>
      <c r="L672" s="41">
        <f t="shared" si="170"/>
        <v>26.47</v>
      </c>
      <c r="M672">
        <f t="shared" si="179"/>
        <v>0.85664398582768131</v>
      </c>
      <c r="N672">
        <f t="shared" si="180"/>
        <v>0.14335601417231644</v>
      </c>
      <c r="O672">
        <f t="shared" si="171"/>
        <v>9.7876718522320175E-2</v>
      </c>
      <c r="P672">
        <f t="shared" si="172"/>
        <v>0.5</v>
      </c>
      <c r="Q672">
        <f t="shared" si="181"/>
        <v>-1.2167495188536173E-2</v>
      </c>
      <c r="R672" s="6">
        <f t="shared" si="182"/>
        <v>1.2167495188536173E-2</v>
      </c>
      <c r="S672" s="18">
        <f t="shared" si="183"/>
        <v>0.99999999999999778</v>
      </c>
      <c r="T672" s="15"/>
      <c r="U672" s="15"/>
      <c r="V672" s="40">
        <f t="shared" si="184"/>
        <v>3.53</v>
      </c>
      <c r="W672" s="41">
        <f t="shared" si="173"/>
        <v>23.53</v>
      </c>
      <c r="X672">
        <f t="shared" si="185"/>
        <v>3.01828592869125E-2</v>
      </c>
      <c r="Y672">
        <f t="shared" si="186"/>
        <v>1.7704844785269021</v>
      </c>
      <c r="Z672" s="33">
        <f t="shared" si="174"/>
        <v>7.5970589531833235E-2</v>
      </c>
      <c r="AA672" s="33">
        <f t="shared" si="175"/>
        <v>0.5</v>
      </c>
      <c r="AB672">
        <f t="shared" si="176"/>
        <v>-6.323403315172671E-3</v>
      </c>
      <c r="AC672" s="1">
        <f t="shared" si="177"/>
        <v>-4.1324966453660128E-2</v>
      </c>
      <c r="AD672" s="35">
        <f>IF(W672&gt;=FinalAgeForPremium, AE672*Delta-Z672*(Y672-AE672),AE672*Delta+PremiumRevisedForLimitedTerm-Z672*(Y672-AE672))</f>
        <v>7.4027837253321793E-3</v>
      </c>
      <c r="AE672" s="35">
        <f>AE671-StepSize*AD671</f>
        <v>2.8218521918057987E-2</v>
      </c>
      <c r="AF672" s="1"/>
    </row>
    <row r="673" spans="11:32" x14ac:dyDescent="0.45">
      <c r="K673" s="40">
        <f t="shared" si="178"/>
        <v>6.48</v>
      </c>
      <c r="L673" s="41">
        <f t="shared" si="170"/>
        <v>26.48</v>
      </c>
      <c r="M673">
        <f t="shared" si="179"/>
        <v>0.856522310875796</v>
      </c>
      <c r="N673">
        <f t="shared" si="180"/>
        <v>0.14347768912420181</v>
      </c>
      <c r="O673">
        <f t="shared" si="171"/>
        <v>9.7961102778480622E-2</v>
      </c>
      <c r="P673">
        <f t="shared" si="172"/>
        <v>0.5</v>
      </c>
      <c r="Q673">
        <f t="shared" si="181"/>
        <v>-1.216702556566468E-2</v>
      </c>
      <c r="R673" s="6">
        <f t="shared" si="182"/>
        <v>1.216702556566468E-2</v>
      </c>
      <c r="S673" s="18">
        <f t="shared" si="183"/>
        <v>0.99999999999999778</v>
      </c>
      <c r="T673" s="15"/>
      <c r="U673" s="15"/>
      <c r="V673" s="40">
        <f t="shared" si="184"/>
        <v>3.52</v>
      </c>
      <c r="W673" s="41">
        <f t="shared" si="173"/>
        <v>23.52</v>
      </c>
      <c r="X673">
        <f t="shared" si="185"/>
        <v>3.0246093320064227E-2</v>
      </c>
      <c r="Y673">
        <f t="shared" si="186"/>
        <v>1.7708977281914386</v>
      </c>
      <c r="Z673" s="33">
        <f t="shared" si="174"/>
        <v>7.5905148029993375E-2</v>
      </c>
      <c r="AA673" s="33">
        <f t="shared" si="175"/>
        <v>0.5</v>
      </c>
      <c r="AB673">
        <f t="shared" si="176"/>
        <v>-6.2329216502107765E-3</v>
      </c>
      <c r="AC673" s="1">
        <f t="shared" si="177"/>
        <v>-4.1129296154740924E-2</v>
      </c>
      <c r="AD673" s="35">
        <f>IF(W673&gt;=FinalAgeForPremium, AE673*Delta-Z673*(Y673-AE673),AE673*Delta+PremiumRevisedForLimitedTerm-Z673*(Y673-AE673))</f>
        <v>7.4761119633693918E-3</v>
      </c>
      <c r="AE673" s="35">
        <f>AE672-StepSize*AD672</f>
        <v>2.8144494080804664E-2</v>
      </c>
      <c r="AF673" s="1"/>
    </row>
    <row r="674" spans="11:32" x14ac:dyDescent="0.45">
      <c r="K674" s="40">
        <f t="shared" si="178"/>
        <v>6.49</v>
      </c>
      <c r="L674" s="41">
        <f t="shared" si="170"/>
        <v>26.490000000000002</v>
      </c>
      <c r="M674">
        <f t="shared" si="179"/>
        <v>0.85640064062013932</v>
      </c>
      <c r="N674">
        <f t="shared" si="180"/>
        <v>0.14359935937985846</v>
      </c>
      <c r="O674">
        <f t="shared" si="171"/>
        <v>9.8045559786392456E-2</v>
      </c>
      <c r="P674">
        <f t="shared" si="172"/>
        <v>0.5</v>
      </c>
      <c r="Q674">
        <f t="shared" si="181"/>
        <v>-1.2166600521097443E-2</v>
      </c>
      <c r="R674" s="6">
        <f t="shared" si="182"/>
        <v>1.2166600521097443E-2</v>
      </c>
      <c r="S674" s="18">
        <f t="shared" si="183"/>
        <v>0.99999999999999778</v>
      </c>
      <c r="T674" s="15"/>
      <c r="U674" s="15"/>
      <c r="V674" s="40">
        <f t="shared" si="184"/>
        <v>3.51</v>
      </c>
      <c r="W674" s="41">
        <f t="shared" si="173"/>
        <v>23.509999999999998</v>
      </c>
      <c r="X674">
        <f t="shared" si="185"/>
        <v>3.0308422536566335E-2</v>
      </c>
      <c r="Y674">
        <f t="shared" si="186"/>
        <v>1.7713090211529861</v>
      </c>
      <c r="Z674" s="33">
        <f t="shared" si="174"/>
        <v>7.5839762899838736E-2</v>
      </c>
      <c r="AA674" s="33">
        <f t="shared" si="175"/>
        <v>0.5</v>
      </c>
      <c r="AB674">
        <f t="shared" si="176"/>
        <v>-6.1424577833705807E-3</v>
      </c>
      <c r="AC674" s="1">
        <f t="shared" si="177"/>
        <v>-4.0934249634140829E-2</v>
      </c>
      <c r="AD674" s="35">
        <f>IF(W674&gt;=FinalAgeForPremium, AE674*Delta-Z674*(Y674-AE674),AE674*Delta+PremiumRevisedForLimitedTerm-Z674*(Y674-AE674))</f>
        <v>7.5494618281541914E-3</v>
      </c>
      <c r="AE674" s="35">
        <f>AE673-StepSize*AD673</f>
        <v>2.8069732961170969E-2</v>
      </c>
      <c r="AF674" s="1"/>
    </row>
    <row r="675" spans="11:32" x14ac:dyDescent="0.45">
      <c r="K675" s="40">
        <f t="shared" si="178"/>
        <v>6.5</v>
      </c>
      <c r="L675" s="41">
        <f t="shared" si="170"/>
        <v>26.5</v>
      </c>
      <c r="M675">
        <f t="shared" si="179"/>
        <v>0.8562789746149283</v>
      </c>
      <c r="N675">
        <f t="shared" si="180"/>
        <v>0.14372102538506942</v>
      </c>
      <c r="O675">
        <f t="shared" si="171"/>
        <v>9.8130089608778365E-2</v>
      </c>
      <c r="P675">
        <f t="shared" si="172"/>
        <v>0.5</v>
      </c>
      <c r="Q675">
        <f t="shared" si="181"/>
        <v>-1.2166219816541063E-2</v>
      </c>
      <c r="R675" s="6">
        <f t="shared" si="182"/>
        <v>1.2166219816541063E-2</v>
      </c>
      <c r="S675" s="18">
        <f t="shared" si="183"/>
        <v>0.99999999999999778</v>
      </c>
      <c r="T675" s="15"/>
      <c r="U675" s="15"/>
      <c r="V675" s="40">
        <f t="shared" si="184"/>
        <v>3.5</v>
      </c>
      <c r="W675" s="41">
        <f t="shared" si="173"/>
        <v>23.5</v>
      </c>
      <c r="X675">
        <f t="shared" si="185"/>
        <v>3.036984711440004E-2</v>
      </c>
      <c r="Y675">
        <f t="shared" si="186"/>
        <v>1.7717183636493274</v>
      </c>
      <c r="Z675" s="33">
        <f t="shared" si="174"/>
        <v>7.5774434092810511E-2</v>
      </c>
      <c r="AA675" s="33">
        <f t="shared" si="175"/>
        <v>0.5</v>
      </c>
      <c r="AB675">
        <f t="shared" si="176"/>
        <v>-6.0520123457215302E-3</v>
      </c>
      <c r="AC675" s="1">
        <f t="shared" si="177"/>
        <v>-4.0739823550069887E-2</v>
      </c>
      <c r="AD675" s="35">
        <f>IF(W675&gt;=FinalAgeForPremium, AE675*Delta-Z675*(Y675-AE675),AE675*Delta+PremiumRevisedForLimitedTerm-Z675*(Y675-AE675))</f>
        <v>7.6228325823146648E-3</v>
      </c>
      <c r="AE675" s="35">
        <f>AE674-StepSize*AD674</f>
        <v>2.7994238342889426E-2</v>
      </c>
      <c r="AF675" s="1"/>
    </row>
    <row r="676" spans="11:32" x14ac:dyDescent="0.45">
      <c r="K676" s="40">
        <f t="shared" si="178"/>
        <v>6.51</v>
      </c>
      <c r="L676" s="41">
        <f t="shared" si="170"/>
        <v>26.509999999999998</v>
      </c>
      <c r="M676">
        <f t="shared" si="179"/>
        <v>0.85615731241676285</v>
      </c>
      <c r="N676">
        <f t="shared" si="180"/>
        <v>0.14384268758323485</v>
      </c>
      <c r="O676">
        <f t="shared" si="171"/>
        <v>9.8214692308415286E-2</v>
      </c>
      <c r="P676">
        <f t="shared" si="172"/>
        <v>0.5</v>
      </c>
      <c r="Q676">
        <f t="shared" si="181"/>
        <v>-1.2165883214994719E-2</v>
      </c>
      <c r="R676" s="6">
        <f t="shared" si="182"/>
        <v>1.2165883214994719E-2</v>
      </c>
      <c r="S676" s="18">
        <f t="shared" si="183"/>
        <v>0.99999999999999767</v>
      </c>
      <c r="T676" s="15"/>
      <c r="U676" s="15"/>
      <c r="V676" s="40">
        <f t="shared" si="184"/>
        <v>3.49</v>
      </c>
      <c r="W676" s="41">
        <f t="shared" si="173"/>
        <v>23.490000000000002</v>
      </c>
      <c r="X676">
        <f t="shared" si="185"/>
        <v>3.0430367237857255E-2</v>
      </c>
      <c r="Y676">
        <f t="shared" si="186"/>
        <v>1.7721257618848281</v>
      </c>
      <c r="Z676" s="33">
        <f t="shared" si="174"/>
        <v>7.5709161560391647E-2</v>
      </c>
      <c r="AA676" s="33">
        <f t="shared" si="175"/>
        <v>0.5</v>
      </c>
      <c r="AB676">
        <f t="shared" si="176"/>
        <v>-5.9615859630770818E-3</v>
      </c>
      <c r="AC676" s="1">
        <f t="shared" si="177"/>
        <v>-4.0546014582273138E-2</v>
      </c>
      <c r="AD676" s="35">
        <f>IF(W676&gt;=FinalAgeForPremium, AE676*Delta-Z676*(Y676-AE676),AE676*Delta+PremiumRevisedForLimitedTerm-Z676*(Y676-AE676))</f>
        <v>7.6962234940559648E-3</v>
      </c>
      <c r="AE676" s="35">
        <f>AE675-StepSize*AD675</f>
        <v>2.7918010017066279E-2</v>
      </c>
      <c r="AF676" s="1"/>
    </row>
    <row r="677" spans="11:32" x14ac:dyDescent="0.45">
      <c r="K677" s="40">
        <f t="shared" si="178"/>
        <v>6.52</v>
      </c>
      <c r="L677" s="41">
        <f t="shared" si="170"/>
        <v>26.52</v>
      </c>
      <c r="M677">
        <f t="shared" si="179"/>
        <v>0.85603565358461287</v>
      </c>
      <c r="N677">
        <f t="shared" si="180"/>
        <v>0.1439643464153848</v>
      </c>
      <c r="O677">
        <f t="shared" si="171"/>
        <v>9.8299367948134292E-2</v>
      </c>
      <c r="P677">
        <f t="shared" si="172"/>
        <v>0.5</v>
      </c>
      <c r="Q677">
        <f t="shared" si="181"/>
        <v>-1.2165590480743088E-2</v>
      </c>
      <c r="R677" s="6">
        <f t="shared" si="182"/>
        <v>1.2165590480743088E-2</v>
      </c>
      <c r="S677" s="18">
        <f t="shared" si="183"/>
        <v>0.99999999999999767</v>
      </c>
      <c r="T677" s="15"/>
      <c r="U677" s="15"/>
      <c r="V677" s="40">
        <f t="shared" si="184"/>
        <v>3.48</v>
      </c>
      <c r="W677" s="41">
        <f t="shared" si="173"/>
        <v>23.48</v>
      </c>
      <c r="X677">
        <f t="shared" si="185"/>
        <v>3.0489983097488026E-2</v>
      </c>
      <c r="Y677">
        <f t="shared" si="186"/>
        <v>1.7725312220306508</v>
      </c>
      <c r="Z677" s="33">
        <f t="shared" si="174"/>
        <v>7.564394525410674E-2</v>
      </c>
      <c r="AA677" s="33">
        <f t="shared" si="175"/>
        <v>0.5</v>
      </c>
      <c r="AB677">
        <f t="shared" si="176"/>
        <v>-5.8711792560343923E-3</v>
      </c>
      <c r="AC677" s="1">
        <f t="shared" si="177"/>
        <v>-4.0352819431886067E-2</v>
      </c>
      <c r="AD677" s="35">
        <f>IF(W677&gt;=FinalAgeForPremium, AE677*Delta-Z677*(Y677-AE677),AE677*Delta+PremiumRevisedForLimitedTerm-Z677*(Y677-AE677))</f>
        <v>7.7696338371194551E-3</v>
      </c>
      <c r="AE677" s="35">
        <f>AE676-StepSize*AD676</f>
        <v>2.7841047782125719E-2</v>
      </c>
      <c r="AF677" s="1"/>
    </row>
    <row r="678" spans="11:32" x14ac:dyDescent="0.45">
      <c r="K678" s="40">
        <f t="shared" si="178"/>
        <v>6.53</v>
      </c>
      <c r="L678" s="41">
        <f t="shared" si="170"/>
        <v>26.53</v>
      </c>
      <c r="M678">
        <f t="shared" si="179"/>
        <v>0.85591399767980547</v>
      </c>
      <c r="N678">
        <f t="shared" si="180"/>
        <v>0.14408600232019222</v>
      </c>
      <c r="O678">
        <f t="shared" si="171"/>
        <v>9.8384116590820539E-2</v>
      </c>
      <c r="P678">
        <f t="shared" si="172"/>
        <v>0.5</v>
      </c>
      <c r="Q678">
        <f t="shared" si="181"/>
        <v>-1.2165341379349173E-2</v>
      </c>
      <c r="R678" s="6">
        <f t="shared" si="182"/>
        <v>1.2165341379349173E-2</v>
      </c>
      <c r="S678" s="18">
        <f t="shared" si="183"/>
        <v>0.99999999999999767</v>
      </c>
      <c r="T678" s="15"/>
      <c r="U678" s="15"/>
      <c r="V678" s="40">
        <f t="shared" si="184"/>
        <v>3.47</v>
      </c>
      <c r="W678" s="41">
        <f t="shared" si="173"/>
        <v>23.47</v>
      </c>
      <c r="X678">
        <f t="shared" si="185"/>
        <v>3.054869489004837E-2</v>
      </c>
      <c r="Y678">
        <f t="shared" si="186"/>
        <v>1.7729347502249697</v>
      </c>
      <c r="Z678" s="33">
        <f t="shared" si="174"/>
        <v>7.557878512552238E-2</v>
      </c>
      <c r="AA678" s="33">
        <f t="shared" si="175"/>
        <v>0.5</v>
      </c>
      <c r="AB678">
        <f t="shared" si="176"/>
        <v>-5.7807928400144815E-3</v>
      </c>
      <c r="AC678" s="1">
        <f t="shared" si="177"/>
        <v>-4.016023482129083E-2</v>
      </c>
      <c r="AD678" s="35">
        <f>IF(W678&gt;=FinalAgeForPremium, AE678*Delta-Z678*(Y678-AE678),AE678*Delta+PremiumRevisedForLimitedTerm-Z678*(Y678-AE678))</f>
        <v>7.8430628907414923E-3</v>
      </c>
      <c r="AE678" s="35">
        <f>AE677-StepSize*AD677</f>
        <v>2.7763351443754525E-2</v>
      </c>
      <c r="AF678" s="1"/>
    </row>
    <row r="679" spans="11:32" x14ac:dyDescent="0.45">
      <c r="K679" s="40">
        <f t="shared" si="178"/>
        <v>6.54</v>
      </c>
      <c r="L679" s="41">
        <f t="shared" si="170"/>
        <v>26.54</v>
      </c>
      <c r="M679">
        <f t="shared" si="179"/>
        <v>0.85579234426601203</v>
      </c>
      <c r="N679">
        <f t="shared" si="180"/>
        <v>0.14420765573398572</v>
      </c>
      <c r="O679">
        <f t="shared" si="171"/>
        <v>9.8468938299413278E-2</v>
      </c>
      <c r="P679">
        <f t="shared" si="172"/>
        <v>0.5</v>
      </c>
      <c r="Q679">
        <f t="shared" si="181"/>
        <v>-1.2165135677647321E-2</v>
      </c>
      <c r="R679" s="6">
        <f t="shared" si="182"/>
        <v>1.2165135677647321E-2</v>
      </c>
      <c r="S679" s="18">
        <f t="shared" si="183"/>
        <v>0.99999999999999778</v>
      </c>
      <c r="T679" s="15"/>
      <c r="U679" s="15"/>
      <c r="V679" s="40">
        <f t="shared" si="184"/>
        <v>3.46</v>
      </c>
      <c r="W679" s="41">
        <f t="shared" si="173"/>
        <v>23.46</v>
      </c>
      <c r="X679">
        <f t="shared" si="185"/>
        <v>3.0606502818448515E-2</v>
      </c>
      <c r="Y679">
        <f t="shared" si="186"/>
        <v>1.7733363525731827</v>
      </c>
      <c r="Z679" s="33">
        <f t="shared" si="174"/>
        <v>7.5513681126246818E-2</v>
      </c>
      <c r="AA679" s="33">
        <f t="shared" si="175"/>
        <v>0.5</v>
      </c>
      <c r="AB679">
        <f t="shared" si="176"/>
        <v>-5.690427325300923E-3</v>
      </c>
      <c r="AC679" s="1">
        <f t="shared" si="177"/>
        <v>-3.9968257493973813E-2</v>
      </c>
      <c r="AD679" s="35">
        <f>IF(W679&gt;=FinalAgeForPremium, AE679*Delta-Z679*(Y679-AE679),AE679*Delta+PremiumRevisedForLimitedTerm-Z679*(Y679-AE679))</f>
        <v>7.9165099396137362E-3</v>
      </c>
      <c r="AE679" s="35">
        <f>AE678-StepSize*AD678</f>
        <v>2.7684920814847108E-2</v>
      </c>
      <c r="AF679" s="1"/>
    </row>
    <row r="680" spans="11:32" x14ac:dyDescent="0.45">
      <c r="K680" s="40">
        <f t="shared" si="178"/>
        <v>6.55</v>
      </c>
      <c r="L680" s="41">
        <f t="shared" si="170"/>
        <v>26.55</v>
      </c>
      <c r="M680">
        <f t="shared" si="179"/>
        <v>0.85567069290923559</v>
      </c>
      <c r="N680">
        <f t="shared" si="180"/>
        <v>0.14432930709076219</v>
      </c>
      <c r="O680">
        <f t="shared" si="171"/>
        <v>9.8553833136906355E-2</v>
      </c>
      <c r="P680">
        <f t="shared" si="172"/>
        <v>0.5</v>
      </c>
      <c r="Q680">
        <f t="shared" si="181"/>
        <v>-1.216497314373674E-2</v>
      </c>
      <c r="R680" s="6">
        <f t="shared" si="182"/>
        <v>1.216497314373674E-2</v>
      </c>
      <c r="S680" s="18">
        <f t="shared" si="183"/>
        <v>0.99999999999999778</v>
      </c>
      <c r="T680" s="15"/>
      <c r="U680" s="15"/>
      <c r="V680" s="40">
        <f t="shared" si="184"/>
        <v>3.45</v>
      </c>
      <c r="W680" s="41">
        <f t="shared" si="173"/>
        <v>23.45</v>
      </c>
      <c r="X680">
        <f t="shared" si="185"/>
        <v>3.0663407091701525E-2</v>
      </c>
      <c r="Y680">
        <f t="shared" si="186"/>
        <v>1.7737360351481224</v>
      </c>
      <c r="Z680" s="33">
        <f t="shared" si="174"/>
        <v>7.5448633207929813E-2</v>
      </c>
      <c r="AA680" s="33">
        <f t="shared" si="175"/>
        <v>0.5</v>
      </c>
      <c r="AB680">
        <f t="shared" si="176"/>
        <v>-5.6000833170784248E-3</v>
      </c>
      <c r="AC680" s="1">
        <f t="shared" si="177"/>
        <v>-3.9776884214383523E-2</v>
      </c>
      <c r="AD680" s="35">
        <f>IF(W680&gt;=FinalAgeForPremium, AE680*Delta-Z680*(Y680-AE680),AE680*Delta+PremiumRevisedForLimitedTerm-Z680*(Y680-AE680))</f>
        <v>7.9899742738434587E-3</v>
      </c>
      <c r="AE680" s="35">
        <f>AE679-StepSize*AD679</f>
        <v>2.7605755715450972E-2</v>
      </c>
      <c r="AF680" s="1"/>
    </row>
    <row r="681" spans="11:32" x14ac:dyDescent="0.45">
      <c r="K681" s="40">
        <f t="shared" si="178"/>
        <v>6.56</v>
      </c>
      <c r="L681" s="41">
        <f t="shared" si="170"/>
        <v>26.56</v>
      </c>
      <c r="M681">
        <f t="shared" si="179"/>
        <v>0.85554904317779823</v>
      </c>
      <c r="N681">
        <f t="shared" si="180"/>
        <v>0.14445095682219955</v>
      </c>
      <c r="O681">
        <f t="shared" si="171"/>
        <v>9.8638801166347601E-2</v>
      </c>
      <c r="P681">
        <f t="shared" si="172"/>
        <v>0.5</v>
      </c>
      <c r="Q681">
        <f t="shared" si="181"/>
        <v>-1.2164853546973997E-2</v>
      </c>
      <c r="R681" s="6">
        <f t="shared" si="182"/>
        <v>1.2164853546973997E-2</v>
      </c>
      <c r="S681" s="18">
        <f t="shared" si="183"/>
        <v>0.99999999999999778</v>
      </c>
      <c r="T681" s="15"/>
      <c r="U681" s="15"/>
      <c r="V681" s="40">
        <f t="shared" si="184"/>
        <v>3.44</v>
      </c>
      <c r="W681" s="41">
        <f t="shared" si="173"/>
        <v>23.44</v>
      </c>
      <c r="X681">
        <f t="shared" si="185"/>
        <v>3.0719407924872308E-2</v>
      </c>
      <c r="Y681">
        <f t="shared" si="186"/>
        <v>1.7741338039902663</v>
      </c>
      <c r="Z681" s="33">
        <f t="shared" si="174"/>
        <v>7.5383641322263009E-2</v>
      </c>
      <c r="AA681" s="33">
        <f t="shared" si="175"/>
        <v>0.5</v>
      </c>
      <c r="AB681">
        <f t="shared" si="176"/>
        <v>-5.5097614154721863E-3</v>
      </c>
      <c r="AC681" s="1">
        <f t="shared" si="177"/>
        <v>-3.95861117677897E-2</v>
      </c>
      <c r="AD681" s="35">
        <f>IF(W681&gt;=FinalAgeForPremium, AE681*Delta-Z681*(Y681-AE681),AE681*Delta+PremiumRevisedForLimitedTerm-Z681*(Y681-AE681))</f>
        <v>8.0634551889131045E-3</v>
      </c>
      <c r="AE681" s="35">
        <f>AE680-StepSize*AD680</f>
        <v>2.7525855972712537E-2</v>
      </c>
      <c r="AF681" s="1"/>
    </row>
    <row r="682" spans="11:32" x14ac:dyDescent="0.45">
      <c r="K682" s="40">
        <f t="shared" si="178"/>
        <v>6.57</v>
      </c>
      <c r="L682" s="41">
        <f t="shared" si="170"/>
        <v>26.57</v>
      </c>
      <c r="M682">
        <f t="shared" si="179"/>
        <v>0.85542739464232853</v>
      </c>
      <c r="N682">
        <f t="shared" si="180"/>
        <v>0.1445726053576693</v>
      </c>
      <c r="O682">
        <f t="shared" si="171"/>
        <v>9.8723842450839414E-2</v>
      </c>
      <c r="P682">
        <f t="shared" si="172"/>
        <v>0.5</v>
      </c>
      <c r="Q682">
        <f t="shared" si="181"/>
        <v>-1.2164776657966628E-2</v>
      </c>
      <c r="R682" s="6">
        <f t="shared" si="182"/>
        <v>1.2164776657966628E-2</v>
      </c>
      <c r="S682" s="18">
        <f t="shared" si="183"/>
        <v>0.99999999999999778</v>
      </c>
      <c r="T682" s="15"/>
      <c r="U682" s="15"/>
      <c r="V682" s="40">
        <f t="shared" si="184"/>
        <v>3.43</v>
      </c>
      <c r="W682" s="41">
        <f t="shared" si="173"/>
        <v>23.43</v>
      </c>
      <c r="X682">
        <f t="shared" si="185"/>
        <v>3.0774505539027028E-2</v>
      </c>
      <c r="Y682">
        <f t="shared" si="186"/>
        <v>1.7745296651079443</v>
      </c>
      <c r="Z682" s="33">
        <f t="shared" si="174"/>
        <v>7.5318705420979515E-2</v>
      </c>
      <c r="AA682" s="33">
        <f t="shared" si="175"/>
        <v>0.5</v>
      </c>
      <c r="AB682">
        <f t="shared" si="176"/>
        <v>-5.4194622155853966E-3</v>
      </c>
      <c r="AC682" s="1">
        <f t="shared" si="177"/>
        <v>-3.9395936960144096E-2</v>
      </c>
      <c r="AD682" s="35">
        <f>IF(W682&gt;=FinalAgeForPremium, AE682*Delta-Z682*(Y682-AE682),AE682*Delta+PremiumRevisedForLimitedTerm-Z682*(Y682-AE682))</f>
        <v>8.1369519856415717E-3</v>
      </c>
      <c r="AE682" s="35">
        <f>AE681-StepSize*AD681</f>
        <v>2.7445221420823406E-2</v>
      </c>
      <c r="AF682" s="1"/>
    </row>
    <row r="683" spans="11:32" x14ac:dyDescent="0.45">
      <c r="K683" s="40">
        <f t="shared" si="178"/>
        <v>6.58</v>
      </c>
      <c r="L683" s="41">
        <f t="shared" si="170"/>
        <v>26.58</v>
      </c>
      <c r="M683">
        <f t="shared" si="179"/>
        <v>0.8553057468757489</v>
      </c>
      <c r="N683">
        <f t="shared" si="180"/>
        <v>0.14469425312424897</v>
      </c>
      <c r="O683">
        <f t="shared" si="171"/>
        <v>9.8808957053538468E-2</v>
      </c>
      <c r="P683">
        <f t="shared" si="172"/>
        <v>0.5</v>
      </c>
      <c r="Q683">
        <f t="shared" si="181"/>
        <v>-1.2164742248566035E-2</v>
      </c>
      <c r="R683" s="6">
        <f t="shared" si="182"/>
        <v>1.2164742248566035E-2</v>
      </c>
      <c r="S683" s="18">
        <f t="shared" si="183"/>
        <v>0.99999999999999789</v>
      </c>
      <c r="T683" s="15"/>
      <c r="U683" s="15"/>
      <c r="V683" s="40">
        <f t="shared" si="184"/>
        <v>3.42</v>
      </c>
      <c r="W683" s="41">
        <f t="shared" si="173"/>
        <v>23.42</v>
      </c>
      <c r="X683">
        <f t="shared" si="185"/>
        <v>3.0828700161182884E-2</v>
      </c>
      <c r="Y683">
        <f t="shared" si="186"/>
        <v>1.7749236244775457</v>
      </c>
      <c r="Z683" s="33">
        <f t="shared" si="174"/>
        <v>7.5253825455854087E-2</v>
      </c>
      <c r="AA683" s="33">
        <f t="shared" si="175"/>
        <v>0.5</v>
      </c>
      <c r="AB683">
        <f t="shared" si="176"/>
        <v>-5.3291863075377865E-3</v>
      </c>
      <c r="AC683" s="1">
        <f t="shared" si="177"/>
        <v>-3.9206356617941363E-2</v>
      </c>
      <c r="AD683" s="35">
        <f>IF(W683&gt;=FinalAgeForPremium, AE683*Delta-Z683*(Y683-AE683),AE683*Delta+PremiumRevisedForLimitedTerm-Z683*(Y683-AE683))</f>
        <v>8.2104639701449655E-3</v>
      </c>
      <c r="AE683" s="35">
        <f>AE682-StepSize*AD682</f>
        <v>2.736385190096699E-2</v>
      </c>
      <c r="AF683" s="1"/>
    </row>
    <row r="684" spans="11:32" x14ac:dyDescent="0.45">
      <c r="K684" s="40">
        <f t="shared" si="178"/>
        <v>6.59</v>
      </c>
      <c r="L684" s="41">
        <f t="shared" si="170"/>
        <v>26.59</v>
      </c>
      <c r="M684">
        <f t="shared" si="179"/>
        <v>0.85518409945326324</v>
      </c>
      <c r="N684">
        <f t="shared" si="180"/>
        <v>0.14481590054673463</v>
      </c>
      <c r="O684">
        <f t="shared" si="171"/>
        <v>9.8894145037656006E-2</v>
      </c>
      <c r="P684">
        <f t="shared" si="172"/>
        <v>0.5</v>
      </c>
      <c r="Q684">
        <f t="shared" si="181"/>
        <v>-1.2164750091860937E-2</v>
      </c>
      <c r="R684" s="6">
        <f t="shared" si="182"/>
        <v>1.2164750091860937E-2</v>
      </c>
      <c r="S684" s="18">
        <f t="shared" si="183"/>
        <v>0.99999999999999789</v>
      </c>
      <c r="T684" s="15"/>
      <c r="U684" s="15"/>
      <c r="V684" s="40">
        <f t="shared" si="184"/>
        <v>3.41</v>
      </c>
      <c r="W684" s="41">
        <f t="shared" si="173"/>
        <v>23.41</v>
      </c>
      <c r="X684">
        <f t="shared" si="185"/>
        <v>3.0881992024258263E-2</v>
      </c>
      <c r="Y684">
        <f t="shared" si="186"/>
        <v>1.7753156880437251</v>
      </c>
      <c r="Z684" s="33">
        <f t="shared" si="174"/>
        <v>7.5189001378702949E-2</v>
      </c>
      <c r="AA684" s="33">
        <f t="shared" si="175"/>
        <v>0.5</v>
      </c>
      <c r="AB684">
        <f t="shared" si="176"/>
        <v>-5.2389342765029878E-3</v>
      </c>
      <c r="AC684" s="1">
        <f t="shared" si="177"/>
        <v>-3.9017367588080276E-2</v>
      </c>
      <c r="AD684" s="35">
        <f>IF(W684&gt;=FinalAgeForPremium, AE684*Delta-Z684*(Y684-AE684),AE684*Delta+PremiumRevisedForLimitedTerm-Z684*(Y684-AE684))</f>
        <v>8.2839904537979347E-3</v>
      </c>
      <c r="AE684" s="35">
        <f>AE683-StepSize*AD683</f>
        <v>2.7281747261265539E-2</v>
      </c>
      <c r="AF684" s="1"/>
    </row>
    <row r="685" spans="11:32" x14ac:dyDescent="0.45">
      <c r="K685" s="40">
        <f t="shared" si="178"/>
        <v>6.6</v>
      </c>
      <c r="L685" s="41">
        <f t="shared" si="170"/>
        <v>26.6</v>
      </c>
      <c r="M685">
        <f t="shared" si="179"/>
        <v>0.85506245195234465</v>
      </c>
      <c r="N685">
        <f t="shared" si="180"/>
        <v>0.14493754804765324</v>
      </c>
      <c r="O685">
        <f t="shared" si="171"/>
        <v>9.8979406466457615E-2</v>
      </c>
      <c r="P685">
        <f t="shared" si="172"/>
        <v>0.5</v>
      </c>
      <c r="Q685">
        <f t="shared" si="181"/>
        <v>-1.2164799962170389E-2</v>
      </c>
      <c r="R685" s="6">
        <f t="shared" si="182"/>
        <v>1.2164799962170389E-2</v>
      </c>
      <c r="S685" s="18">
        <f t="shared" si="183"/>
        <v>0.99999999999999789</v>
      </c>
      <c r="T685" s="15"/>
      <c r="U685" s="15"/>
      <c r="V685" s="40">
        <f t="shared" si="184"/>
        <v>3.4</v>
      </c>
      <c r="W685" s="41">
        <f t="shared" si="173"/>
        <v>23.4</v>
      </c>
      <c r="X685">
        <f t="shared" si="185"/>
        <v>3.0934381367023294E-2</v>
      </c>
      <c r="Y685">
        <f t="shared" si="186"/>
        <v>1.775705861719606</v>
      </c>
      <c r="Z685" s="33">
        <f t="shared" si="174"/>
        <v>7.5124233141383931E-2</v>
      </c>
      <c r="AA685" s="33">
        <f t="shared" si="175"/>
        <v>0.5</v>
      </c>
      <c r="AB685">
        <f t="shared" si="176"/>
        <v>-5.1487067027461419E-3</v>
      </c>
      <c r="AC685" s="1">
        <f t="shared" si="177"/>
        <v>-3.8828966737728399E-2</v>
      </c>
      <c r="AD685" s="35">
        <f>IF(W685&gt;=FinalAgeForPremium, AE685*Delta-Z685*(Y685-AE685),AE685*Delta+PremiumRevisedForLimitedTerm-Z685*(Y685-AE685))</f>
        <v>8.3575307531948972E-3</v>
      </c>
      <c r="AE685" s="35">
        <f>AE684-StepSize*AD684</f>
        <v>2.7198907356727559E-2</v>
      </c>
      <c r="AF685" s="1"/>
    </row>
    <row r="686" spans="11:32" x14ac:dyDescent="0.45">
      <c r="K686" s="40">
        <f t="shared" si="178"/>
        <v>6.61</v>
      </c>
      <c r="L686" s="41">
        <f t="shared" si="170"/>
        <v>26.61</v>
      </c>
      <c r="M686">
        <f t="shared" si="179"/>
        <v>0.85494080395272298</v>
      </c>
      <c r="N686">
        <f t="shared" si="180"/>
        <v>0.14505919604727494</v>
      </c>
      <c r="O686">
        <f t="shared" si="171"/>
        <v>9.9064741403263532E-2</v>
      </c>
      <c r="P686">
        <f t="shared" si="172"/>
        <v>0.5</v>
      </c>
      <c r="Q686">
        <f t="shared" si="181"/>
        <v>-1.2164891635037256E-2</v>
      </c>
      <c r="R686" s="6">
        <f t="shared" si="182"/>
        <v>1.2164891635037256E-2</v>
      </c>
      <c r="S686" s="18">
        <f t="shared" si="183"/>
        <v>0.99999999999999789</v>
      </c>
      <c r="T686" s="15"/>
      <c r="U686" s="15"/>
      <c r="V686" s="40">
        <f t="shared" si="184"/>
        <v>3.39</v>
      </c>
      <c r="W686" s="41">
        <f t="shared" si="173"/>
        <v>23.39</v>
      </c>
      <c r="X686">
        <f t="shared" si="185"/>
        <v>3.0985868434050757E-2</v>
      </c>
      <c r="Y686">
        <f t="shared" si="186"/>
        <v>1.7760941513869832</v>
      </c>
      <c r="Z686" s="33">
        <f t="shared" si="174"/>
        <v>7.5059520695796286E-2</v>
      </c>
      <c r="AA686" s="33">
        <f t="shared" si="175"/>
        <v>0.5</v>
      </c>
      <c r="AB686">
        <f t="shared" si="176"/>
        <v>-5.0585041616609816E-3</v>
      </c>
      <c r="AC686" s="1">
        <f t="shared" si="177"/>
        <v>-3.8641150954184522E-2</v>
      </c>
      <c r="AD686" s="35">
        <f>IF(W686&gt;=FinalAgeForPremium, AE686*Delta-Z686*(Y686-AE686),AE686*Delta+PremiumRevisedForLimitedTerm-Z686*(Y686-AE686))</f>
        <v>8.4310841901123201E-3</v>
      </c>
      <c r="AE686" s="35">
        <f>AE685-StepSize*AD685</f>
        <v>2.7115332049195608E-2</v>
      </c>
      <c r="AF686" s="1"/>
    </row>
    <row r="687" spans="11:32" x14ac:dyDescent="0.45">
      <c r="K687" s="40">
        <f t="shared" si="178"/>
        <v>6.62</v>
      </c>
      <c r="L687" s="41">
        <f t="shared" si="170"/>
        <v>26.62</v>
      </c>
      <c r="M687">
        <f t="shared" si="179"/>
        <v>0.85481915503637262</v>
      </c>
      <c r="N687">
        <f t="shared" si="180"/>
        <v>0.14518084496362532</v>
      </c>
      <c r="O687">
        <f t="shared" si="171"/>
        <v>9.9150149911448632E-2</v>
      </c>
      <c r="P687">
        <f t="shared" si="172"/>
        <v>0.5</v>
      </c>
      <c r="Q687">
        <f t="shared" si="181"/>
        <v>-1.2165024887221529E-2</v>
      </c>
      <c r="R687" s="6">
        <f t="shared" si="182"/>
        <v>1.2165024887221529E-2</v>
      </c>
      <c r="S687" s="18">
        <f t="shared" si="183"/>
        <v>0.999999999999998</v>
      </c>
      <c r="T687" s="15"/>
      <c r="U687" s="15"/>
      <c r="V687" s="40">
        <f t="shared" si="184"/>
        <v>3.38</v>
      </c>
      <c r="W687" s="41">
        <f t="shared" si="173"/>
        <v>23.38</v>
      </c>
      <c r="X687">
        <f t="shared" si="185"/>
        <v>3.1036453475667365E-2</v>
      </c>
      <c r="Y687">
        <f t="shared" si="186"/>
        <v>1.776480562896525</v>
      </c>
      <c r="Z687" s="33">
        <f t="shared" si="174"/>
        <v>7.4994863993880626E-2</v>
      </c>
      <c r="AA687" s="33">
        <f t="shared" si="175"/>
        <v>0.5</v>
      </c>
      <c r="AB687">
        <f t="shared" si="176"/>
        <v>-4.9683272238063014E-3</v>
      </c>
      <c r="AC687" s="1">
        <f t="shared" si="177"/>
        <v>-3.8453917144744887E-2</v>
      </c>
      <c r="AD687" s="35">
        <f>IF(W687&gt;=FinalAgeForPremium, AE687*Delta-Z687*(Y687-AE687),AE687*Delta+PremiumRevisedForLimitedTerm-Z687*(Y687-AE687))</f>
        <v>8.5046500914706114E-3</v>
      </c>
      <c r="AE687" s="35">
        <f>AE686-StepSize*AD686</f>
        <v>2.7031021207294486E-2</v>
      </c>
      <c r="AF687" s="1"/>
    </row>
    <row r="688" spans="11:32" x14ac:dyDescent="0.45">
      <c r="K688" s="40">
        <f t="shared" si="178"/>
        <v>6.63</v>
      </c>
      <c r="L688" s="41">
        <f t="shared" si="170"/>
        <v>26.63</v>
      </c>
      <c r="M688">
        <f t="shared" si="179"/>
        <v>0.8546975047875004</v>
      </c>
      <c r="N688">
        <f t="shared" si="180"/>
        <v>0.14530249521249752</v>
      </c>
      <c r="O688">
        <f t="shared" si="171"/>
        <v>9.9235632054442288E-2</v>
      </c>
      <c r="P688">
        <f t="shared" si="172"/>
        <v>0.5</v>
      </c>
      <c r="Q688">
        <f t="shared" si="181"/>
        <v>-1.2165199496693549E-2</v>
      </c>
      <c r="R688" s="6">
        <f t="shared" si="182"/>
        <v>1.2165199496693549E-2</v>
      </c>
      <c r="S688" s="18">
        <f t="shared" si="183"/>
        <v>0.99999999999999789</v>
      </c>
      <c r="T688" s="15"/>
      <c r="U688" s="15"/>
      <c r="V688" s="40">
        <f t="shared" si="184"/>
        <v>3.37</v>
      </c>
      <c r="W688" s="41">
        <f t="shared" si="173"/>
        <v>23.37</v>
      </c>
      <c r="X688">
        <f t="shared" si="185"/>
        <v>3.1086136747905429E-2</v>
      </c>
      <c r="Y688">
        <f t="shared" si="186"/>
        <v>1.7768651020679724</v>
      </c>
      <c r="Z688" s="33">
        <f t="shared" si="174"/>
        <v>7.4930262987619123E-2</v>
      </c>
      <c r="AA688" s="33">
        <f t="shared" si="175"/>
        <v>0.5</v>
      </c>
      <c r="AB688">
        <f t="shared" si="176"/>
        <v>-4.8781764549432893E-3</v>
      </c>
      <c r="AC688" s="1">
        <f t="shared" si="177"/>
        <v>-3.8267262236567845E-2</v>
      </c>
      <c r="AD688" s="35">
        <f>IF(W688&gt;=FinalAgeForPremium, AE688*Delta-Z688*(Y688-AE688),AE688*Delta+PremiumRevisedForLimitedTerm-Z688*(Y688-AE688))</f>
        <v>8.5782277892964554E-3</v>
      </c>
      <c r="AE688" s="35">
        <f>AE687-StepSize*AD687</f>
        <v>2.6945974706379779E-2</v>
      </c>
      <c r="AF688" s="1"/>
    </row>
    <row r="689" spans="11:32" x14ac:dyDescent="0.45">
      <c r="K689" s="40">
        <f t="shared" si="178"/>
        <v>6.64</v>
      </c>
      <c r="L689" s="41">
        <f t="shared" si="170"/>
        <v>26.64</v>
      </c>
      <c r="M689">
        <f t="shared" si="179"/>
        <v>0.85457585279253345</v>
      </c>
      <c r="N689">
        <f t="shared" si="180"/>
        <v>0.14542414720746447</v>
      </c>
      <c r="O689">
        <f t="shared" si="171"/>
        <v>9.9321187895728649E-2</v>
      </c>
      <c r="P689">
        <f t="shared" si="172"/>
        <v>0.5</v>
      </c>
      <c r="Q689">
        <f t="shared" si="181"/>
        <v>-1.2165415242627528E-2</v>
      </c>
      <c r="R689" s="6">
        <f t="shared" si="182"/>
        <v>1.2165415242627528E-2</v>
      </c>
      <c r="S689" s="18">
        <f t="shared" si="183"/>
        <v>0.99999999999999789</v>
      </c>
      <c r="T689" s="15"/>
      <c r="U689" s="15"/>
      <c r="V689" s="40">
        <f t="shared" si="184"/>
        <v>3.36</v>
      </c>
      <c r="W689" s="41">
        <f t="shared" si="173"/>
        <v>23.36</v>
      </c>
      <c r="X689">
        <f t="shared" si="185"/>
        <v>3.1134918512454861E-2</v>
      </c>
      <c r="Y689">
        <f t="shared" si="186"/>
        <v>1.7772477746903381</v>
      </c>
      <c r="Z689" s="33">
        <f t="shared" si="174"/>
        <v>7.4865717629035156E-2</v>
      </c>
      <c r="AA689" s="33">
        <f t="shared" si="175"/>
        <v>0.5</v>
      </c>
      <c r="AB689">
        <f t="shared" si="176"/>
        <v>-4.7880524160711091E-3</v>
      </c>
      <c r="AC689" s="1">
        <f t="shared" si="177"/>
        <v>-3.8081183176541411E-2</v>
      </c>
      <c r="AD689" s="35">
        <f>IF(W689&gt;=FinalAgeForPremium, AE689*Delta-Z689*(Y689-AE689),AE689*Delta+PremiumRevisedForLimitedTerm-Z689*(Y689-AE689))</f>
        <v>8.6518166206855651E-3</v>
      </c>
      <c r="AE689" s="35">
        <f>AE688-StepSize*AD688</f>
        <v>2.6860192428486813E-2</v>
      </c>
      <c r="AF689" s="1"/>
    </row>
    <row r="690" spans="11:32" x14ac:dyDescent="0.45">
      <c r="K690" s="40">
        <f t="shared" si="178"/>
        <v>6.65</v>
      </c>
      <c r="L690" s="41">
        <f t="shared" si="170"/>
        <v>26.65</v>
      </c>
      <c r="M690">
        <f t="shared" si="179"/>
        <v>0.85445419864010719</v>
      </c>
      <c r="N690">
        <f t="shared" si="180"/>
        <v>0.14554580135989073</v>
      </c>
      <c r="O690">
        <f t="shared" si="171"/>
        <v>9.9406817498846597E-2</v>
      </c>
      <c r="P690">
        <f t="shared" si="172"/>
        <v>0.5</v>
      </c>
      <c r="Q690">
        <f t="shared" si="181"/>
        <v>-1.2165671905394984E-2</v>
      </c>
      <c r="R690" s="6">
        <f t="shared" si="182"/>
        <v>1.2165671905394984E-2</v>
      </c>
      <c r="S690" s="18">
        <f t="shared" si="183"/>
        <v>0.99999999999999789</v>
      </c>
      <c r="T690" s="15"/>
      <c r="U690" s="15"/>
      <c r="V690" s="40">
        <f t="shared" si="184"/>
        <v>3.35</v>
      </c>
      <c r="W690" s="41">
        <f t="shared" si="173"/>
        <v>23.35</v>
      </c>
      <c r="X690">
        <f t="shared" si="185"/>
        <v>3.1182799036615572E-2</v>
      </c>
      <c r="Y690">
        <f t="shared" si="186"/>
        <v>1.7776285865221035</v>
      </c>
      <c r="Z690" s="33">
        <f t="shared" si="174"/>
        <v>7.480122787019354E-2</v>
      </c>
      <c r="AA690" s="33">
        <f t="shared" si="175"/>
        <v>0.5</v>
      </c>
      <c r="AB690">
        <f t="shared" si="176"/>
        <v>-4.6979556634631492E-3</v>
      </c>
      <c r="AC690" s="1">
        <f t="shared" si="177"/>
        <v>-3.7895676931150812E-2</v>
      </c>
      <c r="AD690" s="35">
        <f>IF(W690&gt;=FinalAgeForPremium, AE690*Delta-Z690*(Y690-AE690),AE690*Delta+PremiumRevisedForLimitedTerm-Z690*(Y690-AE690))</f>
        <v>8.7254159277657395E-3</v>
      </c>
      <c r="AE690" s="35">
        <f>AE689-StepSize*AD689</f>
        <v>2.6773674262279959E-2</v>
      </c>
      <c r="AF690" s="1"/>
    </row>
    <row r="691" spans="11:32" x14ac:dyDescent="0.45">
      <c r="K691" s="40">
        <f t="shared" si="178"/>
        <v>6.66</v>
      </c>
      <c r="L691" s="41">
        <f t="shared" si="170"/>
        <v>26.66</v>
      </c>
      <c r="M691">
        <f t="shared" si="179"/>
        <v>0.85433254192105323</v>
      </c>
      <c r="N691">
        <f t="shared" si="180"/>
        <v>0.14566745807894468</v>
      </c>
      <c r="O691">
        <f t="shared" si="171"/>
        <v>9.9492520927389791E-2</v>
      </c>
      <c r="P691">
        <f t="shared" si="172"/>
        <v>0.5</v>
      </c>
      <c r="Q691">
        <f t="shared" si="181"/>
        <v>-1.2165969266558163E-2</v>
      </c>
      <c r="R691" s="6">
        <f t="shared" si="182"/>
        <v>1.2165969266558163E-2</v>
      </c>
      <c r="S691" s="18">
        <f t="shared" si="183"/>
        <v>0.99999999999999789</v>
      </c>
      <c r="T691" s="15"/>
      <c r="U691" s="15"/>
      <c r="V691" s="40">
        <f t="shared" si="184"/>
        <v>3.34</v>
      </c>
      <c r="W691" s="41">
        <f t="shared" si="173"/>
        <v>23.34</v>
      </c>
      <c r="X691">
        <f t="shared" si="185"/>
        <v>3.1229778593250202E-2</v>
      </c>
      <c r="Y691">
        <f t="shared" si="186"/>
        <v>1.7780075432914151</v>
      </c>
      <c r="Z691" s="33">
        <f t="shared" si="174"/>
        <v>7.4736793663200282E-2</v>
      </c>
      <c r="AA691" s="33">
        <f t="shared" si="175"/>
        <v>0.5</v>
      </c>
      <c r="AB691">
        <f t="shared" si="176"/>
        <v>-4.6078867487027997E-3</v>
      </c>
      <c r="AC691" s="1">
        <f t="shared" si="177"/>
        <v>-3.7710740486346817E-2</v>
      </c>
      <c r="AD691" s="35">
        <f>IF(W691&gt;=FinalAgeForPremium, AE691*Delta-Z691*(Y691-AE691),AE691*Delta+PremiumRevisedForLimitedTerm-Z691*(Y691-AE691))</f>
        <v>8.799025057660087E-3</v>
      </c>
      <c r="AE691" s="35">
        <f>AE690-StepSize*AD690</f>
        <v>2.66864201030023E-2</v>
      </c>
      <c r="AF691" s="1"/>
    </row>
    <row r="692" spans="11:32" x14ac:dyDescent="0.45">
      <c r="K692" s="40">
        <f t="shared" si="178"/>
        <v>6.67</v>
      </c>
      <c r="L692" s="41">
        <f t="shared" si="170"/>
        <v>26.67</v>
      </c>
      <c r="M692">
        <f t="shared" si="179"/>
        <v>0.8542108822283877</v>
      </c>
      <c r="N692">
        <f t="shared" si="180"/>
        <v>0.14578911777161027</v>
      </c>
      <c r="O692">
        <f t="shared" si="171"/>
        <v>9.957829824500665E-2</v>
      </c>
      <c r="P692">
        <f t="shared" si="172"/>
        <v>0.5</v>
      </c>
      <c r="Q692">
        <f t="shared" si="181"/>
        <v>-1.2166307108863503E-2</v>
      </c>
      <c r="R692" s="6">
        <f t="shared" si="182"/>
        <v>1.2166307108863503E-2</v>
      </c>
      <c r="S692" s="18">
        <f t="shared" si="183"/>
        <v>0.999999999999998</v>
      </c>
      <c r="T692" s="15"/>
      <c r="U692" s="15"/>
      <c r="V692" s="40">
        <f t="shared" si="184"/>
        <v>3.33</v>
      </c>
      <c r="W692" s="41">
        <f t="shared" si="173"/>
        <v>23.33</v>
      </c>
      <c r="X692">
        <f t="shared" si="185"/>
        <v>3.127585746073723E-2</v>
      </c>
      <c r="Y692">
        <f t="shared" si="186"/>
        <v>1.7783846506962786</v>
      </c>
      <c r="Z692" s="33">
        <f t="shared" si="174"/>
        <v>7.4672414960202757E-2</v>
      </c>
      <c r="AA692" s="33">
        <f t="shared" si="175"/>
        <v>0.5</v>
      </c>
      <c r="AB692">
        <f t="shared" si="176"/>
        <v>-4.5178462187188961E-3</v>
      </c>
      <c r="AC692" s="1">
        <f t="shared" si="177"/>
        <v>-3.7526370847415391E-2</v>
      </c>
      <c r="AD692" s="35">
        <f>IF(W692&gt;=FinalAgeForPremium, AE692*Delta-Z692*(Y692-AE692),AE692*Delta+PremiumRevisedForLimitedTerm-Z692*(Y692-AE692))</f>
        <v>8.8726433624502499E-3</v>
      </c>
      <c r="AE692" s="35">
        <f>AE691-StepSize*AD691</f>
        <v>2.6598429852425699E-2</v>
      </c>
      <c r="AF692" s="1"/>
    </row>
    <row r="693" spans="11:32" x14ac:dyDescent="0.45">
      <c r="K693" s="40">
        <f t="shared" si="178"/>
        <v>6.68</v>
      </c>
      <c r="L693" s="41">
        <f t="shared" si="170"/>
        <v>26.68</v>
      </c>
      <c r="M693">
        <f t="shared" si="179"/>
        <v>0.85408921915729907</v>
      </c>
      <c r="N693">
        <f t="shared" si="180"/>
        <v>0.1459107808426989</v>
      </c>
      <c r="O693">
        <f t="shared" si="171"/>
        <v>9.9664149515400549E-2</v>
      </c>
      <c r="P693">
        <f t="shared" si="172"/>
        <v>0.5</v>
      </c>
      <c r="Q693">
        <f t="shared" si="181"/>
        <v>-1.2166685216235318E-2</v>
      </c>
      <c r="R693" s="6">
        <f t="shared" si="182"/>
        <v>1.2166685216235318E-2</v>
      </c>
      <c r="S693" s="18">
        <f t="shared" si="183"/>
        <v>0.999999999999998</v>
      </c>
      <c r="T693" s="15"/>
      <c r="U693" s="15"/>
      <c r="V693" s="40">
        <f t="shared" si="184"/>
        <v>3.32</v>
      </c>
      <c r="W693" s="41">
        <f t="shared" si="173"/>
        <v>23.32</v>
      </c>
      <c r="X693">
        <f t="shared" si="185"/>
        <v>3.1321035922924421E-2</v>
      </c>
      <c r="Y693">
        <f t="shared" si="186"/>
        <v>1.7787599144047528</v>
      </c>
      <c r="Z693" s="33">
        <f t="shared" si="174"/>
        <v>7.4608091713389474E-2</v>
      </c>
      <c r="AA693" s="33">
        <f t="shared" si="175"/>
        <v>0.5</v>
      </c>
      <c r="AB693">
        <f t="shared" si="176"/>
        <v>-4.4278346158208026E-3</v>
      </c>
      <c r="AC693" s="1">
        <f t="shared" si="177"/>
        <v>-3.7342565038848141E-2</v>
      </c>
      <c r="AD693" s="35">
        <f>IF(W693&gt;=FinalAgeForPremium, AE693*Delta-Z693*(Y693-AE693),AE693*Delta+PremiumRevisedForLimitedTerm-Z693*(Y693-AE693))</f>
        <v>8.9462701991406546E-3</v>
      </c>
      <c r="AE693" s="35">
        <f>AE692-StepSize*AD692</f>
        <v>2.6509703418801198E-2</v>
      </c>
      <c r="AF693" s="1"/>
    </row>
    <row r="694" spans="11:32" x14ac:dyDescent="0.45">
      <c r="K694" s="40">
        <f t="shared" si="178"/>
        <v>6.69</v>
      </c>
      <c r="L694" s="41">
        <f t="shared" si="170"/>
        <v>26.69</v>
      </c>
      <c r="M694">
        <f t="shared" si="179"/>
        <v>0.85396755230513677</v>
      </c>
      <c r="N694">
        <f t="shared" si="180"/>
        <v>0.14603244769486126</v>
      </c>
      <c r="O694">
        <f t="shared" si="171"/>
        <v>9.9750074802329808E-2</v>
      </c>
      <c r="P694">
        <f t="shared" si="172"/>
        <v>0.5</v>
      </c>
      <c r="Q694">
        <f t="shared" si="181"/>
        <v>-1.216710337376925E-2</v>
      </c>
      <c r="R694" s="6">
        <f t="shared" si="182"/>
        <v>1.216710337376925E-2</v>
      </c>
      <c r="S694" s="18">
        <f t="shared" si="183"/>
        <v>0.999999999999998</v>
      </c>
      <c r="T694" s="15"/>
      <c r="U694" s="15"/>
      <c r="V694" s="40">
        <f t="shared" si="184"/>
        <v>3.31</v>
      </c>
      <c r="W694" s="41">
        <f t="shared" si="173"/>
        <v>23.31</v>
      </c>
      <c r="X694">
        <f t="shared" si="185"/>
        <v>3.1365314269082629E-2</v>
      </c>
      <c r="Y694">
        <f t="shared" si="186"/>
        <v>1.7791333400551412</v>
      </c>
      <c r="Z694" s="33">
        <f t="shared" si="174"/>
        <v>7.4543823874990145E-2</v>
      </c>
      <c r="AA694" s="33">
        <f t="shared" si="175"/>
        <v>0.5</v>
      </c>
      <c r="AB694">
        <f t="shared" si="176"/>
        <v>-4.3378524777333838E-3</v>
      </c>
      <c r="AC694" s="1">
        <f t="shared" si="177"/>
        <v>-3.7159320104213633E-2</v>
      </c>
      <c r="AD694" s="35">
        <f>IF(W694&gt;=FinalAgeForPremium, AE694*Delta-Z694*(Y694-AE694),AE694*Delta+PremiumRevisedForLimitedTerm-Z694*(Y694-AE694))</f>
        <v>9.0199049296223188E-3</v>
      </c>
      <c r="AE694" s="35">
        <f>AE693-StepSize*AD693</f>
        <v>2.642024071680979E-2</v>
      </c>
      <c r="AF694" s="1"/>
    </row>
    <row r="695" spans="11:32" x14ac:dyDescent="0.45">
      <c r="K695" s="40">
        <f t="shared" si="178"/>
        <v>6.7</v>
      </c>
      <c r="L695" s="41">
        <f t="shared" si="170"/>
        <v>26.7</v>
      </c>
      <c r="M695">
        <f t="shared" si="179"/>
        <v>0.85384588127139904</v>
      </c>
      <c r="N695">
        <f t="shared" si="180"/>
        <v>0.14615411872859896</v>
      </c>
      <c r="O695">
        <f t="shared" si="171"/>
        <v>9.9836074169607575E-2</v>
      </c>
      <c r="P695">
        <f t="shared" si="172"/>
        <v>0.5</v>
      </c>
      <c r="Q695">
        <f t="shared" si="181"/>
        <v>-1.2167561367725857E-2</v>
      </c>
      <c r="R695" s="6">
        <f t="shared" si="182"/>
        <v>1.2167561367725857E-2</v>
      </c>
      <c r="S695" s="18">
        <f t="shared" si="183"/>
        <v>0.999999999999998</v>
      </c>
      <c r="T695" s="15"/>
      <c r="U695" s="15"/>
      <c r="V695" s="40">
        <f t="shared" si="184"/>
        <v>3.3</v>
      </c>
      <c r="W695" s="41">
        <f t="shared" si="173"/>
        <v>23.3</v>
      </c>
      <c r="X695">
        <f t="shared" si="185"/>
        <v>3.1408692793859966E-2</v>
      </c>
      <c r="Y695">
        <f t="shared" si="186"/>
        <v>1.7795049332561834</v>
      </c>
      <c r="Z695" s="33">
        <f t="shared" si="174"/>
        <v>7.44796113972757E-2</v>
      </c>
      <c r="AA695" s="33">
        <f t="shared" si="175"/>
        <v>0.5</v>
      </c>
      <c r="AB695">
        <f t="shared" si="176"/>
        <v>-4.2479003376318103E-3</v>
      </c>
      <c r="AC695" s="1">
        <f t="shared" si="177"/>
        <v>-3.6976633106029055E-2</v>
      </c>
      <c r="AD695" s="35">
        <f>IF(W695&gt;=FinalAgeForPremium, AE695*Delta-Z695*(Y695-AE695),AE695*Delta+PremiumRevisedForLimitedTerm-Z695*(Y695-AE695))</f>
        <v>9.0935469206371577E-3</v>
      </c>
      <c r="AE695" s="35">
        <f>AE694-StepSize*AD694</f>
        <v>2.6330041667513567E-2</v>
      </c>
      <c r="AF695" s="1"/>
    </row>
    <row r="696" spans="11:32" x14ac:dyDescent="0.45">
      <c r="K696" s="40">
        <f t="shared" si="178"/>
        <v>6.71</v>
      </c>
      <c r="L696" s="41">
        <f t="shared" si="170"/>
        <v>26.71</v>
      </c>
      <c r="M696">
        <f t="shared" si="179"/>
        <v>0.85372420565772178</v>
      </c>
      <c r="N696">
        <f t="shared" si="180"/>
        <v>0.14627579434227622</v>
      </c>
      <c r="O696">
        <f t="shared" si="171"/>
        <v>9.9922147681102122E-2</v>
      </c>
      <c r="P696">
        <f t="shared" si="172"/>
        <v>0.5</v>
      </c>
      <c r="Q696">
        <f t="shared" si="181"/>
        <v>-1.2168058985524366E-2</v>
      </c>
      <c r="R696" s="6">
        <f t="shared" si="182"/>
        <v>1.2168058985524366E-2</v>
      </c>
      <c r="S696" s="18">
        <f t="shared" si="183"/>
        <v>0.999999999999998</v>
      </c>
      <c r="T696" s="15"/>
      <c r="U696" s="15"/>
      <c r="V696" s="40">
        <f t="shared" si="184"/>
        <v>3.29</v>
      </c>
      <c r="W696" s="41">
        <f t="shared" si="173"/>
        <v>23.29</v>
      </c>
      <c r="X696">
        <f t="shared" si="185"/>
        <v>3.1451171797236284E-2</v>
      </c>
      <c r="Y696">
        <f t="shared" si="186"/>
        <v>1.7798746995872436</v>
      </c>
      <c r="Z696" s="33">
        <f t="shared" si="174"/>
        <v>7.4415454232558104E-2</v>
      </c>
      <c r="AA696" s="33">
        <f t="shared" si="175"/>
        <v>0.5</v>
      </c>
      <c r="AB696">
        <f t="shared" si="176"/>
        <v>-4.1579787241755872E-3</v>
      </c>
      <c r="AC696" s="1">
        <f t="shared" si="177"/>
        <v>-3.6794501125634205E-2</v>
      </c>
      <c r="AD696" s="35">
        <f>IF(W696&gt;=FinalAgeForPremium, AE696*Delta-Z696*(Y696-AE696),AE696*Delta+PremiumRevisedForLimitedTerm-Z696*(Y696-AE696))</f>
        <v>9.1671955437426234E-3</v>
      </c>
      <c r="AE696" s="35">
        <f>AE695-StepSize*AD695</f>
        <v>2.6239106198307195E-2</v>
      </c>
      <c r="AF696" s="1"/>
    </row>
    <row r="697" spans="11:32" x14ac:dyDescent="0.45">
      <c r="K697" s="40">
        <f t="shared" si="178"/>
        <v>6.72</v>
      </c>
      <c r="L697" s="41">
        <f t="shared" si="170"/>
        <v>26.72</v>
      </c>
      <c r="M697">
        <f t="shared" si="179"/>
        <v>0.85360252506786649</v>
      </c>
      <c r="N697">
        <f t="shared" si="180"/>
        <v>0.14639747493213146</v>
      </c>
      <c r="O697">
        <f t="shared" si="171"/>
        <v>0.10000829540073682</v>
      </c>
      <c r="P697">
        <f t="shared" si="172"/>
        <v>0.5</v>
      </c>
      <c r="Q697">
        <f t="shared" si="181"/>
        <v>-1.2168596015736319E-2</v>
      </c>
      <c r="R697" s="6">
        <f t="shared" si="182"/>
        <v>1.2168596015736319E-2</v>
      </c>
      <c r="S697" s="18">
        <f t="shared" si="183"/>
        <v>0.999999999999998</v>
      </c>
      <c r="T697" s="15"/>
      <c r="U697" s="15"/>
      <c r="V697" s="40">
        <f t="shared" si="184"/>
        <v>3.28</v>
      </c>
      <c r="W697" s="41">
        <f t="shared" si="173"/>
        <v>23.28</v>
      </c>
      <c r="X697">
        <f t="shared" si="185"/>
        <v>3.1492751584478042E-2</v>
      </c>
      <c r="Y697">
        <f t="shared" si="186"/>
        <v>1.7802426445985</v>
      </c>
      <c r="Z697" s="33">
        <f t="shared" si="174"/>
        <v>7.4351352333190388E-2</v>
      </c>
      <c r="AA697" s="33">
        <f t="shared" si="175"/>
        <v>0.5</v>
      </c>
      <c r="AB697">
        <f t="shared" si="176"/>
        <v>-4.0680881615429709E-3</v>
      </c>
      <c r="AC697" s="1">
        <f t="shared" si="177"/>
        <v>-3.6612921263064035E-2</v>
      </c>
      <c r="AD697" s="35">
        <f>IF(W697&gt;=FinalAgeForPremium, AE697*Delta-Z697*(Y697-AE697),AE697*Delta+PremiumRevisedForLimitedTerm-Z697*(Y697-AE697))</f>
        <v>9.2408501752768435E-3</v>
      </c>
      <c r="AE697" s="35">
        <f>AE696-StepSize*AD696</f>
        <v>2.614743424286977E-2</v>
      </c>
      <c r="AF697" s="1"/>
    </row>
    <row r="698" spans="11:32" x14ac:dyDescent="0.45">
      <c r="K698" s="40">
        <f t="shared" si="178"/>
        <v>6.73</v>
      </c>
      <c r="L698" s="41">
        <f t="shared" si="170"/>
        <v>26.73</v>
      </c>
      <c r="M698">
        <f t="shared" si="179"/>
        <v>0.85348083910770911</v>
      </c>
      <c r="N698">
        <f t="shared" si="180"/>
        <v>0.14651916089228881</v>
      </c>
      <c r="O698">
        <f t="shared" si="171"/>
        <v>0.10009451739249009</v>
      </c>
      <c r="P698">
        <f t="shared" si="172"/>
        <v>0.5</v>
      </c>
      <c r="Q698">
        <f t="shared" si="181"/>
        <v>-1.2169172248079216E-2</v>
      </c>
      <c r="R698" s="6">
        <f t="shared" si="182"/>
        <v>1.2169172248079216E-2</v>
      </c>
      <c r="S698" s="18">
        <f t="shared" si="183"/>
        <v>0.99999999999999789</v>
      </c>
      <c r="T698" s="15"/>
      <c r="U698" s="15"/>
      <c r="V698" s="40">
        <f t="shared" si="184"/>
        <v>3.27</v>
      </c>
      <c r="W698" s="41">
        <f t="shared" si="173"/>
        <v>23.27</v>
      </c>
      <c r="X698">
        <f t="shared" si="185"/>
        <v>3.153343246609347E-2</v>
      </c>
      <c r="Y698">
        <f t="shared" si="186"/>
        <v>1.7806087738111307</v>
      </c>
      <c r="Z698" s="33">
        <f t="shared" si="174"/>
        <v>7.428730565156666E-2</v>
      </c>
      <c r="AA698" s="33">
        <f t="shared" si="175"/>
        <v>0.5</v>
      </c>
      <c r="AB698">
        <f t="shared" si="176"/>
        <v>-3.9782291694647476E-3</v>
      </c>
      <c r="AC698" s="1">
        <f t="shared" si="177"/>
        <v>-3.6431890636924869E-2</v>
      </c>
      <c r="AD698" s="35">
        <f>IF(W698&gt;=FinalAgeForPremium, AE698*Delta-Z698*(Y698-AE698),AE698*Delta+PremiumRevisedForLimitedTerm-Z698*(Y698-AE698))</f>
        <v>9.3145101963234E-3</v>
      </c>
      <c r="AE698" s="35">
        <f>AE697-StepSize*AD697</f>
        <v>2.6055025741117E-2</v>
      </c>
      <c r="AF698" s="1"/>
    </row>
    <row r="699" spans="11:32" x14ac:dyDescent="0.45">
      <c r="K699" s="40">
        <f t="shared" si="178"/>
        <v>6.74</v>
      </c>
      <c r="L699" s="41">
        <f t="shared" si="170"/>
        <v>26.740000000000002</v>
      </c>
      <c r="M699">
        <f t="shared" si="179"/>
        <v>0.85335914738522833</v>
      </c>
      <c r="N699">
        <f t="shared" si="180"/>
        <v>0.14664085261476961</v>
      </c>
      <c r="O699">
        <f t="shared" si="171"/>
        <v>0.10018081372039545</v>
      </c>
      <c r="P699">
        <f t="shared" si="172"/>
        <v>0.5</v>
      </c>
      <c r="Q699">
        <f t="shared" si="181"/>
        <v>-1.2169787473410229E-2</v>
      </c>
      <c r="R699" s="6">
        <f t="shared" si="182"/>
        <v>1.2169787473410229E-2</v>
      </c>
      <c r="S699" s="18">
        <f t="shared" si="183"/>
        <v>0.999999999999998</v>
      </c>
      <c r="T699" s="15"/>
      <c r="U699" s="15"/>
      <c r="V699" s="40">
        <f t="shared" si="184"/>
        <v>3.26</v>
      </c>
      <c r="W699" s="41">
        <f t="shared" si="173"/>
        <v>23.259999999999998</v>
      </c>
      <c r="X699">
        <f t="shared" si="185"/>
        <v>3.1573214757788119E-2</v>
      </c>
      <c r="Y699">
        <f t="shared" si="186"/>
        <v>1.7809730927175</v>
      </c>
      <c r="Z699" s="33">
        <f t="shared" si="174"/>
        <v>7.4223314140122107E-2</v>
      </c>
      <c r="AA699" s="33">
        <f t="shared" si="175"/>
        <v>0.5</v>
      </c>
      <c r="AB699">
        <f t="shared" si="176"/>
        <v>-3.8884022632579007E-3</v>
      </c>
      <c r="AC699" s="1">
        <f t="shared" si="177"/>
        <v>-3.6251406384269047E-2</v>
      </c>
      <c r="AD699" s="35">
        <f>IF(W699&gt;=FinalAgeForPremium, AE699*Delta-Z699*(Y699-AE699),AE699*Delta+PremiumRevisedForLimitedTerm-Z699*(Y699-AE699))</f>
        <v>9.3881749926766622E-3</v>
      </c>
      <c r="AE699" s="35">
        <f>AE698-StepSize*AD698</f>
        <v>2.5961880639153768E-2</v>
      </c>
      <c r="AF699" s="1"/>
    </row>
    <row r="700" spans="11:32" x14ac:dyDescent="0.45">
      <c r="K700" s="40">
        <f t="shared" si="178"/>
        <v>6.75</v>
      </c>
      <c r="L700" s="41">
        <f t="shared" si="170"/>
        <v>26.75</v>
      </c>
      <c r="M700">
        <f t="shared" si="179"/>
        <v>0.85323744951049418</v>
      </c>
      <c r="N700">
        <f t="shared" si="180"/>
        <v>0.14676255048950371</v>
      </c>
      <c r="O700">
        <f t="shared" si="171"/>
        <v>0.10026718444854175</v>
      </c>
      <c r="P700">
        <f t="shared" si="172"/>
        <v>0.5</v>
      </c>
      <c r="Q700">
        <f t="shared" si="181"/>
        <v>-1.2170441483720193E-2</v>
      </c>
      <c r="R700" s="6">
        <f t="shared" si="182"/>
        <v>1.2170441483720193E-2</v>
      </c>
      <c r="S700" s="18">
        <f t="shared" si="183"/>
        <v>0.99999999999999789</v>
      </c>
      <c r="T700" s="15"/>
      <c r="U700" s="15"/>
      <c r="V700" s="40">
        <f t="shared" si="184"/>
        <v>3.25</v>
      </c>
      <c r="W700" s="41">
        <f t="shared" si="173"/>
        <v>23.25</v>
      </c>
      <c r="X700">
        <f t="shared" si="185"/>
        <v>3.1612098780420698E-2</v>
      </c>
      <c r="Y700">
        <f t="shared" si="186"/>
        <v>1.7813356067813428</v>
      </c>
      <c r="Z700" s="33">
        <f t="shared" si="174"/>
        <v>7.4159377751332758E-2</v>
      </c>
      <c r="AA700" s="33">
        <f t="shared" si="175"/>
        <v>0.5</v>
      </c>
      <c r="AB700">
        <f t="shared" si="176"/>
        <v>-3.7986079538588069E-3</v>
      </c>
      <c r="AC700" s="1">
        <f t="shared" si="177"/>
        <v>-3.6071465660471813E-2</v>
      </c>
      <c r="AD700" s="35">
        <f>IF(W700&gt;=FinalAgeForPremium, AE700*Delta-Z700*(Y700-AE700),AE700*Delta+PremiumRevisedForLimitedTerm-Z700*(Y700-AE700))</f>
        <v>9.4618439548079802E-3</v>
      </c>
      <c r="AE700" s="35">
        <f>AE699-StepSize*AD699</f>
        <v>2.5867998889227001E-2</v>
      </c>
      <c r="AF700" s="1"/>
    </row>
    <row r="701" spans="11:32" x14ac:dyDescent="0.45">
      <c r="K701" s="40">
        <f t="shared" si="178"/>
        <v>6.76</v>
      </c>
      <c r="L701" s="41">
        <f t="shared" si="170"/>
        <v>26.759999999999998</v>
      </c>
      <c r="M701">
        <f t="shared" si="179"/>
        <v>0.85311574509565702</v>
      </c>
      <c r="N701">
        <f t="shared" si="180"/>
        <v>0.1468842549043409</v>
      </c>
      <c r="O701">
        <f t="shared" si="171"/>
        <v>0.10035362964107304</v>
      </c>
      <c r="P701">
        <f t="shared" si="172"/>
        <v>0.5</v>
      </c>
      <c r="Q701">
        <f t="shared" si="181"/>
        <v>-1.2171134072127193E-2</v>
      </c>
      <c r="R701" s="6">
        <f t="shared" si="182"/>
        <v>1.2171134072127193E-2</v>
      </c>
      <c r="S701" s="18">
        <f t="shared" si="183"/>
        <v>0.99999999999999789</v>
      </c>
      <c r="T701" s="15"/>
      <c r="U701" s="15"/>
      <c r="V701" s="40">
        <f t="shared" si="184"/>
        <v>3.24</v>
      </c>
      <c r="W701" s="41">
        <f t="shared" si="173"/>
        <v>23.240000000000002</v>
      </c>
      <c r="X701">
        <f t="shared" si="185"/>
        <v>3.1650084859959286E-2</v>
      </c>
      <c r="Y701">
        <f t="shared" si="186"/>
        <v>1.7816963214379475</v>
      </c>
      <c r="Z701" s="33">
        <f t="shared" si="174"/>
        <v>7.4095496437715694E-2</v>
      </c>
      <c r="AA701" s="33">
        <f t="shared" si="175"/>
        <v>0.5</v>
      </c>
      <c r="AB701">
        <f t="shared" si="176"/>
        <v>-3.7088467478564591E-3</v>
      </c>
      <c r="AC701" s="1">
        <f t="shared" si="177"/>
        <v>-3.5892065639108517E-2</v>
      </c>
      <c r="AD701" s="35">
        <f>IF(W701&gt;=FinalAgeForPremium, AE701*Delta-Z701*(Y701-AE701),AE701*Delta+PremiumRevisedForLimitedTerm-Z701*(Y701-AE701))</f>
        <v>9.5355164778309631E-3</v>
      </c>
      <c r="AE701" s="35">
        <f>AE700-StepSize*AD700</f>
        <v>2.5773380449678921E-2</v>
      </c>
      <c r="AF701" s="1"/>
    </row>
    <row r="702" spans="11:32" x14ac:dyDescent="0.45">
      <c r="K702" s="40">
        <f t="shared" si="178"/>
        <v>6.77</v>
      </c>
      <c r="L702" s="41">
        <f t="shared" si="170"/>
        <v>26.77</v>
      </c>
      <c r="M702">
        <f t="shared" si="179"/>
        <v>0.85299403375493577</v>
      </c>
      <c r="N702">
        <f t="shared" si="180"/>
        <v>0.14700596624506218</v>
      </c>
      <c r="O702">
        <f t="shared" si="171"/>
        <v>0.10044014936218865</v>
      </c>
      <c r="P702">
        <f t="shared" si="172"/>
        <v>0.5</v>
      </c>
      <c r="Q702">
        <f t="shared" si="181"/>
        <v>-1.2171865032870446E-2</v>
      </c>
      <c r="R702" s="6">
        <f t="shared" si="182"/>
        <v>1.2171865032870446E-2</v>
      </c>
      <c r="S702" s="18">
        <f t="shared" si="183"/>
        <v>0.999999999999998</v>
      </c>
      <c r="T702" s="15"/>
      <c r="U702" s="15"/>
      <c r="V702" s="40">
        <f t="shared" si="184"/>
        <v>3.23</v>
      </c>
      <c r="W702" s="41">
        <f t="shared" si="173"/>
        <v>23.23</v>
      </c>
      <c r="X702">
        <f t="shared" si="185"/>
        <v>3.1687173327437854E-2</v>
      </c>
      <c r="Y702">
        <f t="shared" si="186"/>
        <v>1.7820552420943385</v>
      </c>
      <c r="Z702" s="33">
        <f t="shared" si="174"/>
        <v>7.4031670151828793E-2</v>
      </c>
      <c r="AA702" s="33">
        <f t="shared" si="175"/>
        <v>0.5</v>
      </c>
      <c r="AB702">
        <f t="shared" si="176"/>
        <v>-3.6191191475252182E-3</v>
      </c>
      <c r="AC702" s="1">
        <f t="shared" si="177"/>
        <v>-3.5713203511832714E-2</v>
      </c>
      <c r="AD702" s="35">
        <f>IF(W702&gt;=FinalAgeForPremium, AE702*Delta-Z702*(Y702-AE702),AE702*Delta+PremiumRevisedForLimitedTerm-Z702*(Y702-AE702))</f>
        <v>9.609191961468172E-3</v>
      </c>
      <c r="AE702" s="35">
        <f>AE701-StepSize*AD701</f>
        <v>2.567802528490061E-2</v>
      </c>
      <c r="AF702" s="1"/>
    </row>
    <row r="703" spans="11:32" x14ac:dyDescent="0.45">
      <c r="K703" s="40">
        <f t="shared" si="178"/>
        <v>6.78</v>
      </c>
      <c r="L703" s="41">
        <f t="shared" si="170"/>
        <v>26.78</v>
      </c>
      <c r="M703">
        <f t="shared" si="179"/>
        <v>0.85287231510460704</v>
      </c>
      <c r="N703">
        <f t="shared" si="180"/>
        <v>0.14712768489539088</v>
      </c>
      <c r="O703">
        <f t="shared" si="171"/>
        <v>0.10052674367614334</v>
      </c>
      <c r="P703">
        <f t="shared" si="172"/>
        <v>0.5</v>
      </c>
      <c r="Q703">
        <f t="shared" si="181"/>
        <v>-1.2172634161304347E-2</v>
      </c>
      <c r="R703" s="6">
        <f t="shared" si="182"/>
        <v>1.2172634161304347E-2</v>
      </c>
      <c r="S703" s="18">
        <f t="shared" si="183"/>
        <v>0.99999999999999789</v>
      </c>
      <c r="T703" s="15"/>
      <c r="U703" s="15"/>
      <c r="V703" s="40">
        <f t="shared" si="184"/>
        <v>3.22</v>
      </c>
      <c r="W703" s="41">
        <f t="shared" si="173"/>
        <v>23.22</v>
      </c>
      <c r="X703">
        <f t="shared" si="185"/>
        <v>3.1723364518913104E-2</v>
      </c>
      <c r="Y703">
        <f t="shared" si="186"/>
        <v>1.7824123741294569</v>
      </c>
      <c r="Z703" s="33">
        <f t="shared" si="174"/>
        <v>7.3967898846270835E-2</v>
      </c>
      <c r="AA703" s="33">
        <f t="shared" si="175"/>
        <v>0.5</v>
      </c>
      <c r="AB703">
        <f t="shared" si="176"/>
        <v>-3.529425650857454E-3</v>
      </c>
      <c r="AC703" s="1">
        <f t="shared" si="177"/>
        <v>-3.5534876488255263E-2</v>
      </c>
      <c r="AD703" s="35">
        <f>IF(W703&gt;=FinalAgeForPremium, AE703*Delta-Z703*(Y703-AE703),AE703*Delta+PremiumRevisedForLimitedTerm-Z703*(Y703-AE703))</f>
        <v>9.6828698100172306E-3</v>
      </c>
      <c r="AE703" s="35">
        <f>AE702-StepSize*AD702</f>
        <v>2.5581933365285928E-2</v>
      </c>
      <c r="AF703" s="1"/>
    </row>
    <row r="704" spans="11:32" x14ac:dyDescent="0.45">
      <c r="K704" s="40">
        <f t="shared" si="178"/>
        <v>6.79</v>
      </c>
      <c r="L704" s="41">
        <f t="shared" si="170"/>
        <v>26.79</v>
      </c>
      <c r="M704">
        <f t="shared" si="179"/>
        <v>0.85275058876299403</v>
      </c>
      <c r="N704">
        <f t="shared" si="180"/>
        <v>0.14724941123700391</v>
      </c>
      <c r="O704">
        <f t="shared" si="171"/>
        <v>0.1006134126472471</v>
      </c>
      <c r="P704">
        <f t="shared" si="172"/>
        <v>0.5</v>
      </c>
      <c r="Q704">
        <f t="shared" si="181"/>
        <v>-1.2173441253892081E-2</v>
      </c>
      <c r="R704" s="6">
        <f t="shared" si="182"/>
        <v>1.2173441253892081E-2</v>
      </c>
      <c r="S704" s="18">
        <f t="shared" si="183"/>
        <v>0.999999999999998</v>
      </c>
      <c r="T704" s="15"/>
      <c r="U704" s="15"/>
      <c r="V704" s="40">
        <f t="shared" si="184"/>
        <v>3.21</v>
      </c>
      <c r="W704" s="41">
        <f t="shared" si="173"/>
        <v>23.21</v>
      </c>
      <c r="X704">
        <f t="shared" si="185"/>
        <v>3.175865877542168E-2</v>
      </c>
      <c r="Y704">
        <f t="shared" si="186"/>
        <v>1.7827677228943395</v>
      </c>
      <c r="Z704" s="33">
        <f t="shared" si="174"/>
        <v>7.3904182473681523E-2</v>
      </c>
      <c r="AA704" s="33">
        <f t="shared" si="175"/>
        <v>0.5</v>
      </c>
      <c r="AB704">
        <f t="shared" si="176"/>
        <v>-3.4397667515960462E-3</v>
      </c>
      <c r="AC704" s="1">
        <f t="shared" si="177"/>
        <v>-3.5357081795824086E-2</v>
      </c>
      <c r="AD704" s="35">
        <f>IF(W704&gt;=FinalAgeForPremium, AE704*Delta-Z704*(Y704-AE704),AE704*Delta+PremiumRevisedForLimitedTerm-Z704*(Y704-AE704))</f>
        <v>9.7565494323174351E-3</v>
      </c>
      <c r="AE704" s="35">
        <f>AE703-StepSize*AD703</f>
        <v>2.5485104667185756E-2</v>
      </c>
      <c r="AF704" s="1"/>
    </row>
    <row r="705" spans="11:32" x14ac:dyDescent="0.45">
      <c r="K705" s="40">
        <f t="shared" si="178"/>
        <v>6.8</v>
      </c>
      <c r="L705" s="41">
        <f t="shared" si="170"/>
        <v>26.8</v>
      </c>
      <c r="M705">
        <f t="shared" si="179"/>
        <v>0.8526288543504551</v>
      </c>
      <c r="N705">
        <f t="shared" si="180"/>
        <v>0.14737114564954285</v>
      </c>
      <c r="O705">
        <f t="shared" si="171"/>
        <v>0.10070015633986554</v>
      </c>
      <c r="P705">
        <f t="shared" si="172"/>
        <v>0.5</v>
      </c>
      <c r="Q705">
        <f t="shared" si="181"/>
        <v>-1.2174286108199844E-2</v>
      </c>
      <c r="R705" s="6">
        <f t="shared" si="182"/>
        <v>1.2174286108199844E-2</v>
      </c>
      <c r="S705" s="18">
        <f t="shared" si="183"/>
        <v>0.999999999999998</v>
      </c>
      <c r="T705" s="15"/>
      <c r="U705" s="15"/>
      <c r="V705" s="40">
        <f t="shared" si="184"/>
        <v>3.2</v>
      </c>
      <c r="W705" s="41">
        <f t="shared" si="173"/>
        <v>23.2</v>
      </c>
      <c r="X705">
        <f t="shared" si="185"/>
        <v>3.1793056442937638E-2</v>
      </c>
      <c r="Y705">
        <f t="shared" si="186"/>
        <v>1.7831212937122978</v>
      </c>
      <c r="Z705" s="33">
        <f t="shared" si="174"/>
        <v>7.3840520986741237E-2</v>
      </c>
      <c r="AA705" s="33">
        <f t="shared" si="175"/>
        <v>0.5</v>
      </c>
      <c r="AB705">
        <f t="shared" si="176"/>
        <v>-3.3501429392661652E-3</v>
      </c>
      <c r="AC705" s="1">
        <f t="shared" si="177"/>
        <v>-3.5179816679705045E-2</v>
      </c>
      <c r="AD705" s="35">
        <f>IF(W705&gt;=FinalAgeForPremium, AE705*Delta-Z705*(Y705-AE705),AE705*Delta+PremiumRevisedForLimitedTerm-Z705*(Y705-AE705))</f>
        <v>9.8302302417170306E-3</v>
      </c>
      <c r="AE705" s="35">
        <f>AE704-StepSize*AD704</f>
        <v>2.5387539172862583E-2</v>
      </c>
      <c r="AF705" s="1"/>
    </row>
    <row r="706" spans="11:32" x14ac:dyDescent="0.45">
      <c r="K706" s="40">
        <f t="shared" si="178"/>
        <v>6.81</v>
      </c>
      <c r="L706" s="41">
        <f t="shared" si="170"/>
        <v>26.81</v>
      </c>
      <c r="M706">
        <f t="shared" si="179"/>
        <v>0.85250711148937308</v>
      </c>
      <c r="N706">
        <f t="shared" si="180"/>
        <v>0.14749288851062484</v>
      </c>
      <c r="O706">
        <f t="shared" si="171"/>
        <v>0.10078697481841968</v>
      </c>
      <c r="P706">
        <f t="shared" si="172"/>
        <v>0.5</v>
      </c>
      <c r="Q706">
        <f t="shared" si="181"/>
        <v>-1.2175168522890731E-2</v>
      </c>
      <c r="R706" s="6">
        <f t="shared" si="182"/>
        <v>1.2175168522890731E-2</v>
      </c>
      <c r="S706" s="18">
        <f t="shared" si="183"/>
        <v>0.99999999999999789</v>
      </c>
      <c r="T706" s="15"/>
      <c r="U706" s="15"/>
      <c r="V706" s="40">
        <f t="shared" si="184"/>
        <v>3.19</v>
      </c>
      <c r="W706" s="41">
        <f t="shared" si="173"/>
        <v>23.19</v>
      </c>
      <c r="X706">
        <f t="shared" si="185"/>
        <v>3.1826557872330297E-2</v>
      </c>
      <c r="Y706">
        <f t="shared" si="186"/>
        <v>1.7834730918790949</v>
      </c>
      <c r="Z706" s="33">
        <f t="shared" si="174"/>
        <v>7.3776914338171184E-2</v>
      </c>
      <c r="AA706" s="33">
        <f t="shared" si="175"/>
        <v>0.5</v>
      </c>
      <c r="AB706">
        <f t="shared" si="176"/>
        <v>-3.2605546992073575E-3</v>
      </c>
      <c r="AC706" s="1">
        <f t="shared" si="177"/>
        <v>-3.5003078402662924E-2</v>
      </c>
      <c r="AD706" s="35">
        <f>IF(W706&gt;=FinalAgeForPremium, AE706*Delta-Z706*(Y706-AE706),AE706*Delta+PremiumRevisedForLimitedTerm-Z706*(Y706-AE706))</f>
        <v>9.9039116560400986E-3</v>
      </c>
      <c r="AE706" s="35">
        <f>AE705-StepSize*AD705</f>
        <v>2.5289236870445413E-2</v>
      </c>
      <c r="AF706" s="1"/>
    </row>
    <row r="707" spans="11:32" x14ac:dyDescent="0.45">
      <c r="K707" s="40">
        <f t="shared" si="178"/>
        <v>6.82</v>
      </c>
      <c r="L707" s="41">
        <f t="shared" si="170"/>
        <v>26.82</v>
      </c>
      <c r="M707">
        <f t="shared" si="179"/>
        <v>0.8523853598041442</v>
      </c>
      <c r="N707">
        <f t="shared" si="180"/>
        <v>0.14761464019585374</v>
      </c>
      <c r="O707">
        <f t="shared" si="171"/>
        <v>0.10087386814738614</v>
      </c>
      <c r="P707">
        <f t="shared" si="172"/>
        <v>0.5</v>
      </c>
      <c r="Q707">
        <f t="shared" si="181"/>
        <v>-1.2176088297718657E-2</v>
      </c>
      <c r="R707" s="6">
        <f t="shared" si="182"/>
        <v>1.2176088297718657E-2</v>
      </c>
      <c r="S707" s="18">
        <f t="shared" si="183"/>
        <v>0.999999999999998</v>
      </c>
      <c r="T707" s="15"/>
      <c r="U707" s="15"/>
      <c r="V707" s="40">
        <f t="shared" si="184"/>
        <v>3.18</v>
      </c>
      <c r="W707" s="41">
        <f t="shared" si="173"/>
        <v>23.18</v>
      </c>
      <c r="X707">
        <f t="shared" si="185"/>
        <v>3.1859163419322371E-2</v>
      </c>
      <c r="Y707">
        <f t="shared" si="186"/>
        <v>1.7838231226631216</v>
      </c>
      <c r="Z707" s="33">
        <f t="shared" si="174"/>
        <v>7.3713362480733249E-2</v>
      </c>
      <c r="AA707" s="33">
        <f t="shared" si="175"/>
        <v>0.5</v>
      </c>
      <c r="AB707">
        <f t="shared" si="176"/>
        <v>-3.1710025126049646E-3</v>
      </c>
      <c r="AC707" s="1">
        <f t="shared" si="177"/>
        <v>-3.48268642449443E-2</v>
      </c>
      <c r="AD707" s="35">
        <f>IF(W707&gt;=FinalAgeForPremium, AE707*Delta-Z707*(Y707-AE707),AE707*Delta+PremiumRevisedForLimitedTerm-Z707*(Y707-AE707))</f>
        <v>9.9775930975541105E-3</v>
      </c>
      <c r="AE707" s="35">
        <f>AE706-StepSize*AD706</f>
        <v>2.5190197753885011E-2</v>
      </c>
      <c r="AF707" s="1"/>
    </row>
    <row r="708" spans="11:32" x14ac:dyDescent="0.45">
      <c r="K708" s="40">
        <f t="shared" si="178"/>
        <v>6.83</v>
      </c>
      <c r="L708" s="41">
        <f t="shared" si="170"/>
        <v>26.83</v>
      </c>
      <c r="M708">
        <f t="shared" si="179"/>
        <v>0.85226359892116699</v>
      </c>
      <c r="N708">
        <f t="shared" si="180"/>
        <v>0.14773640107883093</v>
      </c>
      <c r="O708">
        <f t="shared" si="171"/>
        <v>0.10096083639129701</v>
      </c>
      <c r="P708">
        <f t="shared" si="172"/>
        <v>0.5</v>
      </c>
      <c r="Q708">
        <f t="shared" si="181"/>
        <v>-1.2177045233522449E-2</v>
      </c>
      <c r="R708" s="6">
        <f t="shared" si="182"/>
        <v>1.2177045233522449E-2</v>
      </c>
      <c r="S708" s="18">
        <f t="shared" si="183"/>
        <v>0.99999999999999789</v>
      </c>
      <c r="T708" s="15"/>
      <c r="U708" s="15"/>
      <c r="V708" s="40">
        <f t="shared" si="184"/>
        <v>3.17</v>
      </c>
      <c r="W708" s="41">
        <f t="shared" si="173"/>
        <v>23.17</v>
      </c>
      <c r="X708">
        <f t="shared" si="185"/>
        <v>3.1890873444448423E-2</v>
      </c>
      <c r="Y708">
        <f t="shared" si="186"/>
        <v>1.784171391305571</v>
      </c>
      <c r="Z708" s="33">
        <f t="shared" si="174"/>
        <v>7.3649865367230075E-2</v>
      </c>
      <c r="AA708" s="33">
        <f t="shared" si="175"/>
        <v>0.5</v>
      </c>
      <c r="AB708">
        <f t="shared" si="176"/>
        <v>-3.0814868565217646E-3</v>
      </c>
      <c r="AC708" s="1">
        <f t="shared" si="177"/>
        <v>-3.4651171504160194E-2</v>
      </c>
      <c r="AD708" s="35">
        <f>IF(W708&gt;=FinalAgeForPremium, AE708*Delta-Z708*(Y708-AE708),AE708*Delta+PremiumRevisedForLimitedTerm-Z708*(Y708-AE708))</f>
        <v>1.0051273992937426E-2</v>
      </c>
      <c r="AE708" s="35">
        <f>AE707-StepSize*AD707</f>
        <v>2.5090421822909471E-2</v>
      </c>
      <c r="AF708" s="1"/>
    </row>
    <row r="709" spans="11:32" x14ac:dyDescent="0.45">
      <c r="K709" s="40">
        <f t="shared" si="178"/>
        <v>6.84</v>
      </c>
      <c r="L709" s="41">
        <f t="shared" si="170"/>
        <v>26.84</v>
      </c>
      <c r="M709">
        <f t="shared" si="179"/>
        <v>0.8521418284688318</v>
      </c>
      <c r="N709">
        <f t="shared" si="180"/>
        <v>0.14785817153116615</v>
      </c>
      <c r="O709">
        <f t="shared" si="171"/>
        <v>0.1010478796147401</v>
      </c>
      <c r="P709">
        <f t="shared" si="172"/>
        <v>0.5</v>
      </c>
      <c r="Q709">
        <f t="shared" si="181"/>
        <v>-1.2178039132219945E-2</v>
      </c>
      <c r="R709" s="6">
        <f t="shared" si="182"/>
        <v>1.2178039132219945E-2</v>
      </c>
      <c r="S709" s="18">
        <f t="shared" si="183"/>
        <v>0.999999999999998</v>
      </c>
      <c r="T709" s="15"/>
      <c r="U709" s="15"/>
      <c r="V709" s="40">
        <f t="shared" si="184"/>
        <v>3.16</v>
      </c>
      <c r="W709" s="41">
        <f t="shared" si="173"/>
        <v>23.16</v>
      </c>
      <c r="X709">
        <f t="shared" si="185"/>
        <v>3.1921688313013639E-2</v>
      </c>
      <c r="Y709">
        <f t="shared" si="186"/>
        <v>1.7845179030206126</v>
      </c>
      <c r="Z709" s="33">
        <f t="shared" si="174"/>
        <v>7.3586422950504882E-2</v>
      </c>
      <c r="AA709" s="33">
        <f t="shared" si="175"/>
        <v>0.5</v>
      </c>
      <c r="AB709">
        <f t="shared" si="176"/>
        <v>-2.992008203928892E-3</v>
      </c>
      <c r="AC709" s="1">
        <f t="shared" si="177"/>
        <v>-3.447599749516983E-2</v>
      </c>
      <c r="AD709" s="35">
        <f>IF(W709&gt;=FinalAgeForPremium, AE709*Delta-Z709*(Y709-AE709),AE709*Delta+PremiumRevisedForLimitedTerm-Z709*(Y709-AE709))</f>
        <v>1.0124953773247541E-2</v>
      </c>
      <c r="AE709" s="35">
        <f>AE708-StepSize*AD708</f>
        <v>2.4989909082980096E-2</v>
      </c>
      <c r="AF709" s="1"/>
    </row>
    <row r="710" spans="11:32" x14ac:dyDescent="0.45">
      <c r="K710" s="40">
        <f t="shared" si="178"/>
        <v>6.85</v>
      </c>
      <c r="L710" s="41">
        <f t="shared" si="170"/>
        <v>26.85</v>
      </c>
      <c r="M710">
        <f t="shared" si="179"/>
        <v>0.85202004807750964</v>
      </c>
      <c r="N710">
        <f t="shared" si="180"/>
        <v>0.14797995192248836</v>
      </c>
      <c r="O710">
        <f t="shared" si="171"/>
        <v>0.10113499788235895</v>
      </c>
      <c r="P710">
        <f t="shared" si="172"/>
        <v>0.5</v>
      </c>
      <c r="Q710">
        <f t="shared" si="181"/>
        <v>-1.2179069796802125E-2</v>
      </c>
      <c r="R710" s="6">
        <f t="shared" si="182"/>
        <v>1.2179069796802125E-2</v>
      </c>
      <c r="S710" s="18">
        <f t="shared" si="183"/>
        <v>0.999999999999998</v>
      </c>
      <c r="T710" s="15"/>
      <c r="U710" s="15"/>
      <c r="V710" s="40">
        <f t="shared" si="184"/>
        <v>3.15</v>
      </c>
      <c r="W710" s="41">
        <f t="shared" si="173"/>
        <v>23.15</v>
      </c>
      <c r="X710">
        <f t="shared" si="185"/>
        <v>3.1951608395052927E-2</v>
      </c>
      <c r="Y710">
        <f t="shared" si="186"/>
        <v>1.7848626629955644</v>
      </c>
      <c r="Z710" s="33">
        <f t="shared" si="174"/>
        <v>7.3523035183441568E-2</v>
      </c>
      <c r="AA710" s="33">
        <f t="shared" si="175"/>
        <v>0.5</v>
      </c>
      <c r="AB710">
        <f t="shared" si="176"/>
        <v>-2.9025670237367573E-3</v>
      </c>
      <c r="AC710" s="1">
        <f t="shared" si="177"/>
        <v>-3.4301339549965948E-2</v>
      </c>
      <c r="AD710" s="35">
        <f>IF(W710&gt;=FinalAgeForPremium, AE710*Delta-Z710*(Y710-AE710),AE710*Delta+PremiumRevisedForLimitedTerm-Z710*(Y710-AE710))</f>
        <v>1.0198631873888753E-2</v>
      </c>
      <c r="AE710" s="35">
        <f>AE709-StepSize*AD709</f>
        <v>2.4888659545247622E-2</v>
      </c>
      <c r="AF710" s="1"/>
    </row>
    <row r="711" spans="11:32" x14ac:dyDescent="0.45">
      <c r="K711" s="40">
        <f t="shared" si="178"/>
        <v>6.86</v>
      </c>
      <c r="L711" s="41">
        <f t="shared" si="170"/>
        <v>26.86</v>
      </c>
      <c r="M711">
        <f t="shared" si="179"/>
        <v>0.85189825737954161</v>
      </c>
      <c r="N711">
        <f t="shared" si="180"/>
        <v>0.14810174262045639</v>
      </c>
      <c r="O711">
        <f t="shared" si="171"/>
        <v>0.10122219125885272</v>
      </c>
      <c r="P711">
        <f t="shared" si="172"/>
        <v>0.5</v>
      </c>
      <c r="Q711">
        <f t="shared" si="181"/>
        <v>-1.2180137031327101E-2</v>
      </c>
      <c r="R711" s="6">
        <f t="shared" si="182"/>
        <v>1.2180137031327101E-2</v>
      </c>
      <c r="S711" s="18">
        <f t="shared" si="183"/>
        <v>0.999999999999998</v>
      </c>
      <c r="T711" s="15"/>
      <c r="U711" s="15"/>
      <c r="V711" s="40">
        <f t="shared" si="184"/>
        <v>3.14</v>
      </c>
      <c r="W711" s="41">
        <f t="shared" si="173"/>
        <v>23.14</v>
      </c>
      <c r="X711">
        <f t="shared" si="185"/>
        <v>3.1980634065290295E-2</v>
      </c>
      <c r="Y711">
        <f t="shared" si="186"/>
        <v>1.785205676391064</v>
      </c>
      <c r="Z711" s="33">
        <f t="shared" si="174"/>
        <v>7.3459702018964623E-2</v>
      </c>
      <c r="AA711" s="33">
        <f t="shared" si="175"/>
        <v>0.5</v>
      </c>
      <c r="AB711">
        <f t="shared" si="176"/>
        <v>-2.8131637808257726E-3</v>
      </c>
      <c r="AC711" s="1">
        <f t="shared" si="177"/>
        <v>-3.4127195017560008E-2</v>
      </c>
      <c r="AD711" s="35">
        <f>IF(W711&gt;=FinalAgeForPremium, AE711*Delta-Z711*(Y711-AE711),AE711*Delta+PremiumRevisedForLimitedTerm-Z711*(Y711-AE711))</f>
        <v>1.0272307734581015E-2</v>
      </c>
      <c r="AE711" s="35">
        <f>AE710-StepSize*AD710</f>
        <v>2.4786673226508734E-2</v>
      </c>
      <c r="AF711" s="1"/>
    </row>
    <row r="712" spans="11:32" x14ac:dyDescent="0.45">
      <c r="K712" s="40">
        <f t="shared" si="178"/>
        <v>6.87</v>
      </c>
      <c r="L712" s="41">
        <f t="shared" si="170"/>
        <v>26.87</v>
      </c>
      <c r="M712">
        <f t="shared" si="179"/>
        <v>0.85177645600922836</v>
      </c>
      <c r="N712">
        <f t="shared" si="180"/>
        <v>0.14822354399076967</v>
      </c>
      <c r="O712">
        <f t="shared" si="171"/>
        <v>0.10130945980897643</v>
      </c>
      <c r="P712">
        <f t="shared" si="172"/>
        <v>0.5</v>
      </c>
      <c r="Q712">
        <f t="shared" si="181"/>
        <v>-1.218124064091447E-2</v>
      </c>
      <c r="R712" s="6">
        <f t="shared" si="182"/>
        <v>1.218124064091447E-2</v>
      </c>
      <c r="S712" s="18">
        <f t="shared" si="183"/>
        <v>0.999999999999998</v>
      </c>
      <c r="T712" s="15"/>
      <c r="U712" s="15"/>
      <c r="V712" s="40">
        <f t="shared" si="184"/>
        <v>3.13</v>
      </c>
      <c r="W712" s="41">
        <f t="shared" si="173"/>
        <v>23.13</v>
      </c>
      <c r="X712">
        <f t="shared" si="185"/>
        <v>3.2008765703098553E-2</v>
      </c>
      <c r="Y712">
        <f t="shared" si="186"/>
        <v>1.7855469483412396</v>
      </c>
      <c r="Z712" s="33">
        <f t="shared" si="174"/>
        <v>7.3396423410039019E-2</v>
      </c>
      <c r="AA712" s="33">
        <f t="shared" si="175"/>
        <v>0.5</v>
      </c>
      <c r="AB712">
        <f t="shared" si="176"/>
        <v>-2.7237989360767434E-3</v>
      </c>
      <c r="AC712" s="1">
        <f t="shared" si="177"/>
        <v>-3.3953561263867504E-2</v>
      </c>
      <c r="AD712" s="35">
        <f>IF(W712&gt;=FinalAgeForPremium, AE712*Delta-Z712*(Y712-AE712),AE712*Delta+PremiumRevisedForLimitedTerm-Z712*(Y712-AE712))</f>
        <v>1.0345980799328247E-2</v>
      </c>
      <c r="AE712" s="35">
        <f>AE711-StepSize*AD711</f>
        <v>2.4683950149162925E-2</v>
      </c>
      <c r="AF712" s="1"/>
    </row>
    <row r="713" spans="11:32" x14ac:dyDescent="0.45">
      <c r="K713" s="40">
        <f t="shared" si="178"/>
        <v>6.88</v>
      </c>
      <c r="L713" s="41">
        <f t="shared" si="170"/>
        <v>26.88</v>
      </c>
      <c r="M713">
        <f t="shared" si="179"/>
        <v>0.85165464360281917</v>
      </c>
      <c r="N713">
        <f t="shared" si="180"/>
        <v>0.14834535639717883</v>
      </c>
      <c r="O713">
        <f t="shared" si="171"/>
        <v>0.10139680359754089</v>
      </c>
      <c r="P713">
        <f t="shared" si="172"/>
        <v>0.5</v>
      </c>
      <c r="Q713">
        <f t="shared" si="181"/>
        <v>-1.2182380431739318E-2</v>
      </c>
      <c r="R713" s="6">
        <f t="shared" si="182"/>
        <v>1.2182380431739318E-2</v>
      </c>
      <c r="S713" s="18">
        <f t="shared" si="183"/>
        <v>0.999999999999998</v>
      </c>
      <c r="T713" s="15"/>
      <c r="U713" s="15"/>
      <c r="V713" s="40">
        <f t="shared" si="184"/>
        <v>3.12</v>
      </c>
      <c r="W713" s="41">
        <f t="shared" si="173"/>
        <v>23.12</v>
      </c>
      <c r="X713">
        <f t="shared" si="185"/>
        <v>3.2036003692459319E-2</v>
      </c>
      <c r="Y713">
        <f t="shared" si="186"/>
        <v>1.7858864839538784</v>
      </c>
      <c r="Z713" s="33">
        <f t="shared" si="174"/>
        <v>7.333319930967036E-2</v>
      </c>
      <c r="AA713" s="33">
        <f t="shared" si="175"/>
        <v>0.5</v>
      </c>
      <c r="AB713">
        <f t="shared" si="176"/>
        <v>-2.6344729464010952E-3</v>
      </c>
      <c r="AC713" s="1">
        <f t="shared" si="177"/>
        <v>-3.3780435671596609E-2</v>
      </c>
      <c r="AD713" s="35">
        <f>IF(W713&gt;=FinalAgeForPremium, AE713*Delta-Z713*(Y713-AE713),AE713*Delta+PremiumRevisedForLimitedTerm-Z713*(Y713-AE713))</f>
        <v>1.0419650516387269E-2</v>
      </c>
      <c r="AE713" s="35">
        <f>AE712-StepSize*AD712</f>
        <v>2.4580490341169641E-2</v>
      </c>
      <c r="AF713" s="1"/>
    </row>
    <row r="714" spans="11:32" x14ac:dyDescent="0.45">
      <c r="K714" s="40">
        <f t="shared" si="178"/>
        <v>6.89</v>
      </c>
      <c r="L714" s="41">
        <f t="shared" si="170"/>
        <v>26.89</v>
      </c>
      <c r="M714">
        <f t="shared" si="179"/>
        <v>0.85153281979850182</v>
      </c>
      <c r="N714">
        <f t="shared" si="180"/>
        <v>0.14846718020149621</v>
      </c>
      <c r="O714">
        <f t="shared" si="171"/>
        <v>0.10148422268941286</v>
      </c>
      <c r="P714">
        <f t="shared" si="172"/>
        <v>0.5</v>
      </c>
      <c r="Q714">
        <f t="shared" si="181"/>
        <v>-1.2183556211026722E-2</v>
      </c>
      <c r="R714" s="6">
        <f t="shared" si="182"/>
        <v>1.2183556211026722E-2</v>
      </c>
      <c r="S714" s="18">
        <f t="shared" si="183"/>
        <v>0.999999999999998</v>
      </c>
      <c r="T714" s="15"/>
      <c r="U714" s="15"/>
      <c r="V714" s="40">
        <f t="shared" si="184"/>
        <v>3.11</v>
      </c>
      <c r="W714" s="41">
        <f t="shared" si="173"/>
        <v>23.11</v>
      </c>
      <c r="X714">
        <f t="shared" si="185"/>
        <v>3.2062348421923327E-2</v>
      </c>
      <c r="Y714">
        <f t="shared" si="186"/>
        <v>1.7862242883105943</v>
      </c>
      <c r="Z714" s="33">
        <f t="shared" si="174"/>
        <v>7.3270029670904568E-2</v>
      </c>
      <c r="AA714" s="33">
        <f t="shared" si="175"/>
        <v>0.5</v>
      </c>
      <c r="AB714">
        <f t="shared" si="176"/>
        <v>-2.5451862647706269E-3</v>
      </c>
      <c r="AC714" s="1">
        <f t="shared" si="177"/>
        <v>-3.3607815640134819E-2</v>
      </c>
      <c r="AD714" s="35">
        <f>IF(W714&gt;=FinalAgeForPremium, AE714*Delta-Z714*(Y714-AE714),AE714*Delta+PremiumRevisedForLimitedTerm-Z714*(Y714-AE714))</f>
        <v>1.0493316338237108E-2</v>
      </c>
      <c r="AE714" s="35">
        <f>AE713-StepSize*AD713</f>
        <v>2.4476293836005768E-2</v>
      </c>
      <c r="AF714" s="1"/>
    </row>
    <row r="715" spans="11:32" x14ac:dyDescent="0.45">
      <c r="K715" s="40">
        <f t="shared" si="178"/>
        <v>6.9</v>
      </c>
      <c r="L715" s="41">
        <f t="shared" si="170"/>
        <v>26.9</v>
      </c>
      <c r="M715">
        <f t="shared" si="179"/>
        <v>0.8514109842363915</v>
      </c>
      <c r="N715">
        <f t="shared" si="180"/>
        <v>0.14858901576360647</v>
      </c>
      <c r="O715">
        <f t="shared" si="171"/>
        <v>0.10157171714951485</v>
      </c>
      <c r="P715">
        <f t="shared" si="172"/>
        <v>0.5</v>
      </c>
      <c r="Q715">
        <f t="shared" si="181"/>
        <v>-1.2184767787045567E-2</v>
      </c>
      <c r="R715" s="6">
        <f t="shared" si="182"/>
        <v>1.2184767787045567E-2</v>
      </c>
      <c r="S715" s="18">
        <f t="shared" si="183"/>
        <v>0.999999999999998</v>
      </c>
      <c r="T715" s="15"/>
      <c r="U715" s="15"/>
      <c r="V715" s="40">
        <f t="shared" si="184"/>
        <v>3.1</v>
      </c>
      <c r="W715" s="41">
        <f t="shared" si="173"/>
        <v>23.1</v>
      </c>
      <c r="X715">
        <f t="shared" si="185"/>
        <v>3.2087800284571033E-2</v>
      </c>
      <c r="Y715">
        <f t="shared" si="186"/>
        <v>1.7865603664669956</v>
      </c>
      <c r="Z715" s="33">
        <f t="shared" si="174"/>
        <v>7.3206914446828211E-2</v>
      </c>
      <c r="AA715" s="33">
        <f t="shared" si="175"/>
        <v>0.5</v>
      </c>
      <c r="AB715">
        <f t="shared" si="176"/>
        <v>-2.4559393402476815E-3</v>
      </c>
      <c r="AC715" s="1">
        <f t="shared" si="177"/>
        <v>-3.3435698585437934E-2</v>
      </c>
      <c r="AD715" s="35">
        <f>IF(W715&gt;=FinalAgeForPremium, AE715*Delta-Z715*(Y715-AE715),AE715*Delta+PremiumRevisedForLimitedTerm-Z715*(Y715-AE715))</f>
        <v>1.0566977721547827E-2</v>
      </c>
      <c r="AE715" s="35">
        <f>AE714-StepSize*AD714</f>
        <v>2.4371360672623396E-2</v>
      </c>
      <c r="AF715" s="1"/>
    </row>
    <row r="716" spans="11:32" x14ac:dyDescent="0.45">
      <c r="K716" s="40">
        <f t="shared" si="178"/>
        <v>6.91</v>
      </c>
      <c r="L716" s="41">
        <f t="shared" si="170"/>
        <v>26.91</v>
      </c>
      <c r="M716">
        <f t="shared" si="179"/>
        <v>0.85128913655852101</v>
      </c>
      <c r="N716">
        <f t="shared" si="180"/>
        <v>0.14871086344147694</v>
      </c>
      <c r="O716">
        <f t="shared" si="171"/>
        <v>0.10165928704282555</v>
      </c>
      <c r="P716">
        <f t="shared" si="172"/>
        <v>0.5</v>
      </c>
      <c r="Q716">
        <f t="shared" si="181"/>
        <v>-1.2186014969103334E-2</v>
      </c>
      <c r="R716" s="6">
        <f t="shared" si="182"/>
        <v>1.2186014969103334E-2</v>
      </c>
      <c r="S716" s="18">
        <f t="shared" si="183"/>
        <v>0.999999999999998</v>
      </c>
      <c r="T716" s="15"/>
      <c r="U716" s="15"/>
      <c r="V716" s="40">
        <f t="shared" si="184"/>
        <v>3.09</v>
      </c>
      <c r="W716" s="41">
        <f t="shared" si="173"/>
        <v>23.09</v>
      </c>
      <c r="X716">
        <f t="shared" si="185"/>
        <v>3.2112359677973511E-2</v>
      </c>
      <c r="Y716">
        <f t="shared" si="186"/>
        <v>1.7868947234528501</v>
      </c>
      <c r="Z716" s="33">
        <f t="shared" si="174"/>
        <v>7.3143853590568075E-2</v>
      </c>
      <c r="AA716" s="33">
        <f t="shared" si="175"/>
        <v>0.5</v>
      </c>
      <c r="AB716">
        <f t="shared" si="176"/>
        <v>-2.3667326180142056E-3</v>
      </c>
      <c r="AC716" s="1">
        <f t="shared" si="177"/>
        <v>-3.3264081939919254E-2</v>
      </c>
      <c r="AD716" s="35">
        <f>IF(W716&gt;=FinalAgeForPremium, AE716*Delta-Z716*(Y716-AE716),AE716*Delta+PremiumRevisedForLimitedTerm-Z716*(Y716-AE716))</f>
        <v>1.0640634127150744E-2</v>
      </c>
      <c r="AE716" s="35">
        <f>AE715-StepSize*AD715</f>
        <v>2.4265690895407917E-2</v>
      </c>
      <c r="AF716" s="1"/>
    </row>
    <row r="717" spans="11:32" x14ac:dyDescent="0.45">
      <c r="K717" s="40">
        <f t="shared" si="178"/>
        <v>6.92</v>
      </c>
      <c r="L717" s="41">
        <f t="shared" si="170"/>
        <v>26.92</v>
      </c>
      <c r="M717">
        <f t="shared" si="179"/>
        <v>0.85116727640882994</v>
      </c>
      <c r="N717">
        <f t="shared" si="180"/>
        <v>0.14883272359116798</v>
      </c>
      <c r="O717">
        <f t="shared" si="171"/>
        <v>0.1017469324343796</v>
      </c>
      <c r="P717">
        <f t="shared" si="172"/>
        <v>0.5</v>
      </c>
      <c r="Q717">
        <f t="shared" si="181"/>
        <v>-1.218729756754014E-2</v>
      </c>
      <c r="R717" s="6">
        <f t="shared" si="182"/>
        <v>1.218729756754014E-2</v>
      </c>
      <c r="S717" s="18">
        <f t="shared" si="183"/>
        <v>0.99999999999999789</v>
      </c>
      <c r="T717" s="15"/>
      <c r="U717" s="15"/>
      <c r="V717" s="40">
        <f t="shared" si="184"/>
        <v>3.08</v>
      </c>
      <c r="W717" s="41">
        <f t="shared" si="173"/>
        <v>23.08</v>
      </c>
      <c r="X717">
        <f t="shared" si="185"/>
        <v>3.2136027004153654E-2</v>
      </c>
      <c r="Y717">
        <f t="shared" si="186"/>
        <v>1.7872273642722492</v>
      </c>
      <c r="Z717" s="33">
        <f t="shared" si="174"/>
        <v>7.3080847055291442E-2</v>
      </c>
      <c r="AA717" s="33">
        <f t="shared" si="175"/>
        <v>0.5</v>
      </c>
      <c r="AB717">
        <f t="shared" si="176"/>
        <v>-2.2775665394012823E-3</v>
      </c>
      <c r="AC717" s="1">
        <f t="shared" si="177"/>
        <v>-3.3092963152339783E-2</v>
      </c>
      <c r="AD717" s="35">
        <f>IF(W717&gt;=FinalAgeForPremium, AE717*Delta-Z717*(Y717-AE717),AE717*Delta+PremiumRevisedForLimitedTerm-Z717*(Y717-AE717))</f>
        <v>1.0714285020007597E-2</v>
      </c>
      <c r="AE717" s="35">
        <f>AE716-StepSize*AD716</f>
        <v>2.415928455413641E-2</v>
      </c>
      <c r="AF717" s="1"/>
    </row>
    <row r="718" spans="11:32" x14ac:dyDescent="0.45">
      <c r="K718" s="40">
        <f t="shared" si="178"/>
        <v>6.93</v>
      </c>
      <c r="L718" s="41">
        <f t="shared" si="170"/>
        <v>26.93</v>
      </c>
      <c r="M718">
        <f t="shared" si="179"/>
        <v>0.85104540343315449</v>
      </c>
      <c r="N718">
        <f t="shared" si="180"/>
        <v>0.14895459656684337</v>
      </c>
      <c r="O718">
        <f t="shared" si="171"/>
        <v>0.10183465338926759</v>
      </c>
      <c r="P718">
        <f t="shared" si="172"/>
        <v>0.5</v>
      </c>
      <c r="Q718">
        <f t="shared" si="181"/>
        <v>-1.2188615393722999E-2</v>
      </c>
      <c r="R718" s="6">
        <f t="shared" si="182"/>
        <v>1.2188615393722999E-2</v>
      </c>
      <c r="S718" s="18">
        <f t="shared" si="183"/>
        <v>0.99999999999999789</v>
      </c>
      <c r="T718" s="15"/>
      <c r="U718" s="15"/>
      <c r="V718" s="40">
        <f t="shared" si="184"/>
        <v>3.07</v>
      </c>
      <c r="W718" s="41">
        <f t="shared" si="173"/>
        <v>23.07</v>
      </c>
      <c r="X718">
        <f t="shared" si="185"/>
        <v>3.2158802669547668E-2</v>
      </c>
      <c r="Y718">
        <f t="shared" si="186"/>
        <v>1.7875582939037726</v>
      </c>
      <c r="Z718" s="33">
        <f t="shared" si="174"/>
        <v>7.3017894794205937E-2</v>
      </c>
      <c r="AA718" s="33">
        <f t="shared" si="175"/>
        <v>0.5</v>
      </c>
      <c r="AB718">
        <f t="shared" si="176"/>
        <v>-2.1884415419182179E-3</v>
      </c>
      <c r="AC718" s="1">
        <f t="shared" si="177"/>
        <v>-3.2922339687698865E-2</v>
      </c>
      <c r="AD718" s="35">
        <f>IF(W718&gt;=FinalAgeForPremium, AE718*Delta-Z718*(Y718-AE718),AE718*Delta+PremiumRevisedForLimitedTerm-Z718*(Y718-AE718))</f>
        <v>1.0787929869180785E-2</v>
      </c>
      <c r="AE718" s="35">
        <f>AE717-StepSize*AD717</f>
        <v>2.4052141703936335E-2</v>
      </c>
      <c r="AF718" s="1"/>
    </row>
    <row r="719" spans="11:32" x14ac:dyDescent="0.45">
      <c r="K719" s="40">
        <f t="shared" si="178"/>
        <v>6.94</v>
      </c>
      <c r="L719" s="41">
        <f t="shared" si="170"/>
        <v>26.94</v>
      </c>
      <c r="M719">
        <f t="shared" si="179"/>
        <v>0.85092351727921722</v>
      </c>
      <c r="N719">
        <f t="shared" si="180"/>
        <v>0.14907648272078061</v>
      </c>
      <c r="O719">
        <f t="shared" si="171"/>
        <v>0.1019224499726364</v>
      </c>
      <c r="P719">
        <f t="shared" si="172"/>
        <v>0.5</v>
      </c>
      <c r="Q719">
        <f t="shared" si="181"/>
        <v>-1.2189968260040512E-2</v>
      </c>
      <c r="R719" s="6">
        <f t="shared" si="182"/>
        <v>1.2189968260040512E-2</v>
      </c>
      <c r="S719" s="18">
        <f t="shared" si="183"/>
        <v>0.99999999999999778</v>
      </c>
      <c r="T719" s="15"/>
      <c r="U719" s="15"/>
      <c r="V719" s="40">
        <f t="shared" si="184"/>
        <v>3.06</v>
      </c>
      <c r="W719" s="41">
        <f t="shared" si="173"/>
        <v>23.06</v>
      </c>
      <c r="X719">
        <f t="shared" si="185"/>
        <v>3.2180687084966852E-2</v>
      </c>
      <c r="Y719">
        <f t="shared" si="186"/>
        <v>1.7878875173006497</v>
      </c>
      <c r="Z719" s="33">
        <f t="shared" si="174"/>
        <v>7.2954996760559401E-2</v>
      </c>
      <c r="AA719" s="33">
        <f t="shared" si="175"/>
        <v>0.5</v>
      </c>
      <c r="AB719">
        <f t="shared" si="176"/>
        <v>-2.0993580592811312E-3</v>
      </c>
      <c r="AC719" s="1">
        <f t="shared" si="177"/>
        <v>-3.2752209027126056E-2</v>
      </c>
      <c r="AD719" s="35">
        <f>IF(W719&gt;=FinalAgeForPremium, AE719*Delta-Z719*(Y719-AE719),AE719*Delta+PremiumRevisedForLimitedTerm-Z719*(Y719-AE719))</f>
        <v>1.0861568147803868E-2</v>
      </c>
      <c r="AE719" s="35">
        <f>AE718-StepSize*AD718</f>
        <v>2.3944262405244526E-2</v>
      </c>
      <c r="AF719" s="1"/>
    </row>
    <row r="720" spans="11:32" x14ac:dyDescent="0.45">
      <c r="K720" s="40">
        <f t="shared" si="178"/>
        <v>6.95</v>
      </c>
      <c r="L720" s="41">
        <f t="shared" si="170"/>
        <v>26.95</v>
      </c>
      <c r="M720">
        <f t="shared" si="179"/>
        <v>0.85080161759661677</v>
      </c>
      <c r="N720">
        <f t="shared" si="180"/>
        <v>0.14919838240338101</v>
      </c>
      <c r="O720">
        <f t="shared" si="171"/>
        <v>0.10201032224968898</v>
      </c>
      <c r="P720">
        <f t="shared" si="172"/>
        <v>0.5</v>
      </c>
      <c r="Q720">
        <f t="shared" si="181"/>
        <v>-1.2191355979897026E-2</v>
      </c>
      <c r="R720" s="6">
        <f t="shared" si="182"/>
        <v>1.2191355979897026E-2</v>
      </c>
      <c r="S720" s="18">
        <f t="shared" si="183"/>
        <v>0.99999999999999778</v>
      </c>
      <c r="T720" s="15"/>
      <c r="U720" s="15"/>
      <c r="V720" s="40">
        <f t="shared" si="184"/>
        <v>3.05</v>
      </c>
      <c r="W720" s="41">
        <f t="shared" si="173"/>
        <v>23.05</v>
      </c>
      <c r="X720">
        <f t="shared" si="185"/>
        <v>3.2201680665559666E-2</v>
      </c>
      <c r="Y720">
        <f t="shared" si="186"/>
        <v>1.7882150393909209</v>
      </c>
      <c r="Z720" s="33">
        <f t="shared" si="174"/>
        <v>7.2892152907640062E-2</v>
      </c>
      <c r="AA720" s="33">
        <f t="shared" si="175"/>
        <v>0.5</v>
      </c>
      <c r="AB720">
        <f t="shared" si="176"/>
        <v>-2.0103165214419849E-3</v>
      </c>
      <c r="AC720" s="1">
        <f t="shared" si="177"/>
        <v>-3.2582568667773315E-2</v>
      </c>
      <c r="AD720" s="35">
        <f>IF(W720&gt;=FinalAgeForPremium, AE720*Delta-Z720*(Y720-AE720),AE720*Delta+PremiumRevisedForLimitedTerm-Z720*(Y720-AE720))</f>
        <v>1.0935199333051565E-2</v>
      </c>
      <c r="AE720" s="35">
        <f>AE719-StepSize*AD719</f>
        <v>2.3835646723766486E-2</v>
      </c>
      <c r="AF720" s="1"/>
    </row>
    <row r="721" spans="11:32" x14ac:dyDescent="0.45">
      <c r="K721" s="40">
        <f t="shared" si="178"/>
        <v>6.96</v>
      </c>
      <c r="L721" s="41">
        <f t="shared" si="170"/>
        <v>26.96</v>
      </c>
      <c r="M721">
        <f t="shared" si="179"/>
        <v>0.85067970403681781</v>
      </c>
      <c r="N721">
        <f t="shared" si="180"/>
        <v>0.14932029596317997</v>
      </c>
      <c r="O721">
        <f t="shared" si="171"/>
        <v>0.10209827028568456</v>
      </c>
      <c r="P721">
        <f t="shared" si="172"/>
        <v>0.5</v>
      </c>
      <c r="Q721">
        <f t="shared" si="181"/>
        <v>-1.2192778367707185E-2</v>
      </c>
      <c r="R721" s="6">
        <f t="shared" si="182"/>
        <v>1.2192778367707185E-2</v>
      </c>
      <c r="S721" s="18">
        <f t="shared" si="183"/>
        <v>0.99999999999999778</v>
      </c>
      <c r="T721" s="15"/>
      <c r="U721" s="15"/>
      <c r="V721" s="40">
        <f t="shared" si="184"/>
        <v>3.04</v>
      </c>
      <c r="W721" s="41">
        <f t="shared" si="173"/>
        <v>23.04</v>
      </c>
      <c r="X721">
        <f t="shared" si="185"/>
        <v>3.2221783830774085E-2</v>
      </c>
      <c r="Y721">
        <f t="shared" si="186"/>
        <v>1.7885408650775987</v>
      </c>
      <c r="Z721" s="33">
        <f t="shared" si="174"/>
        <v>7.2829363188776294E-2</v>
      </c>
      <c r="AA721" s="33">
        <f t="shared" si="175"/>
        <v>0.5</v>
      </c>
      <c r="AB721">
        <f t="shared" si="176"/>
        <v>-1.9213173546165363E-3</v>
      </c>
      <c r="AC721" s="1">
        <f t="shared" si="177"/>
        <v>-3.2413416122707761E-2</v>
      </c>
      <c r="AD721" s="35">
        <f>IF(W721&gt;=FinalAgeForPremium, AE721*Delta-Z721*(Y721-AE721),AE721*Delta+PremiumRevisedForLimitedTerm-Z721*(Y721-AE721))</f>
        <v>1.100882290611066E-2</v>
      </c>
      <c r="AE721" s="35">
        <f>AE720-StepSize*AD720</f>
        <v>2.3726294730435971E-2</v>
      </c>
      <c r="AF721" s="1"/>
    </row>
    <row r="722" spans="11:32" x14ac:dyDescent="0.45">
      <c r="K722" s="40">
        <f t="shared" si="178"/>
        <v>6.97</v>
      </c>
      <c r="L722" s="41">
        <f t="shared" si="170"/>
        <v>26.97</v>
      </c>
      <c r="M722">
        <f t="shared" si="179"/>
        <v>0.85055777625314077</v>
      </c>
      <c r="N722">
        <f t="shared" si="180"/>
        <v>0.14944222374685703</v>
      </c>
      <c r="O722">
        <f t="shared" si="171"/>
        <v>0.10218629414593849</v>
      </c>
      <c r="P722">
        <f t="shared" si="172"/>
        <v>0.5</v>
      </c>
      <c r="Q722">
        <f t="shared" si="181"/>
        <v>-1.2194235238890266E-2</v>
      </c>
      <c r="R722" s="6">
        <f t="shared" si="182"/>
        <v>1.2194235238890266E-2</v>
      </c>
      <c r="S722" s="18">
        <f t="shared" si="183"/>
        <v>0.99999999999999778</v>
      </c>
      <c r="T722" s="15"/>
      <c r="U722" s="15"/>
      <c r="V722" s="40">
        <f t="shared" si="184"/>
        <v>3.03</v>
      </c>
      <c r="W722" s="41">
        <f t="shared" si="173"/>
        <v>23.03</v>
      </c>
      <c r="X722">
        <f t="shared" si="185"/>
        <v>3.2240997004320253E-2</v>
      </c>
      <c r="Y722">
        <f t="shared" si="186"/>
        <v>1.7888649992388257</v>
      </c>
      <c r="Z722" s="33">
        <f t="shared" si="174"/>
        <v>7.2766627557336733E-2</v>
      </c>
      <c r="AA722" s="33">
        <f t="shared" si="175"/>
        <v>0.5</v>
      </c>
      <c r="AB722">
        <f t="shared" si="176"/>
        <v>-1.8323609813128416E-3</v>
      </c>
      <c r="AC722" s="1">
        <f t="shared" si="177"/>
        <v>-3.2244748920805977E-2</v>
      </c>
      <c r="AD722" s="35">
        <f>IF(W722&gt;=FinalAgeForPremium, AE722*Delta-Z722*(Y722-AE722),AE722*Delta+PremiumRevisedForLimitedTerm-Z722*(Y722-AE722))</f>
        <v>1.108243835215092E-2</v>
      </c>
      <c r="AE722" s="35">
        <f>AE721-StepSize*AD721</f>
        <v>2.3616206501374862E-2</v>
      </c>
      <c r="AF722" s="1"/>
    </row>
    <row r="723" spans="11:32" x14ac:dyDescent="0.45">
      <c r="K723" s="40">
        <f t="shared" si="178"/>
        <v>6.98</v>
      </c>
      <c r="L723" s="41">
        <f t="shared" si="170"/>
        <v>26.98</v>
      </c>
      <c r="M723">
        <f t="shared" si="179"/>
        <v>0.85043583390075184</v>
      </c>
      <c r="N723">
        <f t="shared" si="180"/>
        <v>0.14956416609924594</v>
      </c>
      <c r="O723">
        <f t="shared" si="171"/>
        <v>0.10227439389582267</v>
      </c>
      <c r="P723">
        <f t="shared" si="172"/>
        <v>0.5</v>
      </c>
      <c r="Q723">
        <f t="shared" si="181"/>
        <v>-1.2195726409864951E-2</v>
      </c>
      <c r="R723" s="6">
        <f t="shared" si="182"/>
        <v>1.2195726409864951E-2</v>
      </c>
      <c r="S723" s="18">
        <f t="shared" si="183"/>
        <v>0.99999999999999778</v>
      </c>
      <c r="T723" s="15"/>
      <c r="U723" s="15"/>
      <c r="V723" s="40">
        <f t="shared" si="184"/>
        <v>3.02</v>
      </c>
      <c r="W723" s="41">
        <f t="shared" si="173"/>
        <v>23.02</v>
      </c>
      <c r="X723">
        <f t="shared" si="185"/>
        <v>3.2259320614133384E-2</v>
      </c>
      <c r="Y723">
        <f t="shared" si="186"/>
        <v>1.7891874467280338</v>
      </c>
      <c r="Z723" s="33">
        <f t="shared" si="174"/>
        <v>7.2703945966730132E-2</v>
      </c>
      <c r="AA723" s="33">
        <f t="shared" si="175"/>
        <v>0.5</v>
      </c>
      <c r="AB723">
        <f t="shared" si="176"/>
        <v>-1.743447820359123E-3</v>
      </c>
      <c r="AC723" s="1">
        <f t="shared" si="177"/>
        <v>-3.2076564606648095E-2</v>
      </c>
      <c r="AD723" s="35">
        <f>IF(W723&gt;=FinalAgeForPremium, AE723*Delta-Z723*(Y723-AE723),AE723*Delta+PremiumRevisedForLimitedTerm-Z723*(Y723-AE723))</f>
        <v>1.1156045160296141E-2</v>
      </c>
      <c r="AE723" s="35">
        <f>AE722-StepSize*AD722</f>
        <v>2.3505382117853354E-2</v>
      </c>
      <c r="AF723" s="1"/>
    </row>
    <row r="724" spans="11:32" x14ac:dyDescent="0.45">
      <c r="K724" s="40">
        <f t="shared" si="178"/>
        <v>6.99</v>
      </c>
      <c r="L724" s="41">
        <f t="shared" si="170"/>
        <v>26.990000000000002</v>
      </c>
      <c r="M724">
        <f t="shared" si="179"/>
        <v>0.85031387663665314</v>
      </c>
      <c r="N724">
        <f t="shared" si="180"/>
        <v>0.14968612336334458</v>
      </c>
      <c r="O724">
        <f t="shared" si="171"/>
        <v>0.10236256960076516</v>
      </c>
      <c r="P724">
        <f t="shared" si="172"/>
        <v>0.5</v>
      </c>
      <c r="Q724">
        <f t="shared" si="181"/>
        <v>-1.219725169804356E-2</v>
      </c>
      <c r="R724" s="6">
        <f t="shared" si="182"/>
        <v>1.219725169804356E-2</v>
      </c>
      <c r="S724" s="18">
        <f t="shared" si="183"/>
        <v>0.99999999999999778</v>
      </c>
      <c r="T724" s="15"/>
      <c r="U724" s="15"/>
      <c r="V724" s="40">
        <f t="shared" si="184"/>
        <v>3.01</v>
      </c>
      <c r="W724" s="41">
        <f t="shared" si="173"/>
        <v>23.009999999999998</v>
      </c>
      <c r="X724">
        <f t="shared" si="185"/>
        <v>3.2276755092336976E-2</v>
      </c>
      <c r="Y724">
        <f t="shared" si="186"/>
        <v>1.7895082123741002</v>
      </c>
      <c r="Z724" s="33">
        <f t="shared" si="174"/>
        <v>7.2641318370405439E-2</v>
      </c>
      <c r="AA724" s="33">
        <f t="shared" si="175"/>
        <v>0.5</v>
      </c>
      <c r="AB724">
        <f t="shared" si="176"/>
        <v>-1.654578286931524E-3</v>
      </c>
      <c r="AC724" s="1">
        <f t="shared" si="177"/>
        <v>-3.1908860740413436E-2</v>
      </c>
      <c r="AD724" s="35">
        <f>IF(W724&gt;=FinalAgeForPremium, AE724*Delta-Z724*(Y724-AE724),AE724*Delta+PremiumRevisedForLimitedTerm-Z724*(Y724-AE724))</f>
        <v>1.1229642823595537E-2</v>
      </c>
      <c r="AE724" s="35">
        <f>AE723-StepSize*AD723</f>
        <v>2.3393821666250394E-2</v>
      </c>
      <c r="AF724" s="1"/>
    </row>
    <row r="725" spans="11:32" x14ac:dyDescent="0.45">
      <c r="K725" s="40">
        <f t="shared" si="178"/>
        <v>7</v>
      </c>
      <c r="L725" s="41">
        <f t="shared" si="170"/>
        <v>27</v>
      </c>
      <c r="M725">
        <f t="shared" si="179"/>
        <v>0.85019190411967271</v>
      </c>
      <c r="N725">
        <f t="shared" si="180"/>
        <v>0.14980809588032501</v>
      </c>
      <c r="O725">
        <f t="shared" si="171"/>
        <v>0.10245082132625034</v>
      </c>
      <c r="P725">
        <f t="shared" si="172"/>
        <v>0.5</v>
      </c>
      <c r="Q725">
        <f t="shared" si="181"/>
        <v>-1.2198810921826647E-2</v>
      </c>
      <c r="R725" s="6">
        <f t="shared" si="182"/>
        <v>1.2198810921826647E-2</v>
      </c>
      <c r="S725" s="18">
        <f t="shared" si="183"/>
        <v>0.99999999999999778</v>
      </c>
      <c r="T725" s="15"/>
      <c r="U725" s="15"/>
      <c r="V725" s="40">
        <f t="shared" si="184"/>
        <v>3</v>
      </c>
      <c r="W725" s="41">
        <f t="shared" si="173"/>
        <v>23</v>
      </c>
      <c r="X725">
        <f t="shared" si="185"/>
        <v>3.2293300875206293E-2</v>
      </c>
      <c r="Y725">
        <f t="shared" si="186"/>
        <v>1.7898273009815042</v>
      </c>
      <c r="Z725" s="33">
        <f t="shared" si="174"/>
        <v>7.2578744721851621E-2</v>
      </c>
      <c r="AA725" s="33">
        <f t="shared" si="175"/>
        <v>0.5</v>
      </c>
      <c r="AB725">
        <f t="shared" si="176"/>
        <v>-1.5657527925817816E-3</v>
      </c>
      <c r="AC725" s="1">
        <f t="shared" si="177"/>
        <v>-3.1741634897775817E-2</v>
      </c>
      <c r="AD725" s="35">
        <f>IF(W725&gt;=FinalAgeForPremium, AE725*Delta-Z725*(Y725-AE725),AE725*Delta+PremiumRevisedForLimitedTerm-Z725*(Y725-AE725))</f>
        <v>1.1303230838995176E-2</v>
      </c>
      <c r="AE725" s="35">
        <f>AE724-StepSize*AD724</f>
        <v>2.3281525238014439E-2</v>
      </c>
      <c r="AF725" s="1"/>
    </row>
    <row r="726" spans="11:32" x14ac:dyDescent="0.45">
      <c r="K726" s="40">
        <f t="shared" si="178"/>
        <v>7.01</v>
      </c>
      <c r="L726" s="41">
        <f t="shared" si="170"/>
        <v>27.009999999999998</v>
      </c>
      <c r="M726">
        <f t="shared" si="179"/>
        <v>0.85006991601045445</v>
      </c>
      <c r="N726">
        <f t="shared" si="180"/>
        <v>0.14993008398954327</v>
      </c>
      <c r="O726">
        <f t="shared" si="171"/>
        <v>0.1025391491378195</v>
      </c>
      <c r="P726">
        <f t="shared" si="172"/>
        <v>0.5</v>
      </c>
      <c r="Q726">
        <f t="shared" si="181"/>
        <v>-1.2200403900598053E-2</v>
      </c>
      <c r="R726" s="6">
        <f t="shared" si="182"/>
        <v>1.2200403900598053E-2</v>
      </c>
      <c r="S726" s="18">
        <f t="shared" si="183"/>
        <v>0.99999999999999778</v>
      </c>
      <c r="T726" s="15"/>
      <c r="U726" s="15"/>
      <c r="V726" s="40">
        <f t="shared" si="184"/>
        <v>2.99</v>
      </c>
      <c r="W726" s="41">
        <f t="shared" si="173"/>
        <v>22.990000000000002</v>
      </c>
      <c r="X726">
        <f t="shared" si="185"/>
        <v>3.230895840313211E-2</v>
      </c>
      <c r="Y726">
        <f t="shared" si="186"/>
        <v>1.7901447173304821</v>
      </c>
      <c r="Z726" s="33">
        <f t="shared" si="174"/>
        <v>7.2516224974597893E-2</v>
      </c>
      <c r="AA726" s="33">
        <f t="shared" si="175"/>
        <v>0.5</v>
      </c>
      <c r="AB726">
        <f t="shared" si="176"/>
        <v>-1.4769717452644826E-3</v>
      </c>
      <c r="AC726" s="1">
        <f t="shared" si="177"/>
        <v>-3.1574884669800962E-2</v>
      </c>
      <c r="AD726" s="35">
        <f>IF(W726&gt;=FinalAgeForPremium, AE726*Delta-Z726*(Y726-AE726),AE726*Delta+PremiumRevisedForLimitedTerm-Z726*(Y726-AE726))</f>
        <v>1.1376808707309616E-2</v>
      </c>
      <c r="AE726" s="35">
        <f>AE725-StepSize*AD725</f>
        <v>2.3168492929624487E-2</v>
      </c>
      <c r="AF726" s="1"/>
    </row>
    <row r="727" spans="11:32" x14ac:dyDescent="0.45">
      <c r="K727" s="40">
        <f t="shared" si="178"/>
        <v>7.02</v>
      </c>
      <c r="L727" s="41">
        <f t="shared" si="170"/>
        <v>27.02</v>
      </c>
      <c r="M727">
        <f t="shared" si="179"/>
        <v>0.84994791197144848</v>
      </c>
      <c r="N727">
        <f t="shared" si="180"/>
        <v>0.15005208802854925</v>
      </c>
      <c r="O727">
        <f t="shared" si="171"/>
        <v>0.10262755310106997</v>
      </c>
      <c r="P727">
        <f t="shared" si="172"/>
        <v>0.5</v>
      </c>
      <c r="Q727">
        <f t="shared" si="181"/>
        <v>-1.2202030454718751E-2</v>
      </c>
      <c r="R727" s="6">
        <f t="shared" si="182"/>
        <v>1.2202030454718751E-2</v>
      </c>
      <c r="S727" s="18">
        <f t="shared" si="183"/>
        <v>0.99999999999999778</v>
      </c>
      <c r="T727" s="15"/>
      <c r="U727" s="15"/>
      <c r="V727" s="40">
        <f t="shared" si="184"/>
        <v>2.98</v>
      </c>
      <c r="W727" s="41">
        <f t="shared" si="173"/>
        <v>22.98</v>
      </c>
      <c r="X727">
        <f t="shared" si="185"/>
        <v>3.2323728120584753E-2</v>
      </c>
      <c r="Y727">
        <f t="shared" si="186"/>
        <v>1.7904604661771801</v>
      </c>
      <c r="Z727" s="33">
        <f t="shared" si="174"/>
        <v>7.2453759082213201E-2</v>
      </c>
      <c r="AA727" s="33">
        <f t="shared" si="175"/>
        <v>0.5</v>
      </c>
      <c r="AB727">
        <f t="shared" si="176"/>
        <v>-1.3882355493638199E-3</v>
      </c>
      <c r="AC727" s="1">
        <f t="shared" si="177"/>
        <v>-3.1408607662843369E-2</v>
      </c>
      <c r="AD727" s="35">
        <f>IF(W727&gt;=FinalAgeForPremium, AE727*Delta-Z727*(Y727-AE727),AE727*Delta+PremiumRevisedForLimitedTerm-Z727*(Y727-AE727))</f>
        <v>1.1450375933194507E-2</v>
      </c>
      <c r="AE727" s="35">
        <f>AE726-StepSize*AD726</f>
        <v>2.3054724842551392E-2</v>
      </c>
      <c r="AF727" s="1"/>
    </row>
    <row r="728" spans="11:32" x14ac:dyDescent="0.45">
      <c r="K728" s="40">
        <f t="shared" si="178"/>
        <v>7.03</v>
      </c>
      <c r="L728" s="41">
        <f t="shared" si="170"/>
        <v>27.03</v>
      </c>
      <c r="M728">
        <f t="shared" si="179"/>
        <v>0.84982589166690126</v>
      </c>
      <c r="N728">
        <f t="shared" si="180"/>
        <v>0.15017410833309644</v>
      </c>
      <c r="O728">
        <f t="shared" si="171"/>
        <v>0.10271603328165578</v>
      </c>
      <c r="P728">
        <f t="shared" si="172"/>
        <v>0.5</v>
      </c>
      <c r="Q728">
        <f t="shared" si="181"/>
        <v>-1.2203690405522008E-2</v>
      </c>
      <c r="R728" s="6">
        <f t="shared" si="182"/>
        <v>1.2203690405522008E-2</v>
      </c>
      <c r="S728" s="18">
        <f t="shared" si="183"/>
        <v>0.99999999999999767</v>
      </c>
      <c r="T728" s="15"/>
      <c r="U728" s="15"/>
      <c r="V728" s="40">
        <f t="shared" si="184"/>
        <v>2.97</v>
      </c>
      <c r="W728" s="41">
        <f t="shared" si="173"/>
        <v>22.97</v>
      </c>
      <c r="X728">
        <f t="shared" si="185"/>
        <v>3.2337610476078395E-2</v>
      </c>
      <c r="Y728">
        <f t="shared" si="186"/>
        <v>1.7907745522538085</v>
      </c>
      <c r="Z728" s="33">
        <f t="shared" si="174"/>
        <v>7.2391346998306724E-2</v>
      </c>
      <c r="AA728" s="33">
        <f t="shared" si="175"/>
        <v>0.5</v>
      </c>
      <c r="AB728">
        <f t="shared" si="176"/>
        <v>-1.2995446057213478E-3</v>
      </c>
      <c r="AC728" s="1">
        <f t="shared" si="177"/>
        <v>-3.1242801498444495E-2</v>
      </c>
      <c r="AD728" s="35">
        <f>IF(W728&gt;=FinalAgeForPremium, AE728*Delta-Z728*(Y728-AE728),AE728*Delta+PremiumRevisedForLimitedTerm-Z728*(Y728-AE728))</f>
        <v>1.1523932025117922E-2</v>
      </c>
      <c r="AE728" s="35">
        <f>AE727-StepSize*AD727</f>
        <v>2.2940221083219445E-2</v>
      </c>
      <c r="AF728" s="1"/>
    </row>
    <row r="729" spans="11:32" x14ac:dyDescent="0.45">
      <c r="K729" s="40">
        <f t="shared" si="178"/>
        <v>7.04</v>
      </c>
      <c r="L729" s="41">
        <f t="shared" ref="L729:L792" si="187">$L$5+K729</f>
        <v>27.04</v>
      </c>
      <c r="M729">
        <f t="shared" si="179"/>
        <v>0.84970385476284604</v>
      </c>
      <c r="N729">
        <f t="shared" si="180"/>
        <v>0.15029614523715165</v>
      </c>
      <c r="O729">
        <f t="shared" ref="O729:O792" si="188">mu01Parameter_B*mu01Parameter_c^L729</f>
        <v>0.1028045897452876</v>
      </c>
      <c r="P729">
        <f t="shared" ref="P729:P792" si="189">mu10Constant</f>
        <v>0.5</v>
      </c>
      <c r="Q729">
        <f t="shared" si="181"/>
        <v>-1.2205383575307996E-2</v>
      </c>
      <c r="R729" s="6">
        <f t="shared" si="182"/>
        <v>1.2205383575307996E-2</v>
      </c>
      <c r="S729" s="18">
        <f t="shared" si="183"/>
        <v>0.99999999999999767</v>
      </c>
      <c r="T729" s="15"/>
      <c r="U729" s="15"/>
      <c r="V729" s="40">
        <f t="shared" si="184"/>
        <v>2.96</v>
      </c>
      <c r="W729" s="41">
        <f t="shared" ref="W729:W792" si="190">$L$5+V729</f>
        <v>22.96</v>
      </c>
      <c r="X729">
        <f t="shared" si="185"/>
        <v>3.2350605922135608E-2</v>
      </c>
      <c r="Y729">
        <f t="shared" si="186"/>
        <v>1.791086980268793</v>
      </c>
      <c r="Z729" s="33">
        <f t="shared" ref="Z729:Z792" si="191">mu01Parameter_B*mu01Parameter_c^W729</f>
        <v>7.2328988676527539E-2</v>
      </c>
      <c r="AA729" s="33">
        <f t="shared" ref="AA729:AA792" si="192">mu10Constant</f>
        <v>0.5</v>
      </c>
      <c r="AB729">
        <f t="shared" ref="AB729:AB792" si="193">X729*Delta+Premium-Z729*(Y729-X729)</f>
        <v>-1.2108993116620448E-3</v>
      </c>
      <c r="AC729" s="1">
        <f t="shared" ref="AC729:AC792" si="194">Y729*Delta-AnnuityWhileSIck-AA729*(X729-Y729)</f>
        <v>-3.1077463813231732E-2</v>
      </c>
      <c r="AD729" s="35">
        <f>IF(W729&gt;=FinalAgeForPremium, AE729*Delta-Z729*(Y729-AE729),AE729*Delta+PremiumRevisedForLimitedTerm-Z729*(Y729-AE729))</f>
        <v>1.1597476495333214E-2</v>
      </c>
      <c r="AE729" s="35">
        <f>AE728-StepSize*AD728</f>
        <v>2.2824981762968266E-2</v>
      </c>
      <c r="AF729" s="1"/>
    </row>
    <row r="730" spans="11:32" x14ac:dyDescent="0.45">
      <c r="K730" s="40">
        <f t="shared" ref="K730:K793" si="195">ROUND(K729+StepSize,2)</f>
        <v>7.05</v>
      </c>
      <c r="L730" s="41">
        <f t="shared" si="187"/>
        <v>27.05</v>
      </c>
      <c r="M730">
        <f t="shared" ref="M730:M793" si="196">M729+StepSize*Q729</f>
        <v>0.84958180092709301</v>
      </c>
      <c r="N730">
        <f t="shared" ref="N730:N793" si="197">N729+StepSize*R729</f>
        <v>0.15041819907290474</v>
      </c>
      <c r="O730">
        <f t="shared" si="188"/>
        <v>0.10289322255773278</v>
      </c>
      <c r="P730">
        <f t="shared" si="189"/>
        <v>0.5</v>
      </c>
      <c r="Q730">
        <f t="shared" ref="Q730:Q793" si="198">N730*P730-M730*O730</f>
        <v>-1.2207109787338438E-2</v>
      </c>
      <c r="R730" s="6">
        <f t="shared" ref="R730:R793" si="199">M730*O730-N730*P730</f>
        <v>1.2207109787338438E-2</v>
      </c>
      <c r="S730" s="18">
        <f t="shared" ref="S730:S793" si="200">M730+N730</f>
        <v>0.99999999999999778</v>
      </c>
      <c r="T730" s="15"/>
      <c r="U730" s="15"/>
      <c r="V730" s="40">
        <f t="shared" ref="V730:V793" si="201">ROUND(V729-StepSize,2)</f>
        <v>2.95</v>
      </c>
      <c r="W730" s="41">
        <f t="shared" si="190"/>
        <v>22.95</v>
      </c>
      <c r="X730">
        <f t="shared" ref="X730:X793" si="202">X729-StepSize*AB729</f>
        <v>3.2362714915252229E-2</v>
      </c>
      <c r="Y730">
        <f t="shared" ref="Y730:Y793" si="203">Y729-StepSize*AC729</f>
        <v>1.7913977549069253</v>
      </c>
      <c r="Z730" s="33">
        <f t="shared" si="191"/>
        <v>7.2266684070564607E-2</v>
      </c>
      <c r="AA730" s="33">
        <f t="shared" si="192"/>
        <v>0.5</v>
      </c>
      <c r="AB730">
        <f t="shared" si="193"/>
        <v>-1.1223000610209311E-3</v>
      </c>
      <c r="AC730" s="1">
        <f t="shared" si="194"/>
        <v>-3.0912592258817262E-2</v>
      </c>
      <c r="AD730" s="35">
        <f>IF(W730&gt;=FinalAgeForPremium, AE730*Delta-Z730*(Y730-AE730),AE730*Delta+PremiumRevisedForLimitedTerm-Z730*(Y730-AE730))</f>
        <v>1.1671008859851589E-2</v>
      </c>
      <c r="AE730" s="35">
        <f>AE729-StepSize*AD729</f>
        <v>2.2709006998014935E-2</v>
      </c>
      <c r="AF730" s="1"/>
    </row>
    <row r="731" spans="11:32" x14ac:dyDescent="0.45">
      <c r="K731" s="40">
        <f t="shared" si="195"/>
        <v>7.06</v>
      </c>
      <c r="L731" s="41">
        <f t="shared" si="187"/>
        <v>27.06</v>
      </c>
      <c r="M731">
        <f t="shared" si="196"/>
        <v>0.84945972982921958</v>
      </c>
      <c r="N731">
        <f t="shared" si="197"/>
        <v>0.15054027017077812</v>
      </c>
      <c r="O731">
        <f t="shared" si="188"/>
        <v>0.10298193178481527</v>
      </c>
      <c r="P731">
        <f t="shared" si="189"/>
        <v>0.5</v>
      </c>
      <c r="Q731">
        <f t="shared" si="198"/>
        <v>-1.2208868865831238E-2</v>
      </c>
      <c r="R731" s="6">
        <f t="shared" si="199"/>
        <v>1.2208868865831238E-2</v>
      </c>
      <c r="S731" s="18">
        <f t="shared" si="200"/>
        <v>0.99999999999999767</v>
      </c>
      <c r="T731" s="15"/>
      <c r="U731" s="15"/>
      <c r="V731" s="40">
        <f t="shared" si="201"/>
        <v>2.94</v>
      </c>
      <c r="W731" s="41">
        <f t="shared" si="190"/>
        <v>22.94</v>
      </c>
      <c r="X731">
        <f t="shared" si="202"/>
        <v>3.237393791586244E-2</v>
      </c>
      <c r="Y731">
        <f t="shared" si="203"/>
        <v>1.7917068808295136</v>
      </c>
      <c r="Z731" s="33">
        <f t="shared" si="191"/>
        <v>7.2204433134146845E-2</v>
      </c>
      <c r="AA731" s="33">
        <f t="shared" si="192"/>
        <v>0.5</v>
      </c>
      <c r="AB731">
        <f t="shared" si="193"/>
        <v>-1.0337472441697138E-3</v>
      </c>
      <c r="AC731" s="1">
        <f t="shared" si="194"/>
        <v>-3.0748184501698805E-2</v>
      </c>
      <c r="AD731" s="35">
        <f>IF(W731&gt;=FinalAgeForPremium, AE731*Delta-Z731*(Y731-AE731),AE731*Delta+PremiumRevisedForLimitedTerm-Z731*(Y731-AE731))</f>
        <v>1.1744528638414686E-2</v>
      </c>
      <c r="AE731" s="35">
        <f>AE730-StepSize*AD730</f>
        <v>2.2592296909416418E-2</v>
      </c>
      <c r="AF731" s="1"/>
    </row>
    <row r="732" spans="11:32" x14ac:dyDescent="0.45">
      <c r="K732" s="40">
        <f t="shared" si="195"/>
        <v>7.07</v>
      </c>
      <c r="L732" s="41">
        <f t="shared" si="187"/>
        <v>27.07</v>
      </c>
      <c r="M732">
        <f t="shared" si="196"/>
        <v>0.84933764114056132</v>
      </c>
      <c r="N732">
        <f t="shared" si="197"/>
        <v>0.15066235885943643</v>
      </c>
      <c r="O732">
        <f t="shared" si="188"/>
        <v>0.10307071749241585</v>
      </c>
      <c r="P732">
        <f t="shared" si="189"/>
        <v>0.5</v>
      </c>
      <c r="Q732">
        <f t="shared" si="198"/>
        <v>-1.2210660635955453E-2</v>
      </c>
      <c r="R732" s="6">
        <f t="shared" si="199"/>
        <v>1.2210660635955453E-2</v>
      </c>
      <c r="S732" s="18">
        <f t="shared" si="200"/>
        <v>0.99999999999999778</v>
      </c>
      <c r="T732" s="15"/>
      <c r="U732" s="15"/>
      <c r="V732" s="40">
        <f t="shared" si="201"/>
        <v>2.93</v>
      </c>
      <c r="W732" s="41">
        <f t="shared" si="190"/>
        <v>22.93</v>
      </c>
      <c r="X732">
        <f t="shared" si="202"/>
        <v>3.2384275388304136E-2</v>
      </c>
      <c r="Y732">
        <f t="shared" si="203"/>
        <v>1.7920143626745306</v>
      </c>
      <c r="Z732" s="33">
        <f t="shared" si="191"/>
        <v>7.2142235821042983E-2</v>
      </c>
      <c r="AA732" s="33">
        <f t="shared" si="192"/>
        <v>0.5</v>
      </c>
      <c r="AB732">
        <f t="shared" si="193"/>
        <v>-9.4524124804251652E-4</v>
      </c>
      <c r="AC732" s="1">
        <f t="shared" si="194"/>
        <v>-3.0584238223160254E-2</v>
      </c>
      <c r="AD732" s="35">
        <f>IF(W732&gt;=FinalAgeForPremium, AE732*Delta-Z732*(Y732-AE732),AE732*Delta+PremiumRevisedForLimitedTerm-Z732*(Y732-AE732))</f>
        <v>1.1818035354467848E-2</v>
      </c>
      <c r="AE732" s="35">
        <f>AE731-StepSize*AD731</f>
        <v>2.2474851623032272E-2</v>
      </c>
      <c r="AF732" s="1"/>
    </row>
    <row r="733" spans="11:32" x14ac:dyDescent="0.45">
      <c r="K733" s="40">
        <f t="shared" si="195"/>
        <v>7.08</v>
      </c>
      <c r="L733" s="41">
        <f t="shared" si="187"/>
        <v>27.08</v>
      </c>
      <c r="M733">
        <f t="shared" si="196"/>
        <v>0.84921553453420173</v>
      </c>
      <c r="N733">
        <f t="shared" si="197"/>
        <v>0.15078446546579599</v>
      </c>
      <c r="O733">
        <f t="shared" si="188"/>
        <v>0.10315957974647207</v>
      </c>
      <c r="P733">
        <f t="shared" si="189"/>
        <v>0.5</v>
      </c>
      <c r="Q733">
        <f t="shared" si="198"/>
        <v>-1.2212484923825886E-2</v>
      </c>
      <c r="R733" s="6">
        <f t="shared" si="199"/>
        <v>1.2212484923825886E-2</v>
      </c>
      <c r="S733" s="18">
        <f t="shared" si="200"/>
        <v>0.99999999999999778</v>
      </c>
      <c r="T733" s="15"/>
      <c r="U733" s="15"/>
      <c r="V733" s="40">
        <f t="shared" si="201"/>
        <v>2.92</v>
      </c>
      <c r="W733" s="41">
        <f t="shared" si="190"/>
        <v>22.92</v>
      </c>
      <c r="X733">
        <f t="shared" si="202"/>
        <v>3.2393727800784561E-2</v>
      </c>
      <c r="Y733">
        <f t="shared" si="203"/>
        <v>1.7923202050567622</v>
      </c>
      <c r="Z733" s="33">
        <f t="shared" si="191"/>
        <v>7.2080092085061637E-2</v>
      </c>
      <c r="AA733" s="33">
        <f t="shared" si="192"/>
        <v>0.5</v>
      </c>
      <c r="AB733">
        <f t="shared" si="193"/>
        <v>-8.5678245616210846E-4</v>
      </c>
      <c r="AC733" s="1">
        <f t="shared" si="194"/>
        <v>-3.0420751119173195E-2</v>
      </c>
      <c r="AD733" s="35">
        <f>IF(W733&gt;=FinalAgeForPremium, AE733*Delta-Z733*(Y733-AE733),AE733*Delta+PremiumRevisedForLimitedTerm-Z733*(Y733-AE733))</f>
        <v>1.1891528535133089E-2</v>
      </c>
      <c r="AE733" s="35">
        <f>AE732-StepSize*AD732</f>
        <v>2.2356671269487594E-2</v>
      </c>
      <c r="AF733" s="1"/>
    </row>
    <row r="734" spans="11:32" x14ac:dyDescent="0.45">
      <c r="K734" s="40">
        <f t="shared" si="195"/>
        <v>7.09</v>
      </c>
      <c r="L734" s="41">
        <f t="shared" si="187"/>
        <v>27.09</v>
      </c>
      <c r="M734">
        <f t="shared" si="196"/>
        <v>0.8490934096849635</v>
      </c>
      <c r="N734">
        <f t="shared" si="197"/>
        <v>0.15090659031503426</v>
      </c>
      <c r="O734">
        <f t="shared" si="188"/>
        <v>0.10324851861297842</v>
      </c>
      <c r="P734">
        <f t="shared" si="189"/>
        <v>0.5</v>
      </c>
      <c r="Q734">
        <f t="shared" si="198"/>
        <v>-1.2214341556498129E-2</v>
      </c>
      <c r="R734" s="6">
        <f t="shared" si="199"/>
        <v>1.2214341556498129E-2</v>
      </c>
      <c r="S734" s="18">
        <f t="shared" si="200"/>
        <v>0.99999999999999778</v>
      </c>
      <c r="T734" s="15"/>
      <c r="U734" s="15"/>
      <c r="V734" s="40">
        <f t="shared" si="201"/>
        <v>2.91</v>
      </c>
      <c r="W734" s="41">
        <f t="shared" si="190"/>
        <v>22.91</v>
      </c>
      <c r="X734">
        <f t="shared" si="202"/>
        <v>3.2402295625346182E-2</v>
      </c>
      <c r="Y734">
        <f t="shared" si="203"/>
        <v>1.7926244125679538</v>
      </c>
      <c r="Z734" s="33">
        <f t="shared" si="191"/>
        <v>7.2018001880051058E-2</v>
      </c>
      <c r="AA734" s="33">
        <f t="shared" si="192"/>
        <v>0.5</v>
      </c>
      <c r="AB734">
        <f t="shared" si="193"/>
        <v>-7.6837124866518947E-4</v>
      </c>
      <c r="AC734" s="1">
        <f t="shared" si="194"/>
        <v>-3.0257720900298546E-2</v>
      </c>
      <c r="AD734" s="35">
        <f>IF(W734&gt;=FinalAgeForPremium, AE734*Delta-Z734*(Y734-AE734),AE734*Delta+PremiumRevisedForLimitedTerm-Z734*(Y734-AE734))</f>
        <v>1.1965007711182668E-2</v>
      </c>
      <c r="AE734" s="35">
        <f>AE733-StepSize*AD733</f>
        <v>2.2237755984136263E-2</v>
      </c>
      <c r="AF734" s="1"/>
    </row>
    <row r="735" spans="11:32" x14ac:dyDescent="0.45">
      <c r="K735" s="40">
        <f t="shared" si="195"/>
        <v>7.1</v>
      </c>
      <c r="L735" s="41">
        <f t="shared" si="187"/>
        <v>27.1</v>
      </c>
      <c r="M735">
        <f t="shared" si="196"/>
        <v>0.84897126626939856</v>
      </c>
      <c r="N735">
        <f t="shared" si="197"/>
        <v>0.15102873373059925</v>
      </c>
      <c r="O735">
        <f t="shared" si="188"/>
        <v>0.10333753415798605</v>
      </c>
      <c r="P735">
        <f t="shared" si="189"/>
        <v>0.5</v>
      </c>
      <c r="Q735">
        <f t="shared" si="198"/>
        <v>-1.2216230361963024E-2</v>
      </c>
      <c r="R735" s="6">
        <f t="shared" si="199"/>
        <v>1.2216230361963024E-2</v>
      </c>
      <c r="S735" s="18">
        <f t="shared" si="200"/>
        <v>0.99999999999999778</v>
      </c>
      <c r="T735" s="15"/>
      <c r="U735" s="15"/>
      <c r="V735" s="40">
        <f t="shared" si="201"/>
        <v>2.9</v>
      </c>
      <c r="W735" s="41">
        <f t="shared" si="190"/>
        <v>22.9</v>
      </c>
      <c r="X735">
        <f t="shared" si="202"/>
        <v>3.2409979337832837E-2</v>
      </c>
      <c r="Y735">
        <f t="shared" si="203"/>
        <v>1.7929269897769569</v>
      </c>
      <c r="Z735" s="33">
        <f t="shared" si="191"/>
        <v>7.1955965159899465E-2</v>
      </c>
      <c r="AA735" s="33">
        <f t="shared" si="192"/>
        <v>0.5</v>
      </c>
      <c r="AB735">
        <f t="shared" si="193"/>
        <v>-6.8000800232867475E-4</v>
      </c>
      <c r="AC735" s="1">
        <f t="shared" si="194"/>
        <v>-3.0095145291590075E-2</v>
      </c>
      <c r="AD735" s="35">
        <f>IF(W735&gt;=FinalAgeForPremium, AE735*Delta-Z735*(Y735-AE735),AE735*Delta+PremiumRevisedForLimitedTerm-Z735*(Y735-AE735))</f>
        <v>1.2038472417012447E-2</v>
      </c>
      <c r="AE735" s="35">
        <f>AE734-StepSize*AD734</f>
        <v>2.2118105907024437E-2</v>
      </c>
      <c r="AF735" s="1"/>
    </row>
    <row r="736" spans="11:32" x14ac:dyDescent="0.45">
      <c r="K736" s="40">
        <f t="shared" si="195"/>
        <v>7.11</v>
      </c>
      <c r="L736" s="41">
        <f t="shared" si="187"/>
        <v>27.11</v>
      </c>
      <c r="M736">
        <f t="shared" si="196"/>
        <v>0.84884910396577895</v>
      </c>
      <c r="N736">
        <f t="shared" si="197"/>
        <v>0.15115089603421888</v>
      </c>
      <c r="O736">
        <f t="shared" si="188"/>
        <v>0.10342662644760328</v>
      </c>
      <c r="P736">
        <f t="shared" si="189"/>
        <v>0.5</v>
      </c>
      <c r="Q736">
        <f t="shared" si="198"/>
        <v>-1.2218151169141933E-2</v>
      </c>
      <c r="R736" s="6">
        <f t="shared" si="199"/>
        <v>1.2218151169141933E-2</v>
      </c>
      <c r="S736" s="18">
        <f t="shared" si="200"/>
        <v>0.99999999999999778</v>
      </c>
      <c r="T736" s="15"/>
      <c r="U736" s="15"/>
      <c r="V736" s="40">
        <f t="shared" si="201"/>
        <v>2.89</v>
      </c>
      <c r="W736" s="41">
        <f t="shared" si="190"/>
        <v>22.89</v>
      </c>
      <c r="X736">
        <f t="shared" si="202"/>
        <v>3.2416779417856124E-2</v>
      </c>
      <c r="Y736">
        <f t="shared" si="203"/>
        <v>1.7932279412298728</v>
      </c>
      <c r="Z736" s="33">
        <f t="shared" si="191"/>
        <v>7.1893981878534671E-2</v>
      </c>
      <c r="AA736" s="33">
        <f t="shared" si="192"/>
        <v>0.5</v>
      </c>
      <c r="AB736">
        <f t="shared" si="193"/>
        <v>-5.9169309059423081E-4</v>
      </c>
      <c r="AC736" s="1">
        <f t="shared" si="194"/>
        <v>-2.9933022032497925E-2</v>
      </c>
      <c r="AD736" s="35">
        <f>IF(W736&gt;=FinalAgeForPremium, AE736*Delta-Z736*(Y736-AE736),AE736*Delta+PremiumRevisedForLimitedTerm-Z736*(Y736-AE736))</f>
        <v>1.2111922190615937E-2</v>
      </c>
      <c r="AE736" s="35">
        <f>AE735-StepSize*AD735</f>
        <v>2.1997721182854313E-2</v>
      </c>
      <c r="AF736" s="1"/>
    </row>
    <row r="737" spans="11:32" x14ac:dyDescent="0.45">
      <c r="K737" s="40">
        <f t="shared" si="195"/>
        <v>7.12</v>
      </c>
      <c r="L737" s="41">
        <f t="shared" si="187"/>
        <v>27.12</v>
      </c>
      <c r="M737">
        <f t="shared" si="196"/>
        <v>0.84872692245408754</v>
      </c>
      <c r="N737">
        <f t="shared" si="197"/>
        <v>0.15127307754591029</v>
      </c>
      <c r="O737">
        <f t="shared" si="188"/>
        <v>0.10351579554799542</v>
      </c>
      <c r="P737">
        <f t="shared" si="189"/>
        <v>0.5</v>
      </c>
      <c r="Q737">
        <f t="shared" si="198"/>
        <v>-1.2220103807881535E-2</v>
      </c>
      <c r="R737" s="6">
        <f t="shared" si="199"/>
        <v>1.2220103807881535E-2</v>
      </c>
      <c r="S737" s="18">
        <f t="shared" si="200"/>
        <v>0.99999999999999778</v>
      </c>
      <c r="T737" s="15"/>
      <c r="U737" s="15"/>
      <c r="V737" s="40">
        <f t="shared" si="201"/>
        <v>2.88</v>
      </c>
      <c r="W737" s="41">
        <f t="shared" si="190"/>
        <v>22.88</v>
      </c>
      <c r="X737">
        <f t="shared" si="202"/>
        <v>3.2422696348762069E-2</v>
      </c>
      <c r="Y737">
        <f t="shared" si="203"/>
        <v>1.7935272714501977</v>
      </c>
      <c r="Z737" s="33">
        <f t="shared" si="191"/>
        <v>7.1832051989924178E-2</v>
      </c>
      <c r="AA737" s="33">
        <f t="shared" si="192"/>
        <v>0.5</v>
      </c>
      <c r="AB737">
        <f t="shared" si="193"/>
        <v>-5.0342688359389376E-4</v>
      </c>
      <c r="AC737" s="1">
        <f t="shared" si="194"/>
        <v>-2.9771348876772352E-2</v>
      </c>
      <c r="AD737" s="35">
        <f>IF(W737&gt;=FinalAgeForPremium, AE737*Delta-Z737*(Y737-AE737),AE737*Delta+PremiumRevisedForLimitedTerm-Z737*(Y737-AE737))</f>
        <v>1.2185356573558209E-2</v>
      </c>
      <c r="AE737" s="35">
        <f>AE736-StepSize*AD736</f>
        <v>2.1876601960948153E-2</v>
      </c>
      <c r="AF737" s="1"/>
    </row>
    <row r="738" spans="11:32" x14ac:dyDescent="0.45">
      <c r="K738" s="40">
        <f t="shared" si="195"/>
        <v>7.13</v>
      </c>
      <c r="L738" s="41">
        <f t="shared" si="187"/>
        <v>27.13</v>
      </c>
      <c r="M738">
        <f t="shared" si="196"/>
        <v>0.84860472141600873</v>
      </c>
      <c r="N738">
        <f t="shared" si="197"/>
        <v>0.1513952785839891</v>
      </c>
      <c r="O738">
        <f t="shared" si="188"/>
        <v>0.10360504152538465</v>
      </c>
      <c r="P738">
        <f t="shared" si="189"/>
        <v>0.5</v>
      </c>
      <c r="Q738">
        <f t="shared" si="198"/>
        <v>-1.2222088108948509E-2</v>
      </c>
      <c r="R738" s="6">
        <f t="shared" si="199"/>
        <v>1.2222088108948509E-2</v>
      </c>
      <c r="S738" s="18">
        <f t="shared" si="200"/>
        <v>0.99999999999999778</v>
      </c>
      <c r="T738" s="15"/>
      <c r="U738" s="15"/>
      <c r="V738" s="40">
        <f t="shared" si="201"/>
        <v>2.87</v>
      </c>
      <c r="W738" s="41">
        <f t="shared" si="190"/>
        <v>22.87</v>
      </c>
      <c r="X738">
        <f t="shared" si="202"/>
        <v>3.2427730617598009E-2</v>
      </c>
      <c r="Y738">
        <f t="shared" si="203"/>
        <v>1.7938249849389654</v>
      </c>
      <c r="Z738" s="33">
        <f t="shared" si="191"/>
        <v>7.1770175448075166E-2</v>
      </c>
      <c r="AA738" s="33">
        <f t="shared" si="192"/>
        <v>0.5</v>
      </c>
      <c r="AB738">
        <f t="shared" si="193"/>
        <v>-4.1520974817482736E-4</v>
      </c>
      <c r="AC738" s="1">
        <f t="shared" si="194"/>
        <v>-2.9610123592368032E-2</v>
      </c>
      <c r="AD738" s="35">
        <f>IF(W738&gt;=FinalAgeForPremium, AE738*Delta-Z738*(Y738-AE738),AE738*Delta+PremiumRevisedForLimitedTerm-Z738*(Y738-AE738))</f>
        <v>1.2258775110949971E-2</v>
      </c>
      <c r="AE738" s="35">
        <f>AE737-StepSize*AD737</f>
        <v>2.1754748395212572E-2</v>
      </c>
      <c r="AF738" s="1"/>
    </row>
    <row r="739" spans="11:32" x14ac:dyDescent="0.45">
      <c r="K739" s="40">
        <f t="shared" si="195"/>
        <v>7.14</v>
      </c>
      <c r="L739" s="41">
        <f t="shared" si="187"/>
        <v>27.14</v>
      </c>
      <c r="M739">
        <f t="shared" si="196"/>
        <v>0.84848250053491925</v>
      </c>
      <c r="N739">
        <f t="shared" si="197"/>
        <v>0.15151749946507859</v>
      </c>
      <c r="O739">
        <f t="shared" si="188"/>
        <v>0.10369436444605036</v>
      </c>
      <c r="P739">
        <f t="shared" si="189"/>
        <v>0.5</v>
      </c>
      <c r="Q739">
        <f t="shared" si="198"/>
        <v>-1.2224103904024744E-2</v>
      </c>
      <c r="R739" s="6">
        <f t="shared" si="199"/>
        <v>1.2224103904024744E-2</v>
      </c>
      <c r="S739" s="18">
        <f t="shared" si="200"/>
        <v>0.99999999999999778</v>
      </c>
      <c r="T739" s="15"/>
      <c r="U739" s="15"/>
      <c r="V739" s="40">
        <f t="shared" si="201"/>
        <v>2.86</v>
      </c>
      <c r="W739" s="41">
        <f t="shared" si="190"/>
        <v>22.86</v>
      </c>
      <c r="X739">
        <f t="shared" si="202"/>
        <v>3.2431882715079755E-2</v>
      </c>
      <c r="Y739">
        <f t="shared" si="203"/>
        <v>1.7941210861748891</v>
      </c>
      <c r="Z739" s="33">
        <f t="shared" si="191"/>
        <v>7.1708352207034406E-2</v>
      </c>
      <c r="AA739" s="33">
        <f t="shared" si="192"/>
        <v>0.5</v>
      </c>
      <c r="AB739">
        <f t="shared" si="193"/>
        <v>-3.2704204792424751E-4</v>
      </c>
      <c r="AC739" s="1">
        <f t="shared" si="194"/>
        <v>-2.9449343961350904E-2</v>
      </c>
      <c r="AD739" s="35">
        <f>IF(W739&gt;=FinalAgeForPremium, AE739*Delta-Z739*(Y739-AE739),AE739*Delta+PremiumRevisedForLimitedTerm-Z739*(Y739-AE739))</f>
        <v>1.2332177351422113E-2</v>
      </c>
      <c r="AE739" s="35">
        <f>AE738-StepSize*AD738</f>
        <v>2.163216064410307E-2</v>
      </c>
      <c r="AF739" s="1"/>
    </row>
    <row r="740" spans="11:32" x14ac:dyDescent="0.45">
      <c r="K740" s="40">
        <f t="shared" si="195"/>
        <v>7.15</v>
      </c>
      <c r="L740" s="41">
        <f t="shared" si="187"/>
        <v>27.15</v>
      </c>
      <c r="M740">
        <f t="shared" si="196"/>
        <v>0.84836025949587901</v>
      </c>
      <c r="N740">
        <f t="shared" si="197"/>
        <v>0.15163974050411883</v>
      </c>
      <c r="O740">
        <f t="shared" si="188"/>
        <v>0.10378376437632912</v>
      </c>
      <c r="P740">
        <f t="shared" si="189"/>
        <v>0.5</v>
      </c>
      <c r="Q740">
        <f t="shared" si="198"/>
        <v>-1.222615102570232E-2</v>
      </c>
      <c r="R740" s="6">
        <f t="shared" si="199"/>
        <v>1.222615102570232E-2</v>
      </c>
      <c r="S740" s="18">
        <f t="shared" si="200"/>
        <v>0.99999999999999778</v>
      </c>
      <c r="T740" s="15"/>
      <c r="U740" s="15"/>
      <c r="V740" s="40">
        <f t="shared" si="201"/>
        <v>2.85</v>
      </c>
      <c r="W740" s="41">
        <f t="shared" si="190"/>
        <v>22.85</v>
      </c>
      <c r="X740">
        <f t="shared" si="202"/>
        <v>3.2435153135558996E-2</v>
      </c>
      <c r="Y740">
        <f t="shared" si="203"/>
        <v>1.7944155796145025</v>
      </c>
      <c r="Z740" s="33">
        <f t="shared" si="191"/>
        <v>7.1646582220888336E-2</v>
      </c>
      <c r="AA740" s="33">
        <f t="shared" si="192"/>
        <v>0.5</v>
      </c>
      <c r="AB740">
        <f t="shared" si="193"/>
        <v>-2.3892414319390265E-4</v>
      </c>
      <c r="AC740" s="1">
        <f t="shared" si="194"/>
        <v>-2.9289007779803033E-2</v>
      </c>
      <c r="AD740" s="35">
        <f>IF(W740&gt;=FinalAgeForPremium, AE740*Delta-Z740*(Y740-AE740),AE740*Delta+PremiumRevisedForLimitedTerm-Z740*(Y740-AE740))</f>
        <v>1.240556284710001E-2</v>
      </c>
      <c r="AE740" s="35">
        <f>AE739-StepSize*AD739</f>
        <v>2.150883887058885E-2</v>
      </c>
      <c r="AF740" s="1"/>
    </row>
    <row r="741" spans="11:32" x14ac:dyDescent="0.45">
      <c r="K741" s="40">
        <f t="shared" si="195"/>
        <v>7.16</v>
      </c>
      <c r="L741" s="41">
        <f t="shared" si="187"/>
        <v>27.16</v>
      </c>
      <c r="M741">
        <f t="shared" si="196"/>
        <v>0.84823799798562194</v>
      </c>
      <c r="N741">
        <f t="shared" si="197"/>
        <v>0.15176200201437584</v>
      </c>
      <c r="O741">
        <f t="shared" si="188"/>
        <v>0.10387324138261469</v>
      </c>
      <c r="P741">
        <f t="shared" si="189"/>
        <v>0.5</v>
      </c>
      <c r="Q741">
        <f t="shared" si="198"/>
        <v>-1.2228229307478425E-2</v>
      </c>
      <c r="R741" s="6">
        <f t="shared" si="199"/>
        <v>1.2228229307478425E-2</v>
      </c>
      <c r="S741" s="18">
        <f t="shared" si="200"/>
        <v>0.99999999999999778</v>
      </c>
      <c r="T741" s="15"/>
      <c r="U741" s="15"/>
      <c r="V741" s="40">
        <f t="shared" si="201"/>
        <v>2.84</v>
      </c>
      <c r="W741" s="41">
        <f t="shared" si="190"/>
        <v>22.84</v>
      </c>
      <c r="X741">
        <f t="shared" si="202"/>
        <v>3.2437542376990938E-2</v>
      </c>
      <c r="Y741">
        <f t="shared" si="203"/>
        <v>1.7947084696923006</v>
      </c>
      <c r="Z741" s="33">
        <f t="shared" si="191"/>
        <v>7.1584865443762816E-2</v>
      </c>
      <c r="AA741" s="33">
        <f t="shared" si="192"/>
        <v>0.5</v>
      </c>
      <c r="AB741">
        <f t="shared" si="193"/>
        <v>-1.5085639112435989E-4</v>
      </c>
      <c r="AC741" s="1">
        <f t="shared" si="194"/>
        <v>-2.9129112857730122E-2</v>
      </c>
      <c r="AD741" s="35">
        <f>IF(W741&gt;=FinalAgeForPremium, AE741*Delta-Z741*(Y741-AE741),AE741*Delta+PremiumRevisedForLimitedTerm-Z741*(Y741-AE741))</f>
        <v>1.2478931153578648E-2</v>
      </c>
      <c r="AE741" s="35">
        <f>AE740-StepSize*AD740</f>
        <v>2.1384783242117851E-2</v>
      </c>
      <c r="AF741" s="1"/>
    </row>
    <row r="742" spans="11:32" x14ac:dyDescent="0.45">
      <c r="K742" s="40">
        <f t="shared" si="195"/>
        <v>7.17</v>
      </c>
      <c r="L742" s="41">
        <f t="shared" si="187"/>
        <v>27.17</v>
      </c>
      <c r="M742">
        <f t="shared" si="196"/>
        <v>0.84811571569254718</v>
      </c>
      <c r="N742">
        <f t="shared" si="197"/>
        <v>0.15188428430745063</v>
      </c>
      <c r="O742">
        <f t="shared" si="188"/>
        <v>0.1039627955313579</v>
      </c>
      <c r="P742">
        <f t="shared" si="189"/>
        <v>0.5</v>
      </c>
      <c r="Q742">
        <f t="shared" si="198"/>
        <v>-1.2230338583750236E-2</v>
      </c>
      <c r="R742" s="6">
        <f t="shared" si="199"/>
        <v>1.2230338583750236E-2</v>
      </c>
      <c r="S742" s="18">
        <f t="shared" si="200"/>
        <v>0.99999999999999778</v>
      </c>
      <c r="T742" s="15"/>
      <c r="U742" s="15"/>
      <c r="V742" s="40">
        <f t="shared" si="201"/>
        <v>2.83</v>
      </c>
      <c r="W742" s="41">
        <f t="shared" si="190"/>
        <v>22.83</v>
      </c>
      <c r="X742">
        <f t="shared" si="202"/>
        <v>3.243905094090218E-2</v>
      </c>
      <c r="Y742">
        <f t="shared" si="203"/>
        <v>1.7949997608208779</v>
      </c>
      <c r="Z742" s="33">
        <f t="shared" si="191"/>
        <v>7.152320182982333E-2</v>
      </c>
      <c r="AA742" s="33">
        <f t="shared" si="192"/>
        <v>0.5</v>
      </c>
      <c r="AB742">
        <f t="shared" si="193"/>
        <v>-6.2839145669402185E-5</v>
      </c>
      <c r="AC742" s="1">
        <f t="shared" si="194"/>
        <v>-2.8969657018968253E-2</v>
      </c>
      <c r="AD742" s="35">
        <f>IF(W742&gt;=FinalAgeForPremium, AE742*Delta-Z742*(Y742-AE742),AE742*Delta+PremiumRevisedForLimitedTerm-Z742*(Y742-AE742))</f>
        <v>1.2552281829897205E-2</v>
      </c>
      <c r="AE742" s="35">
        <f>AE741-StepSize*AD741</f>
        <v>2.1259993930582064E-2</v>
      </c>
      <c r="AF742" s="1"/>
    </row>
    <row r="743" spans="11:32" x14ac:dyDescent="0.45">
      <c r="K743" s="40">
        <f t="shared" si="195"/>
        <v>7.18</v>
      </c>
      <c r="L743" s="41">
        <f t="shared" si="187"/>
        <v>27.18</v>
      </c>
      <c r="M743">
        <f t="shared" si="196"/>
        <v>0.84799341230670966</v>
      </c>
      <c r="N743">
        <f t="shared" si="197"/>
        <v>0.15200658769328812</v>
      </c>
      <c r="O743">
        <f t="shared" si="188"/>
        <v>0.10405242688906707</v>
      </c>
      <c r="P743">
        <f t="shared" si="189"/>
        <v>0.5</v>
      </c>
      <c r="Q743">
        <f t="shared" si="198"/>
        <v>-1.2232478689810353E-2</v>
      </c>
      <c r="R743" s="6">
        <f t="shared" si="199"/>
        <v>1.2232478689810353E-2</v>
      </c>
      <c r="S743" s="18">
        <f t="shared" si="200"/>
        <v>0.99999999999999778</v>
      </c>
      <c r="T743" s="15"/>
      <c r="U743" s="15"/>
      <c r="V743" s="40">
        <f t="shared" si="201"/>
        <v>2.82</v>
      </c>
      <c r="W743" s="41">
        <f t="shared" si="190"/>
        <v>22.82</v>
      </c>
      <c r="X743">
        <f t="shared" si="202"/>
        <v>3.2439679332358876E-2</v>
      </c>
      <c r="Y743">
        <f t="shared" si="203"/>
        <v>1.7952894573910676</v>
      </c>
      <c r="Z743" s="33">
        <f t="shared" si="191"/>
        <v>7.1461591333274802E-2</v>
      </c>
      <c r="AA743" s="33">
        <f t="shared" si="192"/>
        <v>0.5</v>
      </c>
      <c r="AB743">
        <f t="shared" si="193"/>
        <v>2.5127242379963111E-5</v>
      </c>
      <c r="AC743" s="1">
        <f t="shared" si="194"/>
        <v>-2.8810638101092301E-2</v>
      </c>
      <c r="AD743" s="35">
        <f>IF(W743&gt;=FinalAgeForPremium, AE743*Delta-Z743*(Y743-AE743),AE743*Delta+PremiumRevisedForLimitedTerm-Z743*(Y743-AE743))</f>
        <v>1.2625614438514426E-2</v>
      </c>
      <c r="AE743" s="35">
        <f>AE742-StepSize*AD742</f>
        <v>2.1134471112283091E-2</v>
      </c>
      <c r="AF743" s="1"/>
    </row>
    <row r="744" spans="11:32" x14ac:dyDescent="0.45">
      <c r="K744" s="40">
        <f t="shared" si="195"/>
        <v>7.19</v>
      </c>
      <c r="L744" s="41">
        <f t="shared" si="187"/>
        <v>27.19</v>
      </c>
      <c r="M744">
        <f t="shared" si="196"/>
        <v>0.84787108751981155</v>
      </c>
      <c r="N744">
        <f t="shared" si="197"/>
        <v>0.15212891248018623</v>
      </c>
      <c r="O744">
        <f t="shared" si="188"/>
        <v>0.10414213552230782</v>
      </c>
      <c r="P744">
        <f t="shared" si="189"/>
        <v>0.5</v>
      </c>
      <c r="Q744">
        <f t="shared" si="198"/>
        <v>-1.2234649461841607E-2</v>
      </c>
      <c r="R744" s="6">
        <f t="shared" si="199"/>
        <v>1.2234649461841607E-2</v>
      </c>
      <c r="S744" s="18">
        <f t="shared" si="200"/>
        <v>0.99999999999999778</v>
      </c>
      <c r="T744" s="15"/>
      <c r="U744" s="15"/>
      <c r="V744" s="40">
        <f t="shared" si="201"/>
        <v>2.81</v>
      </c>
      <c r="W744" s="41">
        <f t="shared" si="190"/>
        <v>22.81</v>
      </c>
      <c r="X744">
        <f t="shared" si="202"/>
        <v>3.2439428059935077E-2</v>
      </c>
      <c r="Y744">
        <f t="shared" si="203"/>
        <v>1.7955775637720786</v>
      </c>
      <c r="Z744" s="33">
        <f t="shared" si="191"/>
        <v>7.1400033908361596E-2</v>
      </c>
      <c r="AA744" s="33">
        <f t="shared" si="192"/>
        <v>0.5</v>
      </c>
      <c r="AB744">
        <f t="shared" si="193"/>
        <v>1.1304242537193976E-4</v>
      </c>
      <c r="AC744" s="1">
        <f t="shared" si="194"/>
        <v>-2.865205395532433E-2</v>
      </c>
      <c r="AD744" s="35">
        <f>IF(W744&gt;=FinalAgeForPremium, AE744*Delta-Z744*(Y744-AE744),AE744*Delta+PremiumRevisedForLimitedTerm-Z744*(Y744-AE744))</f>
        <v>1.2698928545283789E-2</v>
      </c>
      <c r="AE744" s="35">
        <f>AE743-StepSize*AD743</f>
        <v>2.1008214967897947E-2</v>
      </c>
      <c r="AF744" s="1"/>
    </row>
    <row r="745" spans="11:32" x14ac:dyDescent="0.45">
      <c r="K745" s="40">
        <f t="shared" si="195"/>
        <v>7.2</v>
      </c>
      <c r="L745" s="41">
        <f t="shared" si="187"/>
        <v>27.2</v>
      </c>
      <c r="M745">
        <f t="shared" si="196"/>
        <v>0.84774874102519315</v>
      </c>
      <c r="N745">
        <f t="shared" si="197"/>
        <v>0.15225125897480465</v>
      </c>
      <c r="O745">
        <f t="shared" si="188"/>
        <v>0.104231921497703</v>
      </c>
      <c r="P745">
        <f t="shared" si="189"/>
        <v>0.5</v>
      </c>
      <c r="Q745">
        <f t="shared" si="198"/>
        <v>-1.223685073691215E-2</v>
      </c>
      <c r="R745" s="6">
        <f t="shared" si="199"/>
        <v>1.223685073691215E-2</v>
      </c>
      <c r="S745" s="18">
        <f t="shared" si="200"/>
        <v>0.99999999999999778</v>
      </c>
      <c r="T745" s="15"/>
      <c r="U745" s="15"/>
      <c r="V745" s="40">
        <f t="shared" si="201"/>
        <v>2.8</v>
      </c>
      <c r="W745" s="41">
        <f t="shared" si="190"/>
        <v>22.8</v>
      </c>
      <c r="X745">
        <f t="shared" si="202"/>
        <v>3.243829763568136E-2</v>
      </c>
      <c r="Y745">
        <f t="shared" si="203"/>
        <v>1.7958640843116318</v>
      </c>
      <c r="Z745" s="33">
        <f t="shared" si="191"/>
        <v>7.1338529509367532E-2</v>
      </c>
      <c r="AA745" s="33">
        <f t="shared" si="192"/>
        <v>0.5</v>
      </c>
      <c r="AB745">
        <f t="shared" si="193"/>
        <v>2.0090605876979528E-4</v>
      </c>
      <c r="AC745" s="1">
        <f t="shared" si="194"/>
        <v>-2.8493902446443231E-2</v>
      </c>
      <c r="AD745" s="35">
        <f>IF(W745&gt;=FinalAgeForPremium, AE745*Delta-Z745*(Y745-AE745),AE745*Delta+PremiumRevisedForLimitedTerm-Z745*(Y745-AE745))</f>
        <v>1.2772223719429043E-2</v>
      </c>
      <c r="AE745" s="35">
        <f>AE744-StepSize*AD744</f>
        <v>2.0881225682445107E-2</v>
      </c>
      <c r="AF745" s="1"/>
    </row>
    <row r="746" spans="11:32" x14ac:dyDescent="0.45">
      <c r="K746" s="40">
        <f t="shared" si="195"/>
        <v>7.21</v>
      </c>
      <c r="L746" s="41">
        <f t="shared" si="187"/>
        <v>27.21</v>
      </c>
      <c r="M746">
        <f t="shared" si="196"/>
        <v>0.84762637251782402</v>
      </c>
      <c r="N746">
        <f t="shared" si="197"/>
        <v>0.15237362748217378</v>
      </c>
      <c r="O746">
        <f t="shared" si="188"/>
        <v>0.10432178488193319</v>
      </c>
      <c r="P746">
        <f t="shared" si="189"/>
        <v>0.5</v>
      </c>
      <c r="Q746">
        <f t="shared" si="198"/>
        <v>-1.2239082352970915E-2</v>
      </c>
      <c r="R746" s="6">
        <f t="shared" si="199"/>
        <v>1.2239082352970915E-2</v>
      </c>
      <c r="S746" s="18">
        <f t="shared" si="200"/>
        <v>0.99999999999999778</v>
      </c>
      <c r="T746" s="15"/>
      <c r="U746" s="15"/>
      <c r="V746" s="40">
        <f t="shared" si="201"/>
        <v>2.79</v>
      </c>
      <c r="W746" s="41">
        <f t="shared" si="190"/>
        <v>22.79</v>
      </c>
      <c r="X746">
        <f t="shared" si="202"/>
        <v>3.2436288575093661E-2</v>
      </c>
      <c r="Y746">
        <f t="shared" si="203"/>
        <v>1.7961490233360962</v>
      </c>
      <c r="Z746" s="33">
        <f t="shared" si="191"/>
        <v>7.1277078090615717E-2</v>
      </c>
      <c r="AA746" s="33">
        <f t="shared" si="192"/>
        <v>0.5</v>
      </c>
      <c r="AB746">
        <f t="shared" si="193"/>
        <v>2.8871780112896261E-4</v>
      </c>
      <c r="AC746" s="1">
        <f t="shared" si="194"/>
        <v>-2.8336181452694009E-2</v>
      </c>
      <c r="AD746" s="35">
        <f>IF(W746&gt;=FinalAgeForPremium, AE746*Delta-Z746*(Y746-AE746),AE746*Delta+PremiumRevisedForLimitedTerm-Z746*(Y746-AE746))</f>
        <v>1.2845499533520016E-2</v>
      </c>
      <c r="AE746" s="35">
        <f>AE745-StepSize*AD745</f>
        <v>2.0753503445250818E-2</v>
      </c>
      <c r="AF746" s="1"/>
    </row>
    <row r="747" spans="11:32" x14ac:dyDescent="0.45">
      <c r="K747" s="40">
        <f t="shared" si="195"/>
        <v>7.22</v>
      </c>
      <c r="L747" s="41">
        <f t="shared" si="187"/>
        <v>27.22</v>
      </c>
      <c r="M747">
        <f t="shared" si="196"/>
        <v>0.84750398169429431</v>
      </c>
      <c r="N747">
        <f t="shared" si="197"/>
        <v>0.1524960183057035</v>
      </c>
      <c r="O747">
        <f t="shared" si="188"/>
        <v>0.10441172574173617</v>
      </c>
      <c r="P747">
        <f t="shared" si="189"/>
        <v>0.5</v>
      </c>
      <c r="Q747">
        <f t="shared" si="198"/>
        <v>-1.2241344148842301E-2</v>
      </c>
      <c r="R747" s="6">
        <f t="shared" si="199"/>
        <v>1.2241344148842301E-2</v>
      </c>
      <c r="S747" s="18">
        <f t="shared" si="200"/>
        <v>0.99999999999999778</v>
      </c>
      <c r="T747" s="15"/>
      <c r="U747" s="15"/>
      <c r="V747" s="40">
        <f t="shared" si="201"/>
        <v>2.78</v>
      </c>
      <c r="W747" s="41">
        <f t="shared" si="190"/>
        <v>22.78</v>
      </c>
      <c r="X747">
        <f t="shared" si="202"/>
        <v>3.2433401397082375E-2</v>
      </c>
      <c r="Y747">
        <f t="shared" si="203"/>
        <v>1.7964323851506232</v>
      </c>
      <c r="Z747" s="33">
        <f t="shared" si="191"/>
        <v>7.1215679606468726E-2</v>
      </c>
      <c r="AA747" s="33">
        <f t="shared" si="192"/>
        <v>0.5</v>
      </c>
      <c r="AB747">
        <f t="shared" si="193"/>
        <v>3.7647731407319807E-4</v>
      </c>
      <c r="AC747" s="1">
        <f t="shared" si="194"/>
        <v>-2.8178888865698415E-2</v>
      </c>
      <c r="AD747" s="35">
        <f>IF(W747&gt;=FinalAgeForPremium, AE747*Delta-Z747*(Y747-AE747),AE747*Delta+PremiumRevisedForLimitedTerm-Z747*(Y747-AE747))</f>
        <v>1.2918755563448181E-2</v>
      </c>
      <c r="AE747" s="35">
        <f>AE746-StepSize*AD746</f>
        <v>2.0625048449915619E-2</v>
      </c>
      <c r="AF747" s="1"/>
    </row>
    <row r="748" spans="11:32" x14ac:dyDescent="0.45">
      <c r="K748" s="40">
        <f t="shared" si="195"/>
        <v>7.23</v>
      </c>
      <c r="L748" s="41">
        <f t="shared" si="187"/>
        <v>27.23</v>
      </c>
      <c r="M748">
        <f t="shared" si="196"/>
        <v>0.84738156825280586</v>
      </c>
      <c r="N748">
        <f t="shared" si="197"/>
        <v>0.15261843174719192</v>
      </c>
      <c r="O748">
        <f t="shared" si="188"/>
        <v>0.10450174414390741</v>
      </c>
      <c r="P748">
        <f t="shared" si="189"/>
        <v>0.5</v>
      </c>
      <c r="Q748">
        <f t="shared" si="198"/>
        <v>-1.2243635964221775E-2</v>
      </c>
      <c r="R748" s="6">
        <f t="shared" si="199"/>
        <v>1.2243635964221775E-2</v>
      </c>
      <c r="S748" s="18">
        <f t="shared" si="200"/>
        <v>0.99999999999999778</v>
      </c>
      <c r="T748" s="15"/>
      <c r="U748" s="15"/>
      <c r="V748" s="40">
        <f t="shared" si="201"/>
        <v>2.77</v>
      </c>
      <c r="W748" s="41">
        <f t="shared" si="190"/>
        <v>22.77</v>
      </c>
      <c r="X748">
        <f t="shared" si="202"/>
        <v>3.2429636623941639E-2</v>
      </c>
      <c r="Y748">
        <f t="shared" si="203"/>
        <v>1.7967141740392802</v>
      </c>
      <c r="Z748" s="33">
        <f t="shared" si="191"/>
        <v>7.1154334011328355E-2</v>
      </c>
      <c r="AA748" s="33">
        <f t="shared" si="192"/>
        <v>0.5</v>
      </c>
      <c r="AB748">
        <f t="shared" si="193"/>
        <v>4.6418426227179399E-4</v>
      </c>
      <c r="AC748" s="1">
        <f t="shared" si="194"/>
        <v>-2.802202259036668E-2</v>
      </c>
      <c r="AD748" s="35">
        <f>IF(W748&gt;=FinalAgeForPremium, AE748*Delta-Z748*(Y748-AE748),AE748*Delta+PremiumRevisedForLimitedTerm-Z748*(Y748-AE748))</f>
        <v>1.2991991388403124E-2</v>
      </c>
      <c r="AE748" s="35">
        <f>AE747-StepSize*AD747</f>
        <v>2.0495860894281136E-2</v>
      </c>
      <c r="AF748" s="1"/>
    </row>
    <row r="749" spans="11:32" x14ac:dyDescent="0.45">
      <c r="K749" s="40">
        <f t="shared" si="195"/>
        <v>7.24</v>
      </c>
      <c r="L749" s="41">
        <f t="shared" si="187"/>
        <v>27.240000000000002</v>
      </c>
      <c r="M749">
        <f t="shared" si="196"/>
        <v>0.8472591318931636</v>
      </c>
      <c r="N749">
        <f t="shared" si="197"/>
        <v>0.15274086810683413</v>
      </c>
      <c r="O749">
        <f t="shared" si="188"/>
        <v>0.10459184015530001</v>
      </c>
      <c r="P749">
        <f t="shared" si="189"/>
        <v>0.5</v>
      </c>
      <c r="Q749">
        <f t="shared" si="198"/>
        <v>-1.2245957639670957E-2</v>
      </c>
      <c r="R749" s="6">
        <f t="shared" si="199"/>
        <v>1.2245957639670957E-2</v>
      </c>
      <c r="S749" s="18">
        <f t="shared" si="200"/>
        <v>0.99999999999999778</v>
      </c>
      <c r="T749" s="15"/>
      <c r="U749" s="15"/>
      <c r="V749" s="40">
        <f t="shared" si="201"/>
        <v>2.76</v>
      </c>
      <c r="W749" s="41">
        <f t="shared" si="190"/>
        <v>22.759999999999998</v>
      </c>
      <c r="X749">
        <f t="shared" si="202"/>
        <v>3.2424994781318918E-2</v>
      </c>
      <c r="Y749">
        <f t="shared" si="203"/>
        <v>1.7969943942651838</v>
      </c>
      <c r="Z749" s="33">
        <f t="shared" si="191"/>
        <v>7.1093041259635698E-2</v>
      </c>
      <c r="AA749" s="33">
        <f t="shared" si="192"/>
        <v>0.5</v>
      </c>
      <c r="AB749">
        <f t="shared" si="193"/>
        <v>5.5183831341662493E-4</v>
      </c>
      <c r="AC749" s="1">
        <f t="shared" si="194"/>
        <v>-2.7865580544808366E-2</v>
      </c>
      <c r="AD749" s="35">
        <f>IF(W749&gt;=FinalAgeForPremium, AE749*Delta-Z749*(Y749-AE749),AE749*Delta+PremiumRevisedForLimitedTerm-Z749*(Y749-AE749))</f>
        <v>1.3065206590848283E-2</v>
      </c>
      <c r="AE749" s="35">
        <f>AE748-StepSize*AD748</f>
        <v>2.0365940980397106E-2</v>
      </c>
      <c r="AF749" s="1"/>
    </row>
    <row r="750" spans="11:32" x14ac:dyDescent="0.45">
      <c r="K750" s="40">
        <f t="shared" si="195"/>
        <v>7.25</v>
      </c>
      <c r="L750" s="41">
        <f t="shared" si="187"/>
        <v>27.25</v>
      </c>
      <c r="M750">
        <f t="shared" si="196"/>
        <v>0.84713667231676693</v>
      </c>
      <c r="N750">
        <f t="shared" si="197"/>
        <v>0.15286332768323083</v>
      </c>
      <c r="O750">
        <f t="shared" si="188"/>
        <v>0.10468201384282452</v>
      </c>
      <c r="P750">
        <f t="shared" si="189"/>
        <v>0.5</v>
      </c>
      <c r="Q750">
        <f t="shared" si="198"/>
        <v>-1.2248309016612682E-2</v>
      </c>
      <c r="R750" s="6">
        <f t="shared" si="199"/>
        <v>1.2248309016612682E-2</v>
      </c>
      <c r="S750" s="18">
        <f t="shared" si="200"/>
        <v>0.99999999999999778</v>
      </c>
      <c r="T750" s="15"/>
      <c r="U750" s="15"/>
      <c r="V750" s="40">
        <f t="shared" si="201"/>
        <v>2.75</v>
      </c>
      <c r="W750" s="41">
        <f t="shared" si="190"/>
        <v>22.75</v>
      </c>
      <c r="X750">
        <f t="shared" si="202"/>
        <v>3.2419476398184752E-2</v>
      </c>
      <c r="Y750">
        <f t="shared" si="203"/>
        <v>1.797273050070632</v>
      </c>
      <c r="Z750" s="33">
        <f t="shared" si="191"/>
        <v>7.1031801305871167E-2</v>
      </c>
      <c r="AA750" s="33">
        <f t="shared" si="192"/>
        <v>0.5</v>
      </c>
      <c r="AB750">
        <f t="shared" si="193"/>
        <v>6.3943913819897169E-4</v>
      </c>
      <c r="AC750" s="1">
        <f t="shared" si="194"/>
        <v>-2.770956066024477E-2</v>
      </c>
      <c r="AD750" s="35">
        <f>IF(W750&gt;=FinalAgeForPremium, AE750*Delta-Z750*(Y750-AE750),AE750*Delta+PremiumRevisedForLimitedTerm-Z750*(Y750-AE750))</f>
        <v>1.3138400756497637E-2</v>
      </c>
      <c r="AE750" s="35">
        <f>AE749-StepSize*AD749</f>
        <v>2.0235288914488624E-2</v>
      </c>
      <c r="AF750" s="1"/>
    </row>
    <row r="751" spans="11:32" x14ac:dyDescent="0.45">
      <c r="K751" s="40">
        <f t="shared" si="195"/>
        <v>7.26</v>
      </c>
      <c r="L751" s="41">
        <f t="shared" si="187"/>
        <v>27.259999999999998</v>
      </c>
      <c r="M751">
        <f t="shared" si="196"/>
        <v>0.84701418922660077</v>
      </c>
      <c r="N751">
        <f t="shared" si="197"/>
        <v>0.15298581077339696</v>
      </c>
      <c r="O751">
        <f t="shared" si="188"/>
        <v>0.10477226527344936</v>
      </c>
      <c r="P751">
        <f t="shared" si="189"/>
        <v>0.5</v>
      </c>
      <c r="Q751">
        <f t="shared" si="198"/>
        <v>-1.2250689937326573E-2</v>
      </c>
      <c r="R751" s="6">
        <f t="shared" si="199"/>
        <v>1.2250689937326573E-2</v>
      </c>
      <c r="S751" s="18">
        <f t="shared" si="200"/>
        <v>0.99999999999999778</v>
      </c>
      <c r="T751" s="15"/>
      <c r="U751" s="15"/>
      <c r="V751" s="40">
        <f t="shared" si="201"/>
        <v>2.74</v>
      </c>
      <c r="W751" s="41">
        <f t="shared" si="190"/>
        <v>22.740000000000002</v>
      </c>
      <c r="X751">
        <f t="shared" si="202"/>
        <v>3.2413082006802763E-2</v>
      </c>
      <c r="Y751">
        <f t="shared" si="203"/>
        <v>1.7975501456772345</v>
      </c>
      <c r="Z751" s="33">
        <f t="shared" si="191"/>
        <v>7.0970614104554269E-2</v>
      </c>
      <c r="AA751" s="33">
        <f t="shared" si="192"/>
        <v>0.5</v>
      </c>
      <c r="AB751">
        <f t="shared" si="193"/>
        <v>7.2698641028753896E-4</v>
      </c>
      <c r="AC751" s="1">
        <f t="shared" si="194"/>
        <v>-2.7553960880922324E-2</v>
      </c>
      <c r="AD751" s="35">
        <f>IF(W751&gt;=FinalAgeForPremium, AE751*Delta-Z751*(Y751-AE751),AE751*Delta+PremiumRevisedForLimitedTerm-Z751*(Y751-AE751))</f>
        <v>1.3211573474292332E-2</v>
      </c>
      <c r="AE751" s="35">
        <f>AE750-StepSize*AD750</f>
        <v>2.010390490692365E-2</v>
      </c>
      <c r="AF751" s="1"/>
    </row>
    <row r="752" spans="11:32" x14ac:dyDescent="0.45">
      <c r="K752" s="40">
        <f t="shared" si="195"/>
        <v>7.27</v>
      </c>
      <c r="L752" s="41">
        <f t="shared" si="187"/>
        <v>27.27</v>
      </c>
      <c r="M752">
        <f t="shared" si="196"/>
        <v>0.84689168232722745</v>
      </c>
      <c r="N752">
        <f t="shared" si="197"/>
        <v>0.15310831767277022</v>
      </c>
      <c r="O752">
        <f t="shared" si="188"/>
        <v>0.10486259451420062</v>
      </c>
      <c r="P752">
        <f t="shared" si="189"/>
        <v>0.5</v>
      </c>
      <c r="Q752">
        <f t="shared" si="198"/>
        <v>-1.2253100244944137E-2</v>
      </c>
      <c r="R752" s="6">
        <f t="shared" si="199"/>
        <v>1.2253100244944137E-2</v>
      </c>
      <c r="S752" s="18">
        <f t="shared" si="200"/>
        <v>0.99999999999999767</v>
      </c>
      <c r="T752" s="15"/>
      <c r="U752" s="15"/>
      <c r="V752" s="40">
        <f t="shared" si="201"/>
        <v>2.73</v>
      </c>
      <c r="W752" s="41">
        <f t="shared" si="190"/>
        <v>22.73</v>
      </c>
      <c r="X752">
        <f t="shared" si="202"/>
        <v>3.2405812142699886E-2</v>
      </c>
      <c r="Y752">
        <f t="shared" si="203"/>
        <v>1.7978256852860437</v>
      </c>
      <c r="Z752" s="33">
        <f t="shared" si="191"/>
        <v>7.0909479610243742E-2</v>
      </c>
      <c r="AA752" s="33">
        <f t="shared" si="192"/>
        <v>0.5</v>
      </c>
      <c r="AB752">
        <f t="shared" si="193"/>
        <v>8.1447980630561245E-4</v>
      </c>
      <c r="AC752" s="1">
        <f t="shared" si="194"/>
        <v>-2.7398779164025888E-2</v>
      </c>
      <c r="AD752" s="35">
        <f>IF(W752&gt;=FinalAgeForPremium, AE752*Delta-Z752*(Y752-AE752),AE752*Delta+PremiumRevisedForLimitedTerm-Z752*(Y752-AE752))</f>
        <v>1.3284724336377202E-2</v>
      </c>
      <c r="AE752" s="35">
        <f>AE751-StepSize*AD751</f>
        <v>1.9971789172180725E-2</v>
      </c>
      <c r="AF752" s="1"/>
    </row>
    <row r="753" spans="11:32" x14ac:dyDescent="0.45">
      <c r="K753" s="40">
        <f t="shared" si="195"/>
        <v>7.28</v>
      </c>
      <c r="L753" s="41">
        <f t="shared" si="187"/>
        <v>27.28</v>
      </c>
      <c r="M753">
        <f t="shared" si="196"/>
        <v>0.84676915132477804</v>
      </c>
      <c r="N753">
        <f t="shared" si="197"/>
        <v>0.15323084867521966</v>
      </c>
      <c r="O753">
        <f t="shared" si="188"/>
        <v>0.10495300163216217</v>
      </c>
      <c r="P753">
        <f t="shared" si="189"/>
        <v>0.5</v>
      </c>
      <c r="Q753">
        <f t="shared" si="198"/>
        <v>-1.225553978344418E-2</v>
      </c>
      <c r="R753" s="6">
        <f t="shared" si="199"/>
        <v>1.225553978344418E-2</v>
      </c>
      <c r="S753" s="18">
        <f t="shared" si="200"/>
        <v>0.99999999999999767</v>
      </c>
      <c r="T753" s="15"/>
      <c r="U753" s="15"/>
      <c r="V753" s="40">
        <f t="shared" si="201"/>
        <v>2.72</v>
      </c>
      <c r="W753" s="41">
        <f t="shared" si="190"/>
        <v>22.72</v>
      </c>
      <c r="X753">
        <f t="shared" si="202"/>
        <v>3.2397667344636831E-2</v>
      </c>
      <c r="Y753">
        <f t="shared" si="203"/>
        <v>1.7980996730776839</v>
      </c>
      <c r="Z753" s="33">
        <f t="shared" si="191"/>
        <v>7.0848397777537472E-2</v>
      </c>
      <c r="AA753" s="33">
        <f t="shared" si="192"/>
        <v>0.5</v>
      </c>
      <c r="AB753">
        <f t="shared" si="193"/>
        <v>9.0191900580882667E-4</v>
      </c>
      <c r="AC753" s="1">
        <f t="shared" si="194"/>
        <v>-2.7244013479592266E-2</v>
      </c>
      <c r="AD753" s="35">
        <f>IF(W753&gt;=FinalAgeForPremium, AE753*Delta-Z753*(Y753-AE753),AE753*Delta+PremiumRevisedForLimitedTerm-Z753*(Y753-AE753))</f>
        <v>1.3357852938077841E-2</v>
      </c>
      <c r="AE753" s="35">
        <f>AE752-StepSize*AD752</f>
        <v>1.9838941928816953E-2</v>
      </c>
      <c r="AF753" s="1"/>
    </row>
    <row r="754" spans="11:32" x14ac:dyDescent="0.45">
      <c r="K754" s="40">
        <f t="shared" si="195"/>
        <v>7.29</v>
      </c>
      <c r="L754" s="41">
        <f t="shared" si="187"/>
        <v>27.29</v>
      </c>
      <c r="M754">
        <f t="shared" si="196"/>
        <v>0.84664659592694358</v>
      </c>
      <c r="N754">
        <f t="shared" si="197"/>
        <v>0.15335340407305409</v>
      </c>
      <c r="O754">
        <f t="shared" si="188"/>
        <v>0.10504348669447572</v>
      </c>
      <c r="P754">
        <f t="shared" si="189"/>
        <v>0.5</v>
      </c>
      <c r="Q754">
        <f t="shared" si="198"/>
        <v>-1.2258008397648013E-2</v>
      </c>
      <c r="R754" s="6">
        <f t="shared" si="199"/>
        <v>1.2258008397648013E-2</v>
      </c>
      <c r="S754" s="18">
        <f t="shared" si="200"/>
        <v>0.99999999999999767</v>
      </c>
      <c r="T754" s="15"/>
      <c r="U754" s="15"/>
      <c r="V754" s="40">
        <f t="shared" si="201"/>
        <v>2.71</v>
      </c>
      <c r="W754" s="41">
        <f t="shared" si="190"/>
        <v>22.71</v>
      </c>
      <c r="X754">
        <f t="shared" si="202"/>
        <v>3.2388648154578745E-2</v>
      </c>
      <c r="Y754">
        <f t="shared" si="203"/>
        <v>1.7983721132124799</v>
      </c>
      <c r="Z754" s="33">
        <f t="shared" si="191"/>
        <v>7.0787368561072497E-2</v>
      </c>
      <c r="AA754" s="33">
        <f t="shared" si="192"/>
        <v>0.5</v>
      </c>
      <c r="AB754">
        <f t="shared" si="193"/>
        <v>9.8930369126304374E-4</v>
      </c>
      <c r="AC754" s="1">
        <f t="shared" si="194"/>
        <v>-2.7089661810425381E-2</v>
      </c>
      <c r="AD754" s="35">
        <f>IF(W754&gt;=FinalAgeForPremium, AE754*Delta-Z754*(Y754-AE754),AE754*Delta+PremiumRevisedForLimitedTerm-Z754*(Y754-AE754))</f>
        <v>1.3430958877877486E-2</v>
      </c>
      <c r="AE754" s="35">
        <f>AE753-StepSize*AD753</f>
        <v>1.9705363399436175E-2</v>
      </c>
      <c r="AF754" s="1"/>
    </row>
    <row r="755" spans="11:32" x14ac:dyDescent="0.45">
      <c r="K755" s="40">
        <f t="shared" si="195"/>
        <v>7.3</v>
      </c>
      <c r="L755" s="41">
        <f t="shared" si="187"/>
        <v>27.3</v>
      </c>
      <c r="M755">
        <f t="shared" si="196"/>
        <v>0.8465240158429671</v>
      </c>
      <c r="N755">
        <f t="shared" si="197"/>
        <v>0.15347598415703056</v>
      </c>
      <c r="O755">
        <f t="shared" si="188"/>
        <v>0.10513404976834084</v>
      </c>
      <c r="P755">
        <f t="shared" si="189"/>
        <v>0.5</v>
      </c>
      <c r="Q755">
        <f t="shared" si="198"/>
        <v>-1.2260505933214969E-2</v>
      </c>
      <c r="R755" s="6">
        <f t="shared" si="199"/>
        <v>1.2260505933214969E-2</v>
      </c>
      <c r="S755" s="18">
        <f t="shared" si="200"/>
        <v>0.99999999999999767</v>
      </c>
      <c r="T755" s="15"/>
      <c r="U755" s="15"/>
      <c r="V755" s="40">
        <f t="shared" si="201"/>
        <v>2.7</v>
      </c>
      <c r="W755" s="41">
        <f t="shared" si="190"/>
        <v>22.7</v>
      </c>
      <c r="X755">
        <f t="shared" si="202"/>
        <v>3.2378755117666115E-2</v>
      </c>
      <c r="Y755">
        <f t="shared" si="203"/>
        <v>1.7986430098305841</v>
      </c>
      <c r="Z755" s="33">
        <f t="shared" si="191"/>
        <v>7.0726391915524822E-2</v>
      </c>
      <c r="AA755" s="33">
        <f t="shared" si="192"/>
        <v>0.5</v>
      </c>
      <c r="AB755">
        <f t="shared" si="193"/>
        <v>1.0766335480227734E-3</v>
      </c>
      <c r="AC755" s="1">
        <f t="shared" si="194"/>
        <v>-2.6935722152011787E-2</v>
      </c>
      <c r="AD755" s="35">
        <f>IF(W755&gt;=FinalAgeForPremium, AE755*Delta-Z755*(Y755-AE755),AE755*Delta+PremiumRevisedForLimitedTerm-Z755*(Y755-AE755))</f>
        <v>1.3504041757394752E-2</v>
      </c>
      <c r="AE755" s="35">
        <f>AE754-StepSize*AD754</f>
        <v>1.95710538106574E-2</v>
      </c>
      <c r="AF755" s="1"/>
    </row>
    <row r="756" spans="11:32" x14ac:dyDescent="0.45">
      <c r="K756" s="40">
        <f t="shared" si="195"/>
        <v>7.31</v>
      </c>
      <c r="L756" s="41">
        <f t="shared" si="187"/>
        <v>27.31</v>
      </c>
      <c r="M756">
        <f t="shared" si="196"/>
        <v>0.84640141078363496</v>
      </c>
      <c r="N756">
        <f t="shared" si="197"/>
        <v>0.15359858921636271</v>
      </c>
      <c r="O756">
        <f t="shared" si="188"/>
        <v>0.10522469092101508</v>
      </c>
      <c r="P756">
        <f t="shared" si="189"/>
        <v>0.5</v>
      </c>
      <c r="Q756">
        <f t="shared" si="198"/>
        <v>-1.2263032236637758E-2</v>
      </c>
      <c r="R756" s="6">
        <f t="shared" si="199"/>
        <v>1.2263032236637758E-2</v>
      </c>
      <c r="S756" s="18">
        <f t="shared" si="200"/>
        <v>0.99999999999999767</v>
      </c>
      <c r="T756" s="15"/>
      <c r="U756" s="15"/>
      <c r="V756" s="40">
        <f t="shared" si="201"/>
        <v>2.69</v>
      </c>
      <c r="W756" s="41">
        <f t="shared" si="190"/>
        <v>22.69</v>
      </c>
      <c r="X756">
        <f t="shared" si="202"/>
        <v>3.2367988782185886E-2</v>
      </c>
      <c r="Y756">
        <f t="shared" si="203"/>
        <v>1.7989123670521043</v>
      </c>
      <c r="Z756" s="33">
        <f t="shared" si="191"/>
        <v>7.0665467795609616E-2</v>
      </c>
      <c r="AA756" s="33">
        <f t="shared" si="192"/>
        <v>0.5</v>
      </c>
      <c r="AB756">
        <f t="shared" si="193"/>
        <v>1.1639082643088161E-3</v>
      </c>
      <c r="AC756" s="1">
        <f t="shared" si="194"/>
        <v>-2.6782192512435521E-2</v>
      </c>
      <c r="AD756" s="35">
        <f>IF(W756&gt;=FinalAgeForPremium, AE756*Delta-Z756*(Y756-AE756),AE756*Delta+PremiumRevisedForLimitedTerm-Z756*(Y756-AE756))</f>
        <v>1.3577101181360351E-2</v>
      </c>
      <c r="AE756" s="35">
        <f>AE755-StepSize*AD755</f>
        <v>1.9436013393083453E-2</v>
      </c>
      <c r="AF756" s="1"/>
    </row>
    <row r="757" spans="11:32" x14ac:dyDescent="0.45">
      <c r="K757" s="40">
        <f t="shared" si="195"/>
        <v>7.32</v>
      </c>
      <c r="L757" s="41">
        <f t="shared" si="187"/>
        <v>27.32</v>
      </c>
      <c r="M757">
        <f t="shared" si="196"/>
        <v>0.84627878046126859</v>
      </c>
      <c r="N757">
        <f t="shared" si="197"/>
        <v>0.15372121953872908</v>
      </c>
      <c r="O757">
        <f t="shared" si="188"/>
        <v>0.10531541021981403</v>
      </c>
      <c r="P757">
        <f t="shared" si="189"/>
        <v>0.5</v>
      </c>
      <c r="Q757">
        <f t="shared" si="198"/>
        <v>-1.22655871552379E-2</v>
      </c>
      <c r="R757" s="6">
        <f t="shared" si="199"/>
        <v>1.22655871552379E-2</v>
      </c>
      <c r="S757" s="18">
        <f t="shared" si="200"/>
        <v>0.99999999999999767</v>
      </c>
      <c r="T757" s="15"/>
      <c r="U757" s="15"/>
      <c r="V757" s="40">
        <f t="shared" si="201"/>
        <v>2.68</v>
      </c>
      <c r="W757" s="41">
        <f t="shared" si="190"/>
        <v>22.68</v>
      </c>
      <c r="X757">
        <f t="shared" si="202"/>
        <v>3.2356349699542798E-2</v>
      </c>
      <c r="Y757">
        <f t="shared" si="203"/>
        <v>1.7991801889772288</v>
      </c>
      <c r="Z757" s="33">
        <f t="shared" si="191"/>
        <v>7.0604596156080918E-2</v>
      </c>
      <c r="AA757" s="33">
        <f t="shared" si="192"/>
        <v>0.5</v>
      </c>
      <c r="AB757">
        <f t="shared" si="193"/>
        <v>1.2511275311873765E-3</v>
      </c>
      <c r="AC757" s="1">
        <f t="shared" si="194"/>
        <v>-2.6629070912295494E-2</v>
      </c>
      <c r="AD757" s="35">
        <f>IF(W757&gt;=FinalAgeForPremium, AE757*Delta-Z757*(Y757-AE757),AE757*Delta+PremiumRevisedForLimitedTerm-Z757*(Y757-AE757))</f>
        <v>1.3650136757595493E-2</v>
      </c>
      <c r="AE757" s="35">
        <f>AE756-StepSize*AD756</f>
        <v>1.9300242381269851E-2</v>
      </c>
      <c r="AF757" s="1"/>
    </row>
    <row r="758" spans="11:32" x14ac:dyDescent="0.45">
      <c r="K758" s="40">
        <f t="shared" si="195"/>
        <v>7.33</v>
      </c>
      <c r="L758" s="41">
        <f t="shared" si="187"/>
        <v>27.33</v>
      </c>
      <c r="M758">
        <f t="shared" si="196"/>
        <v>0.84615612458971623</v>
      </c>
      <c r="N758">
        <f t="shared" si="197"/>
        <v>0.15384387541028147</v>
      </c>
      <c r="O758">
        <f t="shared" si="188"/>
        <v>0.10540620773211114</v>
      </c>
      <c r="P758">
        <f t="shared" si="189"/>
        <v>0.5</v>
      </c>
      <c r="Q758">
        <f t="shared" si="198"/>
        <v>-1.2268170537161005E-2</v>
      </c>
      <c r="R758" s="6">
        <f t="shared" si="199"/>
        <v>1.2268170537161005E-2</v>
      </c>
      <c r="S758" s="18">
        <f t="shared" si="200"/>
        <v>0.99999999999999767</v>
      </c>
      <c r="T758" s="15"/>
      <c r="U758" s="15"/>
      <c r="V758" s="40">
        <f t="shared" si="201"/>
        <v>2.67</v>
      </c>
      <c r="W758" s="41">
        <f t="shared" si="190"/>
        <v>22.67</v>
      </c>
      <c r="X758">
        <f t="shared" si="202"/>
        <v>3.2343838424230928E-2</v>
      </c>
      <c r="Y758">
        <f t="shared" si="203"/>
        <v>1.7994464796863516</v>
      </c>
      <c r="Z758" s="33">
        <f t="shared" si="191"/>
        <v>7.0543776951731918E-2</v>
      </c>
      <c r="AA758" s="33">
        <f t="shared" si="192"/>
        <v>0.5</v>
      </c>
      <c r="AB758">
        <f t="shared" si="193"/>
        <v>1.3382910425478317E-3</v>
      </c>
      <c r="AC758" s="1">
        <f t="shared" si="194"/>
        <v>-2.6476355384622119E-2</v>
      </c>
      <c r="AD758" s="35">
        <f>IF(W758&gt;=FinalAgeForPremium, AE758*Delta-Z758*(Y758-AE758),AE758*Delta+PremiumRevisedForLimitedTerm-Z758*(Y758-AE758))</f>
        <v>1.3723148096988852E-2</v>
      </c>
      <c r="AE758" s="35">
        <f>AE757-StepSize*AD757</f>
        <v>1.9163741013693895E-2</v>
      </c>
      <c r="AF758" s="1"/>
    </row>
    <row r="759" spans="11:32" x14ac:dyDescent="0.45">
      <c r="K759" s="40">
        <f t="shared" si="195"/>
        <v>7.34</v>
      </c>
      <c r="L759" s="41">
        <f t="shared" si="187"/>
        <v>27.34</v>
      </c>
      <c r="M759">
        <f t="shared" si="196"/>
        <v>0.84603344288434457</v>
      </c>
      <c r="N759">
        <f t="shared" si="197"/>
        <v>0.15396655711565307</v>
      </c>
      <c r="O759">
        <f t="shared" si="188"/>
        <v>0.10549708352533807</v>
      </c>
      <c r="P759">
        <f t="shared" si="189"/>
        <v>0.5</v>
      </c>
      <c r="Q759">
        <f t="shared" si="198"/>
        <v>-1.2270782231372498E-2</v>
      </c>
      <c r="R759" s="6">
        <f t="shared" si="199"/>
        <v>1.2270782231372498E-2</v>
      </c>
      <c r="S759" s="18">
        <f t="shared" si="200"/>
        <v>0.99999999999999767</v>
      </c>
      <c r="T759" s="15"/>
      <c r="U759" s="15"/>
      <c r="V759" s="40">
        <f t="shared" si="201"/>
        <v>2.66</v>
      </c>
      <c r="W759" s="41">
        <f t="shared" si="190"/>
        <v>22.66</v>
      </c>
      <c r="X759">
        <f t="shared" si="202"/>
        <v>3.2330455513805451E-2</v>
      </c>
      <c r="Y759">
        <f t="shared" si="203"/>
        <v>1.7997112432401978</v>
      </c>
      <c r="Z759" s="33">
        <f t="shared" si="191"/>
        <v>7.0483010137394567E-2</v>
      </c>
      <c r="AA759" s="33">
        <f t="shared" si="192"/>
        <v>0.5</v>
      </c>
      <c r="AB759">
        <f t="shared" si="193"/>
        <v>1.4253984950822474E-3</v>
      </c>
      <c r="AC759" s="1">
        <f t="shared" si="194"/>
        <v>-2.6324043974793931E-2</v>
      </c>
      <c r="AD759" s="35">
        <f>IF(W759&gt;=FinalAgeForPremium, AE759*Delta-Z759*(Y759-AE759),AE759*Delta+PremiumRevisedForLimitedTerm-Z759*(Y759-AE759))</f>
        <v>1.3796134813475136E-2</v>
      </c>
      <c r="AE759" s="35">
        <f>AE758-StepSize*AD758</f>
        <v>1.9026509532724008E-2</v>
      </c>
      <c r="AF759" s="1"/>
    </row>
    <row r="760" spans="11:32" x14ac:dyDescent="0.45">
      <c r="K760" s="40">
        <f t="shared" si="195"/>
        <v>7.35</v>
      </c>
      <c r="L760" s="41">
        <f t="shared" si="187"/>
        <v>27.35</v>
      </c>
      <c r="M760">
        <f t="shared" si="196"/>
        <v>0.84591073506203085</v>
      </c>
      <c r="N760">
        <f t="shared" si="197"/>
        <v>0.15408926493796679</v>
      </c>
      <c r="O760">
        <f t="shared" si="188"/>
        <v>0.10558803766698471</v>
      </c>
      <c r="P760">
        <f t="shared" si="189"/>
        <v>0.5</v>
      </c>
      <c r="Q760">
        <f t="shared" si="198"/>
        <v>-1.2273422087653044E-2</v>
      </c>
      <c r="R760" s="6">
        <f t="shared" si="199"/>
        <v>1.2273422087653044E-2</v>
      </c>
      <c r="S760" s="18">
        <f t="shared" si="200"/>
        <v>0.99999999999999767</v>
      </c>
      <c r="T760" s="15"/>
      <c r="U760" s="15"/>
      <c r="V760" s="40">
        <f t="shared" si="201"/>
        <v>2.65</v>
      </c>
      <c r="W760" s="41">
        <f t="shared" si="190"/>
        <v>22.65</v>
      </c>
      <c r="X760">
        <f t="shared" si="202"/>
        <v>3.2316201528854629E-2</v>
      </c>
      <c r="Y760">
        <f t="shared" si="203"/>
        <v>1.7999744836799458</v>
      </c>
      <c r="Z760" s="33">
        <f t="shared" si="191"/>
        <v>7.0422295667939866E-2</v>
      </c>
      <c r="AA760" s="33">
        <f t="shared" si="192"/>
        <v>0.5</v>
      </c>
      <c r="AB760">
        <f t="shared" si="193"/>
        <v>1.5124495882635758E-3</v>
      </c>
      <c r="AC760" s="1">
        <f t="shared" si="194"/>
        <v>-2.6172134740457209E-2</v>
      </c>
      <c r="AD760" s="35">
        <f>IF(W760&gt;=FinalAgeForPremium, AE760*Delta-Z760*(Y760-AE760),AE760*Delta+PremiumRevisedForLimitedTerm-Z760*(Y760-AE760))</f>
        <v>1.386909652401272E-2</v>
      </c>
      <c r="AE760" s="35">
        <f>AE759-StepSize*AD759</f>
        <v>1.8888548184589255E-2</v>
      </c>
      <c r="AF760" s="1"/>
    </row>
    <row r="761" spans="11:32" x14ac:dyDescent="0.45">
      <c r="K761" s="40">
        <f t="shared" si="195"/>
        <v>7.36</v>
      </c>
      <c r="L761" s="41">
        <f t="shared" si="187"/>
        <v>27.36</v>
      </c>
      <c r="M761">
        <f t="shared" si="196"/>
        <v>0.84578800084115435</v>
      </c>
      <c r="N761">
        <f t="shared" si="197"/>
        <v>0.15421199915884332</v>
      </c>
      <c r="O761">
        <f t="shared" si="188"/>
        <v>0.10567907022459888</v>
      </c>
      <c r="P761">
        <f t="shared" si="189"/>
        <v>0.5</v>
      </c>
      <c r="Q761">
        <f t="shared" si="198"/>
        <v>-1.2276089956593794E-2</v>
      </c>
      <c r="R761" s="6">
        <f t="shared" si="199"/>
        <v>1.2276089956593794E-2</v>
      </c>
      <c r="S761" s="18">
        <f t="shared" si="200"/>
        <v>0.99999999999999767</v>
      </c>
      <c r="T761" s="15"/>
      <c r="U761" s="15"/>
      <c r="V761" s="40">
        <f t="shared" si="201"/>
        <v>2.64</v>
      </c>
      <c r="W761" s="41">
        <f t="shared" si="190"/>
        <v>22.64</v>
      </c>
      <c r="X761">
        <f t="shared" si="202"/>
        <v>3.2301077032971991E-2</v>
      </c>
      <c r="Y761">
        <f t="shared" si="203"/>
        <v>1.8002362050273504</v>
      </c>
      <c r="Z761" s="33">
        <f t="shared" si="191"/>
        <v>7.0361633498277606E-2</v>
      </c>
      <c r="AA761" s="33">
        <f t="shared" si="192"/>
        <v>0.5</v>
      </c>
      <c r="AB761">
        <f t="shared" si="193"/>
        <v>1.5994440243252972E-3</v>
      </c>
      <c r="AC761" s="1">
        <f t="shared" si="194"/>
        <v>-2.602062575144326E-2</v>
      </c>
      <c r="AD761" s="35">
        <f>IF(W761&gt;=FinalAgeForPremium, AE761*Delta-Z761*(Y761-AE761),AE761*Delta+PremiumRevisedForLimitedTerm-Z761*(Y761-AE761))</f>
        <v>1.3942032848562297E-2</v>
      </c>
      <c r="AE761" s="35">
        <f>AE760-StepSize*AD760</f>
        <v>1.8749857219349127E-2</v>
      </c>
      <c r="AF761" s="1"/>
    </row>
    <row r="762" spans="11:32" x14ac:dyDescent="0.45">
      <c r="K762" s="40">
        <f t="shared" si="195"/>
        <v>7.37</v>
      </c>
      <c r="L762" s="41">
        <f t="shared" si="187"/>
        <v>27.37</v>
      </c>
      <c r="M762">
        <f t="shared" si="196"/>
        <v>0.84566523994158838</v>
      </c>
      <c r="N762">
        <f t="shared" si="197"/>
        <v>0.15433476005840926</v>
      </c>
      <c r="O762">
        <f t="shared" si="188"/>
        <v>0.10577018126578684</v>
      </c>
      <c r="P762">
        <f t="shared" si="189"/>
        <v>0.5</v>
      </c>
      <c r="Q762">
        <f t="shared" si="198"/>
        <v>-1.2278785689592286E-2</v>
      </c>
      <c r="R762" s="6">
        <f t="shared" si="199"/>
        <v>1.2278785689592286E-2</v>
      </c>
      <c r="S762" s="18">
        <f t="shared" si="200"/>
        <v>0.99999999999999767</v>
      </c>
      <c r="T762" s="15"/>
      <c r="U762" s="15"/>
      <c r="V762" s="40">
        <f t="shared" si="201"/>
        <v>2.63</v>
      </c>
      <c r="W762" s="41">
        <f t="shared" si="190"/>
        <v>22.63</v>
      </c>
      <c r="X762">
        <f t="shared" si="202"/>
        <v>3.2285082592728741E-2</v>
      </c>
      <c r="Y762">
        <f t="shared" si="203"/>
        <v>1.8004964112848647</v>
      </c>
      <c r="Z762" s="33">
        <f t="shared" si="191"/>
        <v>7.0301023583356437E-2</v>
      </c>
      <c r="AA762" s="33">
        <f t="shared" si="192"/>
        <v>0.5</v>
      </c>
      <c r="AB762">
        <f t="shared" si="193"/>
        <v>1.6863815082402284E-3</v>
      </c>
      <c r="AC762" s="1">
        <f t="shared" si="194"/>
        <v>-2.5869515089688822E-2</v>
      </c>
      <c r="AD762" s="35">
        <f>IF(W762&gt;=FinalAgeForPremium, AE762*Delta-Z762*(Y762-AE762),AE762*Delta+PremiumRevisedForLimitedTerm-Z762*(Y762-AE762))</f>
        <v>1.4014943410064984E-2</v>
      </c>
      <c r="AE762" s="35">
        <f>AE761-StepSize*AD761</f>
        <v>1.8610436890863506E-2</v>
      </c>
      <c r="AF762" s="1"/>
    </row>
    <row r="763" spans="11:32" x14ac:dyDescent="0.45">
      <c r="K763" s="40">
        <f t="shared" si="195"/>
        <v>7.38</v>
      </c>
      <c r="L763" s="41">
        <f t="shared" si="187"/>
        <v>27.38</v>
      </c>
      <c r="M763">
        <f t="shared" si="196"/>
        <v>0.84554245208469248</v>
      </c>
      <c r="N763">
        <f t="shared" si="197"/>
        <v>0.15445754791530519</v>
      </c>
      <c r="O763">
        <f t="shared" si="188"/>
        <v>0.10586137085821308</v>
      </c>
      <c r="P763">
        <f t="shared" si="189"/>
        <v>0.5</v>
      </c>
      <c r="Q763">
        <f t="shared" si="198"/>
        <v>-1.2281509138847901E-2</v>
      </c>
      <c r="R763" s="6">
        <f t="shared" si="199"/>
        <v>1.2281509138847901E-2</v>
      </c>
      <c r="S763" s="18">
        <f t="shared" si="200"/>
        <v>0.99999999999999767</v>
      </c>
      <c r="T763" s="15"/>
      <c r="U763" s="15"/>
      <c r="V763" s="40">
        <f t="shared" si="201"/>
        <v>2.62</v>
      </c>
      <c r="W763" s="41">
        <f t="shared" si="190"/>
        <v>22.62</v>
      </c>
      <c r="X763">
        <f t="shared" si="202"/>
        <v>3.2268218777646338E-2</v>
      </c>
      <c r="Y763">
        <f t="shared" si="203"/>
        <v>1.8007551064357616</v>
      </c>
      <c r="Z763" s="33">
        <f t="shared" si="191"/>
        <v>7.0240465878163863E-2</v>
      </c>
      <c r="AA763" s="33">
        <f t="shared" si="192"/>
        <v>0.5</v>
      </c>
      <c r="AB763">
        <f t="shared" si="193"/>
        <v>1.7732617476999418E-3</v>
      </c>
      <c r="AC763" s="1">
        <f t="shared" si="194"/>
        <v>-2.5718800849154233E-2</v>
      </c>
      <c r="AD763" s="35">
        <f>IF(W763&gt;=FinalAgeForPremium, AE763*Delta-Z763*(Y763-AE763),AE763*Delta+PremiumRevisedForLimitedTerm-Z763*(Y763-AE763))</f>
        <v>1.4087827834420863E-2</v>
      </c>
      <c r="AE763" s="35">
        <f>AE762-StepSize*AD762</f>
        <v>1.8470287456762855E-2</v>
      </c>
      <c r="AF763" s="1"/>
    </row>
    <row r="764" spans="11:32" x14ac:dyDescent="0.45">
      <c r="K764" s="40">
        <f t="shared" si="195"/>
        <v>7.39</v>
      </c>
      <c r="L764" s="41">
        <f t="shared" si="187"/>
        <v>27.39</v>
      </c>
      <c r="M764">
        <f t="shared" si="196"/>
        <v>0.84541963699330402</v>
      </c>
      <c r="N764">
        <f t="shared" si="197"/>
        <v>0.15458036300669367</v>
      </c>
      <c r="O764">
        <f t="shared" si="188"/>
        <v>0.10595263906960048</v>
      </c>
      <c r="P764">
        <f t="shared" si="189"/>
        <v>0.5</v>
      </c>
      <c r="Q764">
        <f t="shared" si="198"/>
        <v>-1.2284260157357368E-2</v>
      </c>
      <c r="R764" s="6">
        <f t="shared" si="199"/>
        <v>1.2284260157357368E-2</v>
      </c>
      <c r="S764" s="18">
        <f t="shared" si="200"/>
        <v>0.99999999999999767</v>
      </c>
      <c r="T764" s="15"/>
      <c r="U764" s="15"/>
      <c r="V764" s="40">
        <f t="shared" si="201"/>
        <v>2.61</v>
      </c>
      <c r="W764" s="41">
        <f t="shared" si="190"/>
        <v>22.61</v>
      </c>
      <c r="X764">
        <f t="shared" si="202"/>
        <v>3.2250486160169338E-2</v>
      </c>
      <c r="Y764">
        <f t="shared" si="203"/>
        <v>1.8010122944442533</v>
      </c>
      <c r="Z764" s="33">
        <f t="shared" si="191"/>
        <v>7.0179960337726083E-2</v>
      </c>
      <c r="AA764" s="33">
        <f t="shared" si="192"/>
        <v>0.5</v>
      </c>
      <c r="AB764">
        <f t="shared" si="193"/>
        <v>1.8600844530944627E-3</v>
      </c>
      <c r="AC764" s="1">
        <f t="shared" si="194"/>
        <v>-2.5568481135745391E-2</v>
      </c>
      <c r="AD764" s="35">
        <f>IF(W764&gt;=FinalAgeForPremium, AE764*Delta-Z764*(Y764-AE764),AE764*Delta+PremiumRevisedForLimitedTerm-Z764*(Y764-AE764))</f>
        <v>1.4160685750468111E-2</v>
      </c>
      <c r="AE764" s="35">
        <f>AE763-StepSize*AD763</f>
        <v>1.8329409178418646E-2</v>
      </c>
      <c r="AF764" s="1"/>
    </row>
    <row r="765" spans="11:32" x14ac:dyDescent="0.45">
      <c r="K765" s="40">
        <f t="shared" si="195"/>
        <v>7.4</v>
      </c>
      <c r="L765" s="41">
        <f t="shared" si="187"/>
        <v>27.4</v>
      </c>
      <c r="M765">
        <f t="shared" si="196"/>
        <v>0.84529679439173044</v>
      </c>
      <c r="N765">
        <f t="shared" si="197"/>
        <v>0.15470320560826725</v>
      </c>
      <c r="O765">
        <f t="shared" si="188"/>
        <v>0.1060439859677301</v>
      </c>
      <c r="P765">
        <f t="shared" si="189"/>
        <v>0.5</v>
      </c>
      <c r="Q765">
        <f t="shared" si="198"/>
        <v>-1.2287038598910269E-2</v>
      </c>
      <c r="R765" s="6">
        <f t="shared" si="199"/>
        <v>1.2287038598910269E-2</v>
      </c>
      <c r="S765" s="18">
        <f t="shared" si="200"/>
        <v>0.99999999999999767</v>
      </c>
      <c r="T765" s="15"/>
      <c r="U765" s="15"/>
      <c r="V765" s="40">
        <f t="shared" si="201"/>
        <v>2.6</v>
      </c>
      <c r="W765" s="41">
        <f t="shared" si="190"/>
        <v>22.6</v>
      </c>
      <c r="X765">
        <f t="shared" si="202"/>
        <v>3.2231885315638392E-2</v>
      </c>
      <c r="Y765">
        <f t="shared" si="203"/>
        <v>1.8012679792556108</v>
      </c>
      <c r="Z765" s="33">
        <f t="shared" si="191"/>
        <v>7.0119506917108096E-2</v>
      </c>
      <c r="AA765" s="33">
        <f t="shared" si="192"/>
        <v>0.5</v>
      </c>
      <c r="AB765">
        <f t="shared" si="193"/>
        <v>1.9468493374918266E-3</v>
      </c>
      <c r="AC765" s="1">
        <f t="shared" si="194"/>
        <v>-2.5418554067233257E-2</v>
      </c>
      <c r="AD765" s="35">
        <f>IF(W765&gt;=FinalAgeForPremium, AE765*Delta-Z765*(Y765-AE765),AE765*Delta+PremiumRevisedForLimitedTerm-Z765*(Y765-AE765))</f>
        <v>1.4233516789961459E-2</v>
      </c>
      <c r="AE765" s="35">
        <f>AE764-StepSize*AD764</f>
        <v>1.8187802320913965E-2</v>
      </c>
      <c r="AF765" s="1"/>
    </row>
    <row r="766" spans="11:32" x14ac:dyDescent="0.45">
      <c r="K766" s="40">
        <f t="shared" si="195"/>
        <v>7.41</v>
      </c>
      <c r="L766" s="41">
        <f t="shared" si="187"/>
        <v>27.41</v>
      </c>
      <c r="M766">
        <f t="shared" si="196"/>
        <v>0.84517392400574132</v>
      </c>
      <c r="N766">
        <f t="shared" si="197"/>
        <v>0.15482607599425635</v>
      </c>
      <c r="O766">
        <f t="shared" si="188"/>
        <v>0.10613541162044177</v>
      </c>
      <c r="P766">
        <f t="shared" si="189"/>
        <v>0.5</v>
      </c>
      <c r="Q766">
        <f t="shared" si="198"/>
        <v>-1.228984431808515E-2</v>
      </c>
      <c r="R766" s="6">
        <f t="shared" si="199"/>
        <v>1.228984431808515E-2</v>
      </c>
      <c r="S766" s="18">
        <f t="shared" si="200"/>
        <v>0.99999999999999767</v>
      </c>
      <c r="T766" s="15"/>
      <c r="U766" s="15"/>
      <c r="V766" s="40">
        <f t="shared" si="201"/>
        <v>2.59</v>
      </c>
      <c r="W766" s="41">
        <f t="shared" si="190"/>
        <v>22.59</v>
      </c>
      <c r="X766">
        <f t="shared" si="202"/>
        <v>3.2212416822263473E-2</v>
      </c>
      <c r="Y766">
        <f t="shared" si="203"/>
        <v>1.8015221647962831</v>
      </c>
      <c r="Z766" s="33">
        <f t="shared" si="191"/>
        <v>7.0059105571413594E-2</v>
      </c>
      <c r="AA766" s="33">
        <f t="shared" si="192"/>
        <v>0.5</v>
      </c>
      <c r="AB766">
        <f t="shared" si="193"/>
        <v>2.0335561166178184E-3</v>
      </c>
      <c r="AC766" s="1">
        <f t="shared" si="194"/>
        <v>-2.5269017773176028E-2</v>
      </c>
      <c r="AD766" s="35">
        <f>IF(W766&gt;=FinalAgeForPremium, AE766*Delta-Z766*(Y766-AE766),AE766*Delta+PremiumRevisedForLimitedTerm-Z766*(Y766-AE766))</f>
        <v>1.4306320587551422E-2</v>
      </c>
      <c r="AE766" s="35">
        <f>AE765-StepSize*AD765</f>
        <v>1.804546715301435E-2</v>
      </c>
      <c r="AF766" s="1"/>
    </row>
    <row r="767" spans="11:32" x14ac:dyDescent="0.45">
      <c r="K767" s="40">
        <f t="shared" si="195"/>
        <v>7.42</v>
      </c>
      <c r="L767" s="41">
        <f t="shared" si="187"/>
        <v>27.42</v>
      </c>
      <c r="M767">
        <f t="shared" si="196"/>
        <v>0.84505102556256051</v>
      </c>
      <c r="N767">
        <f t="shared" si="197"/>
        <v>0.15494897443743721</v>
      </c>
      <c r="O767">
        <f t="shared" si="188"/>
        <v>0.10622691609563355</v>
      </c>
      <c r="P767">
        <f t="shared" si="189"/>
        <v>0.5</v>
      </c>
      <c r="Q767">
        <f t="shared" si="198"/>
        <v>-1.2292677170244584E-2</v>
      </c>
      <c r="R767" s="6">
        <f t="shared" si="199"/>
        <v>1.2292677170244584E-2</v>
      </c>
      <c r="S767" s="18">
        <f t="shared" si="200"/>
        <v>0.99999999999999778</v>
      </c>
      <c r="T767" s="15"/>
      <c r="U767" s="15"/>
      <c r="V767" s="40">
        <f t="shared" si="201"/>
        <v>2.58</v>
      </c>
      <c r="W767" s="41">
        <f t="shared" si="190"/>
        <v>22.58</v>
      </c>
      <c r="X767">
        <f t="shared" si="202"/>
        <v>3.2192081261097294E-2</v>
      </c>
      <c r="Y767">
        <f t="shared" si="203"/>
        <v>1.8017748549740149</v>
      </c>
      <c r="Z767" s="33">
        <f t="shared" si="191"/>
        <v>6.9998756255784916E-2</v>
      </c>
      <c r="AA767" s="33">
        <f t="shared" si="192"/>
        <v>0.5</v>
      </c>
      <c r="AB767">
        <f t="shared" si="193"/>
        <v>2.1202045088362237E-3</v>
      </c>
      <c r="AC767" s="1">
        <f t="shared" si="194"/>
        <v>-2.5119870394840538E-2</v>
      </c>
      <c r="AD767" s="35">
        <f>IF(W767&gt;=FinalAgeForPremium, AE767*Delta-Z767*(Y767-AE767),AE767*Delta+PremiumRevisedForLimitedTerm-Z767*(Y767-AE767))</f>
        <v>1.4379096780763573E-2</v>
      </c>
      <c r="AE767" s="35">
        <f>AE766-StepSize*AD766</f>
        <v>1.7902403947138837E-2</v>
      </c>
      <c r="AF767" s="1"/>
    </row>
    <row r="768" spans="11:32" x14ac:dyDescent="0.45">
      <c r="K768" s="40">
        <f t="shared" si="195"/>
        <v>7.43</v>
      </c>
      <c r="L768" s="41">
        <f t="shared" si="187"/>
        <v>27.43</v>
      </c>
      <c r="M768">
        <f t="shared" si="196"/>
        <v>0.84492809879085806</v>
      </c>
      <c r="N768">
        <f t="shared" si="197"/>
        <v>0.15507190120913966</v>
      </c>
      <c r="O768">
        <f t="shared" si="188"/>
        <v>0.10631849946126198</v>
      </c>
      <c r="P768">
        <f t="shared" si="189"/>
        <v>0.5</v>
      </c>
      <c r="Q768">
        <f t="shared" si="198"/>
        <v>-1.2295537011531119E-2</v>
      </c>
      <c r="R768" s="6">
        <f t="shared" si="199"/>
        <v>1.2295537011531119E-2</v>
      </c>
      <c r="S768" s="18">
        <f t="shared" si="200"/>
        <v>0.99999999999999778</v>
      </c>
      <c r="T768" s="15"/>
      <c r="U768" s="15"/>
      <c r="V768" s="40">
        <f t="shared" si="201"/>
        <v>2.57</v>
      </c>
      <c r="W768" s="41">
        <f t="shared" si="190"/>
        <v>22.57</v>
      </c>
      <c r="X768">
        <f t="shared" si="202"/>
        <v>3.2170879216008932E-2</v>
      </c>
      <c r="Y768">
        <f t="shared" si="203"/>
        <v>1.8020260536779633</v>
      </c>
      <c r="Z768" s="33">
        <f t="shared" si="191"/>
        <v>6.993845892540311E-2</v>
      </c>
      <c r="AA768" s="33">
        <f t="shared" si="192"/>
        <v>0.5</v>
      </c>
      <c r="AB768">
        <f t="shared" si="193"/>
        <v>2.2067942351285535E-3</v>
      </c>
      <c r="AC768" s="1">
        <f t="shared" si="194"/>
        <v>-2.4971110085124648E-2</v>
      </c>
      <c r="AD768" s="35">
        <f>IF(W768&gt;=FinalAgeForPremium, AE768*Delta-Z768*(Y768-AE768),AE768*Delta+PremiumRevisedForLimitedTerm-Z768*(Y768-AE768))</f>
        <v>1.445184500997769E-2</v>
      </c>
      <c r="AE768" s="35">
        <f>AE767-StepSize*AD767</f>
        <v>1.7758612979331199E-2</v>
      </c>
      <c r="AF768" s="1"/>
    </row>
    <row r="769" spans="11:32" x14ac:dyDescent="0.45">
      <c r="K769" s="40">
        <f t="shared" si="195"/>
        <v>7.44</v>
      </c>
      <c r="L769" s="41">
        <f t="shared" si="187"/>
        <v>27.44</v>
      </c>
      <c r="M769">
        <f t="shared" si="196"/>
        <v>0.84480514342074275</v>
      </c>
      <c r="N769">
        <f t="shared" si="197"/>
        <v>0.15519485657925497</v>
      </c>
      <c r="O769">
        <f t="shared" si="188"/>
        <v>0.10641016178534259</v>
      </c>
      <c r="P769">
        <f t="shared" si="189"/>
        <v>0.5</v>
      </c>
      <c r="Q769">
        <f t="shared" si="198"/>
        <v>-1.2298423698863303E-2</v>
      </c>
      <c r="R769" s="6">
        <f t="shared" si="199"/>
        <v>1.2298423698863303E-2</v>
      </c>
      <c r="S769" s="18">
        <f t="shared" si="200"/>
        <v>0.99999999999999778</v>
      </c>
      <c r="T769" s="15"/>
      <c r="U769" s="15"/>
      <c r="V769" s="40">
        <f t="shared" si="201"/>
        <v>2.56</v>
      </c>
      <c r="W769" s="41">
        <f t="shared" si="190"/>
        <v>22.56</v>
      </c>
      <c r="X769">
        <f t="shared" si="202"/>
        <v>3.2148811273657645E-2</v>
      </c>
      <c r="Y769">
        <f t="shared" si="203"/>
        <v>1.8022757647788146</v>
      </c>
      <c r="Z769" s="33">
        <f t="shared" si="191"/>
        <v>6.9878213535487732E-2</v>
      </c>
      <c r="AA769" s="33">
        <f t="shared" si="192"/>
        <v>0.5</v>
      </c>
      <c r="AB769">
        <f t="shared" si="193"/>
        <v>2.2933250190748239E-3</v>
      </c>
      <c r="AC769" s="1">
        <f t="shared" si="194"/>
        <v>-2.4822735008480867E-2</v>
      </c>
      <c r="AD769" s="35">
        <f>IF(W769&gt;=FinalAgeForPremium, AE769*Delta-Z769*(Y769-AE769),AE769*Delta+PremiumRevisedForLimitedTerm-Z769*(Y769-AE769))</f>
        <v>1.4524564918407534E-2</v>
      </c>
      <c r="AE769" s="35">
        <f>AE768-StepSize*AD768</f>
        <v>1.7614094529231423E-2</v>
      </c>
      <c r="AF769" s="1"/>
    </row>
    <row r="770" spans="11:32" x14ac:dyDescent="0.45">
      <c r="K770" s="40">
        <f t="shared" si="195"/>
        <v>7.45</v>
      </c>
      <c r="L770" s="41">
        <f t="shared" si="187"/>
        <v>27.45</v>
      </c>
      <c r="M770">
        <f t="shared" si="196"/>
        <v>0.84468215918375411</v>
      </c>
      <c r="N770">
        <f t="shared" si="197"/>
        <v>0.15531784081624361</v>
      </c>
      <c r="O770">
        <f t="shared" si="188"/>
        <v>0.10650190313594907</v>
      </c>
      <c r="P770">
        <f t="shared" si="189"/>
        <v>0.5</v>
      </c>
      <c r="Q770">
        <f t="shared" si="198"/>
        <v>-1.2301337089930683E-2</v>
      </c>
      <c r="R770" s="6">
        <f t="shared" si="199"/>
        <v>1.2301337089930683E-2</v>
      </c>
      <c r="S770" s="18">
        <f t="shared" si="200"/>
        <v>0.99999999999999778</v>
      </c>
      <c r="T770" s="15"/>
      <c r="U770" s="15"/>
      <c r="V770" s="40">
        <f t="shared" si="201"/>
        <v>2.5499999999999998</v>
      </c>
      <c r="W770" s="41">
        <f t="shared" si="190"/>
        <v>22.55</v>
      </c>
      <c r="X770">
        <f t="shared" si="202"/>
        <v>3.2125878023466899E-2</v>
      </c>
      <c r="Y770">
        <f t="shared" si="203"/>
        <v>1.8025239921288994</v>
      </c>
      <c r="Z770" s="33">
        <f t="shared" si="191"/>
        <v>6.9818020041297016E-2</v>
      </c>
      <c r="AA770" s="33">
        <f t="shared" si="192"/>
        <v>0.5</v>
      </c>
      <c r="AB770">
        <f t="shared" si="193"/>
        <v>2.3797965868335019E-3</v>
      </c>
      <c r="AC770" s="1">
        <f t="shared" si="194"/>
        <v>-2.4674743340838856E-2</v>
      </c>
      <c r="AD770" s="35">
        <f>IF(W770&gt;=FinalAgeForPremium, AE770*Delta-Z770*(Y770-AE770),AE770*Delta+PremiumRevisedForLimitedTerm-Z770*(Y770-AE770))</f>
        <v>1.459725615208024E-2</v>
      </c>
      <c r="AE770" s="35">
        <f>AE769-StepSize*AD769</f>
        <v>1.7468848880047346E-2</v>
      </c>
      <c r="AF770" s="1"/>
    </row>
    <row r="771" spans="11:32" x14ac:dyDescent="0.45">
      <c r="K771" s="40">
        <f t="shared" si="195"/>
        <v>7.46</v>
      </c>
      <c r="L771" s="41">
        <f t="shared" si="187"/>
        <v>27.46</v>
      </c>
      <c r="M771">
        <f t="shared" si="196"/>
        <v>0.84455914581285485</v>
      </c>
      <c r="N771">
        <f t="shared" si="197"/>
        <v>0.15544085418714293</v>
      </c>
      <c r="O771">
        <f t="shared" si="188"/>
        <v>0.10659372358121408</v>
      </c>
      <c r="P771">
        <f t="shared" si="189"/>
        <v>0.5</v>
      </c>
      <c r="Q771">
        <f t="shared" si="198"/>
        <v>-1.2304277043190259E-2</v>
      </c>
      <c r="R771" s="6">
        <f t="shared" si="199"/>
        <v>1.2304277043190259E-2</v>
      </c>
      <c r="S771" s="18">
        <f t="shared" si="200"/>
        <v>0.99999999999999778</v>
      </c>
      <c r="T771" s="15"/>
      <c r="U771" s="15"/>
      <c r="V771" s="40">
        <f t="shared" si="201"/>
        <v>2.54</v>
      </c>
      <c r="W771" s="41">
        <f t="shared" si="190"/>
        <v>22.54</v>
      </c>
      <c r="X771">
        <f t="shared" si="202"/>
        <v>3.2102080057598563E-2</v>
      </c>
      <c r="Y771">
        <f t="shared" si="203"/>
        <v>1.8027707395623078</v>
      </c>
      <c r="Z771" s="33">
        <f t="shared" si="191"/>
        <v>6.9757878398127651E-2</v>
      </c>
      <c r="AA771" s="33">
        <f t="shared" si="192"/>
        <v>0.5</v>
      </c>
      <c r="AB771">
        <f t="shared" si="193"/>
        <v>2.4662086671223965E-3</v>
      </c>
      <c r="AC771" s="1">
        <f t="shared" si="194"/>
        <v>-2.4527133269530044E-2</v>
      </c>
      <c r="AD771" s="35">
        <f>IF(W771&gt;=FinalAgeForPremium, AE771*Delta-Z771*(Y771-AE771),AE771*Delta+PremiumRevisedForLimitedTerm-Z771*(Y771-AE771))</f>
        <v>1.4669918359816334E-2</v>
      </c>
      <c r="AE771" s="35">
        <f>AE770-StepSize*AD770</f>
        <v>1.7322876318526543E-2</v>
      </c>
      <c r="AF771" s="1"/>
    </row>
    <row r="772" spans="11:32" x14ac:dyDescent="0.45">
      <c r="K772" s="40">
        <f t="shared" si="195"/>
        <v>7.47</v>
      </c>
      <c r="L772" s="41">
        <f t="shared" si="187"/>
        <v>27.47</v>
      </c>
      <c r="M772">
        <f t="shared" si="196"/>
        <v>0.844436103042423</v>
      </c>
      <c r="N772">
        <f t="shared" si="197"/>
        <v>0.15556389695757483</v>
      </c>
      <c r="O772">
        <f t="shared" si="188"/>
        <v>0.10668562318932898</v>
      </c>
      <c r="P772">
        <f t="shared" si="189"/>
        <v>0.5</v>
      </c>
      <c r="Q772">
        <f t="shared" si="198"/>
        <v>-1.2307243417861907E-2</v>
      </c>
      <c r="R772" s="6">
        <f t="shared" si="199"/>
        <v>1.2307243417861907E-2</v>
      </c>
      <c r="S772" s="18">
        <f t="shared" si="200"/>
        <v>0.99999999999999778</v>
      </c>
      <c r="T772" s="15"/>
      <c r="U772" s="15"/>
      <c r="V772" s="40">
        <f t="shared" si="201"/>
        <v>2.5299999999999998</v>
      </c>
      <c r="W772" s="41">
        <f t="shared" si="190"/>
        <v>22.53</v>
      </c>
      <c r="X772">
        <f t="shared" si="202"/>
        <v>3.2077417970927335E-2</v>
      </c>
      <c r="Y772">
        <f t="shared" si="203"/>
        <v>1.8030160108950031</v>
      </c>
      <c r="Z772" s="33">
        <f t="shared" si="191"/>
        <v>6.9697788561314908E-2</v>
      </c>
      <c r="AA772" s="33">
        <f t="shared" si="192"/>
        <v>0.5</v>
      </c>
      <c r="AB772">
        <f t="shared" si="193"/>
        <v>2.5525609911992708E-3</v>
      </c>
      <c r="AC772" s="1">
        <f t="shared" si="194"/>
        <v>-2.437990299321191E-2</v>
      </c>
      <c r="AD772" s="35">
        <f>IF(W772&gt;=FinalAgeForPremium, AE772*Delta-Z772*(Y772-AE772),AE772*Delta+PremiumRevisedForLimitedTerm-Z772*(Y772-AE772))</f>
        <v>1.4742551193209497E-2</v>
      </c>
      <c r="AE772" s="35">
        <f>AE771-StepSize*AD771</f>
        <v>1.7176177134928378E-2</v>
      </c>
      <c r="AF772" s="1"/>
    </row>
    <row r="773" spans="11:32" x14ac:dyDescent="0.45">
      <c r="K773" s="40">
        <f t="shared" si="195"/>
        <v>7.48</v>
      </c>
      <c r="L773" s="41">
        <f t="shared" si="187"/>
        <v>27.48</v>
      </c>
      <c r="M773">
        <f t="shared" si="196"/>
        <v>0.84431303060824436</v>
      </c>
      <c r="N773">
        <f t="shared" si="197"/>
        <v>0.15568696939175344</v>
      </c>
      <c r="O773">
        <f t="shared" si="188"/>
        <v>0.1067776020285439</v>
      </c>
      <c r="P773">
        <f t="shared" si="189"/>
        <v>0.5</v>
      </c>
      <c r="Q773">
        <f t="shared" si="198"/>
        <v>-1.2310236073924202E-2</v>
      </c>
      <c r="R773" s="6">
        <f t="shared" si="199"/>
        <v>1.2310236073924202E-2</v>
      </c>
      <c r="S773" s="18">
        <f t="shared" si="200"/>
        <v>0.99999999999999778</v>
      </c>
      <c r="T773" s="15"/>
      <c r="U773" s="15"/>
      <c r="V773" s="40">
        <f t="shared" si="201"/>
        <v>2.52</v>
      </c>
      <c r="W773" s="41">
        <f t="shared" si="190"/>
        <v>22.52</v>
      </c>
      <c r="X773">
        <f t="shared" si="202"/>
        <v>3.2051892361015341E-2</v>
      </c>
      <c r="Y773">
        <f t="shared" si="203"/>
        <v>1.8032598099249353</v>
      </c>
      <c r="Z773" s="33">
        <f t="shared" si="191"/>
        <v>6.9637750486232428E-2</v>
      </c>
      <c r="AA773" s="33">
        <f t="shared" si="192"/>
        <v>0.5</v>
      </c>
      <c r="AB773">
        <f t="shared" si="193"/>
        <v>2.6388532928428438E-3</v>
      </c>
      <c r="AC773" s="1">
        <f t="shared" si="194"/>
        <v>-2.423305072179327E-2</v>
      </c>
      <c r="AD773" s="35">
        <f>IF(W773&gt;=FinalAgeForPremium, AE773*Delta-Z773*(Y773-AE773),AE773*Delta+PremiumRevisedForLimitedTerm-Z773*(Y773-AE773))</f>
        <v>1.4815154306607028E-2</v>
      </c>
      <c r="AE773" s="35">
        <f>AE772-StepSize*AD772</f>
        <v>1.7028751622996285E-2</v>
      </c>
      <c r="AF773" s="1"/>
    </row>
    <row r="774" spans="11:32" x14ac:dyDescent="0.45">
      <c r="K774" s="40">
        <f t="shared" si="195"/>
        <v>7.49</v>
      </c>
      <c r="L774" s="41">
        <f t="shared" si="187"/>
        <v>27.490000000000002</v>
      </c>
      <c r="M774">
        <f t="shared" si="196"/>
        <v>0.84418992824750516</v>
      </c>
      <c r="N774">
        <f t="shared" si="197"/>
        <v>0.15581007175249267</v>
      </c>
      <c r="O774">
        <f t="shared" si="188"/>
        <v>0.10686966016716774</v>
      </c>
      <c r="P774">
        <f t="shared" si="189"/>
        <v>0.5</v>
      </c>
      <c r="Q774">
        <f t="shared" si="198"/>
        <v>-1.2313254872110255E-2</v>
      </c>
      <c r="R774" s="6">
        <f t="shared" si="199"/>
        <v>1.2313254872110255E-2</v>
      </c>
      <c r="S774" s="18">
        <f t="shared" si="200"/>
        <v>0.99999999999999778</v>
      </c>
      <c r="T774" s="15"/>
      <c r="U774" s="15"/>
      <c r="V774" s="40">
        <f t="shared" si="201"/>
        <v>2.5099999999999998</v>
      </c>
      <c r="W774" s="41">
        <f t="shared" si="190"/>
        <v>22.509999999999998</v>
      </c>
      <c r="X774">
        <f t="shared" si="202"/>
        <v>3.2025503828086915E-2</v>
      </c>
      <c r="Y774">
        <f t="shared" si="203"/>
        <v>1.8035021404321532</v>
      </c>
      <c r="Z774" s="33">
        <f t="shared" si="191"/>
        <v>6.9577764128292419E-2</v>
      </c>
      <c r="AA774" s="33">
        <f t="shared" si="192"/>
        <v>0.5</v>
      </c>
      <c r="AB774">
        <f t="shared" si="193"/>
        <v>2.7250853083334997E-3</v>
      </c>
      <c r="AC774" s="1">
        <f t="shared" si="194"/>
        <v>-2.4086574676359218E-2</v>
      </c>
      <c r="AD774" s="35">
        <f>IF(W774&gt;=FinalAgeForPremium, AE774*Delta-Z774*(Y774-AE774),AE774*Delta+PremiumRevisedForLimitedTerm-Z774*(Y774-AE774))</f>
        <v>1.4887727357089611E-2</v>
      </c>
      <c r="AE774" s="35">
        <f>AE773-StepSize*AD773</f>
        <v>1.6880600079930214E-2</v>
      </c>
      <c r="AF774" s="1"/>
    </row>
    <row r="775" spans="11:32" x14ac:dyDescent="0.45">
      <c r="K775" s="40">
        <f t="shared" si="195"/>
        <v>7.5</v>
      </c>
      <c r="L775" s="41">
        <f t="shared" si="187"/>
        <v>27.5</v>
      </c>
      <c r="M775">
        <f t="shared" si="196"/>
        <v>0.84406679569878407</v>
      </c>
      <c r="N775">
        <f t="shared" si="197"/>
        <v>0.15593320430121377</v>
      </c>
      <c r="O775">
        <f t="shared" si="188"/>
        <v>0.10696179767356839</v>
      </c>
      <c r="P775">
        <f t="shared" si="189"/>
        <v>0.5</v>
      </c>
      <c r="Q775">
        <f t="shared" si="198"/>
        <v>-1.2316299673903644E-2</v>
      </c>
      <c r="R775" s="6">
        <f t="shared" si="199"/>
        <v>1.2316299673903644E-2</v>
      </c>
      <c r="S775" s="18">
        <f t="shared" si="200"/>
        <v>0.99999999999999778</v>
      </c>
      <c r="T775" s="15"/>
      <c r="U775" s="15"/>
      <c r="V775" s="40">
        <f t="shared" si="201"/>
        <v>2.5</v>
      </c>
      <c r="W775" s="41">
        <f t="shared" si="190"/>
        <v>22.5</v>
      </c>
      <c r="X775">
        <f t="shared" si="202"/>
        <v>3.1998252975003583E-2</v>
      </c>
      <c r="Y775">
        <f t="shared" si="203"/>
        <v>1.8037430061789168</v>
      </c>
      <c r="Z775" s="33">
        <f t="shared" si="191"/>
        <v>6.9517829442945434E-2</v>
      </c>
      <c r="AA775" s="33">
        <f t="shared" si="192"/>
        <v>0.5</v>
      </c>
      <c r="AB775">
        <f t="shared" si="193"/>
        <v>2.8112567764347618E-3</v>
      </c>
      <c r="AC775" s="1">
        <f t="shared" si="194"/>
        <v>-2.3940473089097525E-2</v>
      </c>
      <c r="AD775" s="35">
        <f>IF(W775&gt;=FinalAgeForPremium, AE775*Delta-Z775*(Y775-AE775),AE775*Delta+PremiumRevisedForLimitedTerm-Z775*(Y775-AE775))</f>
        <v>1.4960270004452006E-2</v>
      </c>
      <c r="AE775" s="35">
        <f>AE774-StepSize*AD774</f>
        <v>1.6731722806359317E-2</v>
      </c>
      <c r="AF775" s="1"/>
    </row>
    <row r="776" spans="11:32" x14ac:dyDescent="0.45">
      <c r="K776" s="40">
        <f t="shared" si="195"/>
        <v>7.51</v>
      </c>
      <c r="L776" s="41">
        <f t="shared" si="187"/>
        <v>27.509999999999998</v>
      </c>
      <c r="M776">
        <f t="shared" si="196"/>
        <v>0.84394363270204498</v>
      </c>
      <c r="N776">
        <f t="shared" si="197"/>
        <v>0.1560563672979528</v>
      </c>
      <c r="O776">
        <f t="shared" si="188"/>
        <v>0.10705401461617267</v>
      </c>
      <c r="P776">
        <f t="shared" si="189"/>
        <v>0.5</v>
      </c>
      <c r="Q776">
        <f t="shared" si="198"/>
        <v>-1.2319370341534186E-2</v>
      </c>
      <c r="R776" s="6">
        <f t="shared" si="199"/>
        <v>1.2319370341534186E-2</v>
      </c>
      <c r="S776" s="18">
        <f t="shared" si="200"/>
        <v>0.99999999999999778</v>
      </c>
      <c r="T776" s="15"/>
      <c r="U776" s="15"/>
      <c r="V776" s="40">
        <f t="shared" si="201"/>
        <v>2.4900000000000002</v>
      </c>
      <c r="W776" s="41">
        <f t="shared" si="190"/>
        <v>22.490000000000002</v>
      </c>
      <c r="X776">
        <f t="shared" si="202"/>
        <v>3.1970140407239236E-2</v>
      </c>
      <c r="Y776">
        <f t="shared" si="203"/>
        <v>1.8039824109098077</v>
      </c>
      <c r="Z776" s="33">
        <f t="shared" si="191"/>
        <v>6.9457946385680383E-2</v>
      </c>
      <c r="AA776" s="33">
        <f t="shared" si="192"/>
        <v>0.5</v>
      </c>
      <c r="AB776">
        <f t="shared" si="193"/>
        <v>2.8973674383744735E-3</v>
      </c>
      <c r="AC776" s="1">
        <f t="shared" si="194"/>
        <v>-2.379474420322536E-2</v>
      </c>
      <c r="AD776" s="35">
        <f>IF(W776&gt;=FinalAgeForPremium, AE776*Delta-Z776*(Y776-AE776),AE776*Delta+PremiumRevisedForLimitedTerm-Z776*(Y776-AE776))</f>
        <v>1.5032781911183749E-2</v>
      </c>
      <c r="AE776" s="35">
        <f>AE775-StepSize*AD775</f>
        <v>1.6582120106314796E-2</v>
      </c>
      <c r="AF776" s="1"/>
    </row>
    <row r="777" spans="11:32" x14ac:dyDescent="0.45">
      <c r="K777" s="40">
        <f t="shared" si="195"/>
        <v>7.52</v>
      </c>
      <c r="L777" s="41">
        <f t="shared" si="187"/>
        <v>27.52</v>
      </c>
      <c r="M777">
        <f t="shared" si="196"/>
        <v>0.84382043899862968</v>
      </c>
      <c r="N777">
        <f t="shared" si="197"/>
        <v>0.15617956100136815</v>
      </c>
      <c r="O777">
        <f t="shared" si="188"/>
        <v>0.10714631106346641</v>
      </c>
      <c r="P777">
        <f t="shared" si="189"/>
        <v>0.5</v>
      </c>
      <c r="Q777">
        <f t="shared" si="198"/>
        <v>-1.2322466737973881E-2</v>
      </c>
      <c r="R777" s="6">
        <f t="shared" si="199"/>
        <v>1.2322466737973881E-2</v>
      </c>
      <c r="S777" s="18">
        <f t="shared" si="200"/>
        <v>0.99999999999999778</v>
      </c>
      <c r="T777" s="15"/>
      <c r="U777" s="15"/>
      <c r="V777" s="40">
        <f t="shared" si="201"/>
        <v>2.48</v>
      </c>
      <c r="W777" s="41">
        <f t="shared" si="190"/>
        <v>22.48</v>
      </c>
      <c r="X777">
        <f t="shared" si="202"/>
        <v>3.1941166732855492E-2</v>
      </c>
      <c r="Y777">
        <f t="shared" si="203"/>
        <v>1.8042203583518399</v>
      </c>
      <c r="Z777" s="33">
        <f t="shared" si="191"/>
        <v>6.9398114912024522E-2</v>
      </c>
      <c r="AA777" s="33">
        <f t="shared" si="192"/>
        <v>0.5</v>
      </c>
      <c r="AB777">
        <f t="shared" si="193"/>
        <v>2.9834170378262304E-3</v>
      </c>
      <c r="AC777" s="1">
        <f t="shared" si="194"/>
        <v>-2.3649386272915796E-2</v>
      </c>
      <c r="AD777" s="35">
        <f>IF(W777&gt;=FinalAgeForPremium, AE777*Delta-Z777*(Y777-AE777),AE777*Delta+PremiumRevisedForLimitedTerm-Z777*(Y777-AE777))</f>
        <v>1.5105262742449485E-2</v>
      </c>
      <c r="AE777" s="35">
        <f>AE776-StepSize*AD776</f>
        <v>1.643179228720296E-2</v>
      </c>
      <c r="AF777" s="1"/>
    </row>
    <row r="778" spans="11:32" x14ac:dyDescent="0.45">
      <c r="K778" s="40">
        <f t="shared" si="195"/>
        <v>7.53</v>
      </c>
      <c r="L778" s="41">
        <f t="shared" si="187"/>
        <v>27.53</v>
      </c>
      <c r="M778">
        <f t="shared" si="196"/>
        <v>0.84369721433125</v>
      </c>
      <c r="N778">
        <f t="shared" si="197"/>
        <v>0.15630278566874789</v>
      </c>
      <c r="O778">
        <f t="shared" si="188"/>
        <v>0.10723868708399435</v>
      </c>
      <c r="P778">
        <f t="shared" si="189"/>
        <v>0.5</v>
      </c>
      <c r="Q778">
        <f t="shared" si="198"/>
        <v>-1.2325588726932693E-2</v>
      </c>
      <c r="R778" s="6">
        <f t="shared" si="199"/>
        <v>1.2325588726932693E-2</v>
      </c>
      <c r="S778" s="18">
        <f t="shared" si="200"/>
        <v>0.99999999999999789</v>
      </c>
      <c r="T778" s="15"/>
      <c r="U778" s="15"/>
      <c r="V778" s="40">
        <f t="shared" si="201"/>
        <v>2.4700000000000002</v>
      </c>
      <c r="W778" s="41">
        <f t="shared" si="190"/>
        <v>22.47</v>
      </c>
      <c r="X778">
        <f t="shared" si="202"/>
        <v>3.1911332562477232E-2</v>
      </c>
      <c r="Y778">
        <f t="shared" si="203"/>
        <v>1.804456852214569</v>
      </c>
      <c r="Z778" s="33">
        <f t="shared" si="191"/>
        <v>6.9338334977543478E-2</v>
      </c>
      <c r="AA778" s="33">
        <f t="shared" si="192"/>
        <v>0.5</v>
      </c>
      <c r="AB778">
        <f t="shared" si="193"/>
        <v>3.0694053208909083E-3</v>
      </c>
      <c r="AC778" s="1">
        <f t="shared" si="194"/>
        <v>-2.3504397563225643E-2</v>
      </c>
      <c r="AD778" s="35">
        <f>IF(W778&gt;=FinalAgeForPremium, AE778*Delta-Z778*(Y778-AE778),AE778*Delta+PremiumRevisedForLimitedTerm-Z778*(Y778-AE778))</f>
        <v>1.5177712166069918E-2</v>
      </c>
      <c r="AE778" s="35">
        <f>AE777-StepSize*AD777</f>
        <v>1.6280739659778463E-2</v>
      </c>
      <c r="AF778" s="1"/>
    </row>
    <row r="779" spans="11:32" x14ac:dyDescent="0.45">
      <c r="K779" s="40">
        <f t="shared" si="195"/>
        <v>7.54</v>
      </c>
      <c r="L779" s="41">
        <f t="shared" si="187"/>
        <v>27.54</v>
      </c>
      <c r="M779">
        <f t="shared" si="196"/>
        <v>0.84357395844398064</v>
      </c>
      <c r="N779">
        <f t="shared" si="197"/>
        <v>0.15642604155601722</v>
      </c>
      <c r="O779">
        <f t="shared" si="188"/>
        <v>0.10733114274636049</v>
      </c>
      <c r="P779">
        <f t="shared" si="189"/>
        <v>0.5</v>
      </c>
      <c r="Q779">
        <f t="shared" si="198"/>
        <v>-1.2328736172854654E-2</v>
      </c>
      <c r="R779" s="6">
        <f t="shared" si="199"/>
        <v>1.2328736172854654E-2</v>
      </c>
      <c r="S779" s="18">
        <f t="shared" si="200"/>
        <v>0.99999999999999789</v>
      </c>
      <c r="T779" s="15"/>
      <c r="U779" s="15"/>
      <c r="V779" s="40">
        <f t="shared" si="201"/>
        <v>2.46</v>
      </c>
      <c r="W779" s="41">
        <f t="shared" si="190"/>
        <v>22.46</v>
      </c>
      <c r="X779">
        <f t="shared" si="202"/>
        <v>3.1880638509268325E-2</v>
      </c>
      <c r="Y779">
        <f t="shared" si="203"/>
        <v>1.8046918961902012</v>
      </c>
      <c r="Z779" s="33">
        <f t="shared" si="191"/>
        <v>6.9278606537841098E-2</v>
      </c>
      <c r="AA779" s="33">
        <f t="shared" si="192"/>
        <v>0.5</v>
      </c>
      <c r="AB779">
        <f t="shared" si="193"/>
        <v>3.1553320360784981E-3</v>
      </c>
      <c r="AC779" s="1">
        <f t="shared" si="194"/>
        <v>-2.3359776350023509E-2</v>
      </c>
      <c r="AD779" s="35">
        <f>IF(W779&gt;=FinalAgeForPremium, AE779*Delta-Z779*(Y779-AE779),AE779*Delta+PremiumRevisedForLimitedTerm-Z779*(Y779-AE779))</f>
        <v>1.5250129852502958E-2</v>
      </c>
      <c r="AE779" s="35">
        <f>AE778-StepSize*AD778</f>
        <v>1.6128962538117766E-2</v>
      </c>
      <c r="AF779" s="1"/>
    </row>
    <row r="780" spans="11:32" x14ac:dyDescent="0.45">
      <c r="K780" s="40">
        <f t="shared" si="195"/>
        <v>7.55</v>
      </c>
      <c r="L780" s="41">
        <f t="shared" si="187"/>
        <v>27.55</v>
      </c>
      <c r="M780">
        <f t="shared" si="196"/>
        <v>0.84345067108225213</v>
      </c>
      <c r="N780">
        <f t="shared" si="197"/>
        <v>0.15654932891774576</v>
      </c>
      <c r="O780">
        <f t="shared" si="188"/>
        <v>0.10742367811922796</v>
      </c>
      <c r="P780">
        <f t="shared" si="189"/>
        <v>0.5</v>
      </c>
      <c r="Q780">
        <f t="shared" si="198"/>
        <v>-1.233190894091378E-2</v>
      </c>
      <c r="R780" s="6">
        <f t="shared" si="199"/>
        <v>1.233190894091378E-2</v>
      </c>
      <c r="S780" s="18">
        <f t="shared" si="200"/>
        <v>0.99999999999999789</v>
      </c>
      <c r="T780" s="15"/>
      <c r="U780" s="15"/>
      <c r="V780" s="40">
        <f t="shared" si="201"/>
        <v>2.4500000000000002</v>
      </c>
      <c r="W780" s="41">
        <f t="shared" si="190"/>
        <v>22.45</v>
      </c>
      <c r="X780">
        <f t="shared" si="202"/>
        <v>3.1849085188907542E-2</v>
      </c>
      <c r="Y780">
        <f t="shared" si="203"/>
        <v>1.8049254939537014</v>
      </c>
      <c r="Z780" s="33">
        <f t="shared" si="191"/>
        <v>6.9218929548559446E-2</v>
      </c>
      <c r="AA780" s="33">
        <f t="shared" si="192"/>
        <v>0.5</v>
      </c>
      <c r="AB780">
        <f t="shared" si="193"/>
        <v>3.2411969342899943E-3</v>
      </c>
      <c r="AC780" s="1">
        <f t="shared" si="194"/>
        <v>-2.3215520919917965E-2</v>
      </c>
      <c r="AD780" s="35">
        <f>IF(W780&gt;=FinalAgeForPremium, AE780*Delta-Z780*(Y780-AE780),AE780*Delta+PremiumRevisedForLimitedTerm-Z780*(Y780-AE780))</f>
        <v>1.532251547482473E-2</v>
      </c>
      <c r="AE780" s="35">
        <f>AE779-StepSize*AD779</f>
        <v>1.5976461239592735E-2</v>
      </c>
      <c r="AF780" s="1"/>
    </row>
    <row r="781" spans="11:32" x14ac:dyDescent="0.45">
      <c r="K781" s="40">
        <f t="shared" si="195"/>
        <v>7.56</v>
      </c>
      <c r="L781" s="41">
        <f t="shared" si="187"/>
        <v>27.56</v>
      </c>
      <c r="M781">
        <f t="shared" si="196"/>
        <v>0.84332735199284303</v>
      </c>
      <c r="N781">
        <f t="shared" si="197"/>
        <v>0.15667264800715489</v>
      </c>
      <c r="O781">
        <f t="shared" si="188"/>
        <v>0.10751629327131892</v>
      </c>
      <c r="P781">
        <f t="shared" si="189"/>
        <v>0.5</v>
      </c>
      <c r="Q781">
        <f t="shared" si="198"/>
        <v>-1.2335106897009868E-2</v>
      </c>
      <c r="R781" s="6">
        <f t="shared" si="199"/>
        <v>1.2335106897009868E-2</v>
      </c>
      <c r="S781" s="18">
        <f t="shared" si="200"/>
        <v>0.99999999999999789</v>
      </c>
      <c r="T781" s="15"/>
      <c r="U781" s="15"/>
      <c r="V781" s="40">
        <f t="shared" si="201"/>
        <v>2.44</v>
      </c>
      <c r="W781" s="41">
        <f t="shared" si="190"/>
        <v>22.44</v>
      </c>
      <c r="X781">
        <f t="shared" si="202"/>
        <v>3.1816673219564641E-2</v>
      </c>
      <c r="Y781">
        <f t="shared" si="203"/>
        <v>1.8051576491629007</v>
      </c>
      <c r="Z781" s="33">
        <f t="shared" si="191"/>
        <v>6.9159303965378907E-2</v>
      </c>
      <c r="AA781" s="33">
        <f t="shared" si="192"/>
        <v>0.5</v>
      </c>
      <c r="AB781">
        <f t="shared" si="193"/>
        <v>3.3269997687990494E-3</v>
      </c>
      <c r="AC781" s="1">
        <f t="shared" si="194"/>
        <v>-2.3071629570186936E-2</v>
      </c>
      <c r="AD781" s="35">
        <f>IF(W781&gt;=FinalAgeForPremium, AE781*Delta-Z781*(Y781-AE781),AE781*Delta+PremiumRevisedForLimitedTerm-Z781*(Y781-AE781))</f>
        <v>1.539486870871061E-2</v>
      </c>
      <c r="AE781" s="35">
        <f>AE780-StepSize*AD780</f>
        <v>1.5823236084844487E-2</v>
      </c>
      <c r="AF781" s="1"/>
    </row>
    <row r="782" spans="11:32" x14ac:dyDescent="0.45">
      <c r="K782" s="40">
        <f t="shared" si="195"/>
        <v>7.57</v>
      </c>
      <c r="L782" s="41">
        <f t="shared" si="187"/>
        <v>27.57</v>
      </c>
      <c r="M782">
        <f t="shared" si="196"/>
        <v>0.84320400092387293</v>
      </c>
      <c r="N782">
        <f t="shared" si="197"/>
        <v>0.15679599907612499</v>
      </c>
      <c r="O782">
        <f t="shared" si="188"/>
        <v>0.10760898827141498</v>
      </c>
      <c r="P782">
        <f t="shared" si="189"/>
        <v>0.5</v>
      </c>
      <c r="Q782">
        <f t="shared" si="198"/>
        <v>-1.2338329907764733E-2</v>
      </c>
      <c r="R782" s="6">
        <f t="shared" si="199"/>
        <v>1.2338329907764733E-2</v>
      </c>
      <c r="S782" s="18">
        <f t="shared" si="200"/>
        <v>0.99999999999999789</v>
      </c>
      <c r="T782" s="15"/>
      <c r="U782" s="15"/>
      <c r="V782" s="40">
        <f t="shared" si="201"/>
        <v>2.4300000000000002</v>
      </c>
      <c r="W782" s="41">
        <f t="shared" si="190"/>
        <v>22.43</v>
      </c>
      <c r="X782">
        <f t="shared" si="202"/>
        <v>3.1783403221876651E-2</v>
      </c>
      <c r="Y782">
        <f t="shared" si="203"/>
        <v>1.8053883654586025</v>
      </c>
      <c r="Z782" s="33">
        <f t="shared" si="191"/>
        <v>6.9099729744017888E-2</v>
      </c>
      <c r="AA782" s="33">
        <f t="shared" si="192"/>
        <v>0.5</v>
      </c>
      <c r="AB782">
        <f t="shared" si="193"/>
        <v>3.4127402952346814E-3</v>
      </c>
      <c r="AC782" s="1">
        <f t="shared" si="194"/>
        <v>-2.2928100608706981E-2</v>
      </c>
      <c r="AD782" s="35">
        <f>IF(W782&gt;=FinalAgeForPremium, AE782*Delta-Z782*(Y782-AE782),AE782*Delta+PremiumRevisedForLimitedTerm-Z782*(Y782-AE782))</f>
        <v>1.5467189232417161E-2</v>
      </c>
      <c r="AE782" s="35">
        <f>AE781-StepSize*AD781</f>
        <v>1.566928739775738E-2</v>
      </c>
      <c r="AF782" s="1"/>
    </row>
    <row r="783" spans="11:32" x14ac:dyDescent="0.45">
      <c r="K783" s="40">
        <f t="shared" si="195"/>
        <v>7.58</v>
      </c>
      <c r="L783" s="41">
        <f t="shared" si="187"/>
        <v>27.58</v>
      </c>
      <c r="M783">
        <f t="shared" si="196"/>
        <v>0.84308061762479525</v>
      </c>
      <c r="N783">
        <f t="shared" si="197"/>
        <v>0.15691938237520264</v>
      </c>
      <c r="O783">
        <f t="shared" si="188"/>
        <v>0.10770176318835695</v>
      </c>
      <c r="P783">
        <f t="shared" si="189"/>
        <v>0.5</v>
      </c>
      <c r="Q783">
        <f t="shared" si="198"/>
        <v>-1.2341577840518092E-2</v>
      </c>
      <c r="R783" s="6">
        <f t="shared" si="199"/>
        <v>1.2341577840518092E-2</v>
      </c>
      <c r="S783" s="18">
        <f t="shared" si="200"/>
        <v>0.99999999999999789</v>
      </c>
      <c r="T783" s="15"/>
      <c r="U783" s="15"/>
      <c r="V783" s="40">
        <f t="shared" si="201"/>
        <v>2.42</v>
      </c>
      <c r="W783" s="41">
        <f t="shared" si="190"/>
        <v>22.42</v>
      </c>
      <c r="X783">
        <f t="shared" si="202"/>
        <v>3.1749275818924304E-2</v>
      </c>
      <c r="Y783">
        <f t="shared" si="203"/>
        <v>1.8056176464646896</v>
      </c>
      <c r="Z783" s="33">
        <f t="shared" si="191"/>
        <v>6.9040206840233098E-2</v>
      </c>
      <c r="AA783" s="33">
        <f t="shared" si="192"/>
        <v>0.5</v>
      </c>
      <c r="AB783">
        <f t="shared" si="193"/>
        <v>3.4984182715629836E-3</v>
      </c>
      <c r="AC783" s="1">
        <f t="shared" si="194"/>
        <v>-2.2784932353882903E-2</v>
      </c>
      <c r="AD783" s="35">
        <f>IF(W783&gt;=FinalAgeForPremium, AE783*Delta-Z783*(Y783-AE783),AE783*Delta+PremiumRevisedForLimitedTerm-Z783*(Y783-AE783))</f>
        <v>1.5539476726762952E-2</v>
      </c>
      <c r="AE783" s="35">
        <f>AE782-StepSize*AD782</f>
        <v>1.5514615505433208E-2</v>
      </c>
      <c r="AF783" s="1"/>
    </row>
    <row r="784" spans="11:32" x14ac:dyDescent="0.45">
      <c r="K784" s="40">
        <f t="shared" si="195"/>
        <v>7.59</v>
      </c>
      <c r="L784" s="41">
        <f t="shared" si="187"/>
        <v>27.59</v>
      </c>
      <c r="M784">
        <f t="shared" si="196"/>
        <v>0.84295720184639011</v>
      </c>
      <c r="N784">
        <f t="shared" si="197"/>
        <v>0.15704279815360783</v>
      </c>
      <c r="O784">
        <f t="shared" si="188"/>
        <v>0.10779461809104506</v>
      </c>
      <c r="P784">
        <f t="shared" si="189"/>
        <v>0.5</v>
      </c>
      <c r="Q784">
        <f t="shared" si="198"/>
        <v>-1.2344850563323684E-2</v>
      </c>
      <c r="R784" s="6">
        <f t="shared" si="199"/>
        <v>1.2344850563323684E-2</v>
      </c>
      <c r="S784" s="18">
        <f t="shared" si="200"/>
        <v>0.999999999999998</v>
      </c>
      <c r="T784" s="15"/>
      <c r="U784" s="15"/>
      <c r="V784" s="40">
        <f t="shared" si="201"/>
        <v>2.41</v>
      </c>
      <c r="W784" s="41">
        <f t="shared" si="190"/>
        <v>22.41</v>
      </c>
      <c r="X784">
        <f t="shared" si="202"/>
        <v>3.1714291636208675E-2</v>
      </c>
      <c r="Y784">
        <f t="shared" si="203"/>
        <v>1.8058454957882284</v>
      </c>
      <c r="Z784" s="33">
        <f t="shared" si="191"/>
        <v>6.8980735209819219E-2</v>
      </c>
      <c r="AA784" s="33">
        <f t="shared" si="192"/>
        <v>0.5</v>
      </c>
      <c r="AB784">
        <f t="shared" si="193"/>
        <v>3.5840334580699157E-3</v>
      </c>
      <c r="AC784" s="1">
        <f t="shared" si="194"/>
        <v>-2.2642123134578696E-2</v>
      </c>
      <c r="AD784" s="35">
        <f>IF(W784&gt;=FinalAgeForPremium, AE784*Delta-Z784*(Y784-AE784),AE784*Delta+PremiumRevisedForLimitedTerm-Z784*(Y784-AE784))</f>
        <v>1.5611730875110891E-2</v>
      </c>
      <c r="AE784" s="35">
        <f>AE783-StepSize*AD783</f>
        <v>1.5359220738165579E-2</v>
      </c>
      <c r="AF784" s="1"/>
    </row>
    <row r="785" spans="11:32" x14ac:dyDescent="0.45">
      <c r="K785" s="40">
        <f t="shared" si="195"/>
        <v>7.6</v>
      </c>
      <c r="L785" s="41">
        <f t="shared" si="187"/>
        <v>27.6</v>
      </c>
      <c r="M785">
        <f t="shared" si="196"/>
        <v>0.84283375334075683</v>
      </c>
      <c r="N785">
        <f t="shared" si="197"/>
        <v>0.15716624665924106</v>
      </c>
      <c r="O785">
        <f t="shared" si="188"/>
        <v>0.10788755304843881</v>
      </c>
      <c r="P785">
        <f t="shared" si="189"/>
        <v>0.5</v>
      </c>
      <c r="Q785">
        <f t="shared" si="198"/>
        <v>-1.2348147944945154E-2</v>
      </c>
      <c r="R785" s="6">
        <f t="shared" si="199"/>
        <v>1.2348147944945154E-2</v>
      </c>
      <c r="S785" s="18">
        <f t="shared" si="200"/>
        <v>0.99999999999999789</v>
      </c>
      <c r="T785" s="15"/>
      <c r="U785" s="15"/>
      <c r="V785" s="40">
        <f t="shared" si="201"/>
        <v>2.4</v>
      </c>
      <c r="W785" s="41">
        <f t="shared" si="190"/>
        <v>22.4</v>
      </c>
      <c r="X785">
        <f t="shared" si="202"/>
        <v>3.1678451301627976E-2</v>
      </c>
      <c r="Y785">
        <f t="shared" si="203"/>
        <v>1.8060719170195743</v>
      </c>
      <c r="Z785" s="33">
        <f t="shared" si="191"/>
        <v>6.8921314808609108E-2</v>
      </c>
      <c r="AA785" s="33">
        <f t="shared" si="192"/>
        <v>0.5</v>
      </c>
      <c r="AB785">
        <f t="shared" si="193"/>
        <v>3.6695856173435404E-3</v>
      </c>
      <c r="AC785" s="1">
        <f t="shared" si="194"/>
        <v>-2.2499671290048151E-2</v>
      </c>
      <c r="AD785" s="35">
        <f>IF(W785&gt;=FinalAgeForPremium, AE785*Delta-Z785*(Y785-AE785),AE785*Delta+PremiumRevisedForLimitedTerm-Z785*(Y785-AE785))</f>
        <v>1.5683951363349546E-2</v>
      </c>
      <c r="AE785" s="35">
        <f>AE784-StepSize*AD784</f>
        <v>1.520310342941447E-2</v>
      </c>
      <c r="AF785" s="1"/>
    </row>
    <row r="786" spans="11:32" x14ac:dyDescent="0.45">
      <c r="K786" s="40">
        <f t="shared" si="195"/>
        <v>7.61</v>
      </c>
      <c r="L786" s="41">
        <f t="shared" si="187"/>
        <v>27.61</v>
      </c>
      <c r="M786">
        <f t="shared" si="196"/>
        <v>0.84271027186130743</v>
      </c>
      <c r="N786">
        <f t="shared" si="197"/>
        <v>0.15728972813869052</v>
      </c>
      <c r="O786">
        <f t="shared" si="188"/>
        <v>0.10798056812955727</v>
      </c>
      <c r="P786">
        <f t="shared" si="189"/>
        <v>0.5</v>
      </c>
      <c r="Q786">
        <f t="shared" si="198"/>
        <v>-1.2351469854852373E-2</v>
      </c>
      <c r="R786" s="6">
        <f t="shared" si="199"/>
        <v>1.2351469854852373E-2</v>
      </c>
      <c r="S786" s="18">
        <f t="shared" si="200"/>
        <v>0.999999999999998</v>
      </c>
      <c r="T786" s="15"/>
      <c r="U786" s="15"/>
      <c r="V786" s="40">
        <f t="shared" si="201"/>
        <v>2.39</v>
      </c>
      <c r="W786" s="41">
        <f t="shared" si="190"/>
        <v>22.39</v>
      </c>
      <c r="X786">
        <f t="shared" si="202"/>
        <v>3.1641755445454542E-2</v>
      </c>
      <c r="Y786">
        <f t="shared" si="203"/>
        <v>1.8062969137324747</v>
      </c>
      <c r="Z786" s="33">
        <f t="shared" si="191"/>
        <v>6.8861945592473633E-2</v>
      </c>
      <c r="AA786" s="33">
        <f t="shared" si="192"/>
        <v>0.5</v>
      </c>
      <c r="AB786">
        <f t="shared" si="193"/>
        <v>3.755074514256912E-3</v>
      </c>
      <c r="AC786" s="1">
        <f t="shared" si="194"/>
        <v>-2.235757516986614E-2</v>
      </c>
      <c r="AD786" s="35">
        <f>IF(W786&gt;=FinalAgeForPremium, AE786*Delta-Z786*(Y786-AE786),AE786*Delta+PremiumRevisedForLimitedTerm-Z786*(Y786-AE786))</f>
        <v>1.5756137879875384E-2</v>
      </c>
      <c r="AE786" s="35">
        <f>AE785-StepSize*AD785</f>
        <v>1.5046263915780974E-2</v>
      </c>
      <c r="AF786" s="1"/>
    </row>
    <row r="787" spans="11:32" x14ac:dyDescent="0.45">
      <c r="K787" s="40">
        <f t="shared" si="195"/>
        <v>7.62</v>
      </c>
      <c r="L787" s="41">
        <f t="shared" si="187"/>
        <v>27.62</v>
      </c>
      <c r="M787">
        <f t="shared" si="196"/>
        <v>0.84258675716275888</v>
      </c>
      <c r="N787">
        <f t="shared" si="197"/>
        <v>0.15741324283723904</v>
      </c>
      <c r="O787">
        <f t="shared" si="188"/>
        <v>0.10807366340347904</v>
      </c>
      <c r="P787">
        <f t="shared" si="189"/>
        <v>0.5</v>
      </c>
      <c r="Q787">
        <f t="shared" si="198"/>
        <v>-1.2354816163217416E-2</v>
      </c>
      <c r="R787" s="6">
        <f t="shared" si="199"/>
        <v>1.2354816163217416E-2</v>
      </c>
      <c r="S787" s="18">
        <f t="shared" si="200"/>
        <v>0.99999999999999789</v>
      </c>
      <c r="T787" s="15"/>
      <c r="U787" s="15"/>
      <c r="V787" s="40">
        <f t="shared" si="201"/>
        <v>2.38</v>
      </c>
      <c r="W787" s="41">
        <f t="shared" si="190"/>
        <v>22.38</v>
      </c>
      <c r="X787">
        <f t="shared" si="202"/>
        <v>3.1604204700311972E-2</v>
      </c>
      <c r="Y787">
        <f t="shared" si="203"/>
        <v>1.8065204894841733</v>
      </c>
      <c r="Z787" s="33">
        <f t="shared" si="191"/>
        <v>6.8802627517321677E-2</v>
      </c>
      <c r="AA787" s="33">
        <f t="shared" si="192"/>
        <v>0.5</v>
      </c>
      <c r="AB787">
        <f t="shared" si="193"/>
        <v>3.8404999159508124E-3</v>
      </c>
      <c r="AC787" s="1">
        <f t="shared" si="194"/>
        <v>-2.2215833133860663E-2</v>
      </c>
      <c r="AD787" s="35">
        <f>IF(W787&gt;=FinalAgeForPremium, AE787*Delta-Z787*(Y787-AE787),AE787*Delta+PremiumRevisedForLimitedTerm-Z787*(Y787-AE787))</f>
        <v>1.5828290115574628E-2</v>
      </c>
      <c r="AE787" s="35">
        <f>AE786-StepSize*AD786</f>
        <v>1.4888702536982221E-2</v>
      </c>
      <c r="AF787" s="1"/>
    </row>
    <row r="788" spans="11:32" x14ac:dyDescent="0.45">
      <c r="K788" s="40">
        <f t="shared" si="195"/>
        <v>7.63</v>
      </c>
      <c r="L788" s="41">
        <f t="shared" si="187"/>
        <v>27.63</v>
      </c>
      <c r="M788">
        <f t="shared" si="196"/>
        <v>0.8424632090011267</v>
      </c>
      <c r="N788">
        <f t="shared" si="197"/>
        <v>0.15753679099887122</v>
      </c>
      <c r="O788">
        <f t="shared" si="188"/>
        <v>0.10816683893934206</v>
      </c>
      <c r="P788">
        <f t="shared" si="189"/>
        <v>0.5</v>
      </c>
      <c r="Q788">
        <f t="shared" si="198"/>
        <v>-1.2358186740910534E-2</v>
      </c>
      <c r="R788" s="6">
        <f t="shared" si="199"/>
        <v>1.2358186740910534E-2</v>
      </c>
      <c r="S788" s="18">
        <f t="shared" si="200"/>
        <v>0.99999999999999789</v>
      </c>
      <c r="T788" s="15"/>
      <c r="U788" s="15"/>
      <c r="V788" s="40">
        <f t="shared" si="201"/>
        <v>2.37</v>
      </c>
      <c r="W788" s="41">
        <f t="shared" si="190"/>
        <v>22.37</v>
      </c>
      <c r="X788">
        <f t="shared" si="202"/>
        <v>3.1565799701152461E-2</v>
      </c>
      <c r="Y788">
        <f t="shared" si="203"/>
        <v>1.806742647815512</v>
      </c>
      <c r="Z788" s="33">
        <f t="shared" si="191"/>
        <v>6.8743360539100115E-2</v>
      </c>
      <c r="AA788" s="33">
        <f t="shared" si="192"/>
        <v>0.5</v>
      </c>
      <c r="AB788">
        <f t="shared" si="193"/>
        <v>3.9258615918165013E-3</v>
      </c>
      <c r="AC788" s="1">
        <f t="shared" si="194"/>
        <v>-2.2074443552044687E-2</v>
      </c>
      <c r="AD788" s="35">
        <f>IF(W788&gt;=FinalAgeForPremium, AE788*Delta-Z788*(Y788-AE788),AE788*Delta+PremiumRevisedForLimitedTerm-Z788*(Y788-AE788))</f>
        <v>1.5900407763805607E-2</v>
      </c>
      <c r="AE788" s="35">
        <f>AE787-StepSize*AD787</f>
        <v>1.4730419635826475E-2</v>
      </c>
      <c r="AF788" s="1"/>
    </row>
    <row r="789" spans="11:32" x14ac:dyDescent="0.45">
      <c r="K789" s="40">
        <f t="shared" si="195"/>
        <v>7.64</v>
      </c>
      <c r="L789" s="41">
        <f t="shared" si="187"/>
        <v>27.64</v>
      </c>
      <c r="M789">
        <f t="shared" si="196"/>
        <v>0.84233962713371757</v>
      </c>
      <c r="N789">
        <f t="shared" si="197"/>
        <v>0.15766037286628032</v>
      </c>
      <c r="O789">
        <f t="shared" si="188"/>
        <v>0.10826009480634424</v>
      </c>
      <c r="P789">
        <f t="shared" si="189"/>
        <v>0.5</v>
      </c>
      <c r="Q789">
        <f t="shared" si="198"/>
        <v>-1.236158145949677E-2</v>
      </c>
      <c r="R789" s="6">
        <f t="shared" si="199"/>
        <v>1.236158145949677E-2</v>
      </c>
      <c r="S789" s="18">
        <f t="shared" si="200"/>
        <v>0.99999999999999789</v>
      </c>
      <c r="T789" s="15"/>
      <c r="U789" s="15"/>
      <c r="V789" s="40">
        <f t="shared" si="201"/>
        <v>2.36</v>
      </c>
      <c r="W789" s="41">
        <f t="shared" si="190"/>
        <v>22.36</v>
      </c>
      <c r="X789">
        <f t="shared" si="202"/>
        <v>3.1526541085234297E-2</v>
      </c>
      <c r="Y789">
        <f t="shared" si="203"/>
        <v>1.8069633922510324</v>
      </c>
      <c r="Z789" s="33">
        <f t="shared" si="191"/>
        <v>6.8684144613793713E-2</v>
      </c>
      <c r="AA789" s="33">
        <f t="shared" si="192"/>
        <v>0.5</v>
      </c>
      <c r="AB789">
        <f t="shared" si="193"/>
        <v>4.0111593134791595E-3</v>
      </c>
      <c r="AC789" s="1">
        <f t="shared" si="194"/>
        <v>-2.1933404804549306E-2</v>
      </c>
      <c r="AD789" s="35">
        <f>IF(W789&gt;=FinalAgeForPremium, AE789*Delta-Z789*(Y789-AE789),AE789*Delta+PremiumRevisedForLimitedTerm-Z789*(Y789-AE789))</f>
        <v>1.5972490520381091E-2</v>
      </c>
      <c r="AE789" s="35">
        <f>AE788-StepSize*AD788</f>
        <v>1.4571415558188418E-2</v>
      </c>
      <c r="AF789" s="1"/>
    </row>
    <row r="790" spans="11:32" x14ac:dyDescent="0.45">
      <c r="K790" s="40">
        <f t="shared" si="195"/>
        <v>7.65</v>
      </c>
      <c r="L790" s="41">
        <f t="shared" si="187"/>
        <v>27.65</v>
      </c>
      <c r="M790">
        <f t="shared" si="196"/>
        <v>0.8422160113191226</v>
      </c>
      <c r="N790">
        <f t="shared" si="197"/>
        <v>0.15778398868087529</v>
      </c>
      <c r="O790">
        <f t="shared" si="188"/>
        <v>0.1083534310737428</v>
      </c>
      <c r="P790">
        <f t="shared" si="189"/>
        <v>0.5</v>
      </c>
      <c r="Q790">
        <f t="shared" si="198"/>
        <v>-1.236500019123149E-2</v>
      </c>
      <c r="R790" s="6">
        <f t="shared" si="199"/>
        <v>1.236500019123149E-2</v>
      </c>
      <c r="S790" s="18">
        <f t="shared" si="200"/>
        <v>0.99999999999999789</v>
      </c>
      <c r="T790" s="15"/>
      <c r="U790" s="15"/>
      <c r="V790" s="40">
        <f t="shared" si="201"/>
        <v>2.35</v>
      </c>
      <c r="W790" s="41">
        <f t="shared" si="190"/>
        <v>22.35</v>
      </c>
      <c r="X790">
        <f t="shared" si="202"/>
        <v>3.1486429492099503E-2</v>
      </c>
      <c r="Y790">
        <f t="shared" si="203"/>
        <v>1.8071827262990778</v>
      </c>
      <c r="Z790" s="33">
        <f t="shared" si="191"/>
        <v>6.8624979697425245E-2</v>
      </c>
      <c r="AA790" s="33">
        <f t="shared" si="192"/>
        <v>0.5</v>
      </c>
      <c r="AB790">
        <f t="shared" si="193"/>
        <v>4.0963928547805561E-3</v>
      </c>
      <c r="AC790" s="1">
        <f t="shared" si="194"/>
        <v>-2.1792715281557018E-2</v>
      </c>
      <c r="AD790" s="35">
        <f>IF(W790&gt;=FinalAgeForPremium, AE790*Delta-Z790*(Y790-AE790),AE790*Delta+PremiumRevisedForLimitedTerm-Z790*(Y790-AE790))</f>
        <v>1.604453808355058E-2</v>
      </c>
      <c r="AE790" s="35">
        <f>AE789-StepSize*AD789</f>
        <v>1.4411690652984607E-2</v>
      </c>
      <c r="AF790" s="1"/>
    </row>
    <row r="791" spans="11:32" x14ac:dyDescent="0.45">
      <c r="K791" s="40">
        <f t="shared" si="195"/>
        <v>7.66</v>
      </c>
      <c r="L791" s="41">
        <f t="shared" si="187"/>
        <v>27.66</v>
      </c>
      <c r="M791">
        <f t="shared" si="196"/>
        <v>0.84209236131721033</v>
      </c>
      <c r="N791">
        <f t="shared" si="197"/>
        <v>0.15790763868278759</v>
      </c>
      <c r="O791">
        <f t="shared" si="188"/>
        <v>0.10844684781085485</v>
      </c>
      <c r="P791">
        <f t="shared" si="189"/>
        <v>0.5</v>
      </c>
      <c r="Q791">
        <f t="shared" si="198"/>
        <v>-1.2368442809057106E-2</v>
      </c>
      <c r="R791" s="6">
        <f t="shared" si="199"/>
        <v>1.2368442809057106E-2</v>
      </c>
      <c r="S791" s="18">
        <f t="shared" si="200"/>
        <v>0.99999999999999789</v>
      </c>
      <c r="T791" s="15"/>
      <c r="U791" s="15"/>
      <c r="V791" s="40">
        <f t="shared" si="201"/>
        <v>2.34</v>
      </c>
      <c r="W791" s="41">
        <f t="shared" si="190"/>
        <v>22.34</v>
      </c>
      <c r="X791">
        <f t="shared" si="202"/>
        <v>3.1445465563551697E-2</v>
      </c>
      <c r="Y791">
        <f t="shared" si="203"/>
        <v>1.8074006534518934</v>
      </c>
      <c r="Z791" s="33">
        <f t="shared" si="191"/>
        <v>6.8565865746055291E-2</v>
      </c>
      <c r="AA791" s="33">
        <f t="shared" si="192"/>
        <v>0.5</v>
      </c>
      <c r="AB791">
        <f t="shared" si="193"/>
        <v>4.1815619917628249E-3</v>
      </c>
      <c r="AC791" s="1">
        <f t="shared" si="194"/>
        <v>-2.1652373383234447E-2</v>
      </c>
      <c r="AD791" s="35">
        <f>IF(W791&gt;=FinalAgeForPremium, AE791*Delta-Z791*(Y791-AE791),AE791*Delta+PremiumRevisedForLimitedTerm-Z791*(Y791-AE791))</f>
        <v>1.6116550153983139E-2</v>
      </c>
      <c r="AE791" s="35">
        <f>AE790-StepSize*AD790</f>
        <v>1.4251245272149101E-2</v>
      </c>
      <c r="AF791" s="1"/>
    </row>
    <row r="792" spans="11:32" x14ac:dyDescent="0.45">
      <c r="K792" s="40">
        <f t="shared" si="195"/>
        <v>7.67</v>
      </c>
      <c r="L792" s="41">
        <f t="shared" si="187"/>
        <v>27.67</v>
      </c>
      <c r="M792">
        <f t="shared" si="196"/>
        <v>0.8419686768891198</v>
      </c>
      <c r="N792">
        <f t="shared" si="197"/>
        <v>0.15803132311087817</v>
      </c>
      <c r="O792">
        <f t="shared" si="188"/>
        <v>0.10854034508705727</v>
      </c>
      <c r="P792">
        <f t="shared" si="189"/>
        <v>0.5</v>
      </c>
      <c r="Q792">
        <f t="shared" si="198"/>
        <v>-1.2371909186599001E-2</v>
      </c>
      <c r="R792" s="6">
        <f t="shared" si="199"/>
        <v>1.2371909186599001E-2</v>
      </c>
      <c r="S792" s="18">
        <f t="shared" si="200"/>
        <v>0.999999999999998</v>
      </c>
      <c r="T792" s="15"/>
      <c r="U792" s="15"/>
      <c r="V792" s="40">
        <f t="shared" si="201"/>
        <v>2.33</v>
      </c>
      <c r="W792" s="41">
        <f t="shared" si="190"/>
        <v>22.33</v>
      </c>
      <c r="X792">
        <f t="shared" si="202"/>
        <v>3.1403649943634065E-2</v>
      </c>
      <c r="Y792">
        <f t="shared" si="203"/>
        <v>1.8076171771857257</v>
      </c>
      <c r="Z792" s="33">
        <f t="shared" si="191"/>
        <v>6.8506802715782328E-2</v>
      </c>
      <c r="AA792" s="33">
        <f t="shared" si="192"/>
        <v>0.5</v>
      </c>
      <c r="AB792">
        <f t="shared" si="193"/>
        <v>4.2666665026515338E-3</v>
      </c>
      <c r="AC792" s="1">
        <f t="shared" si="194"/>
        <v>-2.1512377519667947E-2</v>
      </c>
      <c r="AD792" s="35">
        <f>IF(W792&gt;=FinalAgeForPremium, AE792*Delta-Z792*(Y792-AE792),AE792*Delta+PremiumRevisedForLimitedTerm-Z792*(Y792-AE792))</f>
        <v>1.6188526434749911E-2</v>
      </c>
      <c r="AE792" s="35">
        <f>AE791-StepSize*AD791</f>
        <v>1.4090079770609269E-2</v>
      </c>
      <c r="AF792" s="1"/>
    </row>
    <row r="793" spans="11:32" x14ac:dyDescent="0.45">
      <c r="K793" s="40">
        <f t="shared" si="195"/>
        <v>7.68</v>
      </c>
      <c r="L793" s="41">
        <f t="shared" ref="L793:L856" si="204">$L$5+K793</f>
        <v>27.68</v>
      </c>
      <c r="M793">
        <f t="shared" si="196"/>
        <v>0.84184495779725377</v>
      </c>
      <c r="N793">
        <f t="shared" si="197"/>
        <v>0.15815504220274415</v>
      </c>
      <c r="O793">
        <f t="shared" ref="O793:O856" si="205">mu01Parameter_B*mu01Parameter_c^L793</f>
        <v>0.10863392297178662</v>
      </c>
      <c r="P793">
        <f t="shared" ref="P793:P856" si="206">mu10Constant</f>
        <v>0.5</v>
      </c>
      <c r="Q793">
        <f t="shared" si="198"/>
        <v>-1.2375399198161746E-2</v>
      </c>
      <c r="R793" s="6">
        <f t="shared" si="199"/>
        <v>1.2375399198161746E-2</v>
      </c>
      <c r="S793" s="18">
        <f t="shared" si="200"/>
        <v>0.99999999999999789</v>
      </c>
      <c r="T793" s="15"/>
      <c r="U793" s="15"/>
      <c r="V793" s="40">
        <f t="shared" si="201"/>
        <v>2.3199999999999998</v>
      </c>
      <c r="W793" s="41">
        <f t="shared" ref="W793:W856" si="207">$L$5+V793</f>
        <v>22.32</v>
      </c>
      <c r="X793">
        <f t="shared" si="202"/>
        <v>3.1360983278607549E-2</v>
      </c>
      <c r="Y793">
        <f t="shared" si="203"/>
        <v>1.8078323009609223</v>
      </c>
      <c r="Z793" s="33">
        <f t="shared" ref="Z793:Z856" si="208">mu01Parameter_B*mu01Parameter_c^W793</f>
        <v>6.8447790562742625E-2</v>
      </c>
      <c r="AA793" s="33">
        <f t="shared" ref="AA793:AA856" si="209">mu10Constant</f>
        <v>0.5</v>
      </c>
      <c r="AB793">
        <f t="shared" ref="AB793:AB856" si="210">X793*Delta+Premium-Z793*(Y793-X793)</f>
        <v>4.3517061678395308E-3</v>
      </c>
      <c r="AC793" s="1">
        <f t="shared" ref="AC793:AC856" si="211">Y793*Delta-AnnuityWhileSIck-AA793*(X793-Y793)</f>
        <v>-2.1372726110796436E-2</v>
      </c>
      <c r="AD793" s="35">
        <f>IF(W793&gt;=FinalAgeForPremium, AE793*Delta-Z793*(Y793-AE793),AE793*Delta+PremiumRevisedForLimitedTerm-Z793*(Y793-AE793))</f>
        <v>1.6260466631307077E-2</v>
      </c>
      <c r="AE793" s="35">
        <f>AE792-StepSize*AD792</f>
        <v>1.392819450626177E-2</v>
      </c>
      <c r="AF793" s="1"/>
    </row>
    <row r="794" spans="11:32" x14ac:dyDescent="0.45">
      <c r="K794" s="40">
        <f t="shared" ref="K794:K857" si="212">ROUND(K793+StepSize,2)</f>
        <v>7.69</v>
      </c>
      <c r="L794" s="41">
        <f t="shared" si="204"/>
        <v>27.69</v>
      </c>
      <c r="M794">
        <f t="shared" ref="M794:M857" si="213">M793+StepSize*Q793</f>
        <v>0.84172120380527216</v>
      </c>
      <c r="N794">
        <f t="shared" ref="N794:N857" si="214">N793+StepSize*R793</f>
        <v>0.15827879619472576</v>
      </c>
      <c r="O794">
        <f t="shared" si="205"/>
        <v>0.10872758153453946</v>
      </c>
      <c r="P794">
        <f t="shared" si="206"/>
        <v>0.5</v>
      </c>
      <c r="Q794">
        <f t="shared" ref="Q794:Q857" si="215">N794*P794-M794*O794</f>
        <v>-1.2378912718725557E-2</v>
      </c>
      <c r="R794" s="6">
        <f t="shared" ref="R794:R857" si="216">M794*O794-N794*P794</f>
        <v>1.2378912718725557E-2</v>
      </c>
      <c r="S794" s="18">
        <f t="shared" ref="S794:S857" si="217">M794+N794</f>
        <v>0.99999999999999789</v>
      </c>
      <c r="T794" s="15"/>
      <c r="U794" s="15"/>
      <c r="V794" s="40">
        <f t="shared" ref="V794:V857" si="218">ROUND(V793-StepSize,2)</f>
        <v>2.31</v>
      </c>
      <c r="W794" s="41">
        <f t="shared" si="207"/>
        <v>22.31</v>
      </c>
      <c r="X794">
        <f t="shared" ref="X794:X857" si="219">X793-StepSize*AB793</f>
        <v>3.131746621692915E-2</v>
      </c>
      <c r="Y794">
        <f t="shared" ref="Y794:Y857" si="220">Y793-StepSize*AC793</f>
        <v>1.8080460282220303</v>
      </c>
      <c r="Z794" s="33">
        <f t="shared" si="208"/>
        <v>6.8388829243110238E-2</v>
      </c>
      <c r="AA794" s="33">
        <f t="shared" si="209"/>
        <v>0.5</v>
      </c>
      <c r="AB794">
        <f t="shared" si="210"/>
        <v>4.4366807698704713E-3</v>
      </c>
      <c r="AC794" s="1">
        <f t="shared" si="211"/>
        <v>-2.1233417586347891E-2</v>
      </c>
      <c r="AD794" s="35">
        <f>IF(W794&gt;=FinalAgeForPremium, AE794*Delta-Z794*(Y794-AE794),AE794*Delta+PremiumRevisedForLimitedTerm-Z794*(Y794-AE794))</f>
        <v>1.6332370451478812E-2</v>
      </c>
      <c r="AE794" s="35">
        <f>AE793-StepSize*AD793</f>
        <v>1.3765589839948699E-2</v>
      </c>
      <c r="AF794" s="1"/>
    </row>
    <row r="795" spans="11:32" x14ac:dyDescent="0.45">
      <c r="K795" s="40">
        <f t="shared" si="212"/>
        <v>7.7</v>
      </c>
      <c r="L795" s="41">
        <f t="shared" si="204"/>
        <v>27.7</v>
      </c>
      <c r="M795">
        <f t="shared" si="213"/>
        <v>0.84159741467808491</v>
      </c>
      <c r="N795">
        <f t="shared" si="214"/>
        <v>0.15840258532191301</v>
      </c>
      <c r="O795">
        <f t="shared" si="205"/>
        <v>0.10882132084487221</v>
      </c>
      <c r="P795">
        <f t="shared" si="206"/>
        <v>0.5</v>
      </c>
      <c r="Q795">
        <f t="shared" si="215"/>
        <v>-1.2382449623942346E-2</v>
      </c>
      <c r="R795" s="6">
        <f t="shared" si="216"/>
        <v>1.2382449623942346E-2</v>
      </c>
      <c r="S795" s="18">
        <f t="shared" si="217"/>
        <v>0.99999999999999789</v>
      </c>
      <c r="T795" s="15"/>
      <c r="U795" s="15"/>
      <c r="V795" s="40">
        <f t="shared" si="218"/>
        <v>2.2999999999999998</v>
      </c>
      <c r="W795" s="41">
        <f t="shared" si="207"/>
        <v>22.3</v>
      </c>
      <c r="X795">
        <f t="shared" si="219"/>
        <v>3.1273099409230447E-2</v>
      </c>
      <c r="Y795">
        <f t="shared" si="220"/>
        <v>1.8082583623978938</v>
      </c>
      <c r="Z795" s="33">
        <f t="shared" si="208"/>
        <v>6.8329918713096988E-2</v>
      </c>
      <c r="AA795" s="33">
        <f t="shared" si="209"/>
        <v>0.5</v>
      </c>
      <c r="AB795">
        <f t="shared" si="210"/>
        <v>4.5215900934225534E-3</v>
      </c>
      <c r="AC795" s="1">
        <f t="shared" si="211"/>
        <v>-2.1094450385773622E-2</v>
      </c>
      <c r="AD795" s="35">
        <f>IF(W795&gt;=FinalAgeForPremium, AE795*Delta-Z795*(Y795-AE795),AE795*Delta+PremiumRevisedForLimitedTerm-Z795*(Y795-AE795))</f>
        <v>1.640423760544038E-2</v>
      </c>
      <c r="AE795" s="35">
        <f>AE794-StepSize*AD794</f>
        <v>1.3602266135433911E-2</v>
      </c>
      <c r="AF795" s="1"/>
    </row>
    <row r="796" spans="11:32" x14ac:dyDescent="0.45">
      <c r="K796" s="40">
        <f t="shared" si="212"/>
        <v>7.71</v>
      </c>
      <c r="L796" s="41">
        <f t="shared" si="204"/>
        <v>27.71</v>
      </c>
      <c r="M796">
        <f t="shared" si="213"/>
        <v>0.84147359018184553</v>
      </c>
      <c r="N796">
        <f t="shared" si="214"/>
        <v>0.15852640981815244</v>
      </c>
      <c r="O796">
        <f t="shared" si="205"/>
        <v>0.10891514097240133</v>
      </c>
      <c r="P796">
        <f t="shared" si="206"/>
        <v>0.5</v>
      </c>
      <c r="Q796">
        <f t="shared" si="215"/>
        <v>-1.2386009790132158E-2</v>
      </c>
      <c r="R796" s="6">
        <f t="shared" si="216"/>
        <v>1.2386009790132158E-2</v>
      </c>
      <c r="S796" s="18">
        <f t="shared" si="217"/>
        <v>0.999999999999998</v>
      </c>
      <c r="T796" s="15"/>
      <c r="U796" s="15"/>
      <c r="V796" s="40">
        <f t="shared" si="218"/>
        <v>2.29</v>
      </c>
      <c r="W796" s="41">
        <f t="shared" si="207"/>
        <v>22.29</v>
      </c>
      <c r="X796">
        <f t="shared" si="219"/>
        <v>3.1227883508296223E-2</v>
      </c>
      <c r="Y796">
        <f t="shared" si="220"/>
        <v>1.8084693069017517</v>
      </c>
      <c r="Z796" s="33">
        <f t="shared" si="208"/>
        <v>6.8271058928952369E-2</v>
      </c>
      <c r="AA796" s="33">
        <f t="shared" si="209"/>
        <v>0.5</v>
      </c>
      <c r="AB796">
        <f t="shared" si="210"/>
        <v>4.6064339252926828E-3</v>
      </c>
      <c r="AC796" s="1">
        <f t="shared" si="211"/>
        <v>-2.0955822958184656E-2</v>
      </c>
      <c r="AD796" s="35">
        <f>IF(W796&gt;=FinalAgeForPremium, AE796*Delta-Z796*(Y796-AE796),AE796*Delta+PremiumRevisedForLimitedTerm-Z796*(Y796-AE796))</f>
        <v>1.6476067805701419E-2</v>
      </c>
      <c r="AE796" s="35">
        <f>AE795-StepSize*AD795</f>
        <v>1.3438223759379506E-2</v>
      </c>
      <c r="AF796" s="1"/>
    </row>
    <row r="797" spans="11:32" x14ac:dyDescent="0.45">
      <c r="K797" s="40">
        <f t="shared" si="212"/>
        <v>7.72</v>
      </c>
      <c r="L797" s="41">
        <f t="shared" si="204"/>
        <v>27.72</v>
      </c>
      <c r="M797">
        <f t="shared" si="213"/>
        <v>0.8413497300839442</v>
      </c>
      <c r="N797">
        <f t="shared" si="214"/>
        <v>0.15865026991605377</v>
      </c>
      <c r="O797">
        <f t="shared" si="205"/>
        <v>0.10900904198680314</v>
      </c>
      <c r="P797">
        <f t="shared" si="206"/>
        <v>0.5</v>
      </c>
      <c r="Q797">
        <f t="shared" si="215"/>
        <v>-1.2389593094279283E-2</v>
      </c>
      <c r="R797" s="6">
        <f t="shared" si="216"/>
        <v>1.2389593094279283E-2</v>
      </c>
      <c r="S797" s="18">
        <f t="shared" si="217"/>
        <v>0.999999999999998</v>
      </c>
      <c r="T797" s="15"/>
      <c r="U797" s="15"/>
      <c r="V797" s="40">
        <f t="shared" si="218"/>
        <v>2.2799999999999998</v>
      </c>
      <c r="W797" s="41">
        <f t="shared" si="207"/>
        <v>22.28</v>
      </c>
      <c r="X797">
        <f t="shared" si="219"/>
        <v>3.1181819169043296E-2</v>
      </c>
      <c r="Y797">
        <f t="shared" si="220"/>
        <v>1.8086788651313335</v>
      </c>
      <c r="Z797" s="33">
        <f t="shared" si="208"/>
        <v>6.8212249846963641E-2</v>
      </c>
      <c r="AA797" s="33">
        <f t="shared" si="209"/>
        <v>0.5</v>
      </c>
      <c r="AB797">
        <f t="shared" si="210"/>
        <v>4.6912120543802921E-3</v>
      </c>
      <c r="AC797" s="1">
        <f t="shared" si="211"/>
        <v>-2.0817533762288343E-2</v>
      </c>
      <c r="AD797" s="35">
        <f>IF(W797&gt;=FinalAgeForPremium, AE797*Delta-Z797*(Y797-AE797),AE797*Delta+PremiumRevisedForLimitedTerm-Z797*(Y797-AE797))</f>
        <v>1.6547860767089112E-2</v>
      </c>
      <c r="AE797" s="35">
        <f>AE796-StepSize*AD796</f>
        <v>1.3273463081322491E-2</v>
      </c>
      <c r="AF797" s="1"/>
    </row>
    <row r="798" spans="11:32" x14ac:dyDescent="0.45">
      <c r="K798" s="40">
        <f t="shared" si="212"/>
        <v>7.73</v>
      </c>
      <c r="L798" s="41">
        <f t="shared" si="204"/>
        <v>27.73</v>
      </c>
      <c r="M798">
        <f t="shared" si="213"/>
        <v>0.84122583415300145</v>
      </c>
      <c r="N798">
        <f t="shared" si="214"/>
        <v>0.15877416584699655</v>
      </c>
      <c r="O798">
        <f t="shared" si="205"/>
        <v>0.10910302395781417</v>
      </c>
      <c r="P798">
        <f t="shared" si="206"/>
        <v>0.5</v>
      </c>
      <c r="Q798">
        <f t="shared" si="215"/>
        <v>-1.2393199414028847E-2</v>
      </c>
      <c r="R798" s="6">
        <f t="shared" si="216"/>
        <v>1.2393199414028847E-2</v>
      </c>
      <c r="S798" s="18">
        <f t="shared" si="217"/>
        <v>0.999999999999998</v>
      </c>
      <c r="T798" s="15"/>
      <c r="U798" s="15"/>
      <c r="V798" s="40">
        <f t="shared" si="218"/>
        <v>2.27</v>
      </c>
      <c r="W798" s="41">
        <f t="shared" si="207"/>
        <v>22.27</v>
      </c>
      <c r="X798">
        <f t="shared" si="219"/>
        <v>3.1134907048499492E-2</v>
      </c>
      <c r="Y798">
        <f t="shared" si="220"/>
        <v>1.8088870404689563</v>
      </c>
      <c r="Z798" s="33">
        <f t="shared" si="208"/>
        <v>6.8153491423455656E-2</v>
      </c>
      <c r="AA798" s="33">
        <f t="shared" si="209"/>
        <v>0.5</v>
      </c>
      <c r="AB798">
        <f t="shared" si="210"/>
        <v>4.7759242716715194E-3</v>
      </c>
      <c r="AC798" s="1">
        <f t="shared" si="211"/>
        <v>-2.0679581266323743E-2</v>
      </c>
      <c r="AD798" s="35">
        <f>IF(W798&gt;=FinalAgeForPremium, AE798*Delta-Z798*(Y798-AE798),AE798*Delta+PremiumRevisedForLimitedTerm-Z798*(Y798-AE798))</f>
        <v>1.661961620673183E-2</v>
      </c>
      <c r="AE798" s="35">
        <f>AE797-StepSize*AD797</f>
        <v>1.31079844736516E-2</v>
      </c>
      <c r="AF798" s="1"/>
    </row>
    <row r="799" spans="11:32" x14ac:dyDescent="0.45">
      <c r="K799" s="40">
        <f t="shared" si="212"/>
        <v>7.74</v>
      </c>
      <c r="L799" s="41">
        <f t="shared" si="204"/>
        <v>27.740000000000002</v>
      </c>
      <c r="M799">
        <f t="shared" si="213"/>
        <v>0.84110190215886116</v>
      </c>
      <c r="N799">
        <f t="shared" si="214"/>
        <v>0.15889809784113684</v>
      </c>
      <c r="O799">
        <f t="shared" si="205"/>
        <v>0.10919708695523106</v>
      </c>
      <c r="P799">
        <f t="shared" si="206"/>
        <v>0.5</v>
      </c>
      <c r="Q799">
        <f t="shared" si="215"/>
        <v>-1.2396828627682988E-2</v>
      </c>
      <c r="R799" s="6">
        <f t="shared" si="216"/>
        <v>1.2396828627682988E-2</v>
      </c>
      <c r="S799" s="18">
        <f t="shared" si="217"/>
        <v>0.999999999999998</v>
      </c>
      <c r="T799" s="15"/>
      <c r="U799" s="15"/>
      <c r="V799" s="40">
        <f t="shared" si="218"/>
        <v>2.2599999999999998</v>
      </c>
      <c r="W799" s="41">
        <f t="shared" si="207"/>
        <v>22.259999999999998</v>
      </c>
      <c r="X799">
        <f t="shared" si="219"/>
        <v>3.1087147805782776E-2</v>
      </c>
      <c r="Y799">
        <f t="shared" si="220"/>
        <v>1.8090938362816196</v>
      </c>
      <c r="Z799" s="33">
        <f t="shared" si="208"/>
        <v>6.8094783614790905E-2</v>
      </c>
      <c r="AA799" s="33">
        <f t="shared" si="209"/>
        <v>0.5</v>
      </c>
      <c r="AB799">
        <f t="shared" si="210"/>
        <v>4.860570370223749E-3</v>
      </c>
      <c r="AC799" s="1">
        <f t="shared" si="211"/>
        <v>-2.0541963948000674E-2</v>
      </c>
      <c r="AD799" s="35">
        <f>IF(W799&gt;=FinalAgeForPremium, AE799*Delta-Z799*(Y799-AE799),AE799*Delta+PremiumRevisedForLimitedTerm-Z799*(Y799-AE799))</f>
        <v>1.6691333844042686E-2</v>
      </c>
      <c r="AE799" s="35">
        <f>AE798-StepSize*AD798</f>
        <v>1.2941788311584282E-2</v>
      </c>
      <c r="AF799" s="1"/>
    </row>
    <row r="800" spans="11:32" x14ac:dyDescent="0.45">
      <c r="K800" s="40">
        <f t="shared" si="212"/>
        <v>7.75</v>
      </c>
      <c r="L800" s="41">
        <f t="shared" si="204"/>
        <v>27.75</v>
      </c>
      <c r="M800">
        <f t="shared" si="213"/>
        <v>0.84097793387258435</v>
      </c>
      <c r="N800">
        <f t="shared" si="214"/>
        <v>0.15902206612741368</v>
      </c>
      <c r="O800">
        <f t="shared" si="205"/>
        <v>0.10929123104891053</v>
      </c>
      <c r="P800">
        <f t="shared" si="206"/>
        <v>0.5</v>
      </c>
      <c r="Q800">
        <f t="shared" si="215"/>
        <v>-1.2400480614197185E-2</v>
      </c>
      <c r="R800" s="6">
        <f t="shared" si="216"/>
        <v>1.2400480614197185E-2</v>
      </c>
      <c r="S800" s="18">
        <f t="shared" si="217"/>
        <v>0.999999999999998</v>
      </c>
      <c r="T800" s="15"/>
      <c r="U800" s="15"/>
      <c r="V800" s="40">
        <f t="shared" si="218"/>
        <v>2.25</v>
      </c>
      <c r="W800" s="41">
        <f t="shared" si="207"/>
        <v>22.25</v>
      </c>
      <c r="X800">
        <f t="shared" si="219"/>
        <v>3.1038542102080537E-2</v>
      </c>
      <c r="Y800">
        <f t="shared" si="220"/>
        <v>1.8092992559210996</v>
      </c>
      <c r="Z800" s="33">
        <f t="shared" si="208"/>
        <v>6.8036126377369499E-2</v>
      </c>
      <c r="AA800" s="33">
        <f t="shared" si="209"/>
        <v>0.5</v>
      </c>
      <c r="AB800">
        <f t="shared" si="210"/>
        <v>4.9451501451496099E-3</v>
      </c>
      <c r="AC800" s="1">
        <f t="shared" si="211"/>
        <v>-2.0404680294435429E-2</v>
      </c>
      <c r="AD800" s="35">
        <f>IF(W800&gt;=FinalAgeForPremium, AE800*Delta-Z800*(Y800-AE800),AE800*Delta+PremiumRevisedForLimitedTerm-Z800*(Y800-AE800))</f>
        <v>1.6763013400703103E-2</v>
      </c>
      <c r="AE800" s="35">
        <f>AE799-StepSize*AD799</f>
        <v>1.2774874973143856E-2</v>
      </c>
      <c r="AF800" s="1"/>
    </row>
    <row r="801" spans="11:32" x14ac:dyDescent="0.45">
      <c r="K801" s="40">
        <f t="shared" si="212"/>
        <v>7.76</v>
      </c>
      <c r="L801" s="41">
        <f t="shared" si="204"/>
        <v>27.759999999999998</v>
      </c>
      <c r="M801">
        <f t="shared" si="213"/>
        <v>0.84085392906644241</v>
      </c>
      <c r="N801">
        <f t="shared" si="214"/>
        <v>0.15914607093355565</v>
      </c>
      <c r="O801">
        <f t="shared" si="205"/>
        <v>0.10938545630876963</v>
      </c>
      <c r="P801">
        <f t="shared" si="206"/>
        <v>0.5</v>
      </c>
      <c r="Q801">
        <f t="shared" si="215"/>
        <v>-1.2404155253176785E-2</v>
      </c>
      <c r="R801" s="6">
        <f t="shared" si="216"/>
        <v>1.2404155253176785E-2</v>
      </c>
      <c r="S801" s="18">
        <f t="shared" si="217"/>
        <v>0.999999999999998</v>
      </c>
      <c r="T801" s="15"/>
      <c r="U801" s="15"/>
      <c r="V801" s="40">
        <f t="shared" si="218"/>
        <v>2.2400000000000002</v>
      </c>
      <c r="W801" s="41">
        <f t="shared" si="207"/>
        <v>22.240000000000002</v>
      </c>
      <c r="X801">
        <f t="shared" si="219"/>
        <v>3.098909060062904E-2</v>
      </c>
      <c r="Y801">
        <f t="shared" si="220"/>
        <v>1.8095033027240439</v>
      </c>
      <c r="Z801" s="33">
        <f t="shared" si="208"/>
        <v>6.7977519667629077E-2</v>
      </c>
      <c r="AA801" s="33">
        <f t="shared" si="209"/>
        <v>0.5</v>
      </c>
      <c r="AB801">
        <f t="shared" si="210"/>
        <v>5.0296633936018492E-3</v>
      </c>
      <c r="AC801" s="1">
        <f t="shared" si="211"/>
        <v>-2.0267728802090268E-2</v>
      </c>
      <c r="AD801" s="35">
        <f>IF(W801&gt;=FinalAgeForPremium, AE801*Delta-Z801*(Y801-AE801),AE801*Delta+PremiumRevisedForLimitedTerm-Z801*(Y801-AE801))</f>
        <v>1.6834654600646953E-2</v>
      </c>
      <c r="AE801" s="35">
        <f>AE800-StepSize*AD800</f>
        <v>1.2607244839136824E-2</v>
      </c>
      <c r="AF801" s="1"/>
    </row>
    <row r="802" spans="11:32" x14ac:dyDescent="0.45">
      <c r="K802" s="40">
        <f t="shared" si="212"/>
        <v>7.77</v>
      </c>
      <c r="L802" s="41">
        <f t="shared" si="204"/>
        <v>27.77</v>
      </c>
      <c r="M802">
        <f t="shared" si="213"/>
        <v>0.84072988751391065</v>
      </c>
      <c r="N802">
        <f t="shared" si="214"/>
        <v>0.15927011248608741</v>
      </c>
      <c r="O802">
        <f t="shared" si="205"/>
        <v>0.10947976280478564</v>
      </c>
      <c r="P802">
        <f t="shared" si="206"/>
        <v>0.5</v>
      </c>
      <c r="Q802">
        <f t="shared" si="215"/>
        <v>-1.2407852424873342E-2</v>
      </c>
      <c r="R802" s="6">
        <f t="shared" si="216"/>
        <v>1.2407852424873342E-2</v>
      </c>
      <c r="S802" s="18">
        <f t="shared" si="217"/>
        <v>0.999999999999998</v>
      </c>
      <c r="T802" s="15"/>
      <c r="U802" s="15"/>
      <c r="V802" s="40">
        <f t="shared" si="218"/>
        <v>2.23</v>
      </c>
      <c r="W802" s="41">
        <f t="shared" si="207"/>
        <v>22.23</v>
      </c>
      <c r="X802">
        <f t="shared" si="219"/>
        <v>3.093879396669302E-2</v>
      </c>
      <c r="Y802">
        <f t="shared" si="220"/>
        <v>1.8097059800120647</v>
      </c>
      <c r="Z802" s="33">
        <f t="shared" si="208"/>
        <v>6.7918963442044747E-2</v>
      </c>
      <c r="AA802" s="33">
        <f t="shared" si="209"/>
        <v>0.5</v>
      </c>
      <c r="AB802">
        <f t="shared" si="210"/>
        <v>5.1141099147579E-3</v>
      </c>
      <c r="AC802" s="1">
        <f t="shared" si="211"/>
        <v>-2.0131107976710916E-2</v>
      </c>
      <c r="AD802" s="35">
        <f>IF(W802&gt;=FinalAgeForPremium, AE802*Delta-Z802*(Y802-AE802),AE802*Delta+PremiumRevisedForLimitedTerm-Z802*(Y802-AE802))</f>
        <v>1.690625717004432E-2</v>
      </c>
      <c r="AE802" s="35">
        <f>AE801-StepSize*AD801</f>
        <v>1.2438898293130355E-2</v>
      </c>
      <c r="AF802" s="1"/>
    </row>
    <row r="803" spans="11:32" x14ac:dyDescent="0.45">
      <c r="K803" s="40">
        <f t="shared" si="212"/>
        <v>7.78</v>
      </c>
      <c r="L803" s="41">
        <f t="shared" si="204"/>
        <v>27.78</v>
      </c>
      <c r="M803">
        <f t="shared" si="213"/>
        <v>0.84060580898966186</v>
      </c>
      <c r="N803">
        <f t="shared" si="214"/>
        <v>0.15939419101033614</v>
      </c>
      <c r="O803">
        <f t="shared" si="205"/>
        <v>0.10957415060699627</v>
      </c>
      <c r="P803">
        <f t="shared" si="206"/>
        <v>0.5</v>
      </c>
      <c r="Q803">
        <f t="shared" si="215"/>
        <v>-1.2411572010181074E-2</v>
      </c>
      <c r="R803" s="6">
        <f t="shared" si="216"/>
        <v>1.2411572010181074E-2</v>
      </c>
      <c r="S803" s="18">
        <f t="shared" si="217"/>
        <v>0.999999999999998</v>
      </c>
      <c r="T803" s="15"/>
      <c r="U803" s="15"/>
      <c r="V803" s="40">
        <f t="shared" si="218"/>
        <v>2.2200000000000002</v>
      </c>
      <c r="W803" s="41">
        <f t="shared" si="207"/>
        <v>22.22</v>
      </c>
      <c r="X803">
        <f t="shared" si="219"/>
        <v>3.088765286754544E-2</v>
      </c>
      <c r="Y803">
        <f t="shared" si="220"/>
        <v>1.8099072910918319</v>
      </c>
      <c r="Z803" s="33">
        <f t="shared" si="208"/>
        <v>6.7860457657129197E-2</v>
      </c>
      <c r="AA803" s="33">
        <f t="shared" si="209"/>
        <v>0.5</v>
      </c>
      <c r="AB803">
        <f t="shared" si="210"/>
        <v>5.1984895098044354E-3</v>
      </c>
      <c r="AC803" s="1">
        <f t="shared" si="211"/>
        <v>-1.9994816333265164E-2</v>
      </c>
      <c r="AD803" s="35">
        <f>IF(W803&gt;=FinalAgeForPremium, AE803*Delta-Z803*(Y803-AE803),AE803*Delta+PremiumRevisedForLimitedTerm-Z803*(Y803-AE803))</f>
        <v>1.6977820837285412E-2</v>
      </c>
      <c r="AE803" s="35">
        <f>AE802-StepSize*AD802</f>
        <v>1.2269835721429912E-2</v>
      </c>
      <c r="AF803" s="1"/>
    </row>
    <row r="804" spans="11:32" x14ac:dyDescent="0.45">
      <c r="K804" s="40">
        <f t="shared" si="212"/>
        <v>7.79</v>
      </c>
      <c r="L804" s="41">
        <f t="shared" si="204"/>
        <v>27.79</v>
      </c>
      <c r="M804">
        <f t="shared" si="213"/>
        <v>0.84048169326956002</v>
      </c>
      <c r="N804">
        <f t="shared" si="214"/>
        <v>0.15951830673043796</v>
      </c>
      <c r="O804">
        <f t="shared" si="205"/>
        <v>0.10966861978549935</v>
      </c>
      <c r="P804">
        <f t="shared" si="206"/>
        <v>0.5</v>
      </c>
      <c r="Q804">
        <f t="shared" si="215"/>
        <v>-1.2415313890633092E-2</v>
      </c>
      <c r="R804" s="6">
        <f t="shared" si="216"/>
        <v>1.2415313890633092E-2</v>
      </c>
      <c r="S804" s="18">
        <f t="shared" si="217"/>
        <v>0.999999999999998</v>
      </c>
      <c r="T804" s="15"/>
      <c r="U804" s="15"/>
      <c r="V804" s="40">
        <f t="shared" si="218"/>
        <v>2.21</v>
      </c>
      <c r="W804" s="41">
        <f t="shared" si="207"/>
        <v>22.21</v>
      </c>
      <c r="X804">
        <f t="shared" si="219"/>
        <v>3.0835667972447394E-2</v>
      </c>
      <c r="Y804">
        <f t="shared" si="220"/>
        <v>1.8101072392551645</v>
      </c>
      <c r="Z804" s="33">
        <f t="shared" si="208"/>
        <v>6.7802002269432601E-2</v>
      </c>
      <c r="AA804" s="33">
        <f t="shared" si="209"/>
        <v>0.5</v>
      </c>
      <c r="AB804">
        <f t="shared" si="210"/>
        <v>5.2828019819223249E-3</v>
      </c>
      <c r="AC804" s="1">
        <f t="shared" si="211"/>
        <v>-1.9858852395883142E-2</v>
      </c>
      <c r="AD804" s="35">
        <f>IF(W804&gt;=FinalAgeForPremium, AE804*Delta-Z804*(Y804-AE804),AE804*Delta+PremiumRevisedForLimitedTerm-Z804*(Y804-AE804))</f>
        <v>1.7049345332964899E-2</v>
      </c>
      <c r="AE804" s="35">
        <f>AE803-StepSize*AD803</f>
        <v>1.2100057513057058E-2</v>
      </c>
      <c r="AF804" s="1"/>
    </row>
    <row r="805" spans="11:32" x14ac:dyDescent="0.45">
      <c r="K805" s="40">
        <f t="shared" si="212"/>
        <v>7.8</v>
      </c>
      <c r="L805" s="41">
        <f t="shared" si="204"/>
        <v>27.8</v>
      </c>
      <c r="M805">
        <f t="shared" si="213"/>
        <v>0.84035754013065367</v>
      </c>
      <c r="N805">
        <f t="shared" si="214"/>
        <v>0.15964245986934428</v>
      </c>
      <c r="O805">
        <f t="shared" si="205"/>
        <v>0.10976317041045346</v>
      </c>
      <c r="P805">
        <f t="shared" si="206"/>
        <v>0.5</v>
      </c>
      <c r="Q805">
        <f t="shared" si="215"/>
        <v>-1.2419077948398277E-2</v>
      </c>
      <c r="R805" s="6">
        <f t="shared" si="216"/>
        <v>1.2419077948398277E-2</v>
      </c>
      <c r="S805" s="18">
        <f t="shared" si="217"/>
        <v>0.999999999999998</v>
      </c>
      <c r="T805" s="15"/>
      <c r="U805" s="15"/>
      <c r="V805" s="40">
        <f t="shared" si="218"/>
        <v>2.2000000000000002</v>
      </c>
      <c r="W805" s="41">
        <f t="shared" si="207"/>
        <v>22.2</v>
      </c>
      <c r="X805">
        <f t="shared" si="219"/>
        <v>3.078283995262817E-2</v>
      </c>
      <c r="Y805">
        <f t="shared" si="220"/>
        <v>1.8103058277791233</v>
      </c>
      <c r="Z805" s="33">
        <f t="shared" si="208"/>
        <v>6.7743597235542422E-2</v>
      </c>
      <c r="AA805" s="33">
        <f t="shared" si="209"/>
        <v>0.5</v>
      </c>
      <c r="AB805">
        <f t="shared" si="210"/>
        <v>5.3670471362719241E-3</v>
      </c>
      <c r="AC805" s="1">
        <f t="shared" si="211"/>
        <v>-1.9723214697796254E-2</v>
      </c>
      <c r="AD805" s="35">
        <f>IF(W805&gt;=FinalAgeForPremium, AE805*Delta-Z805*(Y805-AE805),AE805*Delta+PremiumRevisedForLimitedTerm-Z805*(Y805-AE805))</f>
        <v>1.7120830389866531E-2</v>
      </c>
      <c r="AE805" s="35">
        <f>AE804-StepSize*AD804</f>
        <v>1.1929564059727409E-2</v>
      </c>
      <c r="AF805" s="1"/>
    </row>
    <row r="806" spans="11:32" x14ac:dyDescent="0.45">
      <c r="K806" s="40">
        <f t="shared" si="212"/>
        <v>7.81</v>
      </c>
      <c r="L806" s="41">
        <f t="shared" si="204"/>
        <v>27.81</v>
      </c>
      <c r="M806">
        <f t="shared" si="213"/>
        <v>0.84023334935116967</v>
      </c>
      <c r="N806">
        <f t="shared" si="214"/>
        <v>0.15976665064882825</v>
      </c>
      <c r="O806">
        <f t="shared" si="205"/>
        <v>0.10985780255207747</v>
      </c>
      <c r="P806">
        <f t="shared" si="206"/>
        <v>0.5</v>
      </c>
      <c r="Q806">
        <f t="shared" si="215"/>
        <v>-1.2422864066277406E-2</v>
      </c>
      <c r="R806" s="6">
        <f t="shared" si="216"/>
        <v>1.2422864066277406E-2</v>
      </c>
      <c r="S806" s="18">
        <f t="shared" si="217"/>
        <v>0.99999999999999789</v>
      </c>
      <c r="T806" s="15"/>
      <c r="U806" s="15"/>
      <c r="V806" s="40">
        <f t="shared" si="218"/>
        <v>2.19</v>
      </c>
      <c r="W806" s="41">
        <f t="shared" si="207"/>
        <v>22.19</v>
      </c>
      <c r="X806">
        <f t="shared" si="219"/>
        <v>3.0729169481265452E-2</v>
      </c>
      <c r="Y806">
        <f t="shared" si="220"/>
        <v>1.8105030599261012</v>
      </c>
      <c r="Z806" s="33">
        <f t="shared" si="208"/>
        <v>6.768524251208366E-2</v>
      </c>
      <c r="AA806" s="33">
        <f t="shared" si="209"/>
        <v>0.5</v>
      </c>
      <c r="AB806">
        <f t="shared" si="210"/>
        <v>5.4512247799776148E-3</v>
      </c>
      <c r="AC806" s="1">
        <f t="shared" si="211"/>
        <v>-1.9587901781277117E-2</v>
      </c>
      <c r="AD806" s="35">
        <f>IF(W806&gt;=FinalAgeForPremium, AE806*Delta-Z806*(Y806-AE806),AE806*Delta+PremiumRevisedForLimitedTerm-Z806*(Y806-AE806))</f>
        <v>1.7192275742946905E-2</v>
      </c>
      <c r="AE806" s="35">
        <f>AE805-StepSize*AD805</f>
        <v>1.1758355755828743E-2</v>
      </c>
      <c r="AF806" s="1"/>
    </row>
    <row r="807" spans="11:32" x14ac:dyDescent="0.45">
      <c r="K807" s="40">
        <f t="shared" si="212"/>
        <v>7.82</v>
      </c>
      <c r="L807" s="41">
        <f t="shared" si="204"/>
        <v>27.82</v>
      </c>
      <c r="M807">
        <f t="shared" si="213"/>
        <v>0.84010912071050692</v>
      </c>
      <c r="N807">
        <f t="shared" si="214"/>
        <v>0.15989087928949103</v>
      </c>
      <c r="O807">
        <f t="shared" si="205"/>
        <v>0.10995251628065092</v>
      </c>
      <c r="P807">
        <f t="shared" si="206"/>
        <v>0.5</v>
      </c>
      <c r="Q807">
        <f t="shared" si="215"/>
        <v>-1.2426672127699823E-2</v>
      </c>
      <c r="R807" s="6">
        <f t="shared" si="216"/>
        <v>1.2426672127699823E-2</v>
      </c>
      <c r="S807" s="18">
        <f t="shared" si="217"/>
        <v>0.999999999999998</v>
      </c>
      <c r="T807" s="15"/>
      <c r="U807" s="15"/>
      <c r="V807" s="40">
        <f t="shared" si="218"/>
        <v>2.1800000000000002</v>
      </c>
      <c r="W807" s="41">
        <f t="shared" si="207"/>
        <v>22.18</v>
      </c>
      <c r="X807">
        <f t="shared" si="219"/>
        <v>3.0674657233465675E-2</v>
      </c>
      <c r="Y807">
        <f t="shared" si="220"/>
        <v>1.8106989389439139</v>
      </c>
      <c r="Z807" s="33">
        <f t="shared" si="208"/>
        <v>6.762693805571858E-2</v>
      </c>
      <c r="AA807" s="33">
        <f t="shared" si="209"/>
        <v>0.5</v>
      </c>
      <c r="AB807">
        <f t="shared" si="210"/>
        <v>5.5353347221135107E-3</v>
      </c>
      <c r="AC807" s="1">
        <f t="shared" si="211"/>
        <v>-1.9452912197580274E-2</v>
      </c>
      <c r="AD807" s="35">
        <f>IF(W807&gt;=FinalAgeForPremium, AE807*Delta-Z807*(Y807-AE807),AE807*Delta+PremiumRevisedForLimitedTerm-Z807*(Y807-AE807))</f>
        <v>1.7263681129320571E-2</v>
      </c>
      <c r="AE807" s="35">
        <f>AE806-StepSize*AD806</f>
        <v>1.1586432998399274E-2</v>
      </c>
      <c r="AF807" s="1"/>
    </row>
    <row r="808" spans="11:32" x14ac:dyDescent="0.45">
      <c r="K808" s="40">
        <f t="shared" si="212"/>
        <v>7.83</v>
      </c>
      <c r="L808" s="41">
        <f t="shared" si="204"/>
        <v>27.83</v>
      </c>
      <c r="M808">
        <f t="shared" si="213"/>
        <v>0.83998485398922995</v>
      </c>
      <c r="N808">
        <f t="shared" si="214"/>
        <v>0.16001514601076802</v>
      </c>
      <c r="O808">
        <f t="shared" si="205"/>
        <v>0.1100473116665137</v>
      </c>
      <c r="P808">
        <f t="shared" si="206"/>
        <v>0.5</v>
      </c>
      <c r="Q808">
        <f t="shared" si="215"/>
        <v>-1.2430502016719774E-2</v>
      </c>
      <c r="R808" s="6">
        <f t="shared" si="216"/>
        <v>1.2430502016719774E-2</v>
      </c>
      <c r="S808" s="18">
        <f t="shared" si="217"/>
        <v>0.999999999999998</v>
      </c>
      <c r="T808" s="15"/>
      <c r="U808" s="15"/>
      <c r="V808" s="40">
        <f t="shared" si="218"/>
        <v>2.17</v>
      </c>
      <c r="W808" s="41">
        <f t="shared" si="207"/>
        <v>22.17</v>
      </c>
      <c r="X808">
        <f t="shared" si="219"/>
        <v>3.061930388624454E-2</v>
      </c>
      <c r="Y808">
        <f t="shared" si="220"/>
        <v>1.8108934680658897</v>
      </c>
      <c r="Z808" s="33">
        <f t="shared" si="208"/>
        <v>6.7568683823146861E-2</v>
      </c>
      <c r="AA808" s="33">
        <f t="shared" si="209"/>
        <v>0.5</v>
      </c>
      <c r="AB808">
        <f t="shared" si="210"/>
        <v>5.6193767736883865E-3</v>
      </c>
      <c r="AC808" s="1">
        <f t="shared" si="211"/>
        <v>-1.9318244506882909E-2</v>
      </c>
      <c r="AD808" s="35">
        <f>IF(W808&gt;=FinalAgeForPremium, AE808*Delta-Z808*(Y808-AE808),AE808*Delta+PremiumRevisedForLimitedTerm-Z808*(Y808-AE808))</f>
        <v>1.7335046288244255E-2</v>
      </c>
      <c r="AE808" s="35">
        <f>AE807-StepSize*AD807</f>
        <v>1.1413796187106067E-2</v>
      </c>
      <c r="AF808" s="1"/>
    </row>
    <row r="809" spans="11:32" x14ac:dyDescent="0.45">
      <c r="K809" s="40">
        <f t="shared" si="212"/>
        <v>7.84</v>
      </c>
      <c r="L809" s="41">
        <f t="shared" si="204"/>
        <v>27.84</v>
      </c>
      <c r="M809">
        <f t="shared" si="213"/>
        <v>0.8398605489690627</v>
      </c>
      <c r="N809">
        <f t="shared" si="214"/>
        <v>0.16013945103093521</v>
      </c>
      <c r="O809">
        <f t="shared" si="205"/>
        <v>0.11014218878006674</v>
      </c>
      <c r="P809">
        <f t="shared" si="206"/>
        <v>0.5</v>
      </c>
      <c r="Q809">
        <f t="shared" si="215"/>
        <v>-1.2434353618013386E-2</v>
      </c>
      <c r="R809" s="6">
        <f t="shared" si="216"/>
        <v>1.2434353618013386E-2</v>
      </c>
      <c r="S809" s="18">
        <f t="shared" si="217"/>
        <v>0.99999999999999789</v>
      </c>
      <c r="T809" s="15"/>
      <c r="U809" s="15"/>
      <c r="V809" s="40">
        <f t="shared" si="218"/>
        <v>2.16</v>
      </c>
      <c r="W809" s="41">
        <f t="shared" si="207"/>
        <v>22.16</v>
      </c>
      <c r="X809">
        <f t="shared" si="219"/>
        <v>3.0563110118507656E-2</v>
      </c>
      <c r="Y809">
        <f t="shared" si="220"/>
        <v>1.8110866505109584</v>
      </c>
      <c r="Z809" s="33">
        <f t="shared" si="208"/>
        <v>6.7510479771105386E-2</v>
      </c>
      <c r="AA809" s="33">
        <f t="shared" si="209"/>
        <v>0.5</v>
      </c>
      <c r="AB809">
        <f t="shared" si="210"/>
        <v>5.7033507476315498E-3</v>
      </c>
      <c r="AC809" s="1">
        <f t="shared" si="211"/>
        <v>-1.918389727822678E-2</v>
      </c>
      <c r="AD809" s="35">
        <f>IF(W809&gt;=FinalAgeForPremium, AE809*Delta-Z809*(Y809-AE809),AE809*Delta+PremiumRevisedForLimitedTerm-Z809*(Y809-AE809))</f>
        <v>1.7406370961102077E-2</v>
      </c>
      <c r="AE809" s="35">
        <f>AE808-StepSize*AD808</f>
        <v>1.1240445724223624E-2</v>
      </c>
      <c r="AF809" s="1"/>
    </row>
    <row r="810" spans="11:32" x14ac:dyDescent="0.45">
      <c r="K810" s="40">
        <f t="shared" si="212"/>
        <v>7.85</v>
      </c>
      <c r="L810" s="41">
        <f t="shared" si="204"/>
        <v>27.85</v>
      </c>
      <c r="M810">
        <f t="shared" si="213"/>
        <v>0.83973620543288252</v>
      </c>
      <c r="N810">
        <f t="shared" si="214"/>
        <v>0.16026379456711534</v>
      </c>
      <c r="O810">
        <f t="shared" si="205"/>
        <v>0.11023714769177129</v>
      </c>
      <c r="P810">
        <f t="shared" si="206"/>
        <v>0.5</v>
      </c>
      <c r="Q810">
        <f t="shared" si="215"/>
        <v>-1.2438226816874592E-2</v>
      </c>
      <c r="R810" s="6">
        <f t="shared" si="216"/>
        <v>1.2438226816874592E-2</v>
      </c>
      <c r="S810" s="18">
        <f t="shared" si="217"/>
        <v>0.99999999999999789</v>
      </c>
      <c r="T810" s="15"/>
      <c r="U810" s="15"/>
      <c r="V810" s="40">
        <f t="shared" si="218"/>
        <v>2.15</v>
      </c>
      <c r="W810" s="41">
        <f t="shared" si="207"/>
        <v>22.15</v>
      </c>
      <c r="X810">
        <f t="shared" si="219"/>
        <v>3.050607661103134E-2</v>
      </c>
      <c r="Y810">
        <f t="shared" si="220"/>
        <v>1.8112784894837406</v>
      </c>
      <c r="Z810" s="33">
        <f t="shared" si="208"/>
        <v>6.7452325856368414E-2</v>
      </c>
      <c r="AA810" s="33">
        <f t="shared" si="209"/>
        <v>0.5</v>
      </c>
      <c r="AB810">
        <f t="shared" si="210"/>
        <v>5.7872564587778258E-3</v>
      </c>
      <c r="AC810" s="1">
        <f t="shared" si="211"/>
        <v>-1.9049869089458382E-2</v>
      </c>
      <c r="AD810" s="35">
        <f>IF(W810&gt;=FinalAgeForPremium, AE810*Delta-Z810*(Y810-AE810),AE810*Delta+PremiumRevisedForLimitedTerm-Z810*(Y810-AE810))</f>
        <v>1.7477654891389846E-2</v>
      </c>
      <c r="AE810" s="35">
        <f>AE809-StepSize*AD809</f>
        <v>1.1066382014612602E-2</v>
      </c>
      <c r="AF810" s="1"/>
    </row>
    <row r="811" spans="11:32" x14ac:dyDescent="0.45">
      <c r="K811" s="40">
        <f t="shared" si="212"/>
        <v>7.86</v>
      </c>
      <c r="L811" s="41">
        <f t="shared" si="204"/>
        <v>27.86</v>
      </c>
      <c r="M811">
        <f t="shared" si="213"/>
        <v>0.83961182316471372</v>
      </c>
      <c r="N811">
        <f t="shared" si="214"/>
        <v>0.16038817683528409</v>
      </c>
      <c r="O811">
        <f t="shared" si="205"/>
        <v>0.11033218847214943</v>
      </c>
      <c r="P811">
        <f t="shared" si="206"/>
        <v>0.5</v>
      </c>
      <c r="Q811">
        <f t="shared" si="215"/>
        <v>-1.2442121499212144E-2</v>
      </c>
      <c r="R811" s="6">
        <f t="shared" si="216"/>
        <v>1.2442121499212144E-2</v>
      </c>
      <c r="S811" s="18">
        <f t="shared" si="217"/>
        <v>0.99999999999999778</v>
      </c>
      <c r="T811" s="15"/>
      <c r="U811" s="15"/>
      <c r="V811" s="40">
        <f t="shared" si="218"/>
        <v>2.14</v>
      </c>
      <c r="W811" s="41">
        <f t="shared" si="207"/>
        <v>22.14</v>
      </c>
      <c r="X811">
        <f t="shared" si="219"/>
        <v>3.044820404644356E-2</v>
      </c>
      <c r="Y811">
        <f t="shared" si="220"/>
        <v>1.8114689881746351</v>
      </c>
      <c r="Z811" s="33">
        <f t="shared" si="208"/>
        <v>6.7394222035747367E-2</v>
      </c>
      <c r="AA811" s="33">
        <f t="shared" si="209"/>
        <v>0.5</v>
      </c>
      <c r="AB811">
        <f t="shared" si="210"/>
        <v>5.8710937238536237E-3</v>
      </c>
      <c r="AC811" s="1">
        <f t="shared" si="211"/>
        <v>-1.8916158527172433E-2</v>
      </c>
      <c r="AD811" s="35">
        <f>IF(W811&gt;=FinalAgeForPremium, AE811*Delta-Z811*(Y811-AE811),AE811*Delta+PremiumRevisedForLimitedTerm-Z811*(Y811-AE811))</f>
        <v>1.7548897824700552E-2</v>
      </c>
      <c r="AE811" s="35">
        <f>AE810-StepSize*AD810</f>
        <v>1.0891605465698704E-2</v>
      </c>
      <c r="AF811" s="1"/>
    </row>
    <row r="812" spans="11:32" x14ac:dyDescent="0.45">
      <c r="K812" s="40">
        <f t="shared" si="212"/>
        <v>7.87</v>
      </c>
      <c r="L812" s="41">
        <f t="shared" si="204"/>
        <v>27.87</v>
      </c>
      <c r="M812">
        <f t="shared" si="213"/>
        <v>0.8394874019497216</v>
      </c>
      <c r="N812">
        <f t="shared" si="214"/>
        <v>0.16051259805027621</v>
      </c>
      <c r="O812">
        <f t="shared" si="205"/>
        <v>0.11042731119178432</v>
      </c>
      <c r="P812">
        <f t="shared" si="206"/>
        <v>0.5</v>
      </c>
      <c r="Q812">
        <f t="shared" si="215"/>
        <v>-1.244603755154633E-2</v>
      </c>
      <c r="R812" s="6">
        <f t="shared" si="216"/>
        <v>1.244603755154633E-2</v>
      </c>
      <c r="S812" s="18">
        <f t="shared" si="217"/>
        <v>0.99999999999999778</v>
      </c>
      <c r="T812" s="15"/>
      <c r="U812" s="15"/>
      <c r="V812" s="40">
        <f t="shared" si="218"/>
        <v>2.13</v>
      </c>
      <c r="W812" s="41">
        <f t="shared" si="207"/>
        <v>22.13</v>
      </c>
      <c r="X812">
        <f t="shared" si="219"/>
        <v>3.0389493109205024E-2</v>
      </c>
      <c r="Y812">
        <f t="shared" si="220"/>
        <v>1.8116581497599069</v>
      </c>
      <c r="Z812" s="33">
        <f t="shared" si="208"/>
        <v>6.7336168266090846E-2</v>
      </c>
      <c r="AA812" s="33">
        <f t="shared" si="209"/>
        <v>0.5</v>
      </c>
      <c r="AB812">
        <f t="shared" si="210"/>
        <v>5.9548623614626567E-3</v>
      </c>
      <c r="AC812" s="1">
        <f t="shared" si="211"/>
        <v>-1.87827641866537E-2</v>
      </c>
      <c r="AD812" s="35">
        <f>IF(W812&gt;=FinalAgeForPremium, AE812*Delta-Z812*(Y812-AE812),AE812*Delta+PremiumRevisedForLimitedTerm-Z812*(Y812-AE812))</f>
        <v>1.7620099508709311E-2</v>
      </c>
      <c r="AE812" s="35">
        <f>AE811-StepSize*AD811</f>
        <v>1.0716116487451698E-2</v>
      </c>
      <c r="AF812" s="1"/>
    </row>
    <row r="813" spans="11:32" x14ac:dyDescent="0.45">
      <c r="K813" s="40">
        <f t="shared" si="212"/>
        <v>7.88</v>
      </c>
      <c r="L813" s="41">
        <f t="shared" si="204"/>
        <v>27.88</v>
      </c>
      <c r="M813">
        <f t="shared" si="213"/>
        <v>0.8393629415742061</v>
      </c>
      <c r="N813">
        <f t="shared" si="214"/>
        <v>0.16063705842579168</v>
      </c>
      <c r="O813">
        <f t="shared" si="205"/>
        <v>0.11052251592131958</v>
      </c>
      <c r="P813">
        <f t="shared" si="206"/>
        <v>0.5</v>
      </c>
      <c r="Q813">
        <f t="shared" si="215"/>
        <v>-1.2449974861004992E-2</v>
      </c>
      <c r="R813" s="6">
        <f t="shared" si="216"/>
        <v>1.2449974861004992E-2</v>
      </c>
      <c r="S813" s="18">
        <f t="shared" si="217"/>
        <v>0.99999999999999778</v>
      </c>
      <c r="T813" s="15"/>
      <c r="U813" s="15"/>
      <c r="V813" s="40">
        <f t="shared" si="218"/>
        <v>2.12</v>
      </c>
      <c r="W813" s="41">
        <f t="shared" si="207"/>
        <v>22.12</v>
      </c>
      <c r="X813">
        <f t="shared" si="219"/>
        <v>3.0329944485590395E-2</v>
      </c>
      <c r="Y813">
        <f t="shared" si="220"/>
        <v>1.8118459774017734</v>
      </c>
      <c r="Z813" s="33">
        <f t="shared" si="208"/>
        <v>6.7278164504284726E-2</v>
      </c>
      <c r="AA813" s="33">
        <f t="shared" si="209"/>
        <v>0.5</v>
      </c>
      <c r="AB813">
        <f t="shared" si="210"/>
        <v>6.0385621920715088E-3</v>
      </c>
      <c r="AC813" s="1">
        <f t="shared" si="211"/>
        <v>-1.8649684671819822E-2</v>
      </c>
      <c r="AD813" s="35">
        <f>IF(W813&gt;=FinalAgeForPremium, AE813*Delta-Z813*(Y813-AE813),AE813*Delta+PremiumRevisedForLimitedTerm-Z813*(Y813-AE813))</f>
        <v>1.7691259693158282E-2</v>
      </c>
      <c r="AE813" s="35">
        <f>AE812-StepSize*AD812</f>
        <v>1.0539915492364604E-2</v>
      </c>
      <c r="AF813" s="1"/>
    </row>
    <row r="814" spans="11:32" x14ac:dyDescent="0.45">
      <c r="K814" s="40">
        <f t="shared" si="212"/>
        <v>7.89</v>
      </c>
      <c r="L814" s="41">
        <f t="shared" si="204"/>
        <v>27.89</v>
      </c>
      <c r="M814">
        <f t="shared" si="213"/>
        <v>0.83923844182559604</v>
      </c>
      <c r="N814">
        <f t="shared" si="214"/>
        <v>0.16076155817440174</v>
      </c>
      <c r="O814">
        <f t="shared" si="205"/>
        <v>0.11061780273145998</v>
      </c>
      <c r="P814">
        <f t="shared" si="206"/>
        <v>0.5</v>
      </c>
      <c r="Q814">
        <f t="shared" si="215"/>
        <v>-1.2453933315320756E-2</v>
      </c>
      <c r="R814" s="6">
        <f t="shared" si="216"/>
        <v>1.2453933315320756E-2</v>
      </c>
      <c r="S814" s="18">
        <f t="shared" si="217"/>
        <v>0.99999999999999778</v>
      </c>
      <c r="T814" s="15"/>
      <c r="U814" s="15"/>
      <c r="V814" s="40">
        <f t="shared" si="218"/>
        <v>2.11</v>
      </c>
      <c r="W814" s="41">
        <f t="shared" si="207"/>
        <v>22.11</v>
      </c>
      <c r="X814">
        <f t="shared" si="219"/>
        <v>3.0269558863669679E-2</v>
      </c>
      <c r="Y814">
        <f t="shared" si="220"/>
        <v>1.8120324742484917</v>
      </c>
      <c r="Z814" s="33">
        <f t="shared" si="208"/>
        <v>6.7220210707251898E-2</v>
      </c>
      <c r="AA814" s="33">
        <f t="shared" si="209"/>
        <v>0.5</v>
      </c>
      <c r="AB814">
        <f t="shared" si="210"/>
        <v>6.1221930379959655E-3</v>
      </c>
      <c r="AC814" s="1">
        <f t="shared" si="211"/>
        <v>-1.8516918595164467E-2</v>
      </c>
      <c r="AD814" s="35">
        <f>IF(W814&gt;=FinalAgeForPremium, AE814*Delta-Z814*(Y814-AE814),AE814*Delta+PremiumRevisedForLimitedTerm-Z814*(Y814-AE814))</f>
        <v>1.7762378129842465E-2</v>
      </c>
      <c r="AE814" s="35">
        <f>AE813-StepSize*AD813</f>
        <v>1.0363002895433021E-2</v>
      </c>
      <c r="AF814" s="1"/>
    </row>
    <row r="815" spans="11:32" x14ac:dyDescent="0.45">
      <c r="K815" s="40">
        <f t="shared" si="212"/>
        <v>7.9</v>
      </c>
      <c r="L815" s="41">
        <f t="shared" si="204"/>
        <v>27.9</v>
      </c>
      <c r="M815">
        <f t="shared" si="213"/>
        <v>0.83911390249244278</v>
      </c>
      <c r="N815">
        <f t="shared" si="214"/>
        <v>0.16088609750755495</v>
      </c>
      <c r="O815">
        <f t="shared" si="205"/>
        <v>0.11071317169297115</v>
      </c>
      <c r="P815">
        <f t="shared" si="206"/>
        <v>0.5</v>
      </c>
      <c r="Q815">
        <f t="shared" si="215"/>
        <v>-1.2457912802827403E-2</v>
      </c>
      <c r="R815" s="6">
        <f t="shared" si="216"/>
        <v>1.2457912802827403E-2</v>
      </c>
      <c r="S815" s="18">
        <f t="shared" si="217"/>
        <v>0.99999999999999778</v>
      </c>
      <c r="T815" s="15"/>
      <c r="U815" s="15"/>
      <c r="V815" s="40">
        <f t="shared" si="218"/>
        <v>2.1</v>
      </c>
      <c r="W815" s="41">
        <f t="shared" si="207"/>
        <v>22.1</v>
      </c>
      <c r="X815">
        <f t="shared" si="219"/>
        <v>3.0208336933289719E-2</v>
      </c>
      <c r="Y815">
        <f t="shared" si="220"/>
        <v>1.8122176434344432</v>
      </c>
      <c r="Z815" s="33">
        <f t="shared" si="208"/>
        <v>6.716230683195247E-2</v>
      </c>
      <c r="AA815" s="33">
        <f t="shared" si="209"/>
        <v>0.5</v>
      </c>
      <c r="AB815">
        <f t="shared" si="210"/>
        <v>6.2057547233868443E-3</v>
      </c>
      <c r="AC815" s="1">
        <f t="shared" si="211"/>
        <v>-1.8384464577701043E-2</v>
      </c>
      <c r="AD815" s="35">
        <f>IF(W815&gt;=FinalAgeForPremium, AE815*Delta-Z815*(Y815-AE815),AE815*Delta+PremiumRevisedForLimitedTerm-Z815*(Y815-AE815))</f>
        <v>1.7833454572594637E-2</v>
      </c>
      <c r="AE815" s="35">
        <f>AE814-StepSize*AD814</f>
        <v>1.0185379114134595E-2</v>
      </c>
      <c r="AF815" s="1"/>
    </row>
    <row r="816" spans="11:32" x14ac:dyDescent="0.45">
      <c r="K816" s="40">
        <f t="shared" si="212"/>
        <v>7.91</v>
      </c>
      <c r="L816" s="41">
        <f t="shared" si="204"/>
        <v>27.91</v>
      </c>
      <c r="M816">
        <f t="shared" si="213"/>
        <v>0.83898932336441445</v>
      </c>
      <c r="N816">
        <f t="shared" si="214"/>
        <v>0.16101067663558322</v>
      </c>
      <c r="O816">
        <f t="shared" si="205"/>
        <v>0.11080862287667988</v>
      </c>
      <c r="P816">
        <f t="shared" si="206"/>
        <v>0.5</v>
      </c>
      <c r="Q816">
        <f t="shared" si="215"/>
        <v>-1.2461913212456613E-2</v>
      </c>
      <c r="R816" s="6">
        <f t="shared" si="216"/>
        <v>1.2461913212456613E-2</v>
      </c>
      <c r="S816" s="18">
        <f t="shared" si="217"/>
        <v>0.99999999999999767</v>
      </c>
      <c r="T816" s="15"/>
      <c r="U816" s="15"/>
      <c r="V816" s="40">
        <f t="shared" si="218"/>
        <v>2.09</v>
      </c>
      <c r="W816" s="41">
        <f t="shared" si="207"/>
        <v>22.09</v>
      </c>
      <c r="X816">
        <f t="shared" si="219"/>
        <v>3.0146279386055849E-2</v>
      </c>
      <c r="Y816">
        <f t="shared" si="220"/>
        <v>1.8124014880802202</v>
      </c>
      <c r="Z816" s="33">
        <f t="shared" si="208"/>
        <v>6.7104452835383535E-2</v>
      </c>
      <c r="AA816" s="33">
        <f t="shared" si="209"/>
        <v>0.5</v>
      </c>
      <c r="AB816">
        <f t="shared" si="210"/>
        <v>6.2892470742162837E-3</v>
      </c>
      <c r="AC816" s="1">
        <f t="shared" si="211"/>
        <v>-1.8252321248906855E-2</v>
      </c>
      <c r="AD816" s="35">
        <f>IF(W816&gt;=FinalAgeForPremium, AE816*Delta-Z816*(Y816-AE816),AE816*Delta+PremiumRevisedForLimitedTerm-Z816*(Y816-AE816))</f>
        <v>1.7904488777271257E-2</v>
      </c>
      <c r="AE816" s="35">
        <f>AE815-StepSize*AD815</f>
        <v>1.000704456840865E-2</v>
      </c>
      <c r="AF816" s="1"/>
    </row>
    <row r="817" spans="11:32" x14ac:dyDescent="0.45">
      <c r="K817" s="40">
        <f t="shared" si="212"/>
        <v>7.92</v>
      </c>
      <c r="L817" s="41">
        <f t="shared" si="204"/>
        <v>27.92</v>
      </c>
      <c r="M817">
        <f t="shared" si="213"/>
        <v>0.83886470423228987</v>
      </c>
      <c r="N817">
        <f t="shared" si="214"/>
        <v>0.16113529576770777</v>
      </c>
      <c r="O817">
        <f t="shared" si="205"/>
        <v>0.11090415635347373</v>
      </c>
      <c r="P817">
        <f t="shared" si="206"/>
        <v>0.5</v>
      </c>
      <c r="Q817">
        <f t="shared" si="215"/>
        <v>-1.2465934433734477E-2</v>
      </c>
      <c r="R817" s="6">
        <f t="shared" si="216"/>
        <v>1.2465934433734477E-2</v>
      </c>
      <c r="S817" s="18">
        <f t="shared" si="217"/>
        <v>0.99999999999999767</v>
      </c>
      <c r="T817" s="15"/>
      <c r="U817" s="15"/>
      <c r="V817" s="40">
        <f t="shared" si="218"/>
        <v>2.08</v>
      </c>
      <c r="W817" s="41">
        <f t="shared" si="207"/>
        <v>22.08</v>
      </c>
      <c r="X817">
        <f t="shared" si="219"/>
        <v>3.0083386915313686E-2</v>
      </c>
      <c r="Y817">
        <f t="shared" si="220"/>
        <v>1.8125840112927092</v>
      </c>
      <c r="Z817" s="33">
        <f t="shared" si="208"/>
        <v>6.7046648674579296E-2</v>
      </c>
      <c r="AA817" s="33">
        <f t="shared" si="209"/>
        <v>0.5</v>
      </c>
      <c r="AB817">
        <f t="shared" si="210"/>
        <v>6.3726699182638652E-3</v>
      </c>
      <c r="AC817" s="1">
        <f t="shared" si="211"/>
        <v>-1.8120487246666817E-2</v>
      </c>
      <c r="AD817" s="35">
        <f>IF(W817&gt;=FinalAgeForPremium, AE817*Delta-Z817*(Y817-AE817),AE817*Delta+PremiumRevisedForLimitedTerm-Z817*(Y817-AE817))</f>
        <v>1.7975480501737875E-2</v>
      </c>
      <c r="AE817" s="35">
        <f>AE816-StepSize*AD816</f>
        <v>9.827999680635937E-3</v>
      </c>
      <c r="AF817" s="1"/>
    </row>
    <row r="818" spans="11:32" x14ac:dyDescent="0.45">
      <c r="K818" s="40">
        <f t="shared" si="212"/>
        <v>7.93</v>
      </c>
      <c r="L818" s="41">
        <f t="shared" si="204"/>
        <v>27.93</v>
      </c>
      <c r="M818">
        <f t="shared" si="213"/>
        <v>0.83874004488795251</v>
      </c>
      <c r="N818">
        <f t="shared" si="214"/>
        <v>0.16125995511204511</v>
      </c>
      <c r="O818">
        <f t="shared" si="205"/>
        <v>0.11099977219430165</v>
      </c>
      <c r="P818">
        <f t="shared" si="206"/>
        <v>0.5</v>
      </c>
      <c r="Q818">
        <f t="shared" si="215"/>
        <v>-1.2469976356778517E-2</v>
      </c>
      <c r="R818" s="6">
        <f t="shared" si="216"/>
        <v>1.2469976356778517E-2</v>
      </c>
      <c r="S818" s="18">
        <f t="shared" si="217"/>
        <v>0.99999999999999756</v>
      </c>
      <c r="T818" s="15"/>
      <c r="U818" s="15"/>
      <c r="V818" s="40">
        <f t="shared" si="218"/>
        <v>2.0699999999999998</v>
      </c>
      <c r="W818" s="41">
        <f t="shared" si="207"/>
        <v>22.07</v>
      </c>
      <c r="X818">
        <f t="shared" si="219"/>
        <v>3.0019660216131047E-2</v>
      </c>
      <c r="Y818">
        <f t="shared" si="220"/>
        <v>1.8127652161651759</v>
      </c>
      <c r="Z818" s="33">
        <f t="shared" si="208"/>
        <v>6.6988894306610924E-2</v>
      </c>
      <c r="AA818" s="33">
        <f t="shared" si="209"/>
        <v>0.5</v>
      </c>
      <c r="AB818">
        <f t="shared" si="210"/>
        <v>6.4560230851033185E-3</v>
      </c>
      <c r="AC818" s="1">
        <f t="shared" si="211"/>
        <v>-1.7988961217218824E-2</v>
      </c>
      <c r="AD818" s="35">
        <f>IF(W818&gt;=FinalAgeForPremium, AE818*Delta-Z818*(Y818-AE818),AE818*Delta+PremiumRevisedForLimitedTerm-Z818*(Y818-AE818))</f>
        <v>1.8046429505854902E-2</v>
      </c>
      <c r="AE818" s="35">
        <f>AE817-StepSize*AD817</f>
        <v>9.6482448756185588E-3</v>
      </c>
      <c r="AF818" s="1"/>
    </row>
    <row r="819" spans="11:32" x14ac:dyDescent="0.45">
      <c r="K819" s="40">
        <f t="shared" si="212"/>
        <v>7.94</v>
      </c>
      <c r="L819" s="41">
        <f t="shared" si="204"/>
        <v>27.94</v>
      </c>
      <c r="M819">
        <f t="shared" si="213"/>
        <v>0.83861534512438474</v>
      </c>
      <c r="N819">
        <f t="shared" si="214"/>
        <v>0.1613846548756129</v>
      </c>
      <c r="O819">
        <f t="shared" si="205"/>
        <v>0.11109547047017369</v>
      </c>
      <c r="P819">
        <f t="shared" si="206"/>
        <v>0.5</v>
      </c>
      <c r="Q819">
        <f t="shared" si="215"/>
        <v>-1.2474038872294146E-2</v>
      </c>
      <c r="R819" s="6">
        <f t="shared" si="216"/>
        <v>1.2474038872294146E-2</v>
      </c>
      <c r="S819" s="18">
        <f t="shared" si="217"/>
        <v>0.99999999999999767</v>
      </c>
      <c r="T819" s="15"/>
      <c r="U819" s="15"/>
      <c r="V819" s="40">
        <f t="shared" si="218"/>
        <v>2.06</v>
      </c>
      <c r="W819" s="41">
        <f t="shared" si="207"/>
        <v>22.06</v>
      </c>
      <c r="X819">
        <f t="shared" si="219"/>
        <v>2.9955099985280013E-2</v>
      </c>
      <c r="Y819">
        <f t="shared" si="220"/>
        <v>1.812945105777348</v>
      </c>
      <c r="Z819" s="33">
        <f t="shared" si="208"/>
        <v>6.6931189688586593E-2</v>
      </c>
      <c r="AA819" s="33">
        <f t="shared" si="209"/>
        <v>0.5</v>
      </c>
      <c r="AB819">
        <f t="shared" si="210"/>
        <v>6.5393064060886574E-3</v>
      </c>
      <c r="AC819" s="1">
        <f t="shared" si="211"/>
        <v>-1.7857741815098582E-2</v>
      </c>
      <c r="AD819" s="35">
        <f>IF(W819&gt;=FinalAgeForPremium, AE819*Delta-Z819*(Y819-AE819),AE819*Delta+PremiumRevisedForLimitedTerm-Z819*(Y819-AE819))</f>
        <v>1.8117335551463554E-2</v>
      </c>
      <c r="AE819" s="35">
        <f>AE818-StepSize*AD818</f>
        <v>9.4677805805600101E-3</v>
      </c>
      <c r="AF819" s="1"/>
    </row>
    <row r="820" spans="11:32" x14ac:dyDescent="0.45">
      <c r="K820" s="40">
        <f t="shared" si="212"/>
        <v>7.95</v>
      </c>
      <c r="L820" s="41">
        <f t="shared" si="204"/>
        <v>27.95</v>
      </c>
      <c r="M820">
        <f t="shared" si="213"/>
        <v>0.83849060473566184</v>
      </c>
      <c r="N820">
        <f t="shared" si="214"/>
        <v>0.16150939526433586</v>
      </c>
      <c r="O820">
        <f t="shared" si="205"/>
        <v>0.11119125125216101</v>
      </c>
      <c r="P820">
        <f t="shared" si="206"/>
        <v>0.5</v>
      </c>
      <c r="Q820">
        <f t="shared" si="215"/>
        <v>-1.2478121871571463E-2</v>
      </c>
      <c r="R820" s="6">
        <f t="shared" si="216"/>
        <v>1.2478121871571463E-2</v>
      </c>
      <c r="S820" s="18">
        <f t="shared" si="217"/>
        <v>0.99999999999999767</v>
      </c>
      <c r="T820" s="15"/>
      <c r="U820" s="15"/>
      <c r="V820" s="40">
        <f t="shared" si="218"/>
        <v>2.0499999999999998</v>
      </c>
      <c r="W820" s="41">
        <f t="shared" si="207"/>
        <v>22.05</v>
      </c>
      <c r="X820">
        <f t="shared" si="219"/>
        <v>2.9889706921219127E-2</v>
      </c>
      <c r="Y820">
        <f t="shared" si="220"/>
        <v>1.8131236831954991</v>
      </c>
      <c r="Z820" s="33">
        <f t="shared" si="208"/>
        <v>6.6873534777651428E-2</v>
      </c>
      <c r="AA820" s="33">
        <f t="shared" si="209"/>
        <v>0.5</v>
      </c>
      <c r="AB820">
        <f t="shared" si="210"/>
        <v>6.622519714340927E-3</v>
      </c>
      <c r="AC820" s="1">
        <f t="shared" si="211"/>
        <v>-1.7726827703085091E-2</v>
      </c>
      <c r="AD820" s="35">
        <f>IF(W820&gt;=FinalAgeForPremium, AE820*Delta-Z820*(Y820-AE820),AE820*Delta+PremiumRevisedForLimitedTerm-Z820*(Y820-AE820))</f>
        <v>1.8188198402371611E-2</v>
      </c>
      <c r="AE820" s="35">
        <f>AE819-StepSize*AD819</f>
        <v>9.2866072250453752E-3</v>
      </c>
      <c r="AF820" s="1"/>
    </row>
    <row r="821" spans="11:32" x14ac:dyDescent="0.45">
      <c r="K821" s="40">
        <f t="shared" si="212"/>
        <v>7.96</v>
      </c>
      <c r="L821" s="41">
        <f t="shared" si="204"/>
        <v>27.96</v>
      </c>
      <c r="M821">
        <f t="shared" si="213"/>
        <v>0.83836582351694611</v>
      </c>
      <c r="N821">
        <f t="shared" si="214"/>
        <v>0.16163417648305156</v>
      </c>
      <c r="O821">
        <f t="shared" si="205"/>
        <v>0.11128711461139615</v>
      </c>
      <c r="P821">
        <f t="shared" si="206"/>
        <v>0.5</v>
      </c>
      <c r="Q821">
        <f t="shared" si="215"/>
        <v>-1.2482225246482112E-2</v>
      </c>
      <c r="R821" s="6">
        <f t="shared" si="216"/>
        <v>1.2482225246482112E-2</v>
      </c>
      <c r="S821" s="18">
        <f t="shared" si="217"/>
        <v>0.99999999999999767</v>
      </c>
      <c r="T821" s="15"/>
      <c r="U821" s="15"/>
      <c r="V821" s="40">
        <f t="shared" si="218"/>
        <v>2.04</v>
      </c>
      <c r="W821" s="41">
        <f t="shared" si="207"/>
        <v>22.04</v>
      </c>
      <c r="X821">
        <f t="shared" si="219"/>
        <v>2.9823481724075718E-2</v>
      </c>
      <c r="Y821">
        <f t="shared" si="220"/>
        <v>1.81330095147253</v>
      </c>
      <c r="Z821" s="33">
        <f t="shared" si="208"/>
        <v>6.6815929530987403E-2</v>
      </c>
      <c r="AA821" s="33">
        <f t="shared" si="209"/>
        <v>0.5</v>
      </c>
      <c r="AB821">
        <f t="shared" si="210"/>
        <v>6.7056628447350192E-3</v>
      </c>
      <c r="AC821" s="1">
        <f t="shared" si="211"/>
        <v>-1.7596217552146354E-2</v>
      </c>
      <c r="AD821" s="35">
        <f>IF(W821&gt;=FinalAgeForPremium, AE821*Delta-Z821*(Y821-AE821),AE821*Delta+PremiumRevisedForLimitedTerm-Z821*(Y821-AE821))</f>
        <v>1.8259017824339752E-2</v>
      </c>
      <c r="AE821" s="35">
        <f>AE820-StepSize*AD820</f>
        <v>9.1047252410216585E-3</v>
      </c>
      <c r="AF821" s="1"/>
    </row>
    <row r="822" spans="11:32" x14ac:dyDescent="0.45">
      <c r="K822" s="40">
        <f t="shared" si="212"/>
        <v>7.97</v>
      </c>
      <c r="L822" s="41">
        <f t="shared" si="204"/>
        <v>27.97</v>
      </c>
      <c r="M822">
        <f t="shared" si="213"/>
        <v>0.83824100126448131</v>
      </c>
      <c r="N822">
        <f t="shared" si="214"/>
        <v>0.16175899873551638</v>
      </c>
      <c r="O822">
        <f t="shared" si="205"/>
        <v>0.11138306061907298</v>
      </c>
      <c r="P822">
        <f t="shared" si="206"/>
        <v>0.5</v>
      </c>
      <c r="Q822">
        <f t="shared" si="215"/>
        <v>-1.2486348889475959E-2</v>
      </c>
      <c r="R822" s="6">
        <f t="shared" si="216"/>
        <v>1.2486348889475959E-2</v>
      </c>
      <c r="S822" s="18">
        <f t="shared" si="217"/>
        <v>0.99999999999999767</v>
      </c>
      <c r="T822" s="15"/>
      <c r="U822" s="15"/>
      <c r="V822" s="40">
        <f t="shared" si="218"/>
        <v>2.0299999999999998</v>
      </c>
      <c r="W822" s="41">
        <f t="shared" si="207"/>
        <v>22.03</v>
      </c>
      <c r="X822">
        <f t="shared" si="219"/>
        <v>2.9756425095628369E-2</v>
      </c>
      <c r="Y822">
        <f t="shared" si="220"/>
        <v>1.8134769136480515</v>
      </c>
      <c r="Z822" s="33">
        <f t="shared" si="208"/>
        <v>6.6758373905813517E-2</v>
      </c>
      <c r="AA822" s="33">
        <f t="shared" si="209"/>
        <v>0.5</v>
      </c>
      <c r="AB822">
        <f t="shared" si="210"/>
        <v>6.7887356338860727E-3</v>
      </c>
      <c r="AC822" s="1">
        <f t="shared" si="211"/>
        <v>-1.7465910041385868E-2</v>
      </c>
      <c r="AD822" s="35">
        <f>IF(W822&gt;=FinalAgeForPremium, AE822*Delta-Z822*(Y822-AE822),AE822*Delta+PremiumRevisedForLimitedTerm-Z822*(Y822-AE822))</f>
        <v>1.8329793585067256E-2</v>
      </c>
      <c r="AE822" s="35">
        <f>AE821-StepSize*AD821</f>
        <v>8.9221350627782612E-3</v>
      </c>
      <c r="AF822" s="1"/>
    </row>
    <row r="823" spans="11:32" x14ac:dyDescent="0.45">
      <c r="K823" s="40">
        <f t="shared" si="212"/>
        <v>7.98</v>
      </c>
      <c r="L823" s="41">
        <f t="shared" si="204"/>
        <v>27.98</v>
      </c>
      <c r="M823">
        <f t="shared" si="213"/>
        <v>0.83811613777558658</v>
      </c>
      <c r="N823">
        <f t="shared" si="214"/>
        <v>0.16188386222441115</v>
      </c>
      <c r="O823">
        <f t="shared" si="205"/>
        <v>0.11147908934644674</v>
      </c>
      <c r="P823">
        <f t="shared" si="206"/>
        <v>0.5</v>
      </c>
      <c r="Q823">
        <f t="shared" si="215"/>
        <v>-1.2490492693577909E-2</v>
      </c>
      <c r="R823" s="6">
        <f t="shared" si="216"/>
        <v>1.2490492693577909E-2</v>
      </c>
      <c r="S823" s="18">
        <f t="shared" si="217"/>
        <v>0.99999999999999778</v>
      </c>
      <c r="T823" s="15"/>
      <c r="U823" s="15"/>
      <c r="V823" s="40">
        <f t="shared" si="218"/>
        <v>2.02</v>
      </c>
      <c r="W823" s="41">
        <f t="shared" si="207"/>
        <v>22.02</v>
      </c>
      <c r="X823">
        <f t="shared" si="219"/>
        <v>2.9688537739289509E-2</v>
      </c>
      <c r="Y823">
        <f t="shared" si="220"/>
        <v>1.8136515727484654</v>
      </c>
      <c r="Z823" s="33">
        <f t="shared" si="208"/>
        <v>6.6700867859385435E-2</v>
      </c>
      <c r="AA823" s="33">
        <f t="shared" si="209"/>
        <v>0.5</v>
      </c>
      <c r="AB823">
        <f t="shared" si="210"/>
        <v>6.8717379201369E-3</v>
      </c>
      <c r="AC823" s="1">
        <f t="shared" si="211"/>
        <v>-1.7335903857988777E-2</v>
      </c>
      <c r="AD823" s="35">
        <f>IF(W823&gt;=FinalAgeForPremium, AE823*Delta-Z823*(Y823-AE823),AE823*Delta+PremiumRevisedForLimitedTerm-Z823*(Y823-AE823))</f>
        <v>1.8400525454178848E-2</v>
      </c>
      <c r="AE823" s="35">
        <f>AE822-StepSize*AD822</f>
        <v>8.7388371269275893E-3</v>
      </c>
      <c r="AF823" s="1"/>
    </row>
    <row r="824" spans="11:32" x14ac:dyDescent="0.45">
      <c r="K824" s="40">
        <f t="shared" si="212"/>
        <v>7.99</v>
      </c>
      <c r="L824" s="41">
        <f t="shared" si="204"/>
        <v>27.990000000000002</v>
      </c>
      <c r="M824">
        <f t="shared" si="213"/>
        <v>0.83799123284865085</v>
      </c>
      <c r="N824">
        <f t="shared" si="214"/>
        <v>0.16200876715134693</v>
      </c>
      <c r="O824">
        <f t="shared" si="205"/>
        <v>0.111575200864834</v>
      </c>
      <c r="P824">
        <f t="shared" si="206"/>
        <v>0.5</v>
      </c>
      <c r="Q824">
        <f t="shared" si="215"/>
        <v>-1.2494656552384631E-2</v>
      </c>
      <c r="R824" s="6">
        <f t="shared" si="216"/>
        <v>1.2494656552384631E-2</v>
      </c>
      <c r="S824" s="18">
        <f t="shared" si="217"/>
        <v>0.99999999999999778</v>
      </c>
      <c r="T824" s="15"/>
      <c r="U824" s="15"/>
      <c r="V824" s="40">
        <f t="shared" si="218"/>
        <v>2.0099999999999998</v>
      </c>
      <c r="W824" s="41">
        <f t="shared" si="207"/>
        <v>22.009999999999998</v>
      </c>
      <c r="X824">
        <f t="shared" si="219"/>
        <v>2.9619820360088141E-2</v>
      </c>
      <c r="Y824">
        <f t="shared" si="220"/>
        <v>1.8138249317870454</v>
      </c>
      <c r="Z824" s="33">
        <f t="shared" si="208"/>
        <v>6.6643411348995804E-2</v>
      </c>
      <c r="AA824" s="33">
        <f t="shared" si="209"/>
        <v>0.5</v>
      </c>
      <c r="AB824">
        <f t="shared" si="210"/>
        <v>6.9546695435444561E-3</v>
      </c>
      <c r="AC824" s="1">
        <f t="shared" si="211"/>
        <v>-1.7206197697169134E-2</v>
      </c>
      <c r="AD824" s="35">
        <f>IF(W824&gt;=FinalAgeForPremium, AE824*Delta-Z824*(Y824-AE824),AE824*Delta+PremiumRevisedForLimitedTerm-Z824*(Y824-AE824))</f>
        <v>1.8471213203210435E-2</v>
      </c>
      <c r="AE824" s="35">
        <f>AE823-StepSize*AD823</f>
        <v>8.5548318723858013E-3</v>
      </c>
      <c r="AF824" s="1"/>
    </row>
    <row r="825" spans="11:32" x14ac:dyDescent="0.45">
      <c r="K825" s="40">
        <f t="shared" si="212"/>
        <v>8</v>
      </c>
      <c r="L825" s="41">
        <f t="shared" si="204"/>
        <v>28</v>
      </c>
      <c r="M825">
        <f t="shared" si="213"/>
        <v>0.83786628628312698</v>
      </c>
      <c r="N825">
        <f t="shared" si="214"/>
        <v>0.16213371371687077</v>
      </c>
      <c r="O825">
        <f t="shared" si="205"/>
        <v>0.11167139524561287</v>
      </c>
      <c r="P825">
        <f t="shared" si="206"/>
        <v>0.5</v>
      </c>
      <c r="Q825">
        <f t="shared" si="215"/>
        <v>-1.2498840360061519E-2</v>
      </c>
      <c r="R825" s="6">
        <f t="shared" si="216"/>
        <v>1.2498840360061519E-2</v>
      </c>
      <c r="S825" s="18">
        <f t="shared" si="217"/>
        <v>0.99999999999999778</v>
      </c>
      <c r="T825" s="15"/>
      <c r="U825" s="15"/>
      <c r="V825" s="40">
        <f t="shared" si="218"/>
        <v>2</v>
      </c>
      <c r="W825" s="41">
        <f t="shared" si="207"/>
        <v>22</v>
      </c>
      <c r="X825">
        <f t="shared" si="219"/>
        <v>2.9550273664652696E-2</v>
      </c>
      <c r="Y825">
        <f t="shared" si="220"/>
        <v>1.813996993764017</v>
      </c>
      <c r="Z825" s="33">
        <f t="shared" si="208"/>
        <v>6.6586004331973966E-2</v>
      </c>
      <c r="AA825" s="33">
        <f t="shared" si="209"/>
        <v>0.5</v>
      </c>
      <c r="AB825">
        <f t="shared" si="210"/>
        <v>7.0375303458672933E-3</v>
      </c>
      <c r="AC825" s="1">
        <f t="shared" si="211"/>
        <v>-1.7076790262116948E-2</v>
      </c>
      <c r="AD825" s="35">
        <f>IF(W825&gt;=FinalAgeForPremium, AE825*Delta-Z825*(Y825-AE825),AE825*Delta+PremiumRevisedForLimitedTerm-Z825*(Y825-AE825))</f>
        <v>1.8541856605595958E-2</v>
      </c>
      <c r="AE825" s="35">
        <f>AE824-StepSize*AD824</f>
        <v>8.3701197403536973E-3</v>
      </c>
      <c r="AF825" s="1"/>
    </row>
    <row r="826" spans="11:32" x14ac:dyDescent="0.45">
      <c r="K826" s="40">
        <f t="shared" si="212"/>
        <v>8.01</v>
      </c>
      <c r="L826" s="41">
        <f t="shared" si="204"/>
        <v>28.009999999999998</v>
      </c>
      <c r="M826">
        <f t="shared" si="213"/>
        <v>0.83774129787952634</v>
      </c>
      <c r="N826">
        <f t="shared" si="214"/>
        <v>0.16225870212047139</v>
      </c>
      <c r="O826">
        <f t="shared" si="205"/>
        <v>0.11176767256022328</v>
      </c>
      <c r="P826">
        <f t="shared" si="206"/>
        <v>0.5</v>
      </c>
      <c r="Q826">
        <f t="shared" si="215"/>
        <v>-1.2503044011339684E-2</v>
      </c>
      <c r="R826" s="6">
        <f t="shared" si="216"/>
        <v>1.2503044011339684E-2</v>
      </c>
      <c r="S826" s="18">
        <f t="shared" si="217"/>
        <v>0.99999999999999778</v>
      </c>
      <c r="T826" s="15"/>
      <c r="U826" s="15"/>
      <c r="V826" s="40">
        <f t="shared" si="218"/>
        <v>1.99</v>
      </c>
      <c r="W826" s="41">
        <f t="shared" si="207"/>
        <v>21.99</v>
      </c>
      <c r="X826">
        <f t="shared" si="219"/>
        <v>2.9479898361194024E-2</v>
      </c>
      <c r="Y826">
        <f t="shared" si="220"/>
        <v>1.8141677616666383</v>
      </c>
      <c r="Z826" s="33">
        <f t="shared" si="208"/>
        <v>6.6528646765686122E-2</v>
      </c>
      <c r="AA826" s="33">
        <f t="shared" si="209"/>
        <v>0.5</v>
      </c>
      <c r="AB826">
        <f t="shared" si="210"/>
        <v>7.1203201705523356E-3</v>
      </c>
      <c r="AC826" s="1">
        <f t="shared" si="211"/>
        <v>-1.6947680263945886E-2</v>
      </c>
      <c r="AD826" s="35">
        <f>IF(W826&gt;=FinalAgeForPremium, AE826*Delta-Z826*(Y826-AE826),AE826*Delta+PremiumRevisedForLimitedTerm-Z826*(Y826-AE826))</f>
        <v>1.8612455436653741E-2</v>
      </c>
      <c r="AE826" s="35">
        <f>AE825-StepSize*AD825</f>
        <v>8.1847011742977385E-3</v>
      </c>
      <c r="AF826" s="1"/>
    </row>
    <row r="827" spans="11:32" x14ac:dyDescent="0.45">
      <c r="K827" s="40">
        <f t="shared" si="212"/>
        <v>8.02</v>
      </c>
      <c r="L827" s="41">
        <f t="shared" si="204"/>
        <v>28.02</v>
      </c>
      <c r="M827">
        <f t="shared" si="213"/>
        <v>0.83761626743941298</v>
      </c>
      <c r="N827">
        <f t="shared" si="214"/>
        <v>0.16238373256058478</v>
      </c>
      <c r="O827">
        <f t="shared" si="205"/>
        <v>0.1118640328801663</v>
      </c>
      <c r="P827">
        <f t="shared" si="206"/>
        <v>0.5</v>
      </c>
      <c r="Q827">
        <f t="shared" si="215"/>
        <v>-1.250726740151227E-2</v>
      </c>
      <c r="R827" s="6">
        <f t="shared" si="216"/>
        <v>1.250726740151227E-2</v>
      </c>
      <c r="S827" s="18">
        <f t="shared" si="217"/>
        <v>0.99999999999999778</v>
      </c>
      <c r="T827" s="15"/>
      <c r="U827" s="15"/>
      <c r="V827" s="40">
        <f t="shared" si="218"/>
        <v>1.98</v>
      </c>
      <c r="W827" s="41">
        <f t="shared" si="207"/>
        <v>21.98</v>
      </c>
      <c r="X827">
        <f t="shared" si="219"/>
        <v>2.9408695159488501E-2</v>
      </c>
      <c r="Y827">
        <f t="shared" si="220"/>
        <v>1.8143372384692777</v>
      </c>
      <c r="Z827" s="33">
        <f t="shared" si="208"/>
        <v>6.6471338607535055E-2</v>
      </c>
      <c r="AA827" s="33">
        <f t="shared" si="209"/>
        <v>0.5</v>
      </c>
      <c r="AB827">
        <f t="shared" si="210"/>
        <v>7.203038862722777E-3</v>
      </c>
      <c r="AC827" s="1">
        <f t="shared" si="211"/>
        <v>-1.6818866421641432E-2</v>
      </c>
      <c r="AD827" s="35">
        <f>IF(W827&gt;=FinalAgeForPremium, AE827*Delta-Z827*(Y827-AE827),AE827*Delta+PremiumRevisedForLimitedTerm-Z827*(Y827-AE827))</f>
        <v>1.8683009473573445E-2</v>
      </c>
      <c r="AE827" s="35">
        <f>AE826-StepSize*AD826</f>
        <v>7.9985766199312004E-3</v>
      </c>
      <c r="AF827" s="1"/>
    </row>
    <row r="828" spans="11:32" x14ac:dyDescent="0.45">
      <c r="K828" s="40">
        <f t="shared" si="212"/>
        <v>8.0299999999999994</v>
      </c>
      <c r="L828" s="41">
        <f t="shared" si="204"/>
        <v>28.03</v>
      </c>
      <c r="M828">
        <f t="shared" si="213"/>
        <v>0.83749119476539791</v>
      </c>
      <c r="N828">
        <f t="shared" si="214"/>
        <v>0.1625088052345999</v>
      </c>
      <c r="O828">
        <f t="shared" si="205"/>
        <v>0.1119604762770048</v>
      </c>
      <c r="P828">
        <f t="shared" si="206"/>
        <v>0.5</v>
      </c>
      <c r="Q828">
        <f t="shared" si="215"/>
        <v>-1.2511510426431782E-2</v>
      </c>
      <c r="R828" s="6">
        <f t="shared" si="216"/>
        <v>1.2511510426431782E-2</v>
      </c>
      <c r="S828" s="18">
        <f t="shared" si="217"/>
        <v>0.99999999999999778</v>
      </c>
      <c r="T828" s="15"/>
      <c r="U828" s="15"/>
      <c r="V828" s="40">
        <f t="shared" si="218"/>
        <v>1.97</v>
      </c>
      <c r="W828" s="41">
        <f t="shared" si="207"/>
        <v>21.97</v>
      </c>
      <c r="X828">
        <f t="shared" si="219"/>
        <v>2.9336664770861273E-2</v>
      </c>
      <c r="Y828">
        <f t="shared" si="220"/>
        <v>1.8145054271334942</v>
      </c>
      <c r="Z828" s="33">
        <f t="shared" si="208"/>
        <v>6.6414079814960295E-2</v>
      </c>
      <c r="AA828" s="33">
        <f t="shared" si="209"/>
        <v>0.5</v>
      </c>
      <c r="AB828">
        <f t="shared" si="210"/>
        <v>7.2856862691649399E-3</v>
      </c>
      <c r="AC828" s="1">
        <f t="shared" si="211"/>
        <v>-1.6690347462008814E-2</v>
      </c>
      <c r="AD828" s="35">
        <f>IF(W828&gt;=FinalAgeForPremium, AE828*Delta-Z828*(Y828-AE828),AE828*Delta+PremiumRevisedForLimitedTerm-Z828*(Y828-AE828))</f>
        <v>1.8753518495402369E-2</v>
      </c>
      <c r="AE828" s="35">
        <f>AE827-StepSize*AD827</f>
        <v>7.8117465251954657E-3</v>
      </c>
      <c r="AF828" s="1"/>
    </row>
    <row r="829" spans="11:32" x14ac:dyDescent="0.45">
      <c r="K829" s="40">
        <f t="shared" si="212"/>
        <v>8.0399999999999991</v>
      </c>
      <c r="L829" s="41">
        <f t="shared" si="204"/>
        <v>28.04</v>
      </c>
      <c r="M829">
        <f t="shared" si="213"/>
        <v>0.83736607966113363</v>
      </c>
      <c r="N829">
        <f t="shared" si="214"/>
        <v>0.16263392033886423</v>
      </c>
      <c r="O829">
        <f t="shared" si="205"/>
        <v>0.1120570028223635</v>
      </c>
      <c r="P829">
        <f t="shared" si="206"/>
        <v>0.5</v>
      </c>
      <c r="Q829">
        <f t="shared" si="215"/>
        <v>-1.2515772982507001E-2</v>
      </c>
      <c r="R829" s="6">
        <f t="shared" si="216"/>
        <v>1.2515772982507001E-2</v>
      </c>
      <c r="S829" s="18">
        <f t="shared" si="217"/>
        <v>0.99999999999999789</v>
      </c>
      <c r="T829" s="15"/>
      <c r="U829" s="15"/>
      <c r="V829" s="40">
        <f t="shared" si="218"/>
        <v>1.96</v>
      </c>
      <c r="W829" s="41">
        <f t="shared" si="207"/>
        <v>21.96</v>
      </c>
      <c r="X829">
        <f t="shared" si="219"/>
        <v>2.9263807908169622E-2</v>
      </c>
      <c r="Y829">
        <f t="shared" si="220"/>
        <v>1.8146723306081143</v>
      </c>
      <c r="Z829" s="33">
        <f t="shared" si="208"/>
        <v>6.6356870345438107E-2</v>
      </c>
      <c r="AA829" s="33">
        <f t="shared" si="209"/>
        <v>0.5</v>
      </c>
      <c r="AB829">
        <f t="shared" si="210"/>
        <v>7.3682622383157148E-3</v>
      </c>
      <c r="AC829" s="1">
        <f t="shared" si="211"/>
        <v>-1.6562122119621936E-2</v>
      </c>
      <c r="AD829" s="35">
        <f>IF(W829&gt;=FinalAgeForPremium, AE829*Delta-Z829*(Y829-AE829),AE829*Delta+PremiumRevisedForLimitedTerm-Z829*(Y829-AE829))</f>
        <v>1.8823982283032586E-2</v>
      </c>
      <c r="AE829" s="35">
        <f>AE828-StepSize*AD828</f>
        <v>7.6242113402414423E-3</v>
      </c>
      <c r="AF829" s="1"/>
    </row>
    <row r="830" spans="11:32" x14ac:dyDescent="0.45">
      <c r="K830" s="40">
        <f t="shared" si="212"/>
        <v>8.0500000000000007</v>
      </c>
      <c r="L830" s="41">
        <f t="shared" si="204"/>
        <v>28.05</v>
      </c>
      <c r="M830">
        <f t="shared" si="213"/>
        <v>0.83724092193130861</v>
      </c>
      <c r="N830">
        <f t="shared" si="214"/>
        <v>0.16275907806868931</v>
      </c>
      <c r="O830">
        <f t="shared" si="205"/>
        <v>0.11215361258792875</v>
      </c>
      <c r="P830">
        <f t="shared" si="206"/>
        <v>0.5</v>
      </c>
      <c r="Q830">
        <f t="shared" si="215"/>
        <v>-1.2520054966699626E-2</v>
      </c>
      <c r="R830" s="6">
        <f t="shared" si="216"/>
        <v>1.2520054966699626E-2</v>
      </c>
      <c r="S830" s="18">
        <f t="shared" si="217"/>
        <v>0.99999999999999789</v>
      </c>
      <c r="T830" s="15"/>
      <c r="U830" s="15"/>
      <c r="V830" s="40">
        <f t="shared" si="218"/>
        <v>1.95</v>
      </c>
      <c r="W830" s="41">
        <f t="shared" si="207"/>
        <v>21.95</v>
      </c>
      <c r="X830">
        <f t="shared" si="219"/>
        <v>2.9190125285786465E-2</v>
      </c>
      <c r="Y830">
        <f t="shared" si="220"/>
        <v>1.8148379518293105</v>
      </c>
      <c r="Z830" s="33">
        <f t="shared" si="208"/>
        <v>6.6299710156481284E-2</v>
      </c>
      <c r="AA830" s="33">
        <f t="shared" si="209"/>
        <v>0.5</v>
      </c>
      <c r="AB830">
        <f t="shared" si="210"/>
        <v>7.4507666202505846E-3</v>
      </c>
      <c r="AC830" s="1">
        <f t="shared" si="211"/>
        <v>-1.6434189136772415E-2</v>
      </c>
      <c r="AD830" s="35">
        <f>IF(W830&gt;=FinalAgeForPremium, AE830*Delta-Z830*(Y830-AE830),AE830*Delta+PremiumRevisedForLimitedTerm-Z830*(Y830-AE830))</f>
        <v>1.8894400619187873E-2</v>
      </c>
      <c r="AE830" s="35">
        <f>AE829-StepSize*AD829</f>
        <v>7.4359715174111161E-3</v>
      </c>
      <c r="AF830" s="1"/>
    </row>
    <row r="831" spans="11:32" x14ac:dyDescent="0.45">
      <c r="K831" s="40">
        <f t="shared" si="212"/>
        <v>8.06</v>
      </c>
      <c r="L831" s="41">
        <f t="shared" si="204"/>
        <v>28.060000000000002</v>
      </c>
      <c r="M831">
        <f t="shared" si="213"/>
        <v>0.83711572138164159</v>
      </c>
      <c r="N831">
        <f t="shared" si="214"/>
        <v>0.1628842786183563</v>
      </c>
      <c r="O831">
        <f t="shared" si="205"/>
        <v>0.11225030564544866</v>
      </c>
      <c r="P831">
        <f t="shared" si="206"/>
        <v>0.5</v>
      </c>
      <c r="Q831">
        <f t="shared" si="215"/>
        <v>-1.2524356276521362E-2</v>
      </c>
      <c r="R831" s="6">
        <f t="shared" si="216"/>
        <v>1.2524356276521362E-2</v>
      </c>
      <c r="S831" s="18">
        <f t="shared" si="217"/>
        <v>0.99999999999999789</v>
      </c>
      <c r="T831" s="15"/>
      <c r="U831" s="15"/>
      <c r="V831" s="40">
        <f t="shared" si="218"/>
        <v>1.94</v>
      </c>
      <c r="W831" s="41">
        <f t="shared" si="207"/>
        <v>21.94</v>
      </c>
      <c r="X831">
        <f t="shared" si="219"/>
        <v>2.911561761958396E-2</v>
      </c>
      <c r="Y831">
        <f t="shared" si="220"/>
        <v>1.8150022937206782</v>
      </c>
      <c r="Z831" s="33">
        <f t="shared" si="208"/>
        <v>6.624259920563931E-2</v>
      </c>
      <c r="AA831" s="33">
        <f t="shared" si="209"/>
        <v>0.5</v>
      </c>
      <c r="AB831">
        <f t="shared" si="210"/>
        <v>7.5331992666706898E-3</v>
      </c>
      <c r="AC831" s="1">
        <f t="shared" si="211"/>
        <v>-1.6306547263418958E-2</v>
      </c>
      <c r="AD831" s="35">
        <f>IF(W831&gt;=FinalAgeForPremium, AE831*Delta-Z831*(Y831-AE831),AE831*Delta+PremiumRevisedForLimitedTerm-Z831*(Y831-AE831))</f>
        <v>1.8964773288410508E-2</v>
      </c>
      <c r="AE831" s="35">
        <f>AE830-StepSize*AD830</f>
        <v>7.2470275112192376E-3</v>
      </c>
      <c r="AF831" s="1"/>
    </row>
    <row r="832" spans="11:32" x14ac:dyDescent="0.45">
      <c r="K832" s="40">
        <f t="shared" si="212"/>
        <v>8.07</v>
      </c>
      <c r="L832" s="41">
        <f t="shared" si="204"/>
        <v>28.07</v>
      </c>
      <c r="M832">
        <f t="shared" si="213"/>
        <v>0.83699047781887637</v>
      </c>
      <c r="N832">
        <f t="shared" si="214"/>
        <v>0.16300952218112152</v>
      </c>
      <c r="O832">
        <f t="shared" si="205"/>
        <v>0.11234708206673329</v>
      </c>
      <c r="P832">
        <f t="shared" si="206"/>
        <v>0.5</v>
      </c>
      <c r="Q832">
        <f t="shared" si="215"/>
        <v>-1.252867681003085E-2</v>
      </c>
      <c r="R832" s="6">
        <f t="shared" si="216"/>
        <v>1.252867681003085E-2</v>
      </c>
      <c r="S832" s="18">
        <f t="shared" si="217"/>
        <v>0.99999999999999789</v>
      </c>
      <c r="T832" s="15"/>
      <c r="U832" s="15"/>
      <c r="V832" s="40">
        <f t="shared" si="218"/>
        <v>1.93</v>
      </c>
      <c r="W832" s="41">
        <f t="shared" si="207"/>
        <v>21.93</v>
      </c>
      <c r="X832">
        <f t="shared" si="219"/>
        <v>2.9040285626917253E-2</v>
      </c>
      <c r="Y832">
        <f t="shared" si="220"/>
        <v>1.8151653591933123</v>
      </c>
      <c r="Z832" s="33">
        <f t="shared" si="208"/>
        <v>6.6185537450498155E-2</v>
      </c>
      <c r="AA832" s="33">
        <f t="shared" si="209"/>
        <v>0.5</v>
      </c>
      <c r="AB832">
        <f t="shared" si="210"/>
        <v>7.6155600308911026E-3</v>
      </c>
      <c r="AC832" s="1">
        <f t="shared" si="211"/>
        <v>-1.6179195257136736E-2</v>
      </c>
      <c r="AD832" s="35">
        <f>IF(W832&gt;=FinalAgeForPremium, AE832*Delta-Z832*(Y832-AE832),AE832*Delta+PremiumRevisedForLimitedTerm-Z832*(Y832-AE832))</f>
        <v>1.9035100077048783E-2</v>
      </c>
      <c r="AE832" s="35">
        <f>AE831-StepSize*AD831</f>
        <v>7.0573797783351324E-3</v>
      </c>
      <c r="AF832" s="1"/>
    </row>
    <row r="833" spans="11:32" x14ac:dyDescent="0.45">
      <c r="K833" s="40">
        <f t="shared" si="212"/>
        <v>8.08</v>
      </c>
      <c r="L833" s="41">
        <f t="shared" si="204"/>
        <v>28.08</v>
      </c>
      <c r="M833">
        <f t="shared" si="213"/>
        <v>0.83686519105077606</v>
      </c>
      <c r="N833">
        <f t="shared" si="214"/>
        <v>0.16313480894922183</v>
      </c>
      <c r="O833">
        <f t="shared" si="205"/>
        <v>0.11244394192365459</v>
      </c>
      <c r="P833">
        <f t="shared" si="206"/>
        <v>0.5</v>
      </c>
      <c r="Q833">
        <f t="shared" si="215"/>
        <v>-1.2533016465830646E-2</v>
      </c>
      <c r="R833" s="6">
        <f t="shared" si="216"/>
        <v>1.2533016465830646E-2</v>
      </c>
      <c r="S833" s="18">
        <f t="shared" si="217"/>
        <v>0.99999999999999789</v>
      </c>
      <c r="T833" s="15"/>
      <c r="U833" s="15"/>
      <c r="V833" s="40">
        <f t="shared" si="218"/>
        <v>1.92</v>
      </c>
      <c r="W833" s="41">
        <f t="shared" si="207"/>
        <v>21.92</v>
      </c>
      <c r="X833">
        <f t="shared" si="219"/>
        <v>2.8964130026608342E-2</v>
      </c>
      <c r="Y833">
        <f t="shared" si="220"/>
        <v>1.8153271511458837</v>
      </c>
      <c r="Z833" s="33">
        <f t="shared" si="208"/>
        <v>6.6128524848680384E-2</v>
      </c>
      <c r="AA833" s="33">
        <f t="shared" si="209"/>
        <v>0.5</v>
      </c>
      <c r="AB833">
        <f t="shared" si="210"/>
        <v>7.6978487678283219E-3</v>
      </c>
      <c r="AC833" s="1">
        <f t="shared" si="211"/>
        <v>-1.6052131883068088E-2</v>
      </c>
      <c r="AD833" s="35">
        <f>IF(W833&gt;=FinalAgeForPremium, AE833*Delta-Z833*(Y833-AE833),AE833*Delta+PremiumRevisedForLimitedTerm-Z833*(Y833-AE833))</f>
        <v>1.9105380773243821E-2</v>
      </c>
      <c r="AE833" s="35">
        <f>AE832-StepSize*AD832</f>
        <v>6.8670287775646445E-3</v>
      </c>
      <c r="AF833" s="1"/>
    </row>
    <row r="834" spans="11:32" x14ac:dyDescent="0.45">
      <c r="K834" s="40">
        <f t="shared" si="212"/>
        <v>8.09</v>
      </c>
      <c r="L834" s="41">
        <f t="shared" si="204"/>
        <v>28.09</v>
      </c>
      <c r="M834">
        <f t="shared" si="213"/>
        <v>0.83673986088611774</v>
      </c>
      <c r="N834">
        <f t="shared" si="214"/>
        <v>0.16326013911388013</v>
      </c>
      <c r="O834">
        <f t="shared" si="205"/>
        <v>0.11254088528814643</v>
      </c>
      <c r="P834">
        <f t="shared" si="206"/>
        <v>0.5</v>
      </c>
      <c r="Q834">
        <f t="shared" si="215"/>
        <v>-1.2537375143064119E-2</v>
      </c>
      <c r="R834" s="6">
        <f t="shared" si="216"/>
        <v>1.2537375143064119E-2</v>
      </c>
      <c r="S834" s="18">
        <f t="shared" si="217"/>
        <v>0.99999999999999789</v>
      </c>
      <c r="T834" s="15"/>
      <c r="U834" s="15"/>
      <c r="V834" s="40">
        <f t="shared" si="218"/>
        <v>1.91</v>
      </c>
      <c r="W834" s="41">
        <f t="shared" si="207"/>
        <v>21.91</v>
      </c>
      <c r="X834">
        <f t="shared" si="219"/>
        <v>2.888715153893006E-2</v>
      </c>
      <c r="Y834">
        <f t="shared" si="220"/>
        <v>1.8154876724647144</v>
      </c>
      <c r="Z834" s="33">
        <f t="shared" si="208"/>
        <v>6.6071561357845018E-2</v>
      </c>
      <c r="AA834" s="33">
        <f t="shared" si="209"/>
        <v>0.5</v>
      </c>
      <c r="AB834">
        <f t="shared" si="210"/>
        <v>7.7800653339883397E-3</v>
      </c>
      <c r="AC834" s="1">
        <f t="shared" si="211"/>
        <v>-1.5925355913872008E-2</v>
      </c>
      <c r="AD834" s="35">
        <f>IF(W834&gt;=FinalAgeForPremium, AE834*Delta-Z834*(Y834-AE834),AE834*Delta+PremiumRevisedForLimitedTerm-Z834*(Y834-AE834))</f>
        <v>1.9175615166917223E-2</v>
      </c>
      <c r="AE834" s="35">
        <f>AE833-StepSize*AD833</f>
        <v>6.6759749698322062E-3</v>
      </c>
      <c r="AF834" s="1"/>
    </row>
    <row r="835" spans="11:32" x14ac:dyDescent="0.45">
      <c r="K835" s="40">
        <f t="shared" si="212"/>
        <v>8.1</v>
      </c>
      <c r="L835" s="41">
        <f t="shared" si="204"/>
        <v>28.1</v>
      </c>
      <c r="M835">
        <f t="shared" si="213"/>
        <v>0.83661448713468711</v>
      </c>
      <c r="N835">
        <f t="shared" si="214"/>
        <v>0.16338551286531078</v>
      </c>
      <c r="O835">
        <f t="shared" si="205"/>
        <v>0.11263791223220482</v>
      </c>
      <c r="P835">
        <f t="shared" si="206"/>
        <v>0.5</v>
      </c>
      <c r="Q835">
        <f t="shared" si="215"/>
        <v>-1.2541752741412546E-2</v>
      </c>
      <c r="R835" s="6">
        <f t="shared" si="216"/>
        <v>1.2541752741412546E-2</v>
      </c>
      <c r="S835" s="18">
        <f t="shared" si="217"/>
        <v>0.99999999999999789</v>
      </c>
      <c r="T835" s="15"/>
      <c r="U835" s="15"/>
      <c r="V835" s="40">
        <f t="shared" si="218"/>
        <v>1.9</v>
      </c>
      <c r="W835" s="41">
        <f t="shared" si="207"/>
        <v>21.9</v>
      </c>
      <c r="X835">
        <f t="shared" si="219"/>
        <v>2.8809350885590175E-2</v>
      </c>
      <c r="Y835">
        <f t="shared" si="220"/>
        <v>1.8156469260238532</v>
      </c>
      <c r="Z835" s="33">
        <f t="shared" si="208"/>
        <v>6.6014646935687579E-2</v>
      </c>
      <c r="AA835" s="33">
        <f t="shared" si="209"/>
        <v>0.5</v>
      </c>
      <c r="AB835">
        <f t="shared" si="210"/>
        <v>7.8622095874546077E-3</v>
      </c>
      <c r="AC835" s="1">
        <f t="shared" si="211"/>
        <v>-1.5798866129675848E-2</v>
      </c>
      <c r="AD835" s="35">
        <f>IF(W835&gt;=FinalAgeForPremium, AE835*Delta-Z835*(Y835-AE835),AE835*Delta+PremiumRevisedForLimitedTerm-Z835*(Y835-AE835))</f>
        <v>1.9245803049758328E-2</v>
      </c>
      <c r="AE835" s="35">
        <f>AE834-StepSize*AD834</f>
        <v>6.4842188181630338E-3</v>
      </c>
      <c r="AF835" s="1"/>
    </row>
    <row r="836" spans="11:32" x14ac:dyDescent="0.45">
      <c r="K836" s="40">
        <f t="shared" si="212"/>
        <v>8.11</v>
      </c>
      <c r="L836" s="41">
        <f t="shared" si="204"/>
        <v>28.11</v>
      </c>
      <c r="M836">
        <f t="shared" si="213"/>
        <v>0.83648906960727298</v>
      </c>
      <c r="N836">
        <f t="shared" si="214"/>
        <v>0.16351093039272491</v>
      </c>
      <c r="O836">
        <f t="shared" si="205"/>
        <v>0.11273502282788761</v>
      </c>
      <c r="P836">
        <f t="shared" si="206"/>
        <v>0.5</v>
      </c>
      <c r="Q836">
        <f t="shared" si="215"/>
        <v>-1.2546149161091938E-2</v>
      </c>
      <c r="R836" s="6">
        <f t="shared" si="216"/>
        <v>1.2546149161091938E-2</v>
      </c>
      <c r="S836" s="18">
        <f t="shared" si="217"/>
        <v>0.99999999999999789</v>
      </c>
      <c r="T836" s="15"/>
      <c r="U836" s="15"/>
      <c r="V836" s="40">
        <f t="shared" si="218"/>
        <v>1.89</v>
      </c>
      <c r="W836" s="41">
        <f t="shared" si="207"/>
        <v>21.89</v>
      </c>
      <c r="X836">
        <f t="shared" si="219"/>
        <v>2.873072878971563E-2</v>
      </c>
      <c r="Y836">
        <f t="shared" si="220"/>
        <v>1.81580491468515</v>
      </c>
      <c r="Z836" s="33">
        <f t="shared" si="208"/>
        <v>6.5957781539940058E-2</v>
      </c>
      <c r="AA836" s="33">
        <f t="shared" si="209"/>
        <v>0.5</v>
      </c>
      <c r="AB836">
        <f t="shared" si="210"/>
        <v>7.9442813878761592E-3</v>
      </c>
      <c r="AC836" s="1">
        <f t="shared" si="211"/>
        <v>-1.5672661318025249E-2</v>
      </c>
      <c r="AD836" s="35">
        <f>IF(W836&gt;=FinalAgeForPremium, AE836*Delta-Z836*(Y836-AE836),AE836*Delta+PremiumRevisedForLimitedTerm-Z836*(Y836-AE836))</f>
        <v>1.9315944215211586E-2</v>
      </c>
      <c r="AE836" s="35">
        <f>AE835-StepSize*AD835</f>
        <v>6.2917607876654506E-3</v>
      </c>
      <c r="AF836" s="1"/>
    </row>
    <row r="837" spans="11:32" x14ac:dyDescent="0.45">
      <c r="K837" s="40">
        <f t="shared" si="212"/>
        <v>8.1199999999999992</v>
      </c>
      <c r="L837" s="41">
        <f t="shared" si="204"/>
        <v>28.119999999999997</v>
      </c>
      <c r="M837">
        <f t="shared" si="213"/>
        <v>0.83636360811566202</v>
      </c>
      <c r="N837">
        <f t="shared" si="214"/>
        <v>0.16363639188433582</v>
      </c>
      <c r="O837">
        <f t="shared" si="205"/>
        <v>0.11283221714731498</v>
      </c>
      <c r="P837">
        <f t="shared" si="206"/>
        <v>0.5</v>
      </c>
      <c r="Q837">
        <f t="shared" si="215"/>
        <v>-1.2550564302850314E-2</v>
      </c>
      <c r="R837" s="6">
        <f t="shared" si="216"/>
        <v>1.2550564302850314E-2</v>
      </c>
      <c r="S837" s="18">
        <f t="shared" si="217"/>
        <v>0.99999999999999778</v>
      </c>
      <c r="T837" s="15"/>
      <c r="U837" s="15"/>
      <c r="V837" s="40">
        <f t="shared" si="218"/>
        <v>1.88</v>
      </c>
      <c r="W837" s="41">
        <f t="shared" si="207"/>
        <v>21.88</v>
      </c>
      <c r="X837">
        <f t="shared" si="219"/>
        <v>2.8651285975836868E-2</v>
      </c>
      <c r="Y837">
        <f t="shared" si="220"/>
        <v>1.8159616412983304</v>
      </c>
      <c r="Z837" s="33">
        <f t="shared" si="208"/>
        <v>6.5900965128370792E-2</v>
      </c>
      <c r="AA837" s="33">
        <f t="shared" si="209"/>
        <v>0.5</v>
      </c>
      <c r="AB837">
        <f t="shared" si="210"/>
        <v>8.0262805964558398E-3</v>
      </c>
      <c r="AC837" s="1">
        <f t="shared" si="211"/>
        <v>-1.5546740273836623E-2</v>
      </c>
      <c r="AD837" s="35">
        <f>IF(W837&gt;=FinalAgeForPremium, AE837*Delta-Z837*(Y837-AE837),AE837*Delta+PremiumRevisedForLimitedTerm-Z837*(Y837-AE837))</f>
        <v>1.9386038458464455E-2</v>
      </c>
      <c r="AE837" s="35">
        <f>AE836-StepSize*AD836</f>
        <v>6.0986013455133345E-3</v>
      </c>
      <c r="AF837" s="1"/>
    </row>
    <row r="838" spans="11:32" x14ac:dyDescent="0.45">
      <c r="K838" s="40">
        <f t="shared" si="212"/>
        <v>8.1300000000000008</v>
      </c>
      <c r="L838" s="41">
        <f t="shared" si="204"/>
        <v>28.130000000000003</v>
      </c>
      <c r="M838">
        <f t="shared" si="213"/>
        <v>0.83623810247263353</v>
      </c>
      <c r="N838">
        <f t="shared" si="214"/>
        <v>0.16376189752736431</v>
      </c>
      <c r="O838">
        <f t="shared" si="205"/>
        <v>0.11292949526266927</v>
      </c>
      <c r="P838">
        <f t="shared" si="206"/>
        <v>0.5</v>
      </c>
      <c r="Q838">
        <f t="shared" si="215"/>
        <v>-1.2554998067964646E-2</v>
      </c>
      <c r="R838" s="6">
        <f t="shared" si="216"/>
        <v>1.2554998067964646E-2</v>
      </c>
      <c r="S838" s="18">
        <f t="shared" si="217"/>
        <v>0.99999999999999778</v>
      </c>
      <c r="T838" s="15"/>
      <c r="U838" s="15"/>
      <c r="V838" s="40">
        <f t="shared" si="218"/>
        <v>1.87</v>
      </c>
      <c r="W838" s="41">
        <f t="shared" si="207"/>
        <v>21.87</v>
      </c>
      <c r="X838">
        <f t="shared" si="219"/>
        <v>2.8571023169872308E-2</v>
      </c>
      <c r="Y838">
        <f t="shared" si="220"/>
        <v>1.8161171087010688</v>
      </c>
      <c r="Z838" s="33">
        <f t="shared" si="208"/>
        <v>6.5844197658784534E-2</v>
      </c>
      <c r="AA838" s="33">
        <f t="shared" si="209"/>
        <v>0.5</v>
      </c>
      <c r="AB838">
        <f t="shared" si="210"/>
        <v>8.1082070759386227E-3</v>
      </c>
      <c r="AC838" s="1">
        <f t="shared" si="211"/>
        <v>-1.5421101799348302E-2</v>
      </c>
      <c r="AD838" s="35">
        <f>IF(W838&gt;=FinalAgeForPremium, AE838*Delta-Z838*(Y838-AE838),AE838*Delta+PremiumRevisedForLimitedTerm-Z838*(Y838-AE838))</f>
        <v>1.9456085576434842E-2</v>
      </c>
      <c r="AE838" s="35">
        <f>AE837-StepSize*AD837</f>
        <v>5.9047409609286903E-3</v>
      </c>
      <c r="AF838" s="1"/>
    </row>
    <row r="839" spans="11:32" x14ac:dyDescent="0.45">
      <c r="K839" s="40">
        <f t="shared" si="212"/>
        <v>8.14</v>
      </c>
      <c r="L839" s="41">
        <f t="shared" si="204"/>
        <v>28.14</v>
      </c>
      <c r="M839">
        <f t="shared" si="213"/>
        <v>0.83611255249195393</v>
      </c>
      <c r="N839">
        <f t="shared" si="214"/>
        <v>0.16388744750804396</v>
      </c>
      <c r="O839">
        <f t="shared" si="205"/>
        <v>0.11302685724619492</v>
      </c>
      <c r="P839">
        <f t="shared" si="206"/>
        <v>0.5</v>
      </c>
      <c r="Q839">
        <f t="shared" si="215"/>
        <v>-1.2559450358237759E-2</v>
      </c>
      <c r="R839" s="6">
        <f t="shared" si="216"/>
        <v>1.2559450358237759E-2</v>
      </c>
      <c r="S839" s="18">
        <f t="shared" si="217"/>
        <v>0.99999999999999789</v>
      </c>
      <c r="T839" s="15"/>
      <c r="U839" s="15"/>
      <c r="V839" s="40">
        <f t="shared" si="218"/>
        <v>1.86</v>
      </c>
      <c r="W839" s="41">
        <f t="shared" si="207"/>
        <v>21.86</v>
      </c>
      <c r="X839">
        <f t="shared" si="219"/>
        <v>2.8489941099112921E-2</v>
      </c>
      <c r="Y839">
        <f t="shared" si="220"/>
        <v>1.8162713197190623</v>
      </c>
      <c r="Z839" s="33">
        <f t="shared" si="208"/>
        <v>6.5787479089022383E-2</v>
      </c>
      <c r="AA839" s="33">
        <f t="shared" si="209"/>
        <v>0.5</v>
      </c>
      <c r="AB839">
        <f t="shared" si="210"/>
        <v>8.1900606905997708E-3</v>
      </c>
      <c r="AC839" s="1">
        <f t="shared" si="211"/>
        <v>-1.5295744704072134E-2</v>
      </c>
      <c r="AD839" s="35">
        <f>IF(W839&gt;=FinalAgeForPremium, AE839*Delta-Z839*(Y839-AE839),AE839*Delta+PremiumRevisedForLimitedTerm-Z839*(Y839-AE839))</f>
        <v>1.9526085367758933E-2</v>
      </c>
      <c r="AE839" s="35">
        <f>AE838-StepSize*AD838</f>
        <v>5.7101801051643421E-3</v>
      </c>
      <c r="AF839" s="1"/>
    </row>
    <row r="840" spans="11:32" x14ac:dyDescent="0.45">
      <c r="K840" s="40">
        <f t="shared" si="212"/>
        <v>8.15</v>
      </c>
      <c r="L840" s="41">
        <f t="shared" si="204"/>
        <v>28.15</v>
      </c>
      <c r="M840">
        <f t="shared" si="213"/>
        <v>0.83598695798837153</v>
      </c>
      <c r="N840">
        <f t="shared" si="214"/>
        <v>0.16401304201162634</v>
      </c>
      <c r="O840">
        <f t="shared" si="205"/>
        <v>0.11312430317019878</v>
      </c>
      <c r="P840">
        <f t="shared" si="206"/>
        <v>0.5</v>
      </c>
      <c r="Q840">
        <f t="shared" si="215"/>
        <v>-1.2563921075995604E-2</v>
      </c>
      <c r="R840" s="6">
        <f t="shared" si="216"/>
        <v>1.2563921075995604E-2</v>
      </c>
      <c r="S840" s="18">
        <f t="shared" si="217"/>
        <v>0.99999999999999789</v>
      </c>
      <c r="T840" s="15"/>
      <c r="U840" s="15"/>
      <c r="V840" s="40">
        <f t="shared" si="218"/>
        <v>1.85</v>
      </c>
      <c r="W840" s="41">
        <f t="shared" si="207"/>
        <v>21.85</v>
      </c>
      <c r="X840">
        <f t="shared" si="219"/>
        <v>2.8408040492206924E-2</v>
      </c>
      <c r="Y840">
        <f t="shared" si="220"/>
        <v>1.816424277166103</v>
      </c>
      <c r="Z840" s="33">
        <f t="shared" si="208"/>
        <v>6.5730809376961755E-2</v>
      </c>
      <c r="AA840" s="33">
        <f t="shared" si="209"/>
        <v>0.5</v>
      </c>
      <c r="AB840">
        <f t="shared" si="210"/>
        <v>8.2718413062336099E-3</v>
      </c>
      <c r="AC840" s="1">
        <f t="shared" si="211"/>
        <v>-1.5170667804746851E-2</v>
      </c>
      <c r="AD840" s="35">
        <f>IF(W840&gt;=FinalAgeForPremium, AE840*Delta-Z840*(Y840-AE840),AE840*Delta+PremiumRevisedForLimitedTerm-Z840*(Y840-AE840))</f>
        <v>1.9596037632779034E-2</v>
      </c>
      <c r="AE840" s="35">
        <f>AE839-StepSize*AD839</f>
        <v>5.5149192514867525E-3</v>
      </c>
      <c r="AF840" s="1"/>
    </row>
    <row r="841" spans="11:32" x14ac:dyDescent="0.45">
      <c r="K841" s="40">
        <f t="shared" si="212"/>
        <v>8.16</v>
      </c>
      <c r="L841" s="41">
        <f t="shared" si="204"/>
        <v>28.16</v>
      </c>
      <c r="M841">
        <f t="shared" si="213"/>
        <v>0.83586131877761161</v>
      </c>
      <c r="N841">
        <f t="shared" si="214"/>
        <v>0.16413868122238628</v>
      </c>
      <c r="O841">
        <f t="shared" si="205"/>
        <v>0.11322183310704999</v>
      </c>
      <c r="P841">
        <f t="shared" si="206"/>
        <v>0.5</v>
      </c>
      <c r="Q841">
        <f t="shared" si="215"/>
        <v>-1.25684101240843E-2</v>
      </c>
      <c r="R841" s="6">
        <f t="shared" si="216"/>
        <v>1.25684101240843E-2</v>
      </c>
      <c r="S841" s="18">
        <f t="shared" si="217"/>
        <v>0.99999999999999789</v>
      </c>
      <c r="T841" s="15"/>
      <c r="U841" s="15"/>
      <c r="V841" s="40">
        <f t="shared" si="218"/>
        <v>1.84</v>
      </c>
      <c r="W841" s="41">
        <f t="shared" si="207"/>
        <v>21.84</v>
      </c>
      <c r="X841">
        <f t="shared" si="219"/>
        <v>2.8325322079144587E-2</v>
      </c>
      <c r="Y841">
        <f t="shared" si="220"/>
        <v>1.8165759838441504</v>
      </c>
      <c r="Z841" s="33">
        <f t="shared" si="208"/>
        <v>6.567418848051633E-2</v>
      </c>
      <c r="AA841" s="33">
        <f t="shared" si="209"/>
        <v>0.5</v>
      </c>
      <c r="AB841">
        <f t="shared" si="210"/>
        <v>8.3535487901418293E-3</v>
      </c>
      <c r="AC841" s="1">
        <f t="shared" si="211"/>
        <v>-1.5045869925289557E-2</v>
      </c>
      <c r="AD841" s="35">
        <f>IF(W841&gt;=FinalAgeForPremium, AE841*Delta-Z841*(Y841-AE841),AE841*Delta+PremiumRevisedForLimitedTerm-Z841*(Y841-AE841))</f>
        <v>1.9665942173531681E-2</v>
      </c>
      <c r="AE841" s="35">
        <f>AE840-StepSize*AD840</f>
        <v>5.3189588751589622E-3</v>
      </c>
      <c r="AF841" s="1"/>
    </row>
    <row r="842" spans="11:32" x14ac:dyDescent="0.45">
      <c r="K842" s="40">
        <f t="shared" si="212"/>
        <v>8.17</v>
      </c>
      <c r="L842" s="41">
        <f t="shared" si="204"/>
        <v>28.17</v>
      </c>
      <c r="M842">
        <f t="shared" si="213"/>
        <v>0.8357356346763708</v>
      </c>
      <c r="N842">
        <f t="shared" si="214"/>
        <v>0.16426436532362712</v>
      </c>
      <c r="O842">
        <f t="shared" si="205"/>
        <v>0.11331944712918014</v>
      </c>
      <c r="P842">
        <f t="shared" si="206"/>
        <v>0.5</v>
      </c>
      <c r="Q842">
        <f t="shared" si="215"/>
        <v>-1.2572917405867245E-2</v>
      </c>
      <c r="R842" s="6">
        <f t="shared" si="216"/>
        <v>1.2572917405867245E-2</v>
      </c>
      <c r="S842" s="18">
        <f t="shared" si="217"/>
        <v>0.99999999999999789</v>
      </c>
      <c r="T842" s="15"/>
      <c r="U842" s="15"/>
      <c r="V842" s="40">
        <f t="shared" si="218"/>
        <v>1.83</v>
      </c>
      <c r="W842" s="41">
        <f t="shared" si="207"/>
        <v>21.83</v>
      </c>
      <c r="X842">
        <f t="shared" si="219"/>
        <v>2.8241786591243167E-2</v>
      </c>
      <c r="Y842">
        <f t="shared" si="220"/>
        <v>1.8167264425434033</v>
      </c>
      <c r="Z842" s="33">
        <f t="shared" si="208"/>
        <v>6.5617616357636063E-2</v>
      </c>
      <c r="AA842" s="33">
        <f t="shared" si="209"/>
        <v>0.5</v>
      </c>
      <c r="AB842">
        <f t="shared" si="210"/>
        <v>8.4351830111222409E-3</v>
      </c>
      <c r="AC842" s="1">
        <f t="shared" si="211"/>
        <v>-1.4921349896749758E-2</v>
      </c>
      <c r="AD842" s="35">
        <f>IF(W842&gt;=FinalAgeForPremium, AE842*Delta-Z842*(Y842-AE842),AE842*Delta+PremiumRevisedForLimitedTerm-Z842*(Y842-AE842))</f>
        <v>1.9735798793735423E-2</v>
      </c>
      <c r="AE842" s="35">
        <f>AE841-StepSize*AD841</f>
        <v>5.1222994534236453E-3</v>
      </c>
      <c r="AF842" s="1"/>
    </row>
    <row r="843" spans="11:32" x14ac:dyDescent="0.45">
      <c r="K843" s="40">
        <f t="shared" si="212"/>
        <v>8.18</v>
      </c>
      <c r="L843" s="41">
        <f t="shared" si="204"/>
        <v>28.18</v>
      </c>
      <c r="M843">
        <f t="shared" si="213"/>
        <v>0.83560990550231218</v>
      </c>
      <c r="N843">
        <f t="shared" si="214"/>
        <v>0.1643900944976858</v>
      </c>
      <c r="O843">
        <f t="shared" si="205"/>
        <v>0.11341714530908313</v>
      </c>
      <c r="P843">
        <f t="shared" si="206"/>
        <v>0.5</v>
      </c>
      <c r="Q843">
        <f t="shared" si="215"/>
        <v>-1.2577442825222065E-2</v>
      </c>
      <c r="R843" s="6">
        <f t="shared" si="216"/>
        <v>1.2577442825222065E-2</v>
      </c>
      <c r="S843" s="18">
        <f t="shared" si="217"/>
        <v>0.999999999999998</v>
      </c>
      <c r="T843" s="15"/>
      <c r="U843" s="15"/>
      <c r="V843" s="40">
        <f t="shared" si="218"/>
        <v>1.82</v>
      </c>
      <c r="W843" s="41">
        <f t="shared" si="207"/>
        <v>21.82</v>
      </c>
      <c r="X843">
        <f t="shared" si="219"/>
        <v>2.8157434761131944E-2</v>
      </c>
      <c r="Y843">
        <f t="shared" si="220"/>
        <v>1.8168756560423709</v>
      </c>
      <c r="Z843" s="33">
        <f t="shared" si="208"/>
        <v>6.5561092966307147E-2</v>
      </c>
      <c r="AA843" s="33">
        <f t="shared" si="209"/>
        <v>0.5</v>
      </c>
      <c r="AB843">
        <f t="shared" si="210"/>
        <v>8.5167438394574135E-3</v>
      </c>
      <c r="AC843" s="1">
        <f t="shared" si="211"/>
        <v>-1.4797106557261963E-2</v>
      </c>
      <c r="AD843" s="35">
        <f>IF(W843&gt;=FinalAgeForPremium, AE843*Delta-Z843*(Y843-AE843),AE843*Delta+PremiumRevisedForLimitedTerm-Z843*(Y843-AE843))</f>
        <v>1.980560729877906E-2</v>
      </c>
      <c r="AE843" s="35">
        <f>AE842-StepSize*AD842</f>
        <v>4.9249414654862914E-3</v>
      </c>
      <c r="AF843" s="1"/>
    </row>
    <row r="844" spans="11:32" x14ac:dyDescent="0.45">
      <c r="K844" s="40">
        <f t="shared" si="212"/>
        <v>8.19</v>
      </c>
      <c r="L844" s="41">
        <f t="shared" si="204"/>
        <v>28.189999999999998</v>
      </c>
      <c r="M844">
        <f t="shared" si="213"/>
        <v>0.83548413107405994</v>
      </c>
      <c r="N844">
        <f t="shared" si="214"/>
        <v>0.16451586892593803</v>
      </c>
      <c r="O844">
        <f t="shared" si="205"/>
        <v>0.1135149277193155</v>
      </c>
      <c r="P844">
        <f t="shared" si="206"/>
        <v>0.5</v>
      </c>
      <c r="Q844">
        <f t="shared" si="215"/>
        <v>-1.2581986286538019E-2</v>
      </c>
      <c r="R844" s="6">
        <f t="shared" si="216"/>
        <v>1.2581986286538019E-2</v>
      </c>
      <c r="S844" s="18">
        <f t="shared" si="217"/>
        <v>0.999999999999998</v>
      </c>
      <c r="T844" s="15"/>
      <c r="U844" s="15"/>
      <c r="V844" s="40">
        <f t="shared" si="218"/>
        <v>1.81</v>
      </c>
      <c r="W844" s="41">
        <f t="shared" si="207"/>
        <v>21.81</v>
      </c>
      <c r="X844">
        <f t="shared" si="219"/>
        <v>2.807226732273737E-2</v>
      </c>
      <c r="Y844">
        <f t="shared" si="220"/>
        <v>1.8170236271079434</v>
      </c>
      <c r="Z844" s="33">
        <f t="shared" si="208"/>
        <v>6.5504618264551923E-2</v>
      </c>
      <c r="AA844" s="33">
        <f t="shared" si="209"/>
        <v>0.5</v>
      </c>
      <c r="AB844">
        <f t="shared" si="210"/>
        <v>8.598231146903515E-3</v>
      </c>
      <c r="AC844" s="1">
        <f t="shared" si="211"/>
        <v>-1.4673138751999826E-2</v>
      </c>
      <c r="AD844" s="35">
        <f>IF(W844&gt;=FinalAgeForPremium, AE844*Delta-Z844*(Y844-AE844),AE844*Delta+PremiumRevisedForLimitedTerm-Z844*(Y844-AE844))</f>
        <v>1.9875367495710006E-2</v>
      </c>
      <c r="AE844" s="35">
        <f>AE843-StepSize*AD843</f>
        <v>4.7268853924985008E-3</v>
      </c>
      <c r="AF844" s="1"/>
    </row>
    <row r="845" spans="11:32" x14ac:dyDescent="0.45">
      <c r="K845" s="40">
        <f t="shared" si="212"/>
        <v>8.1999999999999993</v>
      </c>
      <c r="L845" s="41">
        <f t="shared" si="204"/>
        <v>28.2</v>
      </c>
      <c r="M845">
        <f t="shared" si="213"/>
        <v>0.83535831121119453</v>
      </c>
      <c r="N845">
        <f t="shared" si="214"/>
        <v>0.16464168878880342</v>
      </c>
      <c r="O845">
        <f t="shared" si="205"/>
        <v>0.11361279443249629</v>
      </c>
      <c r="P845">
        <f t="shared" si="206"/>
        <v>0.5</v>
      </c>
      <c r="Q845">
        <f t="shared" si="215"/>
        <v>-1.2586547694712999E-2</v>
      </c>
      <c r="R845" s="6">
        <f t="shared" si="216"/>
        <v>1.2586547694712999E-2</v>
      </c>
      <c r="S845" s="18">
        <f t="shared" si="217"/>
        <v>0.999999999999998</v>
      </c>
      <c r="T845" s="15"/>
      <c r="U845" s="15"/>
      <c r="V845" s="40">
        <f t="shared" si="218"/>
        <v>1.8</v>
      </c>
      <c r="W845" s="41">
        <f t="shared" si="207"/>
        <v>21.8</v>
      </c>
      <c r="X845">
        <f t="shared" si="219"/>
        <v>2.7986285011268333E-2</v>
      </c>
      <c r="Y845">
        <f t="shared" si="220"/>
        <v>1.8171703584954635</v>
      </c>
      <c r="Z845" s="33">
        <f t="shared" si="208"/>
        <v>6.5448192210428927E-2</v>
      </c>
      <c r="AA845" s="33">
        <f t="shared" si="209"/>
        <v>0.5</v>
      </c>
      <c r="AB845">
        <f t="shared" si="210"/>
        <v>8.6796448066793069E-3</v>
      </c>
      <c r="AC845" s="1">
        <f t="shared" si="211"/>
        <v>-1.4549445333129296E-2</v>
      </c>
      <c r="AD845" s="35">
        <f>IF(W845&gt;=FinalAgeForPremium, AE845*Delta-Z845*(Y845-AE845),AE845*Delta+PremiumRevisedForLimitedTerm-Z845*(Y845-AE845))</f>
        <v>1.9945079193222276E-2</v>
      </c>
      <c r="AE845" s="35">
        <f>AE844-StepSize*AD844</f>
        <v>4.5281317175414008E-3</v>
      </c>
      <c r="AF845" s="1"/>
    </row>
    <row r="846" spans="11:32" x14ac:dyDescent="0.45">
      <c r="K846" s="40">
        <f t="shared" si="212"/>
        <v>8.2100000000000009</v>
      </c>
      <c r="L846" s="41">
        <f t="shared" si="204"/>
        <v>28.21</v>
      </c>
      <c r="M846">
        <f t="shared" si="213"/>
        <v>0.83523244573424738</v>
      </c>
      <c r="N846">
        <f t="shared" si="214"/>
        <v>0.16476755426575054</v>
      </c>
      <c r="O846">
        <f t="shared" si="205"/>
        <v>0.11371074552130721</v>
      </c>
      <c r="P846">
        <f t="shared" si="206"/>
        <v>0.5</v>
      </c>
      <c r="Q846">
        <f t="shared" si="215"/>
        <v>-1.2591126955150758E-2</v>
      </c>
      <c r="R846" s="6">
        <f t="shared" si="216"/>
        <v>1.2591126955150758E-2</v>
      </c>
      <c r="S846" s="18">
        <f t="shared" si="217"/>
        <v>0.99999999999999789</v>
      </c>
      <c r="T846" s="15"/>
      <c r="U846" s="15"/>
      <c r="V846" s="40">
        <f t="shared" si="218"/>
        <v>1.79</v>
      </c>
      <c r="W846" s="41">
        <f t="shared" si="207"/>
        <v>21.79</v>
      </c>
      <c r="X846">
        <f t="shared" si="219"/>
        <v>2.7899488563201541E-2</v>
      </c>
      <c r="Y846">
        <f t="shared" si="220"/>
        <v>1.8173158529487947</v>
      </c>
      <c r="Z846" s="33">
        <f t="shared" si="208"/>
        <v>6.5391814762032749E-2</v>
      </c>
      <c r="AA846" s="33">
        <f t="shared" si="209"/>
        <v>0.5</v>
      </c>
      <c r="AB846">
        <f t="shared" si="210"/>
        <v>8.7609846934549318E-3</v>
      </c>
      <c r="AC846" s="1">
        <f t="shared" si="211"/>
        <v>-1.4426025159763656E-2</v>
      </c>
      <c r="AD846" s="35">
        <f>IF(W846&gt;=FinalAgeForPremium, AE846*Delta-Z846*(Y846-AE846),AE846*Delta+PremiumRevisedForLimitedTerm-Z846*(Y846-AE846))</f>
        <v>2.0014742201645258E-2</v>
      </c>
      <c r="AE846" s="35">
        <f>AE845-StepSize*AD845</f>
        <v>4.3286809256091784E-3</v>
      </c>
      <c r="AF846" s="1"/>
    </row>
    <row r="847" spans="11:32" x14ac:dyDescent="0.45">
      <c r="K847" s="40">
        <f t="shared" si="212"/>
        <v>8.2200000000000006</v>
      </c>
      <c r="L847" s="41">
        <f t="shared" si="204"/>
        <v>28.22</v>
      </c>
      <c r="M847">
        <f t="shared" si="213"/>
        <v>0.83510653446469585</v>
      </c>
      <c r="N847">
        <f t="shared" si="214"/>
        <v>0.16489346553530204</v>
      </c>
      <c r="O847">
        <f t="shared" si="205"/>
        <v>0.11380878105849246</v>
      </c>
      <c r="P847">
        <f t="shared" si="206"/>
        <v>0.5</v>
      </c>
      <c r="Q847">
        <f t="shared" si="215"/>
        <v>-1.2595723973757939E-2</v>
      </c>
      <c r="R847" s="6">
        <f t="shared" si="216"/>
        <v>1.2595723973757939E-2</v>
      </c>
      <c r="S847" s="18">
        <f t="shared" si="217"/>
        <v>0.99999999999999789</v>
      </c>
      <c r="T847" s="15"/>
      <c r="U847" s="15"/>
      <c r="V847" s="40">
        <f t="shared" si="218"/>
        <v>1.78</v>
      </c>
      <c r="W847" s="41">
        <f t="shared" si="207"/>
        <v>21.78</v>
      </c>
      <c r="X847">
        <f t="shared" si="219"/>
        <v>2.7811878716266992E-2</v>
      </c>
      <c r="Y847">
        <f t="shared" si="220"/>
        <v>1.8174601132003922</v>
      </c>
      <c r="Z847" s="33">
        <f t="shared" si="208"/>
        <v>6.5335485877494243E-2</v>
      </c>
      <c r="AA847" s="33">
        <f t="shared" si="209"/>
        <v>0.5</v>
      </c>
      <c r="AB847">
        <f t="shared" si="210"/>
        <v>8.8422506833409353E-3</v>
      </c>
      <c r="AC847" s="1">
        <f t="shared" si="211"/>
        <v>-1.4302877097917666E-2</v>
      </c>
      <c r="AD847" s="35">
        <f>IF(W847&gt;=FinalAgeForPremium, AE847*Delta-Z847*(Y847-AE847),AE847*Delta+PremiumRevisedForLimitedTerm-Z847*(Y847-AE847))</f>
        <v>2.008435633293161E-2</v>
      </c>
      <c r="AE847" s="35">
        <f>AE846-StepSize*AD846</f>
        <v>4.1285335035927259E-3</v>
      </c>
      <c r="AF847" s="1"/>
    </row>
    <row r="848" spans="11:32" x14ac:dyDescent="0.45">
      <c r="K848" s="40">
        <f t="shared" si="212"/>
        <v>8.23</v>
      </c>
      <c r="L848" s="41">
        <f t="shared" si="204"/>
        <v>28.23</v>
      </c>
      <c r="M848">
        <f t="shared" si="213"/>
        <v>0.83498057722495822</v>
      </c>
      <c r="N848">
        <f t="shared" si="214"/>
        <v>0.16501942277503961</v>
      </c>
      <c r="O848">
        <f t="shared" si="205"/>
        <v>0.1139069011168591</v>
      </c>
      <c r="P848">
        <f t="shared" si="206"/>
        <v>0.5</v>
      </c>
      <c r="Q848">
        <f t="shared" si="215"/>
        <v>-1.2600338656941434E-2</v>
      </c>
      <c r="R848" s="6">
        <f t="shared" si="216"/>
        <v>1.2600338656941434E-2</v>
      </c>
      <c r="S848" s="18">
        <f t="shared" si="217"/>
        <v>0.99999999999999778</v>
      </c>
      <c r="T848" s="15"/>
      <c r="U848" s="15"/>
      <c r="V848" s="40">
        <f t="shared" si="218"/>
        <v>1.77</v>
      </c>
      <c r="W848" s="41">
        <f t="shared" si="207"/>
        <v>21.77</v>
      </c>
      <c r="X848">
        <f t="shared" si="219"/>
        <v>2.7723456209433582E-2</v>
      </c>
      <c r="Y848">
        <f t="shared" si="220"/>
        <v>1.8176031419713714</v>
      </c>
      <c r="Z848" s="33">
        <f t="shared" si="208"/>
        <v>6.5279205514980135E-2</v>
      </c>
      <c r="AA848" s="33">
        <f t="shared" si="209"/>
        <v>0.5</v>
      </c>
      <c r="AB848">
        <f t="shared" si="210"/>
        <v>8.9234426538777195E-3</v>
      </c>
      <c r="AC848" s="1">
        <f t="shared" si="211"/>
        <v>-1.4180000020462491E-2</v>
      </c>
      <c r="AD848" s="35">
        <f>IF(W848&gt;=FinalAgeForPremium, AE848*Delta-Z848*(Y848-AE848),AE848*Delta+PremiumRevisedForLimitedTerm-Z848*(Y848-AE848))</f>
        <v>2.0153921400646521E-2</v>
      </c>
      <c r="AE848" s="35">
        <f>AE847-StepSize*AD847</f>
        <v>3.9276899402634095E-3</v>
      </c>
      <c r="AF848" s="1"/>
    </row>
    <row r="849" spans="11:32" x14ac:dyDescent="0.45">
      <c r="K849" s="40">
        <f t="shared" si="212"/>
        <v>8.24</v>
      </c>
      <c r="L849" s="41">
        <f t="shared" si="204"/>
        <v>28.240000000000002</v>
      </c>
      <c r="M849">
        <f t="shared" si="213"/>
        <v>0.83485457383838879</v>
      </c>
      <c r="N849">
        <f t="shared" si="214"/>
        <v>0.16514542616160902</v>
      </c>
      <c r="O849">
        <f t="shared" si="205"/>
        <v>0.11400510576927703</v>
      </c>
      <c r="P849">
        <f t="shared" si="206"/>
        <v>0.5</v>
      </c>
      <c r="Q849">
        <f t="shared" si="215"/>
        <v>-1.2604970911605701E-2</v>
      </c>
      <c r="R849" s="6">
        <f t="shared" si="216"/>
        <v>1.2604970911605701E-2</v>
      </c>
      <c r="S849" s="18">
        <f t="shared" si="217"/>
        <v>0.99999999999999778</v>
      </c>
      <c r="T849" s="15"/>
      <c r="U849" s="15"/>
      <c r="V849" s="40">
        <f t="shared" si="218"/>
        <v>1.76</v>
      </c>
      <c r="W849" s="41">
        <f t="shared" si="207"/>
        <v>21.76</v>
      </c>
      <c r="X849">
        <f t="shared" si="219"/>
        <v>2.7634221782894805E-2</v>
      </c>
      <c r="Y849">
        <f t="shared" si="220"/>
        <v>1.8177449419715761</v>
      </c>
      <c r="Z849" s="33">
        <f t="shared" si="208"/>
        <v>6.5222973632693318E-2</v>
      </c>
      <c r="AA849" s="33">
        <f t="shared" si="209"/>
        <v>0.5</v>
      </c>
      <c r="AB849">
        <f t="shared" si="210"/>
        <v>9.0045604840243987E-3</v>
      </c>
      <c r="AC849" s="1">
        <f t="shared" si="211"/>
        <v>-1.4057392807080515E-2</v>
      </c>
      <c r="AD849" s="35">
        <f>IF(W849&gt;=FinalAgeForPremium, AE849*Delta-Z849*(Y849-AE849),AE849*Delta+PremiumRevisedForLimitedTerm-Z849*(Y849-AE849))</f>
        <v>2.0223437219955731E-2</v>
      </c>
      <c r="AE849" s="35">
        <f>AE848-StepSize*AD848</f>
        <v>3.7261507262569445E-3</v>
      </c>
      <c r="AF849" s="1"/>
    </row>
    <row r="850" spans="11:32" x14ac:dyDescent="0.45">
      <c r="K850" s="40">
        <f t="shared" si="212"/>
        <v>8.25</v>
      </c>
      <c r="L850" s="41">
        <f t="shared" si="204"/>
        <v>28.25</v>
      </c>
      <c r="M850">
        <f t="shared" si="213"/>
        <v>0.83472852412927279</v>
      </c>
      <c r="N850">
        <f t="shared" si="214"/>
        <v>0.16527147587072508</v>
      </c>
      <c r="O850">
        <f t="shared" si="205"/>
        <v>0.11410339508867877</v>
      </c>
      <c r="P850">
        <f t="shared" si="206"/>
        <v>0.5</v>
      </c>
      <c r="Q850">
        <f t="shared" si="215"/>
        <v>-1.2609620645149602E-2</v>
      </c>
      <c r="R850" s="6">
        <f t="shared" si="216"/>
        <v>1.2609620645149602E-2</v>
      </c>
      <c r="S850" s="18">
        <f t="shared" si="217"/>
        <v>0.99999999999999789</v>
      </c>
      <c r="T850" s="15"/>
      <c r="U850" s="15"/>
      <c r="V850" s="40">
        <f t="shared" si="218"/>
        <v>1.75</v>
      </c>
      <c r="W850" s="41">
        <f t="shared" si="207"/>
        <v>21.75</v>
      </c>
      <c r="X850">
        <f t="shared" si="219"/>
        <v>2.7544176178054561E-2</v>
      </c>
      <c r="Y850">
        <f t="shared" si="220"/>
        <v>1.817885515899647</v>
      </c>
      <c r="Z850" s="33">
        <f t="shared" si="208"/>
        <v>6.5166790188872628E-2</v>
      </c>
      <c r="AA850" s="33">
        <f t="shared" si="209"/>
        <v>0.5</v>
      </c>
      <c r="AB850">
        <f t="shared" si="210"/>
        <v>9.0856040541482525E-3</v>
      </c>
      <c r="AC850" s="1">
        <f t="shared" si="211"/>
        <v>-1.3935054344221487E-2</v>
      </c>
      <c r="AD850" s="35">
        <f>IF(W850&gt;=FinalAgeForPremium, AE850*Delta-Z850*(Y850-AE850),AE850*Delta+PremiumRevisedForLimitedTerm-Z850*(Y850-AE850))</f>
        <v>2.029290360761464E-2</v>
      </c>
      <c r="AE850" s="35">
        <f>AE849-StepSize*AD849</f>
        <v>3.5239163540573873E-3</v>
      </c>
      <c r="AF850" s="1"/>
    </row>
    <row r="851" spans="11:32" x14ac:dyDescent="0.45">
      <c r="K851" s="40">
        <f t="shared" si="212"/>
        <v>8.26</v>
      </c>
      <c r="L851" s="41">
        <f t="shared" si="204"/>
        <v>28.259999999999998</v>
      </c>
      <c r="M851">
        <f t="shared" si="213"/>
        <v>0.83460242792282124</v>
      </c>
      <c r="N851">
        <f t="shared" si="214"/>
        <v>0.16539757207717656</v>
      </c>
      <c r="O851">
        <f t="shared" si="205"/>
        <v>0.11420176914805978</v>
      </c>
      <c r="P851">
        <f t="shared" si="206"/>
        <v>0.5</v>
      </c>
      <c r="Q851">
        <f t="shared" si="215"/>
        <v>-1.2614287765463958E-2</v>
      </c>
      <c r="R851" s="6">
        <f t="shared" si="216"/>
        <v>1.2614287765463958E-2</v>
      </c>
      <c r="S851" s="18">
        <f t="shared" si="217"/>
        <v>0.99999999999999778</v>
      </c>
      <c r="T851" s="15"/>
      <c r="U851" s="15"/>
      <c r="V851" s="40">
        <f t="shared" si="218"/>
        <v>1.74</v>
      </c>
      <c r="W851" s="41">
        <f t="shared" si="207"/>
        <v>21.74</v>
      </c>
      <c r="X851">
        <f t="shared" si="219"/>
        <v>2.7453320137513077E-2</v>
      </c>
      <c r="Y851">
        <f t="shared" si="220"/>
        <v>1.8180248664430891</v>
      </c>
      <c r="Z851" s="33">
        <f t="shared" si="208"/>
        <v>6.5110655141792886E-2</v>
      </c>
      <c r="AA851" s="33">
        <f t="shared" si="209"/>
        <v>0.5</v>
      </c>
      <c r="AB851">
        <f t="shared" si="210"/>
        <v>9.166573246014123E-3</v>
      </c>
      <c r="AC851" s="1">
        <f t="shared" si="211"/>
        <v>-1.3812983525057554E-2</v>
      </c>
      <c r="AD851" s="35">
        <f>IF(W851&gt;=FinalAgeForPremium, AE851*Delta-Z851*(Y851-AE851),AE851*Delta+PremiumRevisedForLimitedTerm-Z851*(Y851-AE851))</f>
        <v>2.03623203819569E-2</v>
      </c>
      <c r="AE851" s="35">
        <f>AE850-StepSize*AD850</f>
        <v>3.3209873179812408E-3</v>
      </c>
      <c r="AF851" s="1"/>
    </row>
    <row r="852" spans="11:32" x14ac:dyDescent="0.45">
      <c r="K852" s="40">
        <f t="shared" si="212"/>
        <v>8.27</v>
      </c>
      <c r="L852" s="41">
        <f t="shared" si="204"/>
        <v>28.27</v>
      </c>
      <c r="M852">
        <f t="shared" si="213"/>
        <v>0.83447628504516658</v>
      </c>
      <c r="N852">
        <f t="shared" si="214"/>
        <v>0.1655237149548312</v>
      </c>
      <c r="O852">
        <f t="shared" si="205"/>
        <v>0.11430022802047869</v>
      </c>
      <c r="P852">
        <f t="shared" si="206"/>
        <v>0.5</v>
      </c>
      <c r="Q852">
        <f t="shared" si="215"/>
        <v>-1.2618972180928917E-2</v>
      </c>
      <c r="R852" s="6">
        <f t="shared" si="216"/>
        <v>1.2618972180928917E-2</v>
      </c>
      <c r="S852" s="18">
        <f t="shared" si="217"/>
        <v>0.99999999999999778</v>
      </c>
      <c r="T852" s="15"/>
      <c r="U852" s="15"/>
      <c r="V852" s="40">
        <f t="shared" si="218"/>
        <v>1.73</v>
      </c>
      <c r="W852" s="41">
        <f t="shared" si="207"/>
        <v>21.73</v>
      </c>
      <c r="X852">
        <f t="shared" si="219"/>
        <v>2.7361654405052935E-2</v>
      </c>
      <c r="Y852">
        <f t="shared" si="220"/>
        <v>1.8181629962783397</v>
      </c>
      <c r="Z852" s="33">
        <f t="shared" si="208"/>
        <v>6.5054568449764899E-2</v>
      </c>
      <c r="AA852" s="33">
        <f t="shared" si="209"/>
        <v>0.5</v>
      </c>
      <c r="AB852">
        <f t="shared" si="210"/>
        <v>9.2474679427737433E-3</v>
      </c>
      <c r="AC852" s="1">
        <f t="shared" si="211"/>
        <v>-1.3691179249439633E-2</v>
      </c>
      <c r="AD852" s="35">
        <f>IF(W852&gt;=FinalAgeForPremium, AE852*Delta-Z852*(Y852-AE852),AE852*Delta+PremiumRevisedForLimitedTerm-Z852*(Y852-AE852))</f>
        <v>2.0431687362883325E-2</v>
      </c>
      <c r="AE852" s="35">
        <f>AE851-StepSize*AD851</f>
        <v>3.1173641141616719E-3</v>
      </c>
      <c r="AF852" s="1"/>
    </row>
    <row r="853" spans="11:32" x14ac:dyDescent="0.45">
      <c r="K853" s="40">
        <f t="shared" si="212"/>
        <v>8.2799999999999994</v>
      </c>
      <c r="L853" s="41">
        <f t="shared" si="204"/>
        <v>28.28</v>
      </c>
      <c r="M853">
        <f t="shared" si="213"/>
        <v>0.83435009532335724</v>
      </c>
      <c r="N853">
        <f t="shared" si="214"/>
        <v>0.16564990467664048</v>
      </c>
      <c r="O853">
        <f t="shared" si="205"/>
        <v>0.1143987717790568</v>
      </c>
      <c r="P853">
        <f t="shared" si="206"/>
        <v>0.5</v>
      </c>
      <c r="Q853">
        <f t="shared" si="215"/>
        <v>-1.2623673800410795E-2</v>
      </c>
      <c r="R853" s="6">
        <f t="shared" si="216"/>
        <v>1.2623673800410795E-2</v>
      </c>
      <c r="S853" s="18">
        <f t="shared" si="217"/>
        <v>0.99999999999999778</v>
      </c>
      <c r="T853" s="15"/>
      <c r="U853" s="15"/>
      <c r="V853" s="40">
        <f t="shared" si="218"/>
        <v>1.72</v>
      </c>
      <c r="W853" s="41">
        <f t="shared" si="207"/>
        <v>21.72</v>
      </c>
      <c r="X853">
        <f t="shared" si="219"/>
        <v>2.7269179725625196E-2</v>
      </c>
      <c r="Y853">
        <f t="shared" si="220"/>
        <v>1.818299908070834</v>
      </c>
      <c r="Z853" s="33">
        <f t="shared" si="208"/>
        <v>6.4998530071135305E-2</v>
      </c>
      <c r="AA853" s="33">
        <f t="shared" si="209"/>
        <v>0.5</v>
      </c>
      <c r="AB853">
        <f t="shared" si="210"/>
        <v>9.3282880289554948E-3</v>
      </c>
      <c r="AC853" s="1">
        <f t="shared" si="211"/>
        <v>-1.356964042385389E-2</v>
      </c>
      <c r="AD853" s="35">
        <f>IF(W853&gt;=FinalAgeForPremium, AE853*Delta-Z853*(Y853-AE853),AE853*Delta+PremiumRevisedForLimitedTerm-Z853*(Y853-AE853))</f>
        <v>2.0501004371850942E-2</v>
      </c>
      <c r="AE853" s="35">
        <f>AE852-StepSize*AD852</f>
        <v>2.9130472405328386E-3</v>
      </c>
      <c r="AF853" s="1"/>
    </row>
    <row r="854" spans="11:32" x14ac:dyDescent="0.45">
      <c r="K854" s="40">
        <f t="shared" si="212"/>
        <v>8.2899999999999991</v>
      </c>
      <c r="L854" s="41">
        <f t="shared" si="204"/>
        <v>28.29</v>
      </c>
      <c r="M854">
        <f t="shared" si="213"/>
        <v>0.83422385858535308</v>
      </c>
      <c r="N854">
        <f t="shared" si="214"/>
        <v>0.16577614141464458</v>
      </c>
      <c r="O854">
        <f t="shared" si="205"/>
        <v>0.1144974004969785</v>
      </c>
      <c r="P854">
        <f t="shared" si="206"/>
        <v>0.5</v>
      </c>
      <c r="Q854">
        <f t="shared" si="215"/>
        <v>-1.2628392533259633E-2</v>
      </c>
      <c r="R854" s="6">
        <f t="shared" si="216"/>
        <v>1.2628392533259633E-2</v>
      </c>
      <c r="S854" s="18">
        <f t="shared" si="217"/>
        <v>0.99999999999999767</v>
      </c>
      <c r="T854" s="15"/>
      <c r="U854" s="15"/>
      <c r="V854" s="40">
        <f t="shared" si="218"/>
        <v>1.71</v>
      </c>
      <c r="W854" s="41">
        <f t="shared" si="207"/>
        <v>21.71</v>
      </c>
      <c r="X854">
        <f t="shared" si="219"/>
        <v>2.717589684533564E-2</v>
      </c>
      <c r="Y854">
        <f t="shared" si="220"/>
        <v>1.8184356044750725</v>
      </c>
      <c r="Z854" s="33">
        <f t="shared" si="208"/>
        <v>6.4942539964286686E-2</v>
      </c>
      <c r="AA854" s="33">
        <f t="shared" si="209"/>
        <v>0.5</v>
      </c>
      <c r="AB854">
        <f t="shared" si="210"/>
        <v>9.4090333904537915E-3</v>
      </c>
      <c r="AC854" s="1">
        <f t="shared" si="211"/>
        <v>-1.3448365961377995E-2</v>
      </c>
      <c r="AD854" s="35">
        <f>IF(W854&gt;=FinalAgeForPremium, AE854*Delta-Z854*(Y854-AE854),AE854*Delta+PremiumRevisedForLimitedTerm-Z854*(Y854-AE854))</f>
        <v>2.057027123186192E-2</v>
      </c>
      <c r="AE854" s="35">
        <f>AE853-StepSize*AD853</f>
        <v>2.7080371968143291E-3</v>
      </c>
      <c r="AF854" s="1"/>
    </row>
    <row r="855" spans="11:32" x14ac:dyDescent="0.45">
      <c r="K855" s="40">
        <f t="shared" si="212"/>
        <v>8.3000000000000007</v>
      </c>
      <c r="L855" s="41">
        <f t="shared" si="204"/>
        <v>28.3</v>
      </c>
      <c r="M855">
        <f t="shared" si="213"/>
        <v>0.83409757466002044</v>
      </c>
      <c r="N855">
        <f t="shared" si="214"/>
        <v>0.16590242533997718</v>
      </c>
      <c r="O855">
        <f t="shared" si="205"/>
        <v>0.11459611424749153</v>
      </c>
      <c r="P855">
        <f t="shared" si="206"/>
        <v>0.5</v>
      </c>
      <c r="Q855">
        <f t="shared" si="215"/>
        <v>-1.2633128289306711E-2</v>
      </c>
      <c r="R855" s="6">
        <f t="shared" si="216"/>
        <v>1.2633128289306711E-2</v>
      </c>
      <c r="S855" s="18">
        <f t="shared" si="217"/>
        <v>0.99999999999999756</v>
      </c>
      <c r="T855" s="15"/>
      <c r="U855" s="15"/>
      <c r="V855" s="40">
        <f t="shared" si="218"/>
        <v>1.7</v>
      </c>
      <c r="W855" s="41">
        <f t="shared" si="207"/>
        <v>21.7</v>
      </c>
      <c r="X855">
        <f t="shared" si="219"/>
        <v>2.7081806511431102E-2</v>
      </c>
      <c r="Y855">
        <f t="shared" si="220"/>
        <v>1.8185700881346862</v>
      </c>
      <c r="Z855" s="33">
        <f t="shared" si="208"/>
        <v>6.4886598087637457E-2</v>
      </c>
      <c r="AA855" s="33">
        <f t="shared" si="209"/>
        <v>0.5</v>
      </c>
      <c r="AB855">
        <f t="shared" si="210"/>
        <v>9.48970391451881E-3</v>
      </c>
      <c r="AC855" s="1">
        <f t="shared" si="211"/>
        <v>-1.3327354781638157E-2</v>
      </c>
      <c r="AD855" s="35">
        <f>IF(W855&gt;=FinalAgeForPremium, AE855*Delta-Z855*(Y855-AE855),AE855*Delta+PremiumRevisedForLimitedTerm-Z855*(Y855-AE855))</f>
        <v>2.0639487767452808E-2</v>
      </c>
      <c r="AE855" s="35">
        <f>AE854-StepSize*AD854</f>
        <v>2.5023344844957098E-3</v>
      </c>
      <c r="AF855" s="1"/>
    </row>
    <row r="856" spans="11:32" x14ac:dyDescent="0.45">
      <c r="K856" s="40">
        <f t="shared" si="212"/>
        <v>8.31</v>
      </c>
      <c r="L856" s="41">
        <f t="shared" si="204"/>
        <v>28.310000000000002</v>
      </c>
      <c r="M856">
        <f t="shared" si="213"/>
        <v>0.83397124337712736</v>
      </c>
      <c r="N856">
        <f t="shared" si="214"/>
        <v>0.16602875662287025</v>
      </c>
      <c r="O856">
        <f t="shared" si="205"/>
        <v>0.11469491310390652</v>
      </c>
      <c r="P856">
        <f t="shared" si="206"/>
        <v>0.5</v>
      </c>
      <c r="Q856">
        <f t="shared" si="215"/>
        <v>-1.2637880978861371E-2</v>
      </c>
      <c r="R856" s="6">
        <f t="shared" si="216"/>
        <v>1.2637880978861371E-2</v>
      </c>
      <c r="S856" s="18">
        <f t="shared" si="217"/>
        <v>0.99999999999999756</v>
      </c>
      <c r="T856" s="15"/>
      <c r="U856" s="15"/>
      <c r="V856" s="40">
        <f t="shared" si="218"/>
        <v>1.69</v>
      </c>
      <c r="W856" s="41">
        <f t="shared" si="207"/>
        <v>21.69</v>
      </c>
      <c r="X856">
        <f t="shared" si="219"/>
        <v>2.6986909472285915E-2</v>
      </c>
      <c r="Y856">
        <f t="shared" si="220"/>
        <v>1.8187033616825026</v>
      </c>
      <c r="Z856" s="33">
        <f t="shared" si="208"/>
        <v>6.4830704399641836E-2</v>
      </c>
      <c r="AA856" s="33">
        <f t="shared" si="209"/>
        <v>0.5</v>
      </c>
      <c r="AB856">
        <f t="shared" si="210"/>
        <v>9.5702994897464144E-3</v>
      </c>
      <c r="AC856" s="1">
        <f t="shared" si="211"/>
        <v>-1.3206605810766492E-2</v>
      </c>
      <c r="AD856" s="35">
        <f>IF(W856&gt;=FinalAgeForPremium, AE856*Delta-Z856*(Y856-AE856),AE856*Delta+PremiumRevisedForLimitedTerm-Z856*(Y856-AE856))</f>
        <v>2.0708653804683633E-2</v>
      </c>
      <c r="AE856" s="35">
        <f>AE855-StepSize*AD855</f>
        <v>2.2959396068211817E-3</v>
      </c>
      <c r="AF856" s="1"/>
    </row>
    <row r="857" spans="11:32" x14ac:dyDescent="0.45">
      <c r="K857" s="40">
        <f t="shared" si="212"/>
        <v>8.32</v>
      </c>
      <c r="L857" s="41">
        <f t="shared" ref="L857:L920" si="221">$L$5+K857</f>
        <v>28.32</v>
      </c>
      <c r="M857">
        <f t="shared" si="213"/>
        <v>0.83384486456733875</v>
      </c>
      <c r="N857">
        <f t="shared" si="214"/>
        <v>0.16615513543265886</v>
      </c>
      <c r="O857">
        <f t="shared" ref="O857:O920" si="222">mu01Parameter_B*mu01Parameter_c^L857</f>
        <v>0.11479379713959725</v>
      </c>
      <c r="P857">
        <f t="shared" ref="P857:P920" si="223">mu10Constant</f>
        <v>0.5</v>
      </c>
      <c r="Q857">
        <f t="shared" si="215"/>
        <v>-1.2642650512708603E-2</v>
      </c>
      <c r="R857" s="6">
        <f t="shared" si="216"/>
        <v>1.2642650512708603E-2</v>
      </c>
      <c r="S857" s="18">
        <f t="shared" si="217"/>
        <v>0.99999999999999756</v>
      </c>
      <c r="T857" s="15"/>
      <c r="U857" s="15"/>
      <c r="V857" s="40">
        <f t="shared" si="218"/>
        <v>1.68</v>
      </c>
      <c r="W857" s="41">
        <f t="shared" ref="W857:W920" si="224">$L$5+V857</f>
        <v>21.68</v>
      </c>
      <c r="X857">
        <f t="shared" si="219"/>
        <v>2.6891206477388453E-2</v>
      </c>
      <c r="Y857">
        <f t="shared" si="220"/>
        <v>1.8188354277406102</v>
      </c>
      <c r="Z857" s="33">
        <f t="shared" ref="Z857:Z920" si="225">mu01Parameter_B*mu01Parameter_c^W857</f>
        <v>6.4774858858789836E-2</v>
      </c>
      <c r="AA857" s="33">
        <f t="shared" ref="AA857:AA920" si="226">mu10Constant</f>
        <v>0.5</v>
      </c>
      <c r="AB857">
        <f t="shared" ref="AB857:AB920" si="227">X857*Delta+Premium-Z857*(Y857-X857)</f>
        <v>9.6508200060678312E-3</v>
      </c>
      <c r="AC857" s="1">
        <f t="shared" ref="AC857:AC920" si="228">Y857*Delta-AnnuityWhileSIck-AA857*(X857-Y857)</f>
        <v>-1.3086117981358614E-2</v>
      </c>
      <c r="AD857" s="35">
        <f>IF(W857&gt;=FinalAgeForPremium, AE857*Delta-Z857*(Y857-AE857),AE857*Delta+PremiumRevisedForLimitedTerm-Z857*(Y857-AE857))</f>
        <v>2.0777769171127211E-2</v>
      </c>
      <c r="AE857" s="35">
        <f>AE856-StepSize*AD856</f>
        <v>2.0888530687743455E-3</v>
      </c>
      <c r="AF857" s="1"/>
    </row>
    <row r="858" spans="11:32" x14ac:dyDescent="0.45">
      <c r="K858" s="40">
        <f t="shared" ref="K858:K921" si="229">ROUND(K857+StepSize,2)</f>
        <v>8.33</v>
      </c>
      <c r="L858" s="41">
        <f t="shared" si="221"/>
        <v>28.33</v>
      </c>
      <c r="M858">
        <f t="shared" ref="M858:M921" si="230">M857+StepSize*Q857</f>
        <v>0.83371843806221169</v>
      </c>
      <c r="N858">
        <f t="shared" ref="N858:N921" si="231">N857+StepSize*R857</f>
        <v>0.16628156193778595</v>
      </c>
      <c r="O858">
        <f t="shared" si="222"/>
        <v>0.1148927664280011</v>
      </c>
      <c r="P858">
        <f t="shared" si="223"/>
        <v>0.5</v>
      </c>
      <c r="Q858">
        <f t="shared" ref="Q858:Q921" si="232">N858*P858-M858*O858</f>
        <v>-1.2647436802106615E-2</v>
      </c>
      <c r="R858" s="6">
        <f t="shared" ref="R858:R921" si="233">M858*O858-N858*P858</f>
        <v>1.2647436802106615E-2</v>
      </c>
      <c r="S858" s="18">
        <f t="shared" ref="S858:S921" si="234">M858+N858</f>
        <v>0.99999999999999767</v>
      </c>
      <c r="T858" s="15"/>
      <c r="U858" s="15"/>
      <c r="V858" s="40">
        <f t="shared" ref="V858:V921" si="235">ROUND(V857-StepSize,2)</f>
        <v>1.67</v>
      </c>
      <c r="W858" s="41">
        <f t="shared" si="224"/>
        <v>21.67</v>
      </c>
      <c r="X858">
        <f t="shared" ref="X858:X921" si="236">X857-StepSize*AB857</f>
        <v>2.6794698277327774E-2</v>
      </c>
      <c r="Y858">
        <f t="shared" ref="Y858:Y921" si="237">Y857-StepSize*AC857</f>
        <v>1.8189662889204239</v>
      </c>
      <c r="Z858" s="33">
        <f t="shared" si="225"/>
        <v>6.4719061423607255E-2</v>
      </c>
      <c r="AA858" s="33">
        <f t="shared" si="226"/>
        <v>0.5</v>
      </c>
      <c r="AB858">
        <f t="shared" si="227"/>
        <v>9.7312653547396016E-3</v>
      </c>
      <c r="AC858" s="1">
        <f t="shared" si="228"/>
        <v>-1.2965890232430666E-2</v>
      </c>
      <c r="AD858" s="35">
        <f>IF(W858&gt;=FinalAgeForPremium, AE858*Delta-Z858*(Y858-AE858),AE858*Delta+PremiumRevisedForLimitedTerm-Z858*(Y858-AE858))</f>
        <v>2.0846833695858422E-2</v>
      </c>
      <c r="AE858" s="35">
        <f>AE857-StepSize*AD857</f>
        <v>1.8810753770630733E-3</v>
      </c>
      <c r="AF858" s="1"/>
    </row>
    <row r="859" spans="11:32" x14ac:dyDescent="0.45">
      <c r="K859" s="40">
        <f t="shared" si="229"/>
        <v>8.34</v>
      </c>
      <c r="L859" s="41">
        <f t="shared" si="221"/>
        <v>28.34</v>
      </c>
      <c r="M859">
        <f t="shared" si="230"/>
        <v>0.83359196369419064</v>
      </c>
      <c r="N859">
        <f t="shared" si="231"/>
        <v>0.16640803630580703</v>
      </c>
      <c r="O859">
        <f t="shared" si="222"/>
        <v>0.11499182104261854</v>
      </c>
      <c r="P859">
        <f t="shared" si="223"/>
        <v>0.5</v>
      </c>
      <c r="Q859">
        <f t="shared" si="232"/>
        <v>-1.2652239758783823E-2</v>
      </c>
      <c r="R859" s="6">
        <f t="shared" si="233"/>
        <v>1.2652239758783823E-2</v>
      </c>
      <c r="S859" s="18">
        <f t="shared" si="234"/>
        <v>0.99999999999999767</v>
      </c>
      <c r="T859" s="15"/>
      <c r="U859" s="15"/>
      <c r="V859" s="40">
        <f t="shared" si="235"/>
        <v>1.66</v>
      </c>
      <c r="W859" s="41">
        <f t="shared" si="224"/>
        <v>21.66</v>
      </c>
      <c r="X859">
        <f t="shared" si="236"/>
        <v>2.6697385623780379E-2</v>
      </c>
      <c r="Y859">
        <f t="shared" si="237"/>
        <v>1.8190959478227482</v>
      </c>
      <c r="Z859" s="33">
        <f t="shared" si="225"/>
        <v>6.4663312052655561E-2</v>
      </c>
      <c r="AA859" s="33">
        <f t="shared" si="226"/>
        <v>0.5</v>
      </c>
      <c r="AB859">
        <f t="shared" si="227"/>
        <v>9.8116354283336732E-3</v>
      </c>
      <c r="AC859" s="1">
        <f t="shared" si="228"/>
        <v>-1.2845921509378688E-2</v>
      </c>
      <c r="AD859" s="35">
        <f>IF(W859&gt;=FinalAgeForPremium, AE859*Delta-Z859*(Y859-AE859),AE859*Delta+PremiumRevisedForLimitedTerm-Z859*(Y859-AE859))</f>
        <v>2.0915847209443922E-2</v>
      </c>
      <c r="AE859" s="35">
        <f>AE858-StepSize*AD858</f>
        <v>1.6726070401044892E-3</v>
      </c>
      <c r="AF859" s="1"/>
    </row>
    <row r="860" spans="11:32" x14ac:dyDescent="0.45">
      <c r="K860" s="40">
        <f t="shared" si="229"/>
        <v>8.35</v>
      </c>
      <c r="L860" s="41">
        <f t="shared" si="221"/>
        <v>28.35</v>
      </c>
      <c r="M860">
        <f t="shared" si="230"/>
        <v>0.83346544129660283</v>
      </c>
      <c r="N860">
        <f t="shared" si="231"/>
        <v>0.16653455870339487</v>
      </c>
      <c r="O860">
        <f t="shared" si="222"/>
        <v>0.1150909610570133</v>
      </c>
      <c r="P860">
        <f t="shared" si="223"/>
        <v>0.5</v>
      </c>
      <c r="Q860">
        <f t="shared" si="232"/>
        <v>-1.2657059294936282E-2</v>
      </c>
      <c r="R860" s="6">
        <f t="shared" si="233"/>
        <v>1.2657059294936282E-2</v>
      </c>
      <c r="S860" s="18">
        <f t="shared" si="234"/>
        <v>0.99999999999999767</v>
      </c>
      <c r="T860" s="15"/>
      <c r="U860" s="15"/>
      <c r="V860" s="40">
        <f t="shared" si="235"/>
        <v>1.65</v>
      </c>
      <c r="W860" s="41">
        <f t="shared" si="224"/>
        <v>21.65</v>
      </c>
      <c r="X860">
        <f t="shared" si="236"/>
        <v>2.6599269269497041E-2</v>
      </c>
      <c r="Y860">
        <f t="shared" si="237"/>
        <v>1.8192244070378421</v>
      </c>
      <c r="Z860" s="33">
        <f t="shared" si="225"/>
        <v>6.460761070453197E-2</v>
      </c>
      <c r="AA860" s="33">
        <f t="shared" si="226"/>
        <v>0.5</v>
      </c>
      <c r="AB860">
        <f t="shared" si="227"/>
        <v>9.8919301207272825E-3</v>
      </c>
      <c r="AC860" s="1">
        <f t="shared" si="228"/>
        <v>-1.2726210763935319E-2</v>
      </c>
      <c r="AD860" s="35">
        <f>IF(W860&gt;=FinalAgeForPremium, AE860*Delta-Z860*(Y860-AE860),AE860*Delta+PremiumRevisedForLimitedTerm-Z860*(Y860-AE860))</f>
        <v>2.0984809543931227E-2</v>
      </c>
      <c r="AE860" s="35">
        <f>AE859-StepSize*AD859</f>
        <v>1.46344856801005E-3</v>
      </c>
      <c r="AF860" s="1"/>
    </row>
    <row r="861" spans="11:32" x14ac:dyDescent="0.45">
      <c r="K861" s="40">
        <f t="shared" si="229"/>
        <v>8.36</v>
      </c>
      <c r="L861" s="41">
        <f t="shared" si="221"/>
        <v>28.36</v>
      </c>
      <c r="M861">
        <f t="shared" si="230"/>
        <v>0.83333887070365342</v>
      </c>
      <c r="N861">
        <f t="shared" si="231"/>
        <v>0.16666112929634425</v>
      </c>
      <c r="O861">
        <f t="shared" si="222"/>
        <v>0.11519018654481275</v>
      </c>
      <c r="P861">
        <f t="shared" si="223"/>
        <v>0.5</v>
      </c>
      <c r="Q861">
        <f t="shared" si="232"/>
        <v>-1.2661895323225314E-2</v>
      </c>
      <c r="R861" s="6">
        <f t="shared" si="233"/>
        <v>1.2661895323225314E-2</v>
      </c>
      <c r="S861" s="18">
        <f t="shared" si="234"/>
        <v>0.99999999999999767</v>
      </c>
      <c r="T861" s="15"/>
      <c r="U861" s="15"/>
      <c r="V861" s="40">
        <f t="shared" si="235"/>
        <v>1.64</v>
      </c>
      <c r="W861" s="41">
        <f t="shared" si="224"/>
        <v>21.64</v>
      </c>
      <c r="X861">
        <f t="shared" si="236"/>
        <v>2.6500349968289767E-2</v>
      </c>
      <c r="Y861">
        <f t="shared" si="237"/>
        <v>1.8193516691454814</v>
      </c>
      <c r="Z861" s="33">
        <f t="shared" si="225"/>
        <v>6.4551957337869351E-2</v>
      </c>
      <c r="AA861" s="33">
        <f t="shared" si="226"/>
        <v>0.5</v>
      </c>
      <c r="AB861">
        <f t="shared" si="227"/>
        <v>9.9721493270933104E-3</v>
      </c>
      <c r="AC861" s="1">
        <f t="shared" si="228"/>
        <v>-1.2606756954130161E-2</v>
      </c>
      <c r="AD861" s="35">
        <f>IF(W861&gt;=FinalAgeForPremium, AE861*Delta-Z861*(Y861-AE861),AE861*Delta+PremiumRevisedForLimitedTerm-Z861*(Y861-AE861))</f>
        <v>2.1053720532838674E-2</v>
      </c>
      <c r="AE861" s="35">
        <f>AE860-StepSize*AD860</f>
        <v>1.2536004725707379E-3</v>
      </c>
      <c r="AF861" s="1"/>
    </row>
    <row r="862" spans="11:32" x14ac:dyDescent="0.45">
      <c r="K862" s="40">
        <f t="shared" si="229"/>
        <v>8.3699999999999992</v>
      </c>
      <c r="L862" s="41">
        <f t="shared" si="221"/>
        <v>28.369999999999997</v>
      </c>
      <c r="M862">
        <f t="shared" si="230"/>
        <v>0.83321225175042113</v>
      </c>
      <c r="N862">
        <f t="shared" si="231"/>
        <v>0.16678774824957651</v>
      </c>
      <c r="O862">
        <f t="shared" si="222"/>
        <v>0.11528949757970763</v>
      </c>
      <c r="P862">
        <f t="shared" si="223"/>
        <v>0.5</v>
      </c>
      <c r="Q862">
        <f t="shared" si="232"/>
        <v>-1.2666747756774663E-2</v>
      </c>
      <c r="R862" s="6">
        <f t="shared" si="233"/>
        <v>1.2666747756774663E-2</v>
      </c>
      <c r="S862" s="18">
        <f t="shared" si="234"/>
        <v>0.99999999999999767</v>
      </c>
      <c r="T862" s="15"/>
      <c r="U862" s="15"/>
      <c r="V862" s="40">
        <f t="shared" si="235"/>
        <v>1.63</v>
      </c>
      <c r="W862" s="41">
        <f t="shared" si="224"/>
        <v>21.63</v>
      </c>
      <c r="X862">
        <f t="shared" si="236"/>
        <v>2.6400628475018836E-2</v>
      </c>
      <c r="Y862">
        <f t="shared" si="237"/>
        <v>1.8194777367150228</v>
      </c>
      <c r="Z862" s="33">
        <f t="shared" si="225"/>
        <v>6.4496351911336167E-2</v>
      </c>
      <c r="AA862" s="33">
        <f t="shared" si="226"/>
        <v>0.5</v>
      </c>
      <c r="AB862">
        <f t="shared" si="227"/>
        <v>1.0052292943890304E-2</v>
      </c>
      <c r="AC862" s="1">
        <f t="shared" si="228"/>
        <v>-1.2487559044246921E-2</v>
      </c>
      <c r="AD862" s="35">
        <f>IF(W862&gt;=FinalAgeForPremium, AE862*Delta-Z862*(Y862-AE862),AE862*Delta+PremiumRevisedForLimitedTerm-Z862*(Y862-AE862))</f>
        <v>2.1122580011144962E-2</v>
      </c>
      <c r="AE862" s="35">
        <f>AE861-StepSize*AD861</f>
        <v>1.0430632672423512E-3</v>
      </c>
      <c r="AF862" s="1"/>
    </row>
    <row r="863" spans="11:32" x14ac:dyDescent="0.45">
      <c r="K863" s="40">
        <f t="shared" si="229"/>
        <v>8.3800000000000008</v>
      </c>
      <c r="L863" s="41">
        <f t="shared" si="221"/>
        <v>28.380000000000003</v>
      </c>
      <c r="M863">
        <f t="shared" si="230"/>
        <v>0.8330855842728534</v>
      </c>
      <c r="N863">
        <f t="shared" si="231"/>
        <v>0.16691441572714427</v>
      </c>
      <c r="O863">
        <f t="shared" si="222"/>
        <v>0.11538889423545229</v>
      </c>
      <c r="P863">
        <f t="shared" si="223"/>
        <v>0.5</v>
      </c>
      <c r="Q863">
        <f t="shared" si="232"/>
        <v>-1.2671616509168121E-2</v>
      </c>
      <c r="R863" s="6">
        <f t="shared" si="233"/>
        <v>1.2671616509168121E-2</v>
      </c>
      <c r="S863" s="18">
        <f t="shared" si="234"/>
        <v>0.99999999999999767</v>
      </c>
      <c r="T863" s="15"/>
      <c r="U863" s="15"/>
      <c r="V863" s="40">
        <f t="shared" si="235"/>
        <v>1.62</v>
      </c>
      <c r="W863" s="41">
        <f t="shared" si="224"/>
        <v>21.62</v>
      </c>
      <c r="X863">
        <f t="shared" si="236"/>
        <v>2.6300105545579933E-2</v>
      </c>
      <c r="Y863">
        <f t="shared" si="237"/>
        <v>1.8196026123054652</v>
      </c>
      <c r="Z863" s="33">
        <f t="shared" si="225"/>
        <v>6.4440794383636549E-2</v>
      </c>
      <c r="AA863" s="33">
        <f t="shared" si="226"/>
        <v>0.5</v>
      </c>
      <c r="AB863">
        <f t="shared" si="227"/>
        <v>1.0132360868852899E-2</v>
      </c>
      <c r="AC863" s="1">
        <f t="shared" si="228"/>
        <v>-1.2368616004784005E-2</v>
      </c>
      <c r="AD863" s="35">
        <f>IF(W863&gt;=FinalAgeForPremium, AE863*Delta-Z863*(Y863-AE863),AE863*Delta+PremiumRevisedForLimitedTerm-Z863*(Y863-AE863))</f>
        <v>2.1191387815278656E-2</v>
      </c>
      <c r="AE863" s="35">
        <f>AE862-StepSize*AD862</f>
        <v>8.3183746713090154E-4</v>
      </c>
      <c r="AF863" s="1"/>
    </row>
    <row r="864" spans="11:32" x14ac:dyDescent="0.45">
      <c r="K864" s="40">
        <f t="shared" si="229"/>
        <v>8.39</v>
      </c>
      <c r="L864" s="41">
        <f t="shared" si="221"/>
        <v>28.39</v>
      </c>
      <c r="M864">
        <f t="shared" si="230"/>
        <v>0.83295886810776176</v>
      </c>
      <c r="N864">
        <f t="shared" si="231"/>
        <v>0.16704113189223596</v>
      </c>
      <c r="O864">
        <f t="shared" si="222"/>
        <v>0.1154883765858645</v>
      </c>
      <c r="P864">
        <f t="shared" si="223"/>
        <v>0.5</v>
      </c>
      <c r="Q864">
        <f t="shared" si="232"/>
        <v>-1.2676501494446643E-2</v>
      </c>
      <c r="R864" s="6">
        <f t="shared" si="233"/>
        <v>1.2676501494446643E-2</v>
      </c>
      <c r="S864" s="18">
        <f t="shared" si="234"/>
        <v>0.99999999999999778</v>
      </c>
      <c r="T864" s="15"/>
      <c r="U864" s="15"/>
      <c r="V864" s="40">
        <f t="shared" si="235"/>
        <v>1.61</v>
      </c>
      <c r="W864" s="41">
        <f t="shared" si="224"/>
        <v>21.61</v>
      </c>
      <c r="X864">
        <f t="shared" si="236"/>
        <v>2.6198781936891402E-2</v>
      </c>
      <c r="Y864">
        <f t="shared" si="237"/>
        <v>1.8197262984655129</v>
      </c>
      <c r="Z864" s="33">
        <f t="shared" si="225"/>
        <v>6.4385284713510155E-2</v>
      </c>
      <c r="AA864" s="33">
        <f t="shared" si="226"/>
        <v>0.5</v>
      </c>
      <c r="AB864">
        <f t="shared" si="227"/>
        <v>1.0212353000982166E-2</v>
      </c>
      <c r="AC864" s="1">
        <f t="shared" si="228"/>
        <v>-1.2249926812413547E-2</v>
      </c>
      <c r="AD864" s="35">
        <f>IF(W864&gt;=FinalAgeForPremium, AE864*Delta-Z864*(Y864-AE864),AE864*Delta+PremiumRevisedForLimitedTerm-Z864*(Y864-AE864))</f>
        <v>2.1260143783108421E-2</v>
      </c>
      <c r="AE864" s="35">
        <f>AE863-StepSize*AD863</f>
        <v>6.1992358897811496E-4</v>
      </c>
      <c r="AF864" s="1"/>
    </row>
    <row r="865" spans="11:32" x14ac:dyDescent="0.45">
      <c r="K865" s="40">
        <f t="shared" si="229"/>
        <v>8.4</v>
      </c>
      <c r="L865" s="41">
        <f t="shared" si="221"/>
        <v>28.4</v>
      </c>
      <c r="M865">
        <f t="shared" si="230"/>
        <v>0.8328321030928173</v>
      </c>
      <c r="N865">
        <f t="shared" si="231"/>
        <v>0.16716789690718042</v>
      </c>
      <c r="O865">
        <f t="shared" si="222"/>
        <v>0.11558794470482582</v>
      </c>
      <c r="P865">
        <f t="shared" si="223"/>
        <v>0.5</v>
      </c>
      <c r="Q865">
        <f t="shared" si="232"/>
        <v>-1.2681402627106153E-2</v>
      </c>
      <c r="R865" s="6">
        <f t="shared" si="233"/>
        <v>1.2681402627106153E-2</v>
      </c>
      <c r="S865" s="18">
        <f t="shared" si="234"/>
        <v>0.99999999999999778</v>
      </c>
      <c r="T865" s="15"/>
      <c r="U865" s="15"/>
      <c r="V865" s="40">
        <f t="shared" si="235"/>
        <v>1.6</v>
      </c>
      <c r="W865" s="41">
        <f t="shared" si="224"/>
        <v>21.6</v>
      </c>
      <c r="X865">
        <f t="shared" si="236"/>
        <v>2.6096658406881579E-2</v>
      </c>
      <c r="Y865">
        <f t="shared" si="237"/>
        <v>1.8198487977336371</v>
      </c>
      <c r="Z865" s="33">
        <f t="shared" si="225"/>
        <v>6.4329822859732197E-2</v>
      </c>
      <c r="AA865" s="33">
        <f t="shared" si="226"/>
        <v>0.5</v>
      </c>
      <c r="AB865">
        <f t="shared" si="227"/>
        <v>1.029226924053589E-2</v>
      </c>
      <c r="AC865" s="1">
        <f t="shared" si="228"/>
        <v>-1.2131490449940441E-2</v>
      </c>
      <c r="AD865" s="35">
        <f>IF(W865&gt;=FinalAgeForPremium, AE865*Delta-Z865*(Y865-AE865),AE865*Delta+PremiumRevisedForLimitedTerm-Z865*(Y865-AE865))</f>
        <v>2.1328847753932553E-2</v>
      </c>
      <c r="AE865" s="35">
        <f>AE864-StepSize*AD864</f>
        <v>4.0732215114703076E-4</v>
      </c>
      <c r="AF865" s="1"/>
    </row>
    <row r="866" spans="11:32" x14ac:dyDescent="0.45">
      <c r="K866" s="40">
        <f t="shared" si="229"/>
        <v>8.41</v>
      </c>
      <c r="L866" s="41">
        <f t="shared" si="221"/>
        <v>28.41</v>
      </c>
      <c r="M866">
        <f t="shared" si="230"/>
        <v>0.83270528906654628</v>
      </c>
      <c r="N866">
        <f t="shared" si="231"/>
        <v>0.1672947109334515</v>
      </c>
      <c r="O866">
        <f t="shared" si="222"/>
        <v>0.11568759866628155</v>
      </c>
      <c r="P866">
        <f t="shared" si="223"/>
        <v>0.5</v>
      </c>
      <c r="Q866">
        <f t="shared" si="232"/>
        <v>-1.2686319822094824E-2</v>
      </c>
      <c r="R866" s="6">
        <f t="shared" si="233"/>
        <v>1.2686319822094824E-2</v>
      </c>
      <c r="S866" s="18">
        <f t="shared" si="234"/>
        <v>0.99999999999999778</v>
      </c>
      <c r="T866" s="15"/>
      <c r="U866" s="15"/>
      <c r="V866" s="40">
        <f t="shared" si="235"/>
        <v>1.59</v>
      </c>
      <c r="W866" s="41">
        <f t="shared" si="224"/>
        <v>21.59</v>
      </c>
      <c r="X866">
        <f t="shared" si="236"/>
        <v>2.5993735714476218E-2</v>
      </c>
      <c r="Y866">
        <f t="shared" si="237"/>
        <v>1.8199701126381365</v>
      </c>
      <c r="Z866" s="33">
        <f t="shared" si="225"/>
        <v>6.4274408781113374E-2</v>
      </c>
      <c r="AA866" s="33">
        <f t="shared" si="226"/>
        <v>0.5</v>
      </c>
      <c r="AB866">
        <f t="shared" si="227"/>
        <v>1.0372109489019399E-2</v>
      </c>
      <c r="AC866" s="1">
        <f t="shared" si="228"/>
        <v>-1.2013305906263039E-2</v>
      </c>
      <c r="AD866" s="35">
        <f>IF(W866&gt;=FinalAgeForPremium, AE866*Delta-Z866*(Y866-AE866),AE866*Delta+PremiumRevisedForLimitedTerm-Z866*(Y866-AE866))</f>
        <v>2.1397499568469161E-2</v>
      </c>
      <c r="AE866" s="35">
        <f>AE865-StepSize*AD865</f>
        <v>1.9403367360770524E-4</v>
      </c>
      <c r="AF866" s="1"/>
    </row>
    <row r="867" spans="11:32" x14ac:dyDescent="0.45">
      <c r="K867" s="40">
        <f t="shared" si="229"/>
        <v>8.42</v>
      </c>
      <c r="L867" s="41">
        <f t="shared" si="221"/>
        <v>28.42</v>
      </c>
      <c r="M867">
        <f t="shared" si="230"/>
        <v>0.83257842586832531</v>
      </c>
      <c r="N867">
        <f t="shared" si="231"/>
        <v>0.16742157413167244</v>
      </c>
      <c r="O867">
        <f t="shared" si="222"/>
        <v>0.11578733854424053</v>
      </c>
      <c r="P867">
        <f t="shared" si="223"/>
        <v>0.5</v>
      </c>
      <c r="Q867">
        <f t="shared" si="232"/>
        <v>-1.2691252994810429E-2</v>
      </c>
      <c r="R867" s="6">
        <f t="shared" si="233"/>
        <v>1.2691252994810429E-2</v>
      </c>
      <c r="S867" s="18">
        <f t="shared" si="234"/>
        <v>0.99999999999999778</v>
      </c>
      <c r="T867" s="15"/>
      <c r="U867" s="15"/>
      <c r="V867" s="40">
        <f t="shared" si="235"/>
        <v>1.58</v>
      </c>
      <c r="W867" s="41">
        <f t="shared" si="224"/>
        <v>21.58</v>
      </c>
      <c r="X867">
        <f t="shared" si="236"/>
        <v>2.5890014619586024E-2</v>
      </c>
      <c r="Y867">
        <f t="shared" si="237"/>
        <v>1.820090245697199</v>
      </c>
      <c r="Z867" s="33">
        <f t="shared" si="225"/>
        <v>6.421904243649991E-2</v>
      </c>
      <c r="AA867" s="33">
        <f t="shared" si="226"/>
        <v>0.5</v>
      </c>
      <c r="AB867">
        <f t="shared" si="227"/>
        <v>1.0451873649175783E-2</v>
      </c>
      <c r="AC867" s="1">
        <f t="shared" si="228"/>
        <v>-1.1895372176333519E-2</v>
      </c>
      <c r="AD867" s="35">
        <f>IF(W867&gt;=FinalAgeForPremium, AE867*Delta-Z867*(Y867-AE867),AE867*Delta+PremiumRevisedForLimitedTerm-Z867*(Y867-AE867))</f>
        <v>2.1466099068846028E-2</v>
      </c>
      <c r="AE867" s="35">
        <f>AE866-StepSize*AD866</f>
        <v>-1.9941322076986383E-5</v>
      </c>
      <c r="AF867" s="1"/>
    </row>
    <row r="868" spans="11:32" x14ac:dyDescent="0.45">
      <c r="K868" s="40">
        <f t="shared" si="229"/>
        <v>8.43</v>
      </c>
      <c r="L868" s="41">
        <f t="shared" si="221"/>
        <v>28.43</v>
      </c>
      <c r="M868">
        <f t="shared" si="230"/>
        <v>0.83245151333837719</v>
      </c>
      <c r="N868">
        <f t="shared" si="231"/>
        <v>0.16754848666162053</v>
      </c>
      <c r="O868">
        <f t="shared" si="222"/>
        <v>0.11588716441277561</v>
      </c>
      <c r="P868">
        <f t="shared" si="223"/>
        <v>0.5</v>
      </c>
      <c r="Q868">
        <f t="shared" si="232"/>
        <v>-1.2696202061098116E-2</v>
      </c>
      <c r="R868" s="6">
        <f t="shared" si="233"/>
        <v>1.2696202061098116E-2</v>
      </c>
      <c r="S868" s="18">
        <f t="shared" si="234"/>
        <v>0.99999999999999778</v>
      </c>
      <c r="T868" s="15"/>
      <c r="U868" s="15"/>
      <c r="V868" s="40">
        <f t="shared" si="235"/>
        <v>1.57</v>
      </c>
      <c r="W868" s="41">
        <f t="shared" si="224"/>
        <v>21.57</v>
      </c>
      <c r="X868">
        <f t="shared" si="236"/>
        <v>2.5785495883094266E-2</v>
      </c>
      <c r="Y868">
        <f t="shared" si="237"/>
        <v>1.8202091994189624</v>
      </c>
      <c r="Z868" s="33">
        <f t="shared" si="225"/>
        <v>6.4163723784773502E-2</v>
      </c>
      <c r="AA868" s="33">
        <f t="shared" si="226"/>
        <v>0.5</v>
      </c>
      <c r="AB868">
        <f t="shared" si="227"/>
        <v>1.0531561624976635E-2</v>
      </c>
      <c r="AC868" s="1">
        <f t="shared" si="228"/>
        <v>-1.1777688261117802E-2</v>
      </c>
      <c r="AD868" s="35">
        <f>IF(W868&gt;=FinalAgeForPremium, AE868*Delta-Z868*(Y868-AE868),AE868*Delta+PremiumRevisedForLimitedTerm-Z868*(Y868-AE868))</f>
        <v>2.153464609859071E-2</v>
      </c>
      <c r="AE868" s="35">
        <f>AE867-StepSize*AD867</f>
        <v>-2.3460231276544667E-4</v>
      </c>
      <c r="AF868" s="1"/>
    </row>
    <row r="869" spans="11:32" x14ac:dyDescent="0.45">
      <c r="K869" s="40">
        <f t="shared" si="229"/>
        <v>8.44</v>
      </c>
      <c r="L869" s="41">
        <f t="shared" si="221"/>
        <v>28.439999999999998</v>
      </c>
      <c r="M869">
        <f t="shared" si="230"/>
        <v>0.83232455131776617</v>
      </c>
      <c r="N869">
        <f t="shared" si="231"/>
        <v>0.16767544868223153</v>
      </c>
      <c r="O869">
        <f t="shared" si="222"/>
        <v>0.11598707634602339</v>
      </c>
      <c r="P869">
        <f t="shared" si="223"/>
        <v>0.5</v>
      </c>
      <c r="Q869">
        <f t="shared" si="232"/>
        <v>-1.270116693724764E-2</v>
      </c>
      <c r="R869" s="6">
        <f t="shared" si="233"/>
        <v>1.270116693724764E-2</v>
      </c>
      <c r="S869" s="18">
        <f t="shared" si="234"/>
        <v>0.99999999999999767</v>
      </c>
      <c r="T869" s="15"/>
      <c r="U869" s="15"/>
      <c r="V869" s="40">
        <f t="shared" si="235"/>
        <v>1.56</v>
      </c>
      <c r="W869" s="41">
        <f t="shared" si="224"/>
        <v>21.56</v>
      </c>
      <c r="X869">
        <f t="shared" si="236"/>
        <v>2.5680180266844502E-2</v>
      </c>
      <c r="Y869">
        <f t="shared" si="237"/>
        <v>1.8203269763015737</v>
      </c>
      <c r="Z869" s="33">
        <f t="shared" si="225"/>
        <v>6.4108452784851125E-2</v>
      </c>
      <c r="AA869" s="33">
        <f t="shared" si="226"/>
        <v>0.5</v>
      </c>
      <c r="AB869">
        <f t="shared" si="227"/>
        <v>1.0611173321613113E-2</v>
      </c>
      <c r="AC869" s="1">
        <f t="shared" si="228"/>
        <v>-1.16602531675567E-2</v>
      </c>
      <c r="AD869" s="35">
        <f>IF(W869&gt;=FinalAgeForPremium, AE869*Delta-Z869*(Y869-AE869),AE869*Delta+PremiumRevisedForLimitedTerm-Z869*(Y869-AE869))</f>
        <v>2.160314050262109E-2</v>
      </c>
      <c r="AE869" s="35">
        <f>AE868-StepSize*AD868</f>
        <v>-4.4994877375135377E-4</v>
      </c>
      <c r="AF869" s="1"/>
    </row>
    <row r="870" spans="11:32" x14ac:dyDescent="0.45">
      <c r="K870" s="40">
        <f t="shared" si="229"/>
        <v>8.4499999999999993</v>
      </c>
      <c r="L870" s="41">
        <f t="shared" si="221"/>
        <v>28.45</v>
      </c>
      <c r="M870">
        <f t="shared" si="230"/>
        <v>0.83219753964839371</v>
      </c>
      <c r="N870">
        <f t="shared" si="231"/>
        <v>0.16780246035160401</v>
      </c>
      <c r="O870">
        <f t="shared" si="222"/>
        <v>0.11608707441818451</v>
      </c>
      <c r="P870">
        <f t="shared" si="223"/>
        <v>0.5</v>
      </c>
      <c r="Q870">
        <f t="shared" si="232"/>
        <v>-1.2706147539991136E-2</v>
      </c>
      <c r="R870" s="6">
        <f t="shared" si="233"/>
        <v>1.2706147539991136E-2</v>
      </c>
      <c r="S870" s="18">
        <f t="shared" si="234"/>
        <v>0.99999999999999778</v>
      </c>
      <c r="T870" s="15"/>
      <c r="U870" s="15"/>
      <c r="V870" s="40">
        <f t="shared" si="235"/>
        <v>1.55</v>
      </c>
      <c r="W870" s="41">
        <f t="shared" si="224"/>
        <v>21.55</v>
      </c>
      <c r="X870">
        <f t="shared" si="236"/>
        <v>2.5574068533628369E-2</v>
      </c>
      <c r="Y870">
        <f t="shared" si="237"/>
        <v>1.8204435788332494</v>
      </c>
      <c r="Z870" s="33">
        <f t="shared" si="225"/>
        <v>6.4053229395685335E-2</v>
      </c>
      <c r="AA870" s="33">
        <f t="shared" si="226"/>
        <v>0.5</v>
      </c>
      <c r="AB870">
        <f t="shared" si="227"/>
        <v>1.0690708645486061E-2</v>
      </c>
      <c r="AC870" s="1">
        <f t="shared" si="228"/>
        <v>-1.1543065908526939E-2</v>
      </c>
      <c r="AD870" s="35">
        <f>IF(W870&gt;=FinalAgeForPremium, AE870*Delta-Z870*(Y870-AE870),AE870*Delta+PremiumRevisedForLimitedTerm-Z870*(Y870-AE870))</f>
        <v>2.1671582127234926E-2</v>
      </c>
      <c r="AE870" s="35">
        <f>AE869-StepSize*AD869</f>
        <v>-6.6598017877756463E-4</v>
      </c>
      <c r="AF870" s="1"/>
    </row>
    <row r="871" spans="11:32" x14ac:dyDescent="0.45">
      <c r="K871" s="40">
        <f t="shared" si="229"/>
        <v>8.4600000000000009</v>
      </c>
      <c r="L871" s="41">
        <f t="shared" si="221"/>
        <v>28.46</v>
      </c>
      <c r="M871">
        <f t="shared" si="230"/>
        <v>0.83207047817299384</v>
      </c>
      <c r="N871">
        <f t="shared" si="231"/>
        <v>0.16792952182700391</v>
      </c>
      <c r="O871">
        <f t="shared" si="222"/>
        <v>0.11618715870352338</v>
      </c>
      <c r="P871">
        <f t="shared" si="223"/>
        <v>0.5</v>
      </c>
      <c r="Q871">
        <f t="shared" si="232"/>
        <v>-1.2711143786500262E-2</v>
      </c>
      <c r="R871" s="6">
        <f t="shared" si="233"/>
        <v>1.2711143786500262E-2</v>
      </c>
      <c r="S871" s="18">
        <f t="shared" si="234"/>
        <v>0.99999999999999778</v>
      </c>
      <c r="T871" s="15"/>
      <c r="U871" s="15"/>
      <c r="V871" s="40">
        <f t="shared" si="235"/>
        <v>1.54</v>
      </c>
      <c r="W871" s="41">
        <f t="shared" si="224"/>
        <v>21.54</v>
      </c>
      <c r="X871">
        <f t="shared" si="236"/>
        <v>2.5467161447173509E-2</v>
      </c>
      <c r="Y871">
        <f t="shared" si="237"/>
        <v>1.8205590094923347</v>
      </c>
      <c r="Z871" s="33">
        <f t="shared" si="225"/>
        <v>6.3998053576263911E-2</v>
      </c>
      <c r="AA871" s="33">
        <f t="shared" si="226"/>
        <v>0.5</v>
      </c>
      <c r="AB871">
        <f t="shared" si="227"/>
        <v>1.07701675041975E-2</v>
      </c>
      <c r="AC871" s="1">
        <f t="shared" si="228"/>
        <v>-1.1426125502802642E-2</v>
      </c>
      <c r="AD871" s="35">
        <f>IF(W871&gt;=FinalAgeForPremium, AE871*Delta-Z871*(Y871-AE871),AE871*Delta+PremiumRevisedForLimitedTerm-Z871*(Y871-AE871))</f>
        <v>2.1739970820100915E-2</v>
      </c>
      <c r="AE871" s="35">
        <f>AE870-StepSize*AD870</f>
        <v>-8.8269600004991394E-4</v>
      </c>
      <c r="AF871" s="1"/>
    </row>
    <row r="872" spans="11:32" x14ac:dyDescent="0.45">
      <c r="K872" s="40">
        <f t="shared" si="229"/>
        <v>8.4700000000000006</v>
      </c>
      <c r="L872" s="41">
        <f t="shared" si="221"/>
        <v>28.47</v>
      </c>
      <c r="M872">
        <f t="shared" si="230"/>
        <v>0.83194336673512881</v>
      </c>
      <c r="N872">
        <f t="shared" si="231"/>
        <v>0.16805663326486892</v>
      </c>
      <c r="O872">
        <f t="shared" si="222"/>
        <v>0.11628732927636859</v>
      </c>
      <c r="P872">
        <f t="shared" si="223"/>
        <v>0.5</v>
      </c>
      <c r="Q872">
        <f t="shared" si="232"/>
        <v>-1.2716155594384132E-2</v>
      </c>
      <c r="R872" s="6">
        <f t="shared" si="233"/>
        <v>1.2716155594384132E-2</v>
      </c>
      <c r="S872" s="18">
        <f t="shared" si="234"/>
        <v>0.99999999999999778</v>
      </c>
      <c r="T872" s="15"/>
      <c r="U872" s="15"/>
      <c r="V872" s="40">
        <f t="shared" si="235"/>
        <v>1.53</v>
      </c>
      <c r="W872" s="41">
        <f t="shared" si="224"/>
        <v>21.53</v>
      </c>
      <c r="X872">
        <f t="shared" si="236"/>
        <v>2.5359459772131533E-2</v>
      </c>
      <c r="Y872">
        <f t="shared" si="237"/>
        <v>1.8206732707473627</v>
      </c>
      <c r="Z872" s="33">
        <f t="shared" si="225"/>
        <v>6.3942925285610006E-2</v>
      </c>
      <c r="AA872" s="33">
        <f t="shared" si="226"/>
        <v>0.5</v>
      </c>
      <c r="AB872">
        <f t="shared" si="227"/>
        <v>1.0849549806541278E-2</v>
      </c>
      <c r="AC872" s="1">
        <f t="shared" si="228"/>
        <v>-1.1309430975016355E-2</v>
      </c>
      <c r="AD872" s="35">
        <f>IF(W872&gt;=FinalAgeForPremium, AE872*Delta-Z872*(Y872-AE872),AE872*Delta+PremiumRevisedForLimitedTerm-Z872*(Y872-AE872))</f>
        <v>2.1808306430248475E-2</v>
      </c>
      <c r="AE872" s="35">
        <f>AE871-StepSize*AD871</f>
        <v>-1.1000957082509231E-3</v>
      </c>
      <c r="AF872" s="1"/>
    </row>
    <row r="873" spans="11:32" x14ac:dyDescent="0.45">
      <c r="K873" s="40">
        <f t="shared" si="229"/>
        <v>8.48</v>
      </c>
      <c r="L873" s="41">
        <f t="shared" si="221"/>
        <v>28.48</v>
      </c>
      <c r="M873">
        <f t="shared" si="230"/>
        <v>0.83181620517918498</v>
      </c>
      <c r="N873">
        <f t="shared" si="231"/>
        <v>0.16818379482081275</v>
      </c>
      <c r="O873">
        <f t="shared" si="222"/>
        <v>0.11638758621111288</v>
      </c>
      <c r="P873">
        <f t="shared" si="223"/>
        <v>0.5</v>
      </c>
      <c r="Q873">
        <f t="shared" si="232"/>
        <v>-1.2721182881686777E-2</v>
      </c>
      <c r="R873" s="6">
        <f t="shared" si="233"/>
        <v>1.2721182881686777E-2</v>
      </c>
      <c r="S873" s="18">
        <f t="shared" si="234"/>
        <v>0.99999999999999778</v>
      </c>
      <c r="T873" s="15"/>
      <c r="U873" s="15"/>
      <c r="V873" s="40">
        <f t="shared" si="235"/>
        <v>1.52</v>
      </c>
      <c r="W873" s="41">
        <f t="shared" si="224"/>
        <v>21.52</v>
      </c>
      <c r="X873">
        <f t="shared" si="236"/>
        <v>2.5250964274066121E-2</v>
      </c>
      <c r="Y873">
        <f t="shared" si="237"/>
        <v>1.820786365057113</v>
      </c>
      <c r="Z873" s="33">
        <f t="shared" si="225"/>
        <v>6.388784448278205E-2</v>
      </c>
      <c r="AA873" s="33">
        <f t="shared" si="226"/>
        <v>0.5</v>
      </c>
      <c r="AB873">
        <f t="shared" si="227"/>
        <v>1.0928855462493919E-2</v>
      </c>
      <c r="AC873" s="1">
        <f t="shared" si="228"/>
        <v>-1.1192981355620857E-2</v>
      </c>
      <c r="AD873" s="35">
        <f>IF(W873&gt;=FinalAgeForPremium, AE873*Delta-Z873*(Y873-AE873),AE873*Delta+PremiumRevisedForLimitedTerm-Z873*(Y873-AE873))</f>
        <v>2.1876588808058609E-2</v>
      </c>
      <c r="AE873" s="35">
        <f>AE872-StepSize*AD872</f>
        <v>-1.3181787725534079E-3</v>
      </c>
      <c r="AF873" s="1"/>
    </row>
    <row r="874" spans="11:32" x14ac:dyDescent="0.45">
      <c r="K874" s="40">
        <f t="shared" si="229"/>
        <v>8.49</v>
      </c>
      <c r="L874" s="41">
        <f t="shared" si="221"/>
        <v>28.490000000000002</v>
      </c>
      <c r="M874">
        <f t="shared" si="230"/>
        <v>0.83168899335036806</v>
      </c>
      <c r="N874">
        <f t="shared" si="231"/>
        <v>0.16831100664962961</v>
      </c>
      <c r="O874">
        <f t="shared" si="222"/>
        <v>0.11648792958221287</v>
      </c>
      <c r="P874">
        <f t="shared" si="223"/>
        <v>0.5</v>
      </c>
      <c r="Q874">
        <f t="shared" si="232"/>
        <v>-1.2726225566884367E-2</v>
      </c>
      <c r="R874" s="6">
        <f t="shared" si="233"/>
        <v>1.2726225566884367E-2</v>
      </c>
      <c r="S874" s="18">
        <f t="shared" si="234"/>
        <v>0.99999999999999767</v>
      </c>
      <c r="T874" s="15"/>
      <c r="U874" s="15"/>
      <c r="V874" s="40">
        <f t="shared" si="235"/>
        <v>1.51</v>
      </c>
      <c r="W874" s="41">
        <f t="shared" si="224"/>
        <v>21.51</v>
      </c>
      <c r="X874">
        <f t="shared" si="236"/>
        <v>2.5141675719441182E-2</v>
      </c>
      <c r="Y874">
        <f t="shared" si="237"/>
        <v>1.8208982948706691</v>
      </c>
      <c r="Z874" s="33">
        <f t="shared" si="225"/>
        <v>6.3832811126873792E-2</v>
      </c>
      <c r="AA874" s="33">
        <f t="shared" si="226"/>
        <v>0.5</v>
      </c>
      <c r="AB874">
        <f t="shared" si="227"/>
        <v>1.1008084383205968E-2</v>
      </c>
      <c r="AC874" s="1">
        <f t="shared" si="228"/>
        <v>-1.1076775680852524E-2</v>
      </c>
      <c r="AD874" s="35">
        <f>IF(W874&gt;=FinalAgeForPremium, AE874*Delta-Z874*(Y874-AE874),AE874*Delta+PremiumRevisedForLimitedTerm-Z874*(Y874-AE874))</f>
        <v>2.1944817805254174E-2</v>
      </c>
      <c r="AE874" s="35">
        <f>AE873-StepSize*AD873</f>
        <v>-1.5369446606339941E-3</v>
      </c>
      <c r="AF874" s="1"/>
    </row>
    <row r="875" spans="11:32" x14ac:dyDescent="0.45">
      <c r="K875" s="40">
        <f t="shared" si="229"/>
        <v>8.5</v>
      </c>
      <c r="L875" s="41">
        <f t="shared" si="221"/>
        <v>28.5</v>
      </c>
      <c r="M875">
        <f t="shared" si="230"/>
        <v>0.83156173109469922</v>
      </c>
      <c r="N875">
        <f t="shared" si="231"/>
        <v>0.16843826890529845</v>
      </c>
      <c r="O875">
        <f t="shared" si="222"/>
        <v>0.11658835946418958</v>
      </c>
      <c r="P875">
        <f t="shared" si="223"/>
        <v>0.5</v>
      </c>
      <c r="Q875">
        <f t="shared" si="232"/>
        <v>-1.2731283568883325E-2</v>
      </c>
      <c r="R875" s="6">
        <f t="shared" si="233"/>
        <v>1.2731283568883325E-2</v>
      </c>
      <c r="S875" s="18">
        <f t="shared" si="234"/>
        <v>0.99999999999999767</v>
      </c>
      <c r="T875" s="15"/>
      <c r="U875" s="15"/>
      <c r="V875" s="40">
        <f t="shared" si="235"/>
        <v>1.5</v>
      </c>
      <c r="W875" s="41">
        <f t="shared" si="224"/>
        <v>21.5</v>
      </c>
      <c r="X875">
        <f t="shared" si="236"/>
        <v>2.5031594875609124E-2</v>
      </c>
      <c r="Y875">
        <f t="shared" si="237"/>
        <v>1.8210090626274777</v>
      </c>
      <c r="Z875" s="33">
        <f t="shared" si="225"/>
        <v>6.377782517701415E-2</v>
      </c>
      <c r="AA875" s="33">
        <f t="shared" si="226"/>
        <v>0.5</v>
      </c>
      <c r="AB875">
        <f t="shared" si="227"/>
        <v>1.1087236480992857E-2</v>
      </c>
      <c r="AC875" s="1">
        <f t="shared" si="228"/>
        <v>-1.0960812992691804E-2</v>
      </c>
      <c r="AD875" s="35">
        <f>IF(W875&gt;=FinalAgeForPremium, AE875*Delta-Z875*(Y875-AE875),AE875*Delta+PremiumRevisedForLimitedTerm-Z875*(Y875-AE875))</f>
        <v>2.2012993274890619E-2</v>
      </c>
      <c r="AE875" s="35">
        <f>AE874-StepSize*AD874</f>
        <v>-1.7563928386865359E-3</v>
      </c>
      <c r="AF875" s="1"/>
    </row>
    <row r="876" spans="11:32" x14ac:dyDescent="0.45">
      <c r="K876" s="40">
        <f t="shared" si="229"/>
        <v>8.51</v>
      </c>
      <c r="L876" s="41">
        <f t="shared" si="221"/>
        <v>28.509999999999998</v>
      </c>
      <c r="M876">
        <f t="shared" si="230"/>
        <v>0.83143441825901043</v>
      </c>
      <c r="N876">
        <f t="shared" si="231"/>
        <v>0.16856558174098729</v>
      </c>
      <c r="O876">
        <f t="shared" si="222"/>
        <v>0.11668887593162824</v>
      </c>
      <c r="P876">
        <f t="shared" si="223"/>
        <v>0.5</v>
      </c>
      <c r="Q876">
        <f t="shared" si="232"/>
        <v>-1.2736356807017526E-2</v>
      </c>
      <c r="R876" s="6">
        <f t="shared" si="233"/>
        <v>1.2736356807017526E-2</v>
      </c>
      <c r="S876" s="18">
        <f t="shared" si="234"/>
        <v>0.99999999999999778</v>
      </c>
      <c r="T876" s="15"/>
      <c r="U876" s="15"/>
      <c r="V876" s="40">
        <f t="shared" si="235"/>
        <v>1.49</v>
      </c>
      <c r="W876" s="41">
        <f t="shared" si="224"/>
        <v>21.49</v>
      </c>
      <c r="X876">
        <f t="shared" si="236"/>
        <v>2.4920722510799194E-2</v>
      </c>
      <c r="Y876">
        <f t="shared" si="237"/>
        <v>1.8211186707574047</v>
      </c>
      <c r="Z876" s="33">
        <f t="shared" si="225"/>
        <v>6.37228865923673E-2</v>
      </c>
      <c r="AA876" s="33">
        <f t="shared" si="226"/>
        <v>0.5</v>
      </c>
      <c r="AB876">
        <f t="shared" si="227"/>
        <v>1.1166311669326356E-2</v>
      </c>
      <c r="AC876" s="1">
        <f t="shared" si="228"/>
        <v>-1.0845092338827023E-2</v>
      </c>
      <c r="AD876" s="35">
        <f>IF(W876&gt;=FinalAgeForPremium, AE876*Delta-Z876*(Y876-AE876),AE876*Delta+PremiumRevisedForLimitedTerm-Z876*(Y876-AE876))</f>
        <v>2.208111507134658E-2</v>
      </c>
      <c r="AE876" s="35">
        <f>AE875-StepSize*AD875</f>
        <v>-1.9765227714354421E-3</v>
      </c>
      <c r="AF876" s="1"/>
    </row>
    <row r="877" spans="11:32" x14ac:dyDescent="0.45">
      <c r="K877" s="40">
        <f t="shared" si="229"/>
        <v>8.52</v>
      </c>
      <c r="L877" s="41">
        <f t="shared" si="221"/>
        <v>28.52</v>
      </c>
      <c r="M877">
        <f t="shared" si="230"/>
        <v>0.83130705469094024</v>
      </c>
      <c r="N877">
        <f t="shared" si="231"/>
        <v>0.16869294530905746</v>
      </c>
      <c r="O877">
        <f t="shared" si="222"/>
        <v>0.11678947905917836</v>
      </c>
      <c r="P877">
        <f t="shared" si="223"/>
        <v>0.5</v>
      </c>
      <c r="Q877">
        <f t="shared" si="232"/>
        <v>-1.2741445201046073E-2</v>
      </c>
      <c r="R877" s="6">
        <f t="shared" si="233"/>
        <v>1.2741445201046073E-2</v>
      </c>
      <c r="S877" s="18">
        <f t="shared" si="234"/>
        <v>0.99999999999999767</v>
      </c>
      <c r="T877" s="15"/>
      <c r="U877" s="15"/>
      <c r="V877" s="40">
        <f t="shared" si="235"/>
        <v>1.48</v>
      </c>
      <c r="W877" s="41">
        <f t="shared" si="224"/>
        <v>21.48</v>
      </c>
      <c r="X877">
        <f t="shared" si="236"/>
        <v>2.480905939410593E-2</v>
      </c>
      <c r="Y877">
        <f t="shared" si="237"/>
        <v>1.8212271216807929</v>
      </c>
      <c r="Z877" s="33">
        <f t="shared" si="225"/>
        <v>6.366799533213259E-2</v>
      </c>
      <c r="AA877" s="33">
        <f t="shared" si="226"/>
        <v>0.5</v>
      </c>
      <c r="AB877">
        <f t="shared" si="227"/>
        <v>1.1245309862825514E-2</v>
      </c>
      <c r="AC877" s="1">
        <f t="shared" si="228"/>
        <v>-1.0729612772616859E-2</v>
      </c>
      <c r="AD877" s="35">
        <f>IF(W877&gt;=FinalAgeForPremium, AE877*Delta-Z877*(Y877-AE877),AE877*Delta+PremiumRevisedForLimitedTerm-Z877*(Y877-AE877))</f>
        <v>2.2149183050314603E-2</v>
      </c>
      <c r="AE877" s="35">
        <f>AE876-StepSize*AD876</f>
        <v>-2.1973339221489077E-3</v>
      </c>
      <c r="AF877" s="1"/>
    </row>
    <row r="878" spans="11:32" x14ac:dyDescent="0.45">
      <c r="K878" s="40">
        <f t="shared" si="229"/>
        <v>8.5299999999999994</v>
      </c>
      <c r="L878" s="41">
        <f t="shared" si="221"/>
        <v>28.53</v>
      </c>
      <c r="M878">
        <f t="shared" si="230"/>
        <v>0.83117964023892976</v>
      </c>
      <c r="N878">
        <f t="shared" si="231"/>
        <v>0.16882035976106791</v>
      </c>
      <c r="O878">
        <f t="shared" si="222"/>
        <v>0.11689016892155386</v>
      </c>
      <c r="P878">
        <f t="shared" si="223"/>
        <v>0.5</v>
      </c>
      <c r="Q878">
        <f t="shared" si="232"/>
        <v>-1.2746548671150909E-2</v>
      </c>
      <c r="R878" s="6">
        <f t="shared" si="233"/>
        <v>1.2746548671150909E-2</v>
      </c>
      <c r="S878" s="18">
        <f t="shared" si="234"/>
        <v>0.99999999999999767</v>
      </c>
      <c r="T878" s="15"/>
      <c r="U878" s="15"/>
      <c r="V878" s="40">
        <f t="shared" si="235"/>
        <v>1.47</v>
      </c>
      <c r="W878" s="41">
        <f t="shared" si="224"/>
        <v>21.47</v>
      </c>
      <c r="X878">
        <f t="shared" si="236"/>
        <v>2.4696606295477673E-2</v>
      </c>
      <c r="Y878">
        <f t="shared" si="237"/>
        <v>1.8213344178085191</v>
      </c>
      <c r="Z878" s="33">
        <f t="shared" si="225"/>
        <v>6.3613151355544462E-2</v>
      </c>
      <c r="AA878" s="33">
        <f t="shared" si="226"/>
        <v>0.5</v>
      </c>
      <c r="AB878">
        <f t="shared" si="227"/>
        <v>1.1324230977248273E-2</v>
      </c>
      <c r="AC878" s="1">
        <f t="shared" si="228"/>
        <v>-1.0614373353053264E-2</v>
      </c>
      <c r="AD878" s="35">
        <f>IF(W878&gt;=FinalAgeForPremium, AE878*Delta-Z878*(Y878-AE878),AE878*Delta+PremiumRevisedForLimitedTerm-Z878*(Y878-AE878))</f>
        <v>2.2217197068792022E-2</v>
      </c>
      <c r="AE878" s="35">
        <f>AE877-StepSize*AD877</f>
        <v>-2.4188257526520538E-3</v>
      </c>
      <c r="AF878" s="1"/>
    </row>
    <row r="879" spans="11:32" x14ac:dyDescent="0.45">
      <c r="K879" s="40">
        <f t="shared" si="229"/>
        <v>8.5399999999999991</v>
      </c>
      <c r="L879" s="41">
        <f t="shared" si="221"/>
        <v>28.54</v>
      </c>
      <c r="M879">
        <f t="shared" si="230"/>
        <v>0.83105217475221826</v>
      </c>
      <c r="N879">
        <f t="shared" si="231"/>
        <v>0.1689478252477794</v>
      </c>
      <c r="O879">
        <f t="shared" si="222"/>
        <v>0.11699094559353296</v>
      </c>
      <c r="P879">
        <f t="shared" si="223"/>
        <v>0.5</v>
      </c>
      <c r="Q879">
        <f t="shared" si="232"/>
        <v>-1.2751667137934311E-2</v>
      </c>
      <c r="R879" s="6">
        <f t="shared" si="233"/>
        <v>1.2751667137934311E-2</v>
      </c>
      <c r="S879" s="18">
        <f t="shared" si="234"/>
        <v>0.99999999999999767</v>
      </c>
      <c r="T879" s="15"/>
      <c r="U879" s="15"/>
      <c r="V879" s="40">
        <f t="shared" si="235"/>
        <v>1.46</v>
      </c>
      <c r="W879" s="41">
        <f t="shared" si="224"/>
        <v>21.46</v>
      </c>
      <c r="X879">
        <f t="shared" si="236"/>
        <v>2.4583363985705192E-2</v>
      </c>
      <c r="Y879">
        <f t="shared" si="237"/>
        <v>1.8214405615420497</v>
      </c>
      <c r="Z879" s="33">
        <f t="shared" si="225"/>
        <v>6.3558354621872551E-2</v>
      </c>
      <c r="AA879" s="33">
        <f t="shared" si="226"/>
        <v>0.5</v>
      </c>
      <c r="AB879">
        <f t="shared" si="227"/>
        <v>1.1403074929482684E-2</v>
      </c>
      <c r="AC879" s="1">
        <f t="shared" si="228"/>
        <v>-1.0499373144725266E-2</v>
      </c>
      <c r="AD879" s="35">
        <f>IF(W879&gt;=FinalAgeForPremium, AE879*Delta-Z879*(Y879-AE879),AE879*Delta+PremiumRevisedForLimitedTerm-Z879*(Y879-AE879))</f>
        <v>2.2285156985071677E-2</v>
      </c>
      <c r="AE879" s="35">
        <f>AE878-StepSize*AD878</f>
        <v>-2.6409977233399743E-3</v>
      </c>
      <c r="AF879" s="1"/>
    </row>
    <row r="880" spans="11:32" x14ac:dyDescent="0.45">
      <c r="K880" s="40">
        <f t="shared" si="229"/>
        <v>8.5500000000000007</v>
      </c>
      <c r="L880" s="41">
        <f t="shared" si="221"/>
        <v>28.55</v>
      </c>
      <c r="M880">
        <f t="shared" si="230"/>
        <v>0.83092465808083893</v>
      </c>
      <c r="N880">
        <f t="shared" si="231"/>
        <v>0.16907534191915874</v>
      </c>
      <c r="O880">
        <f t="shared" si="222"/>
        <v>0.11709180914995844</v>
      </c>
      <c r="P880">
        <f t="shared" si="223"/>
        <v>0.5</v>
      </c>
      <c r="Q880">
        <f t="shared" si="232"/>
        <v>-1.2756800522416692E-2</v>
      </c>
      <c r="R880" s="6">
        <f t="shared" si="233"/>
        <v>1.2756800522416692E-2</v>
      </c>
      <c r="S880" s="18">
        <f t="shared" si="234"/>
        <v>0.99999999999999767</v>
      </c>
      <c r="T880" s="15"/>
      <c r="U880" s="15"/>
      <c r="V880" s="40">
        <f t="shared" si="235"/>
        <v>1.45</v>
      </c>
      <c r="W880" s="41">
        <f t="shared" si="224"/>
        <v>21.45</v>
      </c>
      <c r="X880">
        <f t="shared" si="236"/>
        <v>2.4469333236410366E-2</v>
      </c>
      <c r="Y880">
        <f t="shared" si="237"/>
        <v>1.8215455552734969</v>
      </c>
      <c r="Z880" s="33">
        <f t="shared" si="225"/>
        <v>6.3503605090421508E-2</v>
      </c>
      <c r="AA880" s="33">
        <f t="shared" si="226"/>
        <v>0.5</v>
      </c>
      <c r="AB880">
        <f t="shared" si="227"/>
        <v>1.148184163753839E-2</v>
      </c>
      <c r="AC880" s="1">
        <f t="shared" si="228"/>
        <v>-1.0384611217781892E-2</v>
      </c>
      <c r="AD880" s="35">
        <f>IF(W880&gt;=FinalAgeForPremium, AE880*Delta-Z880*(Y880-AE880),AE880*Delta+PremiumRevisedForLimitedTerm-Z880*(Y880-AE880))</f>
        <v>2.2353062658733019E-2</v>
      </c>
      <c r="AE880" s="35">
        <f>AE879-StepSize*AD879</f>
        <v>-2.8638492931906913E-3</v>
      </c>
      <c r="AF880" s="1"/>
    </row>
    <row r="881" spans="11:32" x14ac:dyDescent="0.45">
      <c r="K881" s="40">
        <f t="shared" si="229"/>
        <v>8.56</v>
      </c>
      <c r="L881" s="41">
        <f t="shared" si="221"/>
        <v>28.560000000000002</v>
      </c>
      <c r="M881">
        <f t="shared" si="230"/>
        <v>0.83079709007561475</v>
      </c>
      <c r="N881">
        <f t="shared" si="231"/>
        <v>0.16920290992438292</v>
      </c>
      <c r="O881">
        <f t="shared" si="222"/>
        <v>0.11719275966573765</v>
      </c>
      <c r="P881">
        <f t="shared" si="223"/>
        <v>0.5</v>
      </c>
      <c r="Q881">
        <f t="shared" si="232"/>
        <v>-1.2761948746034257E-2</v>
      </c>
      <c r="R881" s="6">
        <f t="shared" si="233"/>
        <v>1.2761948746034257E-2</v>
      </c>
      <c r="S881" s="18">
        <f t="shared" si="234"/>
        <v>0.99999999999999767</v>
      </c>
      <c r="T881" s="15"/>
      <c r="U881" s="15"/>
      <c r="V881" s="40">
        <f t="shared" si="235"/>
        <v>1.44</v>
      </c>
      <c r="W881" s="41">
        <f t="shared" si="224"/>
        <v>21.44</v>
      </c>
      <c r="X881">
        <f t="shared" si="236"/>
        <v>2.4354514820034982E-2</v>
      </c>
      <c r="Y881">
        <f t="shared" si="237"/>
        <v>1.8216494013856748</v>
      </c>
      <c r="Z881" s="33">
        <f t="shared" si="225"/>
        <v>6.3448902720531095E-2</v>
      </c>
      <c r="AA881" s="33">
        <f t="shared" si="226"/>
        <v>0.5</v>
      </c>
      <c r="AB881">
        <f t="shared" si="227"/>
        <v>1.1560531020538167E-2</v>
      </c>
      <c r="AC881" s="1">
        <f t="shared" si="228"/>
        <v>-1.0270086647896415E-2</v>
      </c>
      <c r="AD881" s="35">
        <f>IF(W881&gt;=FinalAgeForPremium, AE881*Delta-Z881*(Y881-AE881),AE881*Delta+PremiumRevisedForLimitedTerm-Z881*(Y881-AE881))</f>
        <v>2.2420913950632962E-2</v>
      </c>
      <c r="AE881" s="35">
        <f>AE880-StepSize*AD880</f>
        <v>-3.0873799197780214E-3</v>
      </c>
      <c r="AF881" s="1"/>
    </row>
    <row r="882" spans="11:32" x14ac:dyDescent="0.45">
      <c r="K882" s="40">
        <f t="shared" si="229"/>
        <v>8.57</v>
      </c>
      <c r="L882" s="41">
        <f t="shared" si="221"/>
        <v>28.57</v>
      </c>
      <c r="M882">
        <f t="shared" si="230"/>
        <v>0.83066947058815443</v>
      </c>
      <c r="N882">
        <f t="shared" si="231"/>
        <v>0.16933052941184326</v>
      </c>
      <c r="O882">
        <f t="shared" si="222"/>
        <v>0.11729379721584234</v>
      </c>
      <c r="P882">
        <f t="shared" si="223"/>
        <v>0.5</v>
      </c>
      <c r="Q882">
        <f t="shared" si="232"/>
        <v>-1.2767111730636466E-2</v>
      </c>
      <c r="R882" s="6">
        <f t="shared" si="233"/>
        <v>1.2767111730636466E-2</v>
      </c>
      <c r="S882" s="18">
        <f t="shared" si="234"/>
        <v>0.99999999999999767</v>
      </c>
      <c r="T882" s="15"/>
      <c r="U882" s="15"/>
      <c r="V882" s="40">
        <f t="shared" si="235"/>
        <v>1.43</v>
      </c>
      <c r="W882" s="41">
        <f t="shared" si="224"/>
        <v>21.43</v>
      </c>
      <c r="X882">
        <f t="shared" si="236"/>
        <v>2.4238909509829602E-2</v>
      </c>
      <c r="Y882">
        <f t="shared" si="237"/>
        <v>1.8217521022521537</v>
      </c>
      <c r="Z882" s="33">
        <f t="shared" si="225"/>
        <v>6.3394247471576043E-2</v>
      </c>
      <c r="AA882" s="33">
        <f t="shared" si="226"/>
        <v>0.5</v>
      </c>
      <c r="AB882">
        <f t="shared" si="227"/>
        <v>1.1639142998709495E-2</v>
      </c>
      <c r="AC882" s="1">
        <f t="shared" si="228"/>
        <v>-1.0155798516230274E-2</v>
      </c>
      <c r="AD882" s="35">
        <f>IF(W882&gt;=FinalAgeForPremium, AE882*Delta-Z882*(Y882-AE882),AE882*Delta+PremiumRevisedForLimitedTerm-Z882*(Y882-AE882))</f>
        <v>2.248871072289696E-2</v>
      </c>
      <c r="AE882" s="35">
        <f>AE881-StepSize*AD881</f>
        <v>-3.3115890592843511E-3</v>
      </c>
      <c r="AF882" s="1"/>
    </row>
    <row r="883" spans="11:32" x14ac:dyDescent="0.45">
      <c r="K883" s="40">
        <f t="shared" si="229"/>
        <v>8.58</v>
      </c>
      <c r="L883" s="41">
        <f t="shared" si="221"/>
        <v>28.58</v>
      </c>
      <c r="M883">
        <f t="shared" si="230"/>
        <v>0.83054179947084805</v>
      </c>
      <c r="N883">
        <f t="shared" si="231"/>
        <v>0.16945820052914962</v>
      </c>
      <c r="O883">
        <f t="shared" si="222"/>
        <v>0.1173949218753091</v>
      </c>
      <c r="P883">
        <f t="shared" si="223"/>
        <v>0.5</v>
      </c>
      <c r="Q883">
        <f t="shared" si="232"/>
        <v>-1.2772289398484044E-2</v>
      </c>
      <c r="R883" s="6">
        <f t="shared" si="233"/>
        <v>1.2772289398484044E-2</v>
      </c>
      <c r="S883" s="18">
        <f t="shared" si="234"/>
        <v>0.99999999999999767</v>
      </c>
      <c r="T883" s="15"/>
      <c r="U883" s="15"/>
      <c r="V883" s="40">
        <f t="shared" si="235"/>
        <v>1.42</v>
      </c>
      <c r="W883" s="41">
        <f t="shared" si="224"/>
        <v>21.42</v>
      </c>
      <c r="X883">
        <f t="shared" si="236"/>
        <v>2.4122518079842507E-2</v>
      </c>
      <c r="Y883">
        <f t="shared" si="237"/>
        <v>1.8218536602373159</v>
      </c>
      <c r="Z883" s="33">
        <f t="shared" si="225"/>
        <v>6.3339639302966128E-2</v>
      </c>
      <c r="AA883" s="33">
        <f t="shared" si="226"/>
        <v>0.5</v>
      </c>
      <c r="AB883">
        <f t="shared" si="227"/>
        <v>1.17176774933761E-2</v>
      </c>
      <c r="AC883" s="1">
        <f t="shared" si="228"/>
        <v>-1.0041745909397548E-2</v>
      </c>
      <c r="AD883" s="35">
        <f>IF(W883&gt;=FinalAgeForPremium, AE883*Delta-Z883*(Y883-AE883),AE883*Delta+PremiumRevisedForLimitedTerm-Z883*(Y883-AE883))</f>
        <v>2.2556452838910182E-2</v>
      </c>
      <c r="AE883" s="35">
        <f>AE882-StepSize*AD882</f>
        <v>-3.5364761665133207E-3</v>
      </c>
      <c r="AF883" s="1"/>
    </row>
    <row r="884" spans="11:32" x14ac:dyDescent="0.45">
      <c r="K884" s="40">
        <f t="shared" si="229"/>
        <v>8.59</v>
      </c>
      <c r="L884" s="41">
        <f t="shared" si="221"/>
        <v>28.59</v>
      </c>
      <c r="M884">
        <f t="shared" si="230"/>
        <v>0.83041407657686317</v>
      </c>
      <c r="N884">
        <f t="shared" si="231"/>
        <v>0.16958592342313444</v>
      </c>
      <c r="O884">
        <f t="shared" si="222"/>
        <v>0.11749613371923909</v>
      </c>
      <c r="P884">
        <f t="shared" si="223"/>
        <v>0.5</v>
      </c>
      <c r="Q884">
        <f t="shared" si="232"/>
        <v>-1.2777481672246335E-2</v>
      </c>
      <c r="R884" s="6">
        <f t="shared" si="233"/>
        <v>1.2777481672246335E-2</v>
      </c>
      <c r="S884" s="18">
        <f t="shared" si="234"/>
        <v>0.99999999999999756</v>
      </c>
      <c r="T884" s="15"/>
      <c r="U884" s="15"/>
      <c r="V884" s="40">
        <f t="shared" si="235"/>
        <v>1.41</v>
      </c>
      <c r="W884" s="41">
        <f t="shared" si="224"/>
        <v>21.41</v>
      </c>
      <c r="X884">
        <f t="shared" si="236"/>
        <v>2.4005341304908747E-2</v>
      </c>
      <c r="Y884">
        <f t="shared" si="237"/>
        <v>1.8219540776964098</v>
      </c>
      <c r="Z884" s="33">
        <f t="shared" si="225"/>
        <v>6.3285078174146053E-2</v>
      </c>
      <c r="AA884" s="33">
        <f t="shared" si="226"/>
        <v>0.5</v>
      </c>
      <c r="AB884">
        <f t="shared" si="227"/>
        <v>1.179613442694985E-2</v>
      </c>
      <c r="AC884" s="1">
        <f t="shared" si="228"/>
        <v>-9.9279279194289805E-3</v>
      </c>
      <c r="AD884" s="35">
        <f>IF(W884&gt;=FinalAgeForPremium, AE884*Delta-Z884*(Y884-AE884),AE884*Delta+PremiumRevisedForLimitedTerm-Z884*(Y884-AE884))</f>
        <v>2.2624140163308742E-2</v>
      </c>
      <c r="AE884" s="35">
        <f>AE883-StepSize*AD883</f>
        <v>-3.7620406949024224E-3</v>
      </c>
      <c r="AF884" s="1"/>
    </row>
    <row r="885" spans="11:32" x14ac:dyDescent="0.45">
      <c r="K885" s="40">
        <f t="shared" si="229"/>
        <v>8.6</v>
      </c>
      <c r="L885" s="41">
        <f t="shared" si="221"/>
        <v>28.6</v>
      </c>
      <c r="M885">
        <f t="shared" si="230"/>
        <v>0.83028630176014073</v>
      </c>
      <c r="N885">
        <f t="shared" si="231"/>
        <v>0.16971369823985691</v>
      </c>
      <c r="O885">
        <f t="shared" si="222"/>
        <v>0.11759743282279832</v>
      </c>
      <c r="P885">
        <f t="shared" si="223"/>
        <v>0.5</v>
      </c>
      <c r="Q885">
        <f t="shared" si="232"/>
        <v>-1.2782688474999346E-2</v>
      </c>
      <c r="R885" s="6">
        <f t="shared" si="233"/>
        <v>1.2782688474999346E-2</v>
      </c>
      <c r="S885" s="18">
        <f t="shared" si="234"/>
        <v>0.99999999999999767</v>
      </c>
      <c r="T885" s="15"/>
      <c r="U885" s="15"/>
      <c r="V885" s="40">
        <f t="shared" si="235"/>
        <v>1.4</v>
      </c>
      <c r="W885" s="41">
        <f t="shared" si="224"/>
        <v>21.4</v>
      </c>
      <c r="X885">
        <f t="shared" si="236"/>
        <v>2.3887379960639249E-2</v>
      </c>
      <c r="Y885">
        <f t="shared" si="237"/>
        <v>1.8220533569756041</v>
      </c>
      <c r="Z885" s="33">
        <f t="shared" si="225"/>
        <v>6.3230564044595497E-2</v>
      </c>
      <c r="AA885" s="33">
        <f t="shared" si="226"/>
        <v>0.5</v>
      </c>
      <c r="AB885">
        <f t="shared" si="227"/>
        <v>1.1874513722922239E-2</v>
      </c>
      <c r="AC885" s="1">
        <f t="shared" si="228"/>
        <v>-9.8143436437373444E-3</v>
      </c>
      <c r="AD885" s="35">
        <f>IF(W885&gt;=FinalAgeForPremium, AE885*Delta-Z885*(Y885-AE885),AE885*Delta+PremiumRevisedForLimitedTerm-Z885*(Y885-AE885))</f>
        <v>2.2691772561970705E-2</v>
      </c>
      <c r="AE885" s="35">
        <f>AE884-StepSize*AD884</f>
        <v>-3.9882820965355097E-3</v>
      </c>
      <c r="AF885" s="1"/>
    </row>
    <row r="886" spans="11:32" x14ac:dyDescent="0.45">
      <c r="K886" s="40">
        <f t="shared" si="229"/>
        <v>8.61</v>
      </c>
      <c r="L886" s="41">
        <f t="shared" si="221"/>
        <v>28.61</v>
      </c>
      <c r="M886">
        <f t="shared" si="230"/>
        <v>0.83015847487539074</v>
      </c>
      <c r="N886">
        <f t="shared" si="231"/>
        <v>0.1698415251246069</v>
      </c>
      <c r="O886">
        <f t="shared" si="222"/>
        <v>0.11769881926121745</v>
      </c>
      <c r="P886">
        <f t="shared" si="223"/>
        <v>0.5</v>
      </c>
      <c r="Q886">
        <f t="shared" si="232"/>
        <v>-1.278790973022309E-2</v>
      </c>
      <c r="R886" s="6">
        <f t="shared" si="233"/>
        <v>1.278790973022309E-2</v>
      </c>
      <c r="S886" s="18">
        <f t="shared" si="234"/>
        <v>0.99999999999999767</v>
      </c>
      <c r="T886" s="15"/>
      <c r="U886" s="15"/>
      <c r="V886" s="40">
        <f t="shared" si="235"/>
        <v>1.39</v>
      </c>
      <c r="W886" s="41">
        <f t="shared" si="224"/>
        <v>21.39</v>
      </c>
      <c r="X886">
        <f t="shared" si="236"/>
        <v>2.3768634823410028E-2</v>
      </c>
      <c r="Y886">
        <f t="shared" si="237"/>
        <v>1.8221515004120414</v>
      </c>
      <c r="Z886" s="33">
        <f t="shared" si="225"/>
        <v>6.3176096873829024E-2</v>
      </c>
      <c r="AA886" s="33">
        <f t="shared" si="226"/>
        <v>0.5</v>
      </c>
      <c r="AB886">
        <f t="shared" si="227"/>
        <v>1.195281530585654E-2</v>
      </c>
      <c r="AC886" s="1">
        <f t="shared" si="228"/>
        <v>-9.7009921850822467E-3</v>
      </c>
      <c r="AD886" s="35">
        <f>IF(W886&gt;=FinalAgeForPremium, AE886*Delta-Z886*(Y886-AE886),AE886*Delta+PremiumRevisedForLimitedTerm-Z886*(Y886-AE886))</f>
        <v>2.2759349902007731E-2</v>
      </c>
      <c r="AE886" s="35">
        <f>AE885-StepSize*AD885</f>
        <v>-4.2151998221552165E-3</v>
      </c>
      <c r="AF886" s="1"/>
    </row>
    <row r="887" spans="11:32" x14ac:dyDescent="0.45">
      <c r="K887" s="40">
        <f t="shared" si="229"/>
        <v>8.6199999999999992</v>
      </c>
      <c r="L887" s="41">
        <f t="shared" si="221"/>
        <v>28.619999999999997</v>
      </c>
      <c r="M887">
        <f t="shared" si="230"/>
        <v>0.83003059577808846</v>
      </c>
      <c r="N887">
        <f t="shared" si="231"/>
        <v>0.16996940422190912</v>
      </c>
      <c r="O887">
        <f t="shared" si="222"/>
        <v>0.11780029310979213</v>
      </c>
      <c r="P887">
        <f t="shared" si="223"/>
        <v>0.5</v>
      </c>
      <c r="Q887">
        <f t="shared" si="232"/>
        <v>-1.2793145361799652E-2</v>
      </c>
      <c r="R887" s="6">
        <f t="shared" si="233"/>
        <v>1.2793145361799652E-2</v>
      </c>
      <c r="S887" s="18">
        <f t="shared" si="234"/>
        <v>0.99999999999999756</v>
      </c>
      <c r="T887" s="15"/>
      <c r="U887" s="15"/>
      <c r="V887" s="40">
        <f t="shared" si="235"/>
        <v>1.38</v>
      </c>
      <c r="W887" s="41">
        <f t="shared" si="224"/>
        <v>21.38</v>
      </c>
      <c r="X887">
        <f t="shared" si="236"/>
        <v>2.3649106670351461E-2</v>
      </c>
      <c r="Y887">
        <f t="shared" si="237"/>
        <v>1.8222485103338923</v>
      </c>
      <c r="Z887" s="33">
        <f t="shared" si="225"/>
        <v>6.312167662139602E-2</v>
      </c>
      <c r="AA887" s="33">
        <f t="shared" si="226"/>
        <v>0.5</v>
      </c>
      <c r="AB887">
        <f t="shared" si="227"/>
        <v>1.2031039101379468E-2</v>
      </c>
      <c r="AC887" s="1">
        <f t="shared" si="228"/>
        <v>-9.5878726515349344E-3</v>
      </c>
      <c r="AD887" s="35">
        <f>IF(W887&gt;=FinalAgeForPremium, AE887*Delta-Z887*(Y887-AE887),AE887*Delta+PremiumRevisedForLimitedTerm-Z887*(Y887-AE887))</f>
        <v>2.2826872051756264E-2</v>
      </c>
      <c r="AE887" s="35">
        <f>AE886-StepSize*AD886</f>
        <v>-4.4427933211752934E-3</v>
      </c>
      <c r="AF887" s="1"/>
    </row>
    <row r="888" spans="11:32" x14ac:dyDescent="0.45">
      <c r="K888" s="40">
        <f t="shared" si="229"/>
        <v>8.6300000000000008</v>
      </c>
      <c r="L888" s="41">
        <f t="shared" si="221"/>
        <v>28.630000000000003</v>
      </c>
      <c r="M888">
        <f t="shared" si="230"/>
        <v>0.82990266432447046</v>
      </c>
      <c r="N888">
        <f t="shared" si="231"/>
        <v>0.17009733567552712</v>
      </c>
      <c r="O888">
        <f t="shared" si="222"/>
        <v>0.11790185444388293</v>
      </c>
      <c r="P888">
        <f t="shared" si="223"/>
        <v>0.5</v>
      </c>
      <c r="Q888">
        <f t="shared" si="232"/>
        <v>-1.2798395294010792E-2</v>
      </c>
      <c r="R888" s="6">
        <f t="shared" si="233"/>
        <v>1.2798395294010792E-2</v>
      </c>
      <c r="S888" s="18">
        <f t="shared" si="234"/>
        <v>0.99999999999999756</v>
      </c>
      <c r="T888" s="15"/>
      <c r="U888" s="15"/>
      <c r="V888" s="40">
        <f t="shared" si="235"/>
        <v>1.37</v>
      </c>
      <c r="W888" s="41">
        <f t="shared" si="224"/>
        <v>21.37</v>
      </c>
      <c r="X888">
        <f t="shared" si="236"/>
        <v>2.3528796279337665E-2</v>
      </c>
      <c r="Y888">
        <f t="shared" si="237"/>
        <v>1.8223443890604076</v>
      </c>
      <c r="Z888" s="33">
        <f t="shared" si="225"/>
        <v>6.306730324688084E-2</v>
      </c>
      <c r="AA888" s="33">
        <f t="shared" si="226"/>
        <v>0.5</v>
      </c>
      <c r="AB888">
        <f t="shared" si="227"/>
        <v>1.2109185036173087E-2</v>
      </c>
      <c r="AC888" s="1">
        <f t="shared" si="228"/>
        <v>-9.4749841564445436E-3</v>
      </c>
      <c r="AD888" s="35">
        <f>IF(W888&gt;=FinalAgeForPremium, AE888*Delta-Z888*(Y888-AE888),AE888*Delta+PremiumRevisedForLimitedTerm-Z888*(Y888-AE888))</f>
        <v>2.2894338880768944E-2</v>
      </c>
      <c r="AE888" s="35">
        <f>AE887-StepSize*AD887</f>
        <v>-4.6710620416928559E-3</v>
      </c>
      <c r="AF888" s="1"/>
    </row>
    <row r="889" spans="11:32" x14ac:dyDescent="0.45">
      <c r="K889" s="40">
        <f t="shared" si="229"/>
        <v>8.64</v>
      </c>
      <c r="L889" s="41">
        <f t="shared" si="221"/>
        <v>28.64</v>
      </c>
      <c r="M889">
        <f t="shared" si="230"/>
        <v>0.82977468037153035</v>
      </c>
      <c r="N889">
        <f t="shared" si="231"/>
        <v>0.17022531962846724</v>
      </c>
      <c r="O889">
        <f t="shared" si="222"/>
        <v>0.11800350333891527</v>
      </c>
      <c r="P889">
        <f t="shared" si="223"/>
        <v>0.5</v>
      </c>
      <c r="Q889">
        <f t="shared" si="232"/>
        <v>-1.2803659451535609E-2</v>
      </c>
      <c r="R889" s="6">
        <f t="shared" si="233"/>
        <v>1.2803659451535609E-2</v>
      </c>
      <c r="S889" s="18">
        <f t="shared" si="234"/>
        <v>0.99999999999999756</v>
      </c>
      <c r="T889" s="15"/>
      <c r="U889" s="15"/>
      <c r="V889" s="40">
        <f t="shared" si="235"/>
        <v>1.36</v>
      </c>
      <c r="W889" s="41">
        <f t="shared" si="224"/>
        <v>21.36</v>
      </c>
      <c r="X889">
        <f t="shared" si="236"/>
        <v>2.3407704428975936E-2</v>
      </c>
      <c r="Y889">
        <f t="shared" si="237"/>
        <v>1.8224391389019721</v>
      </c>
      <c r="Z889" s="33">
        <f t="shared" si="225"/>
        <v>6.3012976709902468E-2</v>
      </c>
      <c r="AA889" s="33">
        <f t="shared" si="226"/>
        <v>0.5</v>
      </c>
      <c r="AB889">
        <f t="shared" si="227"/>
        <v>1.2187253037967125E-2</v>
      </c>
      <c r="AC889" s="1">
        <f t="shared" si="228"/>
        <v>-9.3623258184033498E-3</v>
      </c>
      <c r="AD889" s="35">
        <f>IF(W889&gt;=FinalAgeForPremium, AE889*Delta-Z889*(Y889-AE889),AE889*Delta+PremiumRevisedForLimitedTerm-Z889*(Y889-AE889))</f>
        <v>2.2961750259806318E-2</v>
      </c>
      <c r="AE889" s="35">
        <f>AE888-StepSize*AD888</f>
        <v>-4.9000054305005456E-3</v>
      </c>
      <c r="AF889" s="1"/>
    </row>
    <row r="890" spans="11:32" x14ac:dyDescent="0.45">
      <c r="K890" s="40">
        <f t="shared" si="229"/>
        <v>8.65</v>
      </c>
      <c r="L890" s="41">
        <f t="shared" si="221"/>
        <v>28.65</v>
      </c>
      <c r="M890">
        <f t="shared" si="230"/>
        <v>0.82964664377701502</v>
      </c>
      <c r="N890">
        <f t="shared" si="231"/>
        <v>0.17035335622298259</v>
      </c>
      <c r="O890">
        <f t="shared" si="222"/>
        <v>0.11810523987037969</v>
      </c>
      <c r="P890">
        <f t="shared" si="223"/>
        <v>0.5</v>
      </c>
      <c r="Q890">
        <f t="shared" si="232"/>
        <v>-1.280893775944851E-2</v>
      </c>
      <c r="R890" s="6">
        <f t="shared" si="233"/>
        <v>1.280893775944851E-2</v>
      </c>
      <c r="S890" s="18">
        <f t="shared" si="234"/>
        <v>0.99999999999999756</v>
      </c>
      <c r="T890" s="15"/>
      <c r="U890" s="15"/>
      <c r="V890" s="40">
        <f t="shared" si="235"/>
        <v>1.35</v>
      </c>
      <c r="W890" s="41">
        <f t="shared" si="224"/>
        <v>21.35</v>
      </c>
      <c r="X890">
        <f t="shared" si="236"/>
        <v>2.3285831898596263E-2</v>
      </c>
      <c r="Y890">
        <f t="shared" si="237"/>
        <v>1.8225327621601561</v>
      </c>
      <c r="Z890" s="33">
        <f t="shared" si="225"/>
        <v>6.2958696970114914E-2</v>
      </c>
      <c r="AA890" s="33">
        <f t="shared" si="226"/>
        <v>0.5</v>
      </c>
      <c r="AB890">
        <f t="shared" si="227"/>
        <v>1.2265243035530463E-2</v>
      </c>
      <c r="AC890" s="1">
        <f t="shared" si="228"/>
        <v>-9.2498967612122396E-3</v>
      </c>
      <c r="AD890" s="35">
        <f>IF(W890&gt;=FinalAgeForPremium, AE890*Delta-Z890*(Y890-AE890),AE890*Delta+PremiumRevisedForLimitedTerm-Z890*(Y890-AE890))</f>
        <v>2.3029106060827906E-2</v>
      </c>
      <c r="AE890" s="35">
        <f>AE889-StepSize*AD889</f>
        <v>-5.1296229330986091E-3</v>
      </c>
      <c r="AF890" s="1"/>
    </row>
    <row r="891" spans="11:32" x14ac:dyDescent="0.45">
      <c r="K891" s="40">
        <f t="shared" si="229"/>
        <v>8.66</v>
      </c>
      <c r="L891" s="41">
        <f t="shared" si="221"/>
        <v>28.66</v>
      </c>
      <c r="M891">
        <f t="shared" si="230"/>
        <v>0.82951855439942057</v>
      </c>
      <c r="N891">
        <f t="shared" si="231"/>
        <v>0.17048144560057707</v>
      </c>
      <c r="O891">
        <f t="shared" si="222"/>
        <v>0.11820706411383182</v>
      </c>
      <c r="P891">
        <f t="shared" si="223"/>
        <v>0.5</v>
      </c>
      <c r="Q891">
        <f t="shared" si="232"/>
        <v>-1.2814230143216865E-2</v>
      </c>
      <c r="R891" s="6">
        <f t="shared" si="233"/>
        <v>1.2814230143216865E-2</v>
      </c>
      <c r="S891" s="18">
        <f t="shared" si="234"/>
        <v>0.99999999999999767</v>
      </c>
      <c r="T891" s="15"/>
      <c r="U891" s="15"/>
      <c r="V891" s="40">
        <f t="shared" si="235"/>
        <v>1.34</v>
      </c>
      <c r="W891" s="41">
        <f t="shared" si="224"/>
        <v>21.34</v>
      </c>
      <c r="X891">
        <f t="shared" si="236"/>
        <v>2.3163179468240959E-2</v>
      </c>
      <c r="Y891">
        <f t="shared" si="237"/>
        <v>1.8226252611277682</v>
      </c>
      <c r="Z891" s="33">
        <f t="shared" si="225"/>
        <v>6.2904463987206699E-2</v>
      </c>
      <c r="AA891" s="33">
        <f t="shared" si="226"/>
        <v>0.5</v>
      </c>
      <c r="AB891">
        <f t="shared" si="227"/>
        <v>1.234315495866399E-2</v>
      </c>
      <c r="AC891" s="1">
        <f t="shared" si="228"/>
        <v>-9.1376961138479595E-3</v>
      </c>
      <c r="AD891" s="35">
        <f>IF(W891&gt;=FinalAgeForPremium, AE891*Delta-Z891*(Y891-AE891),AE891*Delta+PremiumRevisedForLimitedTerm-Z891*(Y891-AE891))</f>
        <v>2.3096406156984647E-2</v>
      </c>
      <c r="AE891" s="35">
        <f>AE890-StepSize*AD890</f>
        <v>-5.3599139937068885E-3</v>
      </c>
      <c r="AF891" s="1"/>
    </row>
    <row r="892" spans="11:32" x14ac:dyDescent="0.45">
      <c r="K892" s="40">
        <f t="shared" si="229"/>
        <v>8.67</v>
      </c>
      <c r="L892" s="41">
        <f t="shared" si="221"/>
        <v>28.67</v>
      </c>
      <c r="M892">
        <f t="shared" si="230"/>
        <v>0.82939041209798836</v>
      </c>
      <c r="N892">
        <f t="shared" si="231"/>
        <v>0.17060958790200925</v>
      </c>
      <c r="O892">
        <f t="shared" si="222"/>
        <v>0.11830897614489246</v>
      </c>
      <c r="P892">
        <f t="shared" si="223"/>
        <v>0.5</v>
      </c>
      <c r="Q892">
        <f t="shared" si="232"/>
        <v>-1.2819536528698799E-2</v>
      </c>
      <c r="R892" s="6">
        <f t="shared" si="233"/>
        <v>1.2819536528698799E-2</v>
      </c>
      <c r="S892" s="18">
        <f t="shared" si="234"/>
        <v>0.99999999999999756</v>
      </c>
      <c r="T892" s="15"/>
      <c r="U892" s="15"/>
      <c r="V892" s="40">
        <f t="shared" si="235"/>
        <v>1.33</v>
      </c>
      <c r="W892" s="41">
        <f t="shared" si="224"/>
        <v>21.33</v>
      </c>
      <c r="X892">
        <f t="shared" si="236"/>
        <v>2.3039747918654319E-2</v>
      </c>
      <c r="Y892">
        <f t="shared" si="237"/>
        <v>1.8227166380889068</v>
      </c>
      <c r="Z892" s="33">
        <f t="shared" si="225"/>
        <v>6.285027772090121E-2</v>
      </c>
      <c r="AA892" s="33">
        <f t="shared" si="226"/>
        <v>0.5</v>
      </c>
      <c r="AB892">
        <f t="shared" si="227"/>
        <v>1.2420988738192182E-2</v>
      </c>
      <c r="AC892" s="1">
        <f t="shared" si="228"/>
        <v>-9.0257230104284769E-3</v>
      </c>
      <c r="AD892" s="35">
        <f>IF(W892&gt;=FinalAgeForPremium, AE892*Delta-Z892*(Y892-AE892),AE892*Delta+PremiumRevisedForLimitedTerm-Z892*(Y892-AE892))</f>
        <v>2.3163650422609705E-2</v>
      </c>
      <c r="AE892" s="35">
        <f>AE891-StepSize*AD891</f>
        <v>-5.5908780552767351E-3</v>
      </c>
      <c r="AF892" s="1"/>
    </row>
    <row r="893" spans="11:32" x14ac:dyDescent="0.45">
      <c r="K893" s="40">
        <f t="shared" si="229"/>
        <v>8.68</v>
      </c>
      <c r="L893" s="41">
        <f t="shared" si="221"/>
        <v>28.68</v>
      </c>
      <c r="M893">
        <f t="shared" si="230"/>
        <v>0.8292622167327014</v>
      </c>
      <c r="N893">
        <f t="shared" si="231"/>
        <v>0.17073778326729624</v>
      </c>
      <c r="O893">
        <f t="shared" si="222"/>
        <v>0.11841097603924744</v>
      </c>
      <c r="P893">
        <f t="shared" si="223"/>
        <v>0.5</v>
      </c>
      <c r="Q893">
        <f t="shared" si="232"/>
        <v>-1.2824856842141005E-2</v>
      </c>
      <c r="R893" s="6">
        <f t="shared" si="233"/>
        <v>1.2824856842141005E-2</v>
      </c>
      <c r="S893" s="18">
        <f t="shared" si="234"/>
        <v>0.99999999999999767</v>
      </c>
      <c r="T893" s="15"/>
      <c r="U893" s="15"/>
      <c r="V893" s="40">
        <f t="shared" si="235"/>
        <v>1.32</v>
      </c>
      <c r="W893" s="41">
        <f t="shared" si="224"/>
        <v>21.32</v>
      </c>
      <c r="X893">
        <f t="shared" si="236"/>
        <v>2.2915538031272397E-2</v>
      </c>
      <c r="Y893">
        <f t="shared" si="237"/>
        <v>1.8228068953190111</v>
      </c>
      <c r="Z893" s="33">
        <f t="shared" si="225"/>
        <v>6.2796138130956539E-2</v>
      </c>
      <c r="AA893" s="33">
        <f t="shared" si="226"/>
        <v>0.5</v>
      </c>
      <c r="AB893">
        <f t="shared" si="227"/>
        <v>1.2498744305955614E-2</v>
      </c>
      <c r="AC893" s="1">
        <f t="shared" si="228"/>
        <v>-8.9139765901801171E-3</v>
      </c>
      <c r="AD893" s="35">
        <f>IF(W893&gt;=FinalAgeForPremium, AE893*Delta-Z893*(Y893-AE893),AE893*Delta+PremiumRevisedForLimitedTerm-Z893*(Y893-AE893))</f>
        <v>2.3230838733210718E-2</v>
      </c>
      <c r="AE893" s="35">
        <f>AE892-StepSize*AD892</f>
        <v>-5.8225145595028321E-3</v>
      </c>
      <c r="AF893" s="1"/>
    </row>
    <row r="894" spans="11:32" x14ac:dyDescent="0.45">
      <c r="K894" s="40">
        <f t="shared" si="229"/>
        <v>8.69</v>
      </c>
      <c r="L894" s="41">
        <f t="shared" si="221"/>
        <v>28.689999999999998</v>
      </c>
      <c r="M894">
        <f t="shared" si="230"/>
        <v>0.82913396816427998</v>
      </c>
      <c r="N894">
        <f t="shared" si="231"/>
        <v>0.17086603183571766</v>
      </c>
      <c r="O894">
        <f t="shared" si="222"/>
        <v>0.118513063872648</v>
      </c>
      <c r="P894">
        <f t="shared" si="223"/>
        <v>0.5</v>
      </c>
      <c r="Q894">
        <f t="shared" si="232"/>
        <v>-1.2830191010176573E-2</v>
      </c>
      <c r="R894" s="6">
        <f t="shared" si="233"/>
        <v>1.2830191010176573E-2</v>
      </c>
      <c r="S894" s="18">
        <f t="shared" si="234"/>
        <v>0.99999999999999767</v>
      </c>
      <c r="T894" s="15"/>
      <c r="U894" s="15"/>
      <c r="V894" s="40">
        <f t="shared" si="235"/>
        <v>1.31</v>
      </c>
      <c r="W894" s="41">
        <f t="shared" si="224"/>
        <v>21.31</v>
      </c>
      <c r="X894">
        <f t="shared" si="236"/>
        <v>2.2790550588212839E-2</v>
      </c>
      <c r="Y894">
        <f t="shared" si="237"/>
        <v>1.8228960350849128</v>
      </c>
      <c r="Z894" s="33">
        <f t="shared" si="225"/>
        <v>6.2742045177165362E-2</v>
      </c>
      <c r="AA894" s="33">
        <f t="shared" si="226"/>
        <v>0.5</v>
      </c>
      <c r="AB894">
        <f t="shared" si="227"/>
        <v>1.2576421594803211E-2</v>
      </c>
      <c r="AC894" s="1">
        <f t="shared" si="228"/>
        <v>-8.8024559974043681E-3</v>
      </c>
      <c r="AD894" s="35">
        <f>IF(W894&gt;=FinalAgeForPremium, AE894*Delta-Z894*(Y894-AE894),AE894*Delta+PremiumRevisedForLimitedTerm-Z894*(Y894-AE894))</f>
        <v>2.3297970965461531E-2</v>
      </c>
      <c r="AE894" s="35">
        <f>AE893-StepSize*AD893</f>
        <v>-6.0548229468349391E-3</v>
      </c>
      <c r="AF894" s="1"/>
    </row>
    <row r="895" spans="11:32" x14ac:dyDescent="0.45">
      <c r="K895" s="40">
        <f t="shared" si="229"/>
        <v>8.6999999999999993</v>
      </c>
      <c r="L895" s="41">
        <f t="shared" si="221"/>
        <v>28.7</v>
      </c>
      <c r="M895">
        <f t="shared" si="230"/>
        <v>0.82900566625417826</v>
      </c>
      <c r="N895">
        <f t="shared" si="231"/>
        <v>0.17099433374581943</v>
      </c>
      <c r="O895">
        <f t="shared" si="222"/>
        <v>0.11861523972091075</v>
      </c>
      <c r="P895">
        <f t="shared" si="223"/>
        <v>0.5</v>
      </c>
      <c r="Q895">
        <f t="shared" si="232"/>
        <v>-1.2835538959822965E-2</v>
      </c>
      <c r="R895" s="6">
        <f t="shared" si="233"/>
        <v>1.2835538959822965E-2</v>
      </c>
      <c r="S895" s="18">
        <f t="shared" si="234"/>
        <v>0.99999999999999767</v>
      </c>
      <c r="T895" s="15"/>
      <c r="U895" s="15"/>
      <c r="V895" s="40">
        <f t="shared" si="235"/>
        <v>1.3</v>
      </c>
      <c r="W895" s="41">
        <f t="shared" si="224"/>
        <v>21.3</v>
      </c>
      <c r="X895">
        <f t="shared" si="236"/>
        <v>2.2664786372264809E-2</v>
      </c>
      <c r="Y895">
        <f t="shared" si="237"/>
        <v>1.822984059644887</v>
      </c>
      <c r="Z895" s="33">
        <f t="shared" si="225"/>
        <v>6.2687998819355023E-2</v>
      </c>
      <c r="AA895" s="33">
        <f t="shared" si="226"/>
        <v>0.5</v>
      </c>
      <c r="AB895">
        <f t="shared" si="227"/>
        <v>1.2654020538584679E-2</v>
      </c>
      <c r="AC895" s="1">
        <f t="shared" si="228"/>
        <v>-8.6911603814445737E-3</v>
      </c>
      <c r="AD895" s="35">
        <f>IF(W895&gt;=FinalAgeForPremium, AE895*Delta-Z895*(Y895-AE895),AE895*Delta+PremiumRevisedForLimitedTerm-Z895*(Y895-AE895))</f>
        <v>2.3365046997194008E-2</v>
      </c>
      <c r="AE895" s="35">
        <f>AE894-StepSize*AD894</f>
        <v>-6.287802656489554E-3</v>
      </c>
      <c r="AF895" s="1"/>
    </row>
    <row r="896" spans="11:32" x14ac:dyDescent="0.45">
      <c r="K896" s="40">
        <f t="shared" si="229"/>
        <v>8.7100000000000009</v>
      </c>
      <c r="L896" s="41">
        <f t="shared" si="221"/>
        <v>28.71</v>
      </c>
      <c r="M896">
        <f t="shared" si="230"/>
        <v>0.82887731086458005</v>
      </c>
      <c r="N896">
        <f t="shared" si="231"/>
        <v>0.17112268913541767</v>
      </c>
      <c r="O896">
        <f t="shared" si="222"/>
        <v>0.11871750365991748</v>
      </c>
      <c r="P896">
        <f t="shared" si="223"/>
        <v>0.5</v>
      </c>
      <c r="Q896">
        <f t="shared" si="232"/>
        <v>-1.2840900618479506E-2</v>
      </c>
      <c r="R896" s="6">
        <f t="shared" si="233"/>
        <v>1.2840900618479506E-2</v>
      </c>
      <c r="S896" s="18">
        <f t="shared" si="234"/>
        <v>0.99999999999999778</v>
      </c>
      <c r="T896" s="15"/>
      <c r="U896" s="15"/>
      <c r="V896" s="40">
        <f t="shared" si="235"/>
        <v>1.29</v>
      </c>
      <c r="W896" s="41">
        <f t="shared" si="224"/>
        <v>21.29</v>
      </c>
      <c r="X896">
        <f t="shared" si="236"/>
        <v>2.2538246166878963E-2</v>
      </c>
      <c r="Y896">
        <f t="shared" si="237"/>
        <v>1.8230709712487014</v>
      </c>
      <c r="Z896" s="33">
        <f t="shared" si="225"/>
        <v>6.263399901738749E-2</v>
      </c>
      <c r="AA896" s="33">
        <f t="shared" si="226"/>
        <v>0.5</v>
      </c>
      <c r="AB896">
        <f t="shared" si="227"/>
        <v>1.2731541072142735E-2</v>
      </c>
      <c r="AC896" s="1">
        <f t="shared" si="228"/>
        <v>-8.580088896653737E-3</v>
      </c>
      <c r="AD896" s="35">
        <f>IF(W896&gt;=FinalAgeForPremium, AE896*Delta-Z896*(Y896-AE896),AE896*Delta+PremiumRevisedForLimitedTerm-Z896*(Y896-AE896))</f>
        <v>2.3432066707389926E-2</v>
      </c>
      <c r="AE896" s="35">
        <f>AE895-StepSize*AD895</f>
        <v>-6.521453126461494E-3</v>
      </c>
      <c r="AF896" s="1"/>
    </row>
    <row r="897" spans="11:32" x14ac:dyDescent="0.45">
      <c r="K897" s="40">
        <f t="shared" si="229"/>
        <v>8.7200000000000006</v>
      </c>
      <c r="L897" s="41">
        <f t="shared" si="221"/>
        <v>28.72</v>
      </c>
      <c r="M897">
        <f t="shared" si="230"/>
        <v>0.82874890185839523</v>
      </c>
      <c r="N897">
        <f t="shared" si="231"/>
        <v>0.17125109814160247</v>
      </c>
      <c r="O897">
        <f t="shared" si="222"/>
        <v>0.11881985576561541</v>
      </c>
      <c r="P897">
        <f t="shared" si="223"/>
        <v>0.5</v>
      </c>
      <c r="Q897">
        <f t="shared" si="232"/>
        <v>-1.284627591392544E-2</v>
      </c>
      <c r="R897" s="6">
        <f t="shared" si="233"/>
        <v>1.284627591392544E-2</v>
      </c>
      <c r="S897" s="18">
        <f t="shared" si="234"/>
        <v>0.99999999999999767</v>
      </c>
      <c r="T897" s="15"/>
      <c r="U897" s="15"/>
      <c r="V897" s="40">
        <f t="shared" si="235"/>
        <v>1.28</v>
      </c>
      <c r="W897" s="41">
        <f t="shared" si="224"/>
        <v>21.28</v>
      </c>
      <c r="X897">
        <f t="shared" si="236"/>
        <v>2.2410930756157535E-2</v>
      </c>
      <c r="Y897">
        <f t="shared" si="237"/>
        <v>1.823156772137668</v>
      </c>
      <c r="Z897" s="33">
        <f t="shared" si="225"/>
        <v>6.2580045731159301E-2</v>
      </c>
      <c r="AA897" s="33">
        <f t="shared" si="226"/>
        <v>0.5</v>
      </c>
      <c r="AB897">
        <f t="shared" si="227"/>
        <v>1.2808983131305671E-2</v>
      </c>
      <c r="AC897" s="1">
        <f t="shared" si="228"/>
        <v>-8.4692407023613248E-3</v>
      </c>
      <c r="AD897" s="35">
        <f>IF(W897&gt;=FinalAgeForPremium, AE897*Delta-Z897*(Y897-AE897),AE897*Delta+PremiumRevisedForLimitedTerm-Z897*(Y897-AE897))</f>
        <v>2.3499029976172925E-2</v>
      </c>
      <c r="AE897" s="35">
        <f>AE896-StepSize*AD896</f>
        <v>-6.7557737935353933E-3</v>
      </c>
      <c r="AF897" s="1"/>
    </row>
    <row r="898" spans="11:32" x14ac:dyDescent="0.45">
      <c r="K898" s="40">
        <f t="shared" si="229"/>
        <v>8.73</v>
      </c>
      <c r="L898" s="41">
        <f t="shared" si="221"/>
        <v>28.73</v>
      </c>
      <c r="M898">
        <f t="shared" si="230"/>
        <v>0.82862043909925598</v>
      </c>
      <c r="N898">
        <f t="shared" si="231"/>
        <v>0.17137956090074172</v>
      </c>
      <c r="O898">
        <f t="shared" si="222"/>
        <v>0.11892229611401746</v>
      </c>
      <c r="P898">
        <f t="shared" si="223"/>
        <v>0.5</v>
      </c>
      <c r="Q898">
        <f t="shared" si="232"/>
        <v>-1.2851664774318025E-2</v>
      </c>
      <c r="R898" s="6">
        <f t="shared" si="233"/>
        <v>1.2851664774318025E-2</v>
      </c>
      <c r="S898" s="18">
        <f t="shared" si="234"/>
        <v>0.99999999999999767</v>
      </c>
      <c r="T898" s="15"/>
      <c r="U898" s="15"/>
      <c r="V898" s="40">
        <f t="shared" si="235"/>
        <v>1.27</v>
      </c>
      <c r="W898" s="41">
        <f t="shared" si="224"/>
        <v>21.27</v>
      </c>
      <c r="X898">
        <f t="shared" si="236"/>
        <v>2.2282840924844477E-2</v>
      </c>
      <c r="Y898">
        <f t="shared" si="237"/>
        <v>1.8232414645446917</v>
      </c>
      <c r="Z898" s="33">
        <f t="shared" si="225"/>
        <v>6.2526138920601521E-2</v>
      </c>
      <c r="AA898" s="33">
        <f t="shared" si="226"/>
        <v>0.5</v>
      </c>
      <c r="AB898">
        <f t="shared" si="227"/>
        <v>1.2886346652880021E-2</v>
      </c>
      <c r="AC898" s="1">
        <f t="shared" si="228"/>
        <v>-8.3586149628418482E-3</v>
      </c>
      <c r="AD898" s="35">
        <f>IF(W898&gt;=FinalAgeForPremium, AE898*Delta-Z898*(Y898-AE898),AE898*Delta+PremiumRevisedForLimitedTerm-Z898*(Y898-AE898))</f>
        <v>2.356593668480067E-2</v>
      </c>
      <c r="AE898" s="35">
        <f>AE897-StepSize*AD897</f>
        <v>-6.9907640932971226E-3</v>
      </c>
      <c r="AF898" s="1"/>
    </row>
    <row r="899" spans="11:32" x14ac:dyDescent="0.45">
      <c r="K899" s="40">
        <f t="shared" si="229"/>
        <v>8.74</v>
      </c>
      <c r="L899" s="41">
        <f t="shared" si="221"/>
        <v>28.740000000000002</v>
      </c>
      <c r="M899">
        <f t="shared" si="230"/>
        <v>0.82849192245151282</v>
      </c>
      <c r="N899">
        <f t="shared" si="231"/>
        <v>0.17150807754848491</v>
      </c>
      <c r="O899">
        <f t="shared" si="222"/>
        <v>0.11902482478120188</v>
      </c>
      <c r="P899">
        <f t="shared" si="223"/>
        <v>0.5</v>
      </c>
      <c r="Q899">
        <f t="shared" si="232"/>
        <v>-1.2857067128189958E-2</v>
      </c>
      <c r="R899" s="6">
        <f t="shared" si="233"/>
        <v>1.2857067128189958E-2</v>
      </c>
      <c r="S899" s="18">
        <f t="shared" si="234"/>
        <v>0.99999999999999778</v>
      </c>
      <c r="T899" s="15"/>
      <c r="U899" s="15"/>
      <c r="V899" s="40">
        <f t="shared" si="235"/>
        <v>1.26</v>
      </c>
      <c r="W899" s="41">
        <f t="shared" si="224"/>
        <v>21.26</v>
      </c>
      <c r="X899">
        <f t="shared" si="236"/>
        <v>2.2153977458315675E-2</v>
      </c>
      <c r="Y899">
        <f t="shared" si="237"/>
        <v>1.8233250506943202</v>
      </c>
      <c r="Z899" s="33">
        <f t="shared" si="225"/>
        <v>6.2472278545679744E-2</v>
      </c>
      <c r="AA899" s="33">
        <f t="shared" si="226"/>
        <v>0.5</v>
      </c>
      <c r="AB899">
        <f t="shared" si="227"/>
        <v>1.2963631574642837E-2</v>
      </c>
      <c r="AC899" s="1">
        <f t="shared" si="228"/>
        <v>-8.2482108472817783E-3</v>
      </c>
      <c r="AD899" s="35">
        <f>IF(W899&gt;=FinalAgeForPremium, AE899*Delta-Z899*(Y899-AE899),AE899*Delta+PremiumRevisedForLimitedTerm-Z899*(Y899-AE899))</f>
        <v>2.363278671565687E-2</v>
      </c>
      <c r="AE899" s="35">
        <f>AE898-StepSize*AD898</f>
        <v>-7.2264234601451295E-3</v>
      </c>
      <c r="AF899" s="1"/>
    </row>
    <row r="900" spans="11:32" x14ac:dyDescent="0.45">
      <c r="K900" s="40">
        <f t="shared" si="229"/>
        <v>8.75</v>
      </c>
      <c r="L900" s="41">
        <f t="shared" si="221"/>
        <v>28.75</v>
      </c>
      <c r="M900">
        <f t="shared" si="230"/>
        <v>0.82836335178023091</v>
      </c>
      <c r="N900">
        <f t="shared" si="231"/>
        <v>0.17163664821976682</v>
      </c>
      <c r="O900">
        <f t="shared" si="222"/>
        <v>0.11912744184331246</v>
      </c>
      <c r="P900">
        <f t="shared" si="223"/>
        <v>0.5</v>
      </c>
      <c r="Q900">
        <f t="shared" si="232"/>
        <v>-1.2862482904447428E-2</v>
      </c>
      <c r="R900" s="6">
        <f t="shared" si="233"/>
        <v>1.2862482904447428E-2</v>
      </c>
      <c r="S900" s="18">
        <f t="shared" si="234"/>
        <v>0.99999999999999778</v>
      </c>
      <c r="T900" s="15"/>
      <c r="U900" s="15"/>
      <c r="V900" s="40">
        <f t="shared" si="235"/>
        <v>1.25</v>
      </c>
      <c r="W900" s="41">
        <f t="shared" si="224"/>
        <v>21.25</v>
      </c>
      <c r="X900">
        <f t="shared" si="236"/>
        <v>2.2024341142569247E-2</v>
      </c>
      <c r="Y900">
        <f t="shared" si="237"/>
        <v>1.823407532802793</v>
      </c>
      <c r="Z900" s="33">
        <f t="shared" si="225"/>
        <v>6.2418464566394036E-2</v>
      </c>
      <c r="AA900" s="33">
        <f t="shared" si="226"/>
        <v>0.5</v>
      </c>
      <c r="AB900">
        <f t="shared" si="227"/>
        <v>1.3040837835334662E-2</v>
      </c>
      <c r="AC900" s="1">
        <f t="shared" si="228"/>
        <v>-8.1380275297484594E-3</v>
      </c>
      <c r="AD900" s="35">
        <f>IF(W900&gt;=FinalAgeForPremium, AE900*Delta-Z900*(Y900-AE900),AE900*Delta+PremiumRevisedForLimitedTerm-Z900*(Y900-AE900))</f>
        <v>2.3699579952243352E-2</v>
      </c>
      <c r="AE900" s="35">
        <f>AE899-StepSize*AD899</f>
        <v>-7.462751327301698E-3</v>
      </c>
      <c r="AF900" s="1"/>
    </row>
    <row r="901" spans="11:32" x14ac:dyDescent="0.45">
      <c r="K901" s="40">
        <f t="shared" si="229"/>
        <v>8.76</v>
      </c>
      <c r="L901" s="41">
        <f t="shared" si="221"/>
        <v>28.759999999999998</v>
      </c>
      <c r="M901">
        <f t="shared" si="230"/>
        <v>0.82823472695118638</v>
      </c>
      <c r="N901">
        <f t="shared" si="231"/>
        <v>0.17176527304881128</v>
      </c>
      <c r="O901">
        <f t="shared" si="222"/>
        <v>0.11923014737655888</v>
      </c>
      <c r="P901">
        <f t="shared" si="223"/>
        <v>0.5</v>
      </c>
      <c r="Q901">
        <f t="shared" si="232"/>
        <v>-1.2867912032368312E-2</v>
      </c>
      <c r="R901" s="6">
        <f t="shared" si="233"/>
        <v>1.2867912032368312E-2</v>
      </c>
      <c r="S901" s="18">
        <f t="shared" si="234"/>
        <v>0.99999999999999767</v>
      </c>
      <c r="T901" s="15"/>
      <c r="U901" s="15"/>
      <c r="V901" s="40">
        <f t="shared" si="235"/>
        <v>1.24</v>
      </c>
      <c r="W901" s="41">
        <f t="shared" si="224"/>
        <v>21.24</v>
      </c>
      <c r="X901">
        <f t="shared" si="236"/>
        <v>2.18939327642159E-2</v>
      </c>
      <c r="Y901">
        <f t="shared" si="237"/>
        <v>1.8234889130780905</v>
      </c>
      <c r="Z901" s="33">
        <f t="shared" si="225"/>
        <v>6.2364696942778935E-2</v>
      </c>
      <c r="AA901" s="33">
        <f t="shared" si="226"/>
        <v>0.5</v>
      </c>
      <c r="AB901">
        <f t="shared" si="227"/>
        <v>1.3117965374651874E-2</v>
      </c>
      <c r="AC901" s="1">
        <f t="shared" si="228"/>
        <v>-8.028064189158135E-3</v>
      </c>
      <c r="AD901" s="35">
        <f>IF(W901&gt;=FinalAgeForPremium, AE901*Delta-Z901*(Y901-AE901),AE901*Delta+PremiumRevisedForLimitedTerm-Z901*(Y901-AE901))</f>
        <v>2.3766316279172445E-2</v>
      </c>
      <c r="AE901" s="35">
        <f>AE900-StepSize*AD900</f>
        <v>-7.6997471268241318E-3</v>
      </c>
      <c r="AF901" s="1"/>
    </row>
    <row r="902" spans="11:32" x14ac:dyDescent="0.45">
      <c r="K902" s="40">
        <f t="shared" si="229"/>
        <v>8.77</v>
      </c>
      <c r="L902" s="41">
        <f t="shared" si="221"/>
        <v>28.77</v>
      </c>
      <c r="M902">
        <f t="shared" si="230"/>
        <v>0.82810604783086272</v>
      </c>
      <c r="N902">
        <f t="shared" si="231"/>
        <v>0.17189395216913497</v>
      </c>
      <c r="O902">
        <f t="shared" si="222"/>
        <v>0.11933294145721637</v>
      </c>
      <c r="P902">
        <f t="shared" si="223"/>
        <v>0.5</v>
      </c>
      <c r="Q902">
        <f t="shared" si="232"/>
        <v>-1.2873354441599677E-2</v>
      </c>
      <c r="R902" s="6">
        <f t="shared" si="233"/>
        <v>1.2873354441599677E-2</v>
      </c>
      <c r="S902" s="18">
        <f t="shared" si="234"/>
        <v>0.99999999999999767</v>
      </c>
      <c r="T902" s="15"/>
      <c r="U902" s="15"/>
      <c r="V902" s="40">
        <f t="shared" si="235"/>
        <v>1.23</v>
      </c>
      <c r="W902" s="41">
        <f t="shared" si="224"/>
        <v>21.23</v>
      </c>
      <c r="X902">
        <f t="shared" si="236"/>
        <v>2.1762753110469383E-2</v>
      </c>
      <c r="Y902">
        <f t="shared" si="237"/>
        <v>1.8235691937199821</v>
      </c>
      <c r="Z902" s="33">
        <f t="shared" si="225"/>
        <v>6.2310975634903426E-2</v>
      </c>
      <c r="AA902" s="33">
        <f t="shared" si="226"/>
        <v>0.5</v>
      </c>
      <c r="AB902">
        <f t="shared" si="227"/>
        <v>1.319501413323973E-2</v>
      </c>
      <c r="AC902" s="1">
        <f t="shared" si="228"/>
        <v>-7.9183200092445283E-3</v>
      </c>
      <c r="AD902" s="35">
        <f>IF(W902&gt;=FinalAgeForPremium, AE902*Delta-Z902*(Y902-AE902),AE902*Delta+PremiumRevisedForLimitedTerm-Z902*(Y902-AE902))</f>
        <v>2.3832995582158983E-2</v>
      </c>
      <c r="AE902" s="35">
        <f>AE901-StepSize*AD901</f>
        <v>-7.9374102896158562E-3</v>
      </c>
      <c r="AF902" s="1"/>
    </row>
    <row r="903" spans="11:32" x14ac:dyDescent="0.45">
      <c r="K903" s="40">
        <f t="shared" si="229"/>
        <v>8.7799999999999994</v>
      </c>
      <c r="L903" s="41">
        <f t="shared" si="221"/>
        <v>28.78</v>
      </c>
      <c r="M903">
        <f t="shared" si="230"/>
        <v>0.82797731428644672</v>
      </c>
      <c r="N903">
        <f t="shared" si="231"/>
        <v>0.17202268571355098</v>
      </c>
      <c r="O903">
        <f t="shared" si="222"/>
        <v>0.11943582416162589</v>
      </c>
      <c r="P903">
        <f t="shared" si="223"/>
        <v>0.5</v>
      </c>
      <c r="Q903">
        <f t="shared" si="232"/>
        <v>-1.2878810062155813E-2</v>
      </c>
      <c r="R903" s="6">
        <f t="shared" si="233"/>
        <v>1.2878810062155813E-2</v>
      </c>
      <c r="S903" s="18">
        <f t="shared" si="234"/>
        <v>0.99999999999999767</v>
      </c>
      <c r="T903" s="15"/>
      <c r="U903" s="15"/>
      <c r="V903" s="40">
        <f t="shared" si="235"/>
        <v>1.22</v>
      </c>
      <c r="W903" s="41">
        <f t="shared" si="224"/>
        <v>21.22</v>
      </c>
      <c r="X903">
        <f t="shared" si="236"/>
        <v>2.1630802969136987E-2</v>
      </c>
      <c r="Y903">
        <f t="shared" si="237"/>
        <v>1.8236483769200744</v>
      </c>
      <c r="Z903" s="33">
        <f t="shared" si="225"/>
        <v>6.2257300602870817E-2</v>
      </c>
      <c r="AA903" s="33">
        <f t="shared" si="226"/>
        <v>0.5</v>
      </c>
      <c r="AB903">
        <f t="shared" si="227"/>
        <v>1.3271984052684996E-2</v>
      </c>
      <c r="AC903" s="1">
        <f t="shared" si="228"/>
        <v>-7.8087941785275339E-3</v>
      </c>
      <c r="AD903" s="35">
        <f>IF(W903&gt;=FinalAgeForPremium, AE903*Delta-Z903*(Y903-AE903),AE903*Delta+PremiumRevisedForLimitedTerm-Z903*(Y903-AE903))</f>
        <v>2.3899617748012941E-2</v>
      </c>
      <c r="AE903" s="35">
        <f>AE902-StepSize*AD902</f>
        <v>-8.1757402454374455E-3</v>
      </c>
      <c r="AF903" s="1"/>
    </row>
    <row r="904" spans="11:32" x14ac:dyDescent="0.45">
      <c r="K904" s="40">
        <f t="shared" si="229"/>
        <v>8.7899999999999991</v>
      </c>
      <c r="L904" s="41">
        <f t="shared" si="221"/>
        <v>28.79</v>
      </c>
      <c r="M904">
        <f t="shared" si="230"/>
        <v>0.82784852618582516</v>
      </c>
      <c r="N904">
        <f t="shared" si="231"/>
        <v>0.17215147381417253</v>
      </c>
      <c r="O904">
        <f t="shared" si="222"/>
        <v>0.11953879556619428</v>
      </c>
      <c r="P904">
        <f t="shared" si="223"/>
        <v>0.5</v>
      </c>
      <c r="Q904">
        <f t="shared" si="232"/>
        <v>-1.2884278824416312E-2</v>
      </c>
      <c r="R904" s="6">
        <f t="shared" si="233"/>
        <v>1.2884278824416312E-2</v>
      </c>
      <c r="S904" s="18">
        <f t="shared" si="234"/>
        <v>0.99999999999999767</v>
      </c>
      <c r="T904" s="15"/>
      <c r="U904" s="15"/>
      <c r="V904" s="40">
        <f t="shared" si="235"/>
        <v>1.21</v>
      </c>
      <c r="W904" s="41">
        <f t="shared" si="224"/>
        <v>21.21</v>
      </c>
      <c r="X904">
        <f t="shared" si="236"/>
        <v>2.1498083128610138E-2</v>
      </c>
      <c r="Y904">
        <f t="shared" si="237"/>
        <v>1.8237264648618596</v>
      </c>
      <c r="Z904" s="33">
        <f t="shared" si="225"/>
        <v>6.2203671806818878E-2</v>
      </c>
      <c r="AA904" s="33">
        <f t="shared" si="226"/>
        <v>0.5</v>
      </c>
      <c r="AB904">
        <f t="shared" si="227"/>
        <v>1.3348875075508831E-2</v>
      </c>
      <c r="AC904" s="1">
        <f t="shared" si="228"/>
        <v>-7.6994858902823538E-3</v>
      </c>
      <c r="AD904" s="35">
        <f>IF(W904&gt;=FinalAgeForPremium, AE904*Delta-Z904*(Y904-AE904),AE904*Delta+PremiumRevisedForLimitedTerm-Z904*(Y904-AE904))</f>
        <v>2.3966182664631491E-2</v>
      </c>
      <c r="AE904" s="35">
        <f>AE903-StepSize*AD903</f>
        <v>-8.414736422917575E-3</v>
      </c>
      <c r="AF904" s="1"/>
    </row>
    <row r="905" spans="11:32" x14ac:dyDescent="0.45">
      <c r="K905" s="40">
        <f t="shared" si="229"/>
        <v>8.8000000000000007</v>
      </c>
      <c r="L905" s="41">
        <f t="shared" si="221"/>
        <v>28.8</v>
      </c>
      <c r="M905">
        <f t="shared" si="230"/>
        <v>0.82771968339758095</v>
      </c>
      <c r="N905">
        <f t="shared" si="231"/>
        <v>0.17228031660241669</v>
      </c>
      <c r="O905">
        <f t="shared" si="222"/>
        <v>0.1196418557473943</v>
      </c>
      <c r="P905">
        <f t="shared" si="223"/>
        <v>0.5</v>
      </c>
      <c r="Q905">
        <f t="shared" si="232"/>
        <v>-1.2889760659123922E-2</v>
      </c>
      <c r="R905" s="6">
        <f t="shared" si="233"/>
        <v>1.2889760659123922E-2</v>
      </c>
      <c r="S905" s="18">
        <f t="shared" si="234"/>
        <v>0.99999999999999767</v>
      </c>
      <c r="T905" s="15"/>
      <c r="U905" s="15"/>
      <c r="V905" s="40">
        <f t="shared" si="235"/>
        <v>1.2</v>
      </c>
      <c r="W905" s="41">
        <f t="shared" si="224"/>
        <v>21.2</v>
      </c>
      <c r="X905">
        <f t="shared" si="236"/>
        <v>2.136459437785505E-2</v>
      </c>
      <c r="Y905">
        <f t="shared" si="237"/>
        <v>1.8238034597207624</v>
      </c>
      <c r="Z905" s="33">
        <f t="shared" si="225"/>
        <v>6.215008920691964E-2</v>
      </c>
      <c r="AA905" s="33">
        <f t="shared" si="226"/>
        <v>0.5</v>
      </c>
      <c r="AB905">
        <f t="shared" si="227"/>
        <v>1.3425687145159695E-2</v>
      </c>
      <c r="AC905" s="1">
        <f t="shared" si="228"/>
        <v>-7.5903943425081888E-3</v>
      </c>
      <c r="AD905" s="35">
        <f>IF(W905&gt;=FinalAgeForPremium, AE905*Delta-Z905*(Y905-AE905),AE905*Delta+PremiumRevisedForLimitedTerm-Z905*(Y905-AE905))</f>
        <v>2.4032690220991679E-2</v>
      </c>
      <c r="AE905" s="35">
        <f>AE904-StepSize*AD904</f>
        <v>-8.6543982495638893E-3</v>
      </c>
      <c r="AF905" s="1"/>
    </row>
    <row r="906" spans="11:32" x14ac:dyDescent="0.45">
      <c r="K906" s="40">
        <f t="shared" si="229"/>
        <v>8.81</v>
      </c>
      <c r="L906" s="41">
        <f t="shared" si="221"/>
        <v>28.810000000000002</v>
      </c>
      <c r="M906">
        <f t="shared" si="230"/>
        <v>0.82759078579098966</v>
      </c>
      <c r="N906">
        <f t="shared" si="231"/>
        <v>0.17240921420900793</v>
      </c>
      <c r="O906">
        <f t="shared" si="222"/>
        <v>0.11974500478176447</v>
      </c>
      <c r="P906">
        <f t="shared" si="223"/>
        <v>0.5</v>
      </c>
      <c r="Q906">
        <f t="shared" si="232"/>
        <v>-1.289525549738231E-2</v>
      </c>
      <c r="R906" s="6">
        <f t="shared" si="233"/>
        <v>1.289525549738231E-2</v>
      </c>
      <c r="S906" s="18">
        <f t="shared" si="234"/>
        <v>0.99999999999999756</v>
      </c>
      <c r="T906" s="15"/>
      <c r="U906" s="15"/>
      <c r="V906" s="40">
        <f t="shared" si="235"/>
        <v>1.19</v>
      </c>
      <c r="W906" s="41">
        <f t="shared" si="224"/>
        <v>21.19</v>
      </c>
      <c r="X906">
        <f t="shared" si="236"/>
        <v>2.1230337506403452E-2</v>
      </c>
      <c r="Y906">
        <f t="shared" si="237"/>
        <v>1.8238793636641875</v>
      </c>
      <c r="Z906" s="33">
        <f t="shared" si="225"/>
        <v>6.2096552763379491E-2</v>
      </c>
      <c r="AA906" s="33">
        <f t="shared" si="226"/>
        <v>0.5</v>
      </c>
      <c r="AB906">
        <f t="shared" si="227"/>
        <v>1.3502420206006338E-2</v>
      </c>
      <c r="AC906" s="1">
        <f t="shared" si="228"/>
        <v>-7.4815187378985959E-3</v>
      </c>
      <c r="AD906" s="35">
        <f>IF(W906&gt;=FinalAgeForPremium, AE906*Delta-Z906*(Y906-AE906),AE906*Delta+PremiumRevisedForLimitedTerm-Z906*(Y906-AE906))</f>
        <v>2.4099140307142733E-2</v>
      </c>
      <c r="AE906" s="35">
        <f>AE905-StepSize*AD905</f>
        <v>-8.8947251517738062E-3</v>
      </c>
      <c r="AF906" s="1"/>
    </row>
    <row r="907" spans="11:32" x14ac:dyDescent="0.45">
      <c r="K907" s="40">
        <f t="shared" si="229"/>
        <v>8.82</v>
      </c>
      <c r="L907" s="41">
        <f t="shared" si="221"/>
        <v>28.82</v>
      </c>
      <c r="M907">
        <f t="shared" si="230"/>
        <v>0.82746183323601585</v>
      </c>
      <c r="N907">
        <f t="shared" si="231"/>
        <v>0.17253816676398176</v>
      </c>
      <c r="O907">
        <f t="shared" si="222"/>
        <v>0.11984824274590947</v>
      </c>
      <c r="P907">
        <f t="shared" si="223"/>
        <v>0.5</v>
      </c>
      <c r="Q907">
        <f t="shared" si="232"/>
        <v>-1.2900763270654411E-2</v>
      </c>
      <c r="R907" s="6">
        <f t="shared" si="233"/>
        <v>1.2900763270654411E-2</v>
      </c>
      <c r="S907" s="18">
        <f t="shared" si="234"/>
        <v>0.99999999999999756</v>
      </c>
      <c r="T907" s="15"/>
      <c r="U907" s="15"/>
      <c r="V907" s="40">
        <f t="shared" si="235"/>
        <v>1.18</v>
      </c>
      <c r="W907" s="41">
        <f t="shared" si="224"/>
        <v>21.18</v>
      </c>
      <c r="X907">
        <f t="shared" si="236"/>
        <v>2.1095313304343388E-2</v>
      </c>
      <c r="Y907">
        <f t="shared" si="237"/>
        <v>1.8239541788515665</v>
      </c>
      <c r="Z907" s="33">
        <f t="shared" si="225"/>
        <v>6.2043062436439048E-2</v>
      </c>
      <c r="AA907" s="33">
        <f t="shared" si="226"/>
        <v>0.5</v>
      </c>
      <c r="AB907">
        <f t="shared" si="227"/>
        <v>1.3579074203330793E-2</v>
      </c>
      <c r="AC907" s="1">
        <f t="shared" si="228"/>
        <v>-7.3728582838100687E-3</v>
      </c>
      <c r="AD907" s="35">
        <f>IF(W907&gt;=FinalAgeForPremium, AE907*Delta-Z907*(Y907-AE907),AE907*Delta+PremiumRevisedForLimitedTerm-Z907*(Y907-AE907))</f>
        <v>2.4165532814198767E-2</v>
      </c>
      <c r="AE907" s="35">
        <f>AE906-StepSize*AD906</f>
        <v>-9.1357165548452343E-3</v>
      </c>
      <c r="AF907" s="1"/>
    </row>
    <row r="908" spans="11:32" x14ac:dyDescent="0.45">
      <c r="K908" s="40">
        <f t="shared" si="229"/>
        <v>8.83</v>
      </c>
      <c r="L908" s="41">
        <f t="shared" si="221"/>
        <v>28.83</v>
      </c>
      <c r="M908">
        <f t="shared" si="230"/>
        <v>0.82733282560330934</v>
      </c>
      <c r="N908">
        <f t="shared" si="231"/>
        <v>0.1726671743966883</v>
      </c>
      <c r="O908">
        <f t="shared" si="222"/>
        <v>0.11995156971649996</v>
      </c>
      <c r="P908">
        <f t="shared" si="223"/>
        <v>0.5</v>
      </c>
      <c r="Q908">
        <f t="shared" si="232"/>
        <v>-1.2906283910760111E-2</v>
      </c>
      <c r="R908" s="6">
        <f t="shared" si="233"/>
        <v>1.2906283910760111E-2</v>
      </c>
      <c r="S908" s="18">
        <f t="shared" si="234"/>
        <v>0.99999999999999767</v>
      </c>
      <c r="T908" s="15"/>
      <c r="U908" s="15"/>
      <c r="V908" s="40">
        <f t="shared" si="235"/>
        <v>1.17</v>
      </c>
      <c r="W908" s="41">
        <f t="shared" si="224"/>
        <v>21.17</v>
      </c>
      <c r="X908">
        <f t="shared" si="236"/>
        <v>2.0959522562310082E-2</v>
      </c>
      <c r="Y908">
        <f t="shared" si="237"/>
        <v>1.8240279074344046</v>
      </c>
      <c r="Z908" s="33">
        <f t="shared" si="225"/>
        <v>6.1989618186373267E-2</v>
      </c>
      <c r="AA908" s="33">
        <f t="shared" si="226"/>
        <v>0.5</v>
      </c>
      <c r="AB908">
        <f t="shared" si="227"/>
        <v>1.3655649083321314E-2</v>
      </c>
      <c r="AC908" s="1">
        <f t="shared" si="228"/>
        <v>-7.2644121922325056E-3</v>
      </c>
      <c r="AD908" s="35">
        <f>IF(W908&gt;=FinalAgeForPremium, AE908*Delta-Z908*(Y908-AE908),AE908*Delta+PremiumRevisedForLimitedTerm-Z908*(Y908-AE908))</f>
        <v>2.4231867634331036E-2</v>
      </c>
      <c r="AE908" s="35">
        <f>AE907-StepSize*AD907</f>
        <v>-9.3773718829872222E-3</v>
      </c>
      <c r="AF908" s="1"/>
    </row>
    <row r="909" spans="11:32" x14ac:dyDescent="0.45">
      <c r="K909" s="40">
        <f t="shared" si="229"/>
        <v>8.84</v>
      </c>
      <c r="L909" s="41">
        <f t="shared" si="221"/>
        <v>28.84</v>
      </c>
      <c r="M909">
        <f t="shared" si="230"/>
        <v>0.82720376276420171</v>
      </c>
      <c r="N909">
        <f t="shared" si="231"/>
        <v>0.1727962372357959</v>
      </c>
      <c r="O909">
        <f t="shared" si="222"/>
        <v>0.12005498577027275</v>
      </c>
      <c r="P909">
        <f t="shared" si="223"/>
        <v>0.5</v>
      </c>
      <c r="Q909">
        <f t="shared" si="232"/>
        <v>-1.2911817349874358E-2</v>
      </c>
      <c r="R909" s="6">
        <f t="shared" si="233"/>
        <v>1.2911817349874358E-2</v>
      </c>
      <c r="S909" s="18">
        <f t="shared" si="234"/>
        <v>0.99999999999999756</v>
      </c>
      <c r="T909" s="15"/>
      <c r="U909" s="15"/>
      <c r="V909" s="40">
        <f t="shared" si="235"/>
        <v>1.1599999999999999</v>
      </c>
      <c r="W909" s="41">
        <f t="shared" si="224"/>
        <v>21.16</v>
      </c>
      <c r="X909">
        <f t="shared" si="236"/>
        <v>2.0822966071476868E-2</v>
      </c>
      <c r="Y909">
        <f t="shared" si="237"/>
        <v>1.8241005515563269</v>
      </c>
      <c r="Z909" s="33">
        <f t="shared" si="225"/>
        <v>6.1936219973491177E-2</v>
      </c>
      <c r="AA909" s="33">
        <f t="shared" si="226"/>
        <v>0.5</v>
      </c>
      <c r="AB909">
        <f t="shared" si="227"/>
        <v>1.3732144793065795E-2</v>
      </c>
      <c r="AC909" s="1">
        <f t="shared" si="228"/>
        <v>-7.1561796797586785E-3</v>
      </c>
      <c r="AD909" s="35">
        <f>IF(W909&gt;=FinalAgeForPremium, AE909*Delta-Z909*(Y909-AE909),AE909*Delta+PremiumRevisedForLimitedTerm-Z909*(Y909-AE909))</f>
        <v>2.4298144660761162E-2</v>
      </c>
      <c r="AE909" s="35">
        <f>AE908-StepSize*AD908</f>
        <v>-9.6196905593305317E-3</v>
      </c>
      <c r="AF909" s="1"/>
    </row>
    <row r="910" spans="11:32" x14ac:dyDescent="0.45">
      <c r="K910" s="40">
        <f t="shared" si="229"/>
        <v>8.85</v>
      </c>
      <c r="L910" s="41">
        <f t="shared" si="221"/>
        <v>28.85</v>
      </c>
      <c r="M910">
        <f t="shared" si="230"/>
        <v>0.82707464459070301</v>
      </c>
      <c r="N910">
        <f t="shared" si="231"/>
        <v>0.17292535540929466</v>
      </c>
      <c r="O910">
        <f t="shared" si="222"/>
        <v>0.12015849098403068</v>
      </c>
      <c r="P910">
        <f t="shared" si="223"/>
        <v>0.5</v>
      </c>
      <c r="Q910">
        <f t="shared" si="232"/>
        <v>-1.2917363520525041E-2</v>
      </c>
      <c r="R910" s="6">
        <f t="shared" si="233"/>
        <v>1.2917363520525041E-2</v>
      </c>
      <c r="S910" s="18">
        <f t="shared" si="234"/>
        <v>0.99999999999999767</v>
      </c>
      <c r="T910" s="15"/>
      <c r="U910" s="15"/>
      <c r="V910" s="40">
        <f t="shared" si="235"/>
        <v>1.1499999999999999</v>
      </c>
      <c r="W910" s="41">
        <f t="shared" si="224"/>
        <v>21.15</v>
      </c>
      <c r="X910">
        <f t="shared" si="236"/>
        <v>2.0685644623546211E-2</v>
      </c>
      <c r="Y910">
        <f t="shared" si="237"/>
        <v>1.8241721133531246</v>
      </c>
      <c r="Z910" s="33">
        <f t="shared" si="225"/>
        <v>6.1882867758136138E-2</v>
      </c>
      <c r="AA910" s="33">
        <f t="shared" si="226"/>
        <v>0.5</v>
      </c>
      <c r="AB910">
        <f t="shared" si="227"/>
        <v>1.3808561280544543E-2</v>
      </c>
      <c r="AC910" s="1">
        <f t="shared" si="228"/>
        <v>-7.0481599675545903E-3</v>
      </c>
      <c r="AD910" s="35">
        <f>IF(W910&gt;=FinalAgeForPremium, AE910*Delta-Z910*(Y910-AE910),AE910*Delta+PremiumRevisedForLimitedTerm-Z910*(Y910-AE910))</f>
        <v>2.4364363787753168E-2</v>
      </c>
      <c r="AE910" s="35">
        <f>AE909-StepSize*AD909</f>
        <v>-9.8626720059381435E-3</v>
      </c>
      <c r="AF910" s="1"/>
    </row>
    <row r="911" spans="11:32" x14ac:dyDescent="0.45">
      <c r="K911" s="40">
        <f t="shared" si="229"/>
        <v>8.86</v>
      </c>
      <c r="L911" s="41">
        <f t="shared" si="221"/>
        <v>28.86</v>
      </c>
      <c r="M911">
        <f t="shared" si="230"/>
        <v>0.82694547095549775</v>
      </c>
      <c r="N911">
        <f t="shared" si="231"/>
        <v>0.17305452904449992</v>
      </c>
      <c r="O911">
        <f t="shared" si="222"/>
        <v>0.12026208543464291</v>
      </c>
      <c r="P911">
        <f t="shared" si="223"/>
        <v>0.5</v>
      </c>
      <c r="Q911">
        <f t="shared" si="232"/>
        <v>-1.2922922355591129E-2</v>
      </c>
      <c r="R911" s="6">
        <f t="shared" si="233"/>
        <v>1.2922922355591129E-2</v>
      </c>
      <c r="S911" s="18">
        <f t="shared" si="234"/>
        <v>0.99999999999999767</v>
      </c>
      <c r="T911" s="15"/>
      <c r="U911" s="15"/>
      <c r="V911" s="40">
        <f t="shared" si="235"/>
        <v>1.1399999999999999</v>
      </c>
      <c r="W911" s="41">
        <f t="shared" si="224"/>
        <v>21.14</v>
      </c>
      <c r="X911">
        <f t="shared" si="236"/>
        <v>2.0547559010740766E-2</v>
      </c>
      <c r="Y911">
        <f t="shared" si="237"/>
        <v>1.8242425949528001</v>
      </c>
      <c r="Z911" s="33">
        <f t="shared" si="225"/>
        <v>6.1829561500685644E-2</v>
      </c>
      <c r="AA911" s="33">
        <f t="shared" si="226"/>
        <v>0.5</v>
      </c>
      <c r="AB911">
        <f t="shared" si="227"/>
        <v>1.3884898494623751E-2</v>
      </c>
      <c r="AC911" s="1">
        <f t="shared" si="228"/>
        <v>-6.9403522813302754E-3</v>
      </c>
      <c r="AD911" s="35">
        <f>IF(W911&gt;=FinalAgeForPremium, AE911*Delta-Z911*(Y911-AE911),AE911*Delta+PremiumRevisedForLimitedTerm-Z911*(Y911-AE911))</f>
        <v>2.4430524910606585E-2</v>
      </c>
      <c r="AE911" s="35">
        <f>AE910-StepSize*AD910</f>
        <v>-1.0106315643815676E-2</v>
      </c>
      <c r="AF911" s="1"/>
    </row>
    <row r="912" spans="11:32" x14ac:dyDescent="0.45">
      <c r="K912" s="40">
        <f t="shared" si="229"/>
        <v>8.8699999999999992</v>
      </c>
      <c r="L912" s="41">
        <f t="shared" si="221"/>
        <v>28.869999999999997</v>
      </c>
      <c r="M912">
        <f t="shared" si="230"/>
        <v>0.82681624173194179</v>
      </c>
      <c r="N912">
        <f t="shared" si="231"/>
        <v>0.17318375826805582</v>
      </c>
      <c r="O912">
        <f t="shared" si="222"/>
        <v>0.12036576919904489</v>
      </c>
      <c r="P912">
        <f t="shared" si="223"/>
        <v>0.5</v>
      </c>
      <c r="Q912">
        <f t="shared" si="232"/>
        <v>-1.2928493788300702E-2</v>
      </c>
      <c r="R912" s="6">
        <f t="shared" si="233"/>
        <v>1.2928493788300702E-2</v>
      </c>
      <c r="S912" s="18">
        <f t="shared" si="234"/>
        <v>0.99999999999999756</v>
      </c>
      <c r="T912" s="15"/>
      <c r="U912" s="15"/>
      <c r="V912" s="40">
        <f t="shared" si="235"/>
        <v>1.1299999999999999</v>
      </c>
      <c r="W912" s="41">
        <f t="shared" si="224"/>
        <v>21.13</v>
      </c>
      <c r="X912">
        <f t="shared" si="236"/>
        <v>2.040871002579453E-2</v>
      </c>
      <c r="Y912">
        <f t="shared" si="237"/>
        <v>1.8243119984756133</v>
      </c>
      <c r="Z912" s="33">
        <f t="shared" si="225"/>
        <v>6.1776301161551229E-2</v>
      </c>
      <c r="AA912" s="33">
        <f t="shared" si="226"/>
        <v>0.5</v>
      </c>
      <c r="AB912">
        <f t="shared" si="227"/>
        <v>1.3961156385048773E-2</v>
      </c>
      <c r="AC912" s="1">
        <f t="shared" si="228"/>
        <v>-6.8327558513099351E-3</v>
      </c>
      <c r="AD912" s="35">
        <f>IF(W912&gt;=FinalAgeForPremium, AE912*Delta-Z912*(Y912-AE912),AE912*Delta+PremiumRevisedForLimitedTerm-Z912*(Y912-AE912))</f>
        <v>2.4496627925649397E-2</v>
      </c>
      <c r="AE912" s="35">
        <f>AE911-StepSize*AD911</f>
        <v>-1.0350620892921741E-2</v>
      </c>
      <c r="AF912" s="1"/>
    </row>
    <row r="913" spans="11:32" x14ac:dyDescent="0.45">
      <c r="K913" s="40">
        <f t="shared" si="229"/>
        <v>8.8800000000000008</v>
      </c>
      <c r="L913" s="41">
        <f t="shared" si="221"/>
        <v>28.880000000000003</v>
      </c>
      <c r="M913">
        <f t="shared" si="230"/>
        <v>0.82668695679405879</v>
      </c>
      <c r="N913">
        <f t="shared" si="231"/>
        <v>0.17331304320593882</v>
      </c>
      <c r="O913">
        <f t="shared" si="222"/>
        <v>0.12046954235423836</v>
      </c>
      <c r="P913">
        <f t="shared" si="223"/>
        <v>0.5</v>
      </c>
      <c r="Q913">
        <f t="shared" si="232"/>
        <v>-1.2934077752228879E-2</v>
      </c>
      <c r="R913" s="6">
        <f t="shared" si="233"/>
        <v>1.2934077752228879E-2</v>
      </c>
      <c r="S913" s="18">
        <f t="shared" si="234"/>
        <v>0.99999999999999756</v>
      </c>
      <c r="T913" s="15"/>
      <c r="U913" s="15"/>
      <c r="V913" s="40">
        <f t="shared" si="235"/>
        <v>1.1200000000000001</v>
      </c>
      <c r="W913" s="41">
        <f t="shared" si="224"/>
        <v>21.12</v>
      </c>
      <c r="X913">
        <f t="shared" si="236"/>
        <v>2.0269098461944041E-2</v>
      </c>
      <c r="Y913">
        <f t="shared" si="237"/>
        <v>1.8243803260341265</v>
      </c>
      <c r="Z913" s="33">
        <f t="shared" si="225"/>
        <v>6.1723086701178646E-2</v>
      </c>
      <c r="AA913" s="33">
        <f t="shared" si="226"/>
        <v>0.5</v>
      </c>
      <c r="AB913">
        <f t="shared" si="227"/>
        <v>1.4037334902437207E-2</v>
      </c>
      <c r="AC913" s="1">
        <f t="shared" si="228"/>
        <v>-6.7253699122024058E-3</v>
      </c>
      <c r="AD913" s="35">
        <f>IF(W913&gt;=FinalAgeForPremium, AE913*Delta-Z913*(Y913-AE913),AE913*Delta+PremiumRevisedForLimitedTerm-Z913*(Y913-AE913))</f>
        <v>2.4562672730230425E-2</v>
      </c>
      <c r="AE913" s="35">
        <f>AE912-StepSize*AD912</f>
        <v>-1.0595587172178235E-2</v>
      </c>
      <c r="AF913" s="1"/>
    </row>
    <row r="914" spans="11:32" x14ac:dyDescent="0.45">
      <c r="K914" s="40">
        <f t="shared" si="229"/>
        <v>8.89</v>
      </c>
      <c r="L914" s="41">
        <f t="shared" si="221"/>
        <v>28.89</v>
      </c>
      <c r="M914">
        <f t="shared" si="230"/>
        <v>0.82655761601653654</v>
      </c>
      <c r="N914">
        <f t="shared" si="231"/>
        <v>0.17344238398346112</v>
      </c>
      <c r="O914">
        <f t="shared" si="222"/>
        <v>0.1205734049772914</v>
      </c>
      <c r="P914">
        <f t="shared" si="223"/>
        <v>0.5</v>
      </c>
      <c r="Q914">
        <f t="shared" si="232"/>
        <v>-1.293967418129581E-2</v>
      </c>
      <c r="R914" s="6">
        <f t="shared" si="233"/>
        <v>1.293967418129581E-2</v>
      </c>
      <c r="S914" s="18">
        <f t="shared" si="234"/>
        <v>0.99999999999999767</v>
      </c>
      <c r="T914" s="15"/>
      <c r="U914" s="15"/>
      <c r="V914" s="40">
        <f t="shared" si="235"/>
        <v>1.1100000000000001</v>
      </c>
      <c r="W914" s="41">
        <f t="shared" si="224"/>
        <v>21.11</v>
      </c>
      <c r="X914">
        <f t="shared" si="236"/>
        <v>2.012872511291967E-2</v>
      </c>
      <c r="Y914">
        <f t="shared" si="237"/>
        <v>1.8244475797332484</v>
      </c>
      <c r="Z914" s="33">
        <f t="shared" si="225"/>
        <v>6.1669918080047625E-2</v>
      </c>
      <c r="AA914" s="33">
        <f t="shared" si="226"/>
        <v>0.5</v>
      </c>
      <c r="AB914">
        <f t="shared" si="227"/>
        <v>1.4113433998272612E-2</v>
      </c>
      <c r="AC914" s="1">
        <f t="shared" si="228"/>
        <v>-6.6181937031731808E-3</v>
      </c>
      <c r="AD914" s="35">
        <f>IF(W914&gt;=FinalAgeForPremium, AE914*Delta-Z914*(Y914-AE914),AE914*Delta+PremiumRevisedForLimitedTerm-Z914*(Y914-AE914))</f>
        <v>2.4628659222712679E-2</v>
      </c>
      <c r="AE914" s="35">
        <f>AE913-StepSize*AD913</f>
        <v>-1.0841213899480539E-2</v>
      </c>
      <c r="AF914" s="1"/>
    </row>
    <row r="915" spans="11:32" x14ac:dyDescent="0.45">
      <c r="K915" s="40">
        <f t="shared" si="229"/>
        <v>8.9</v>
      </c>
      <c r="L915" s="41">
        <f t="shared" si="221"/>
        <v>28.9</v>
      </c>
      <c r="M915">
        <f t="shared" si="230"/>
        <v>0.82642821927472354</v>
      </c>
      <c r="N915">
        <f t="shared" si="231"/>
        <v>0.17357178072527407</v>
      </c>
      <c r="O915">
        <f t="shared" si="222"/>
        <v>0.12067735714533859</v>
      </c>
      <c r="P915">
        <f t="shared" si="223"/>
        <v>0.5</v>
      </c>
      <c r="Q915">
        <f t="shared" si="232"/>
        <v>-1.2945283009764968E-2</v>
      </c>
      <c r="R915" s="6">
        <f t="shared" si="233"/>
        <v>1.2945283009764968E-2</v>
      </c>
      <c r="S915" s="18">
        <f t="shared" si="234"/>
        <v>0.99999999999999756</v>
      </c>
      <c r="T915" s="15"/>
      <c r="U915" s="15"/>
      <c r="V915" s="40">
        <f t="shared" si="235"/>
        <v>1.1000000000000001</v>
      </c>
      <c r="W915" s="41">
        <f t="shared" si="224"/>
        <v>21.1</v>
      </c>
      <c r="X915">
        <f t="shared" si="236"/>
        <v>1.9987590772936943E-2</v>
      </c>
      <c r="Y915">
        <f t="shared" si="237"/>
        <v>1.8245137616702802</v>
      </c>
      <c r="Z915" s="33">
        <f t="shared" si="225"/>
        <v>6.1616795258672002E-2</v>
      </c>
      <c r="AA915" s="33">
        <f t="shared" si="226"/>
        <v>0.5</v>
      </c>
      <c r="AB915">
        <f t="shared" si="227"/>
        <v>1.4189453624897555E-2</v>
      </c>
      <c r="AC915" s="1">
        <f t="shared" si="228"/>
        <v>-6.5112264678143239E-3</v>
      </c>
      <c r="AD915" s="35">
        <f>IF(W915&gt;=FinalAgeForPremium, AE915*Delta-Z915*(Y915-AE915),AE915*Delta+PremiumRevisedForLimitedTerm-Z915*(Y915-AE915))</f>
        <v>2.4694587302466028E-2</v>
      </c>
      <c r="AE915" s="35">
        <f>AE914-StepSize*AD914</f>
        <v>-1.1087500491707666E-2</v>
      </c>
      <c r="AF915" s="1"/>
    </row>
    <row r="916" spans="11:32" x14ac:dyDescent="0.45">
      <c r="K916" s="40">
        <f t="shared" si="229"/>
        <v>8.91</v>
      </c>
      <c r="L916" s="41">
        <f t="shared" si="221"/>
        <v>28.91</v>
      </c>
      <c r="M916">
        <f t="shared" si="230"/>
        <v>0.82629876644462585</v>
      </c>
      <c r="N916">
        <f t="shared" si="231"/>
        <v>0.17370123355537173</v>
      </c>
      <c r="O916">
        <f t="shared" si="222"/>
        <v>0.12078139893558108</v>
      </c>
      <c r="P916">
        <f t="shared" si="223"/>
        <v>0.5</v>
      </c>
      <c r="Q916">
        <f t="shared" si="232"/>
        <v>-1.2950904172241026E-2</v>
      </c>
      <c r="R916" s="6">
        <f t="shared" si="233"/>
        <v>1.2950904172241026E-2</v>
      </c>
      <c r="S916" s="18">
        <f t="shared" si="234"/>
        <v>0.99999999999999756</v>
      </c>
      <c r="T916" s="15"/>
      <c r="U916" s="15"/>
      <c r="V916" s="40">
        <f t="shared" si="235"/>
        <v>1.0900000000000001</v>
      </c>
      <c r="W916" s="41">
        <f t="shared" si="224"/>
        <v>21.09</v>
      </c>
      <c r="X916">
        <f t="shared" si="236"/>
        <v>1.9845696236687967E-2</v>
      </c>
      <c r="Y916">
        <f t="shared" si="237"/>
        <v>1.8245788739349584</v>
      </c>
      <c r="Z916" s="33">
        <f t="shared" si="225"/>
        <v>6.1563718197599579E-2</v>
      </c>
      <c r="AA916" s="33">
        <f t="shared" si="226"/>
        <v>0.5</v>
      </c>
      <c r="AB916">
        <f t="shared" si="227"/>
        <v>1.4265393735507337E-2</v>
      </c>
      <c r="AC916" s="1">
        <f t="shared" si="228"/>
        <v>-6.4044674541168245E-3</v>
      </c>
      <c r="AD916" s="35">
        <f>IF(W916&gt;=FinalAgeForPremium, AE916*Delta-Z916*(Y916-AE916),AE916*Delta+PremiumRevisedForLimitedTerm-Z916*(Y916-AE916))</f>
        <v>2.4760456869860392E-2</v>
      </c>
      <c r="AE916" s="35">
        <f>AE915-StepSize*AD915</f>
        <v>-1.1334446364732326E-2</v>
      </c>
      <c r="AF916" s="1"/>
    </row>
    <row r="917" spans="11:32" x14ac:dyDescent="0.45">
      <c r="K917" s="40">
        <f t="shared" si="229"/>
        <v>8.92</v>
      </c>
      <c r="L917" s="41">
        <f t="shared" si="221"/>
        <v>28.92</v>
      </c>
      <c r="M917">
        <f t="shared" si="230"/>
        <v>0.82616925740290348</v>
      </c>
      <c r="N917">
        <f t="shared" si="231"/>
        <v>0.17383074259709413</v>
      </c>
      <c r="O917">
        <f t="shared" si="222"/>
        <v>0.12088553042528639</v>
      </c>
      <c r="P917">
        <f t="shared" si="223"/>
        <v>0.5</v>
      </c>
      <c r="Q917">
        <f t="shared" si="232"/>
        <v>-1.2956537603667884E-2</v>
      </c>
      <c r="R917" s="6">
        <f t="shared" si="233"/>
        <v>1.2956537603667884E-2</v>
      </c>
      <c r="S917" s="18">
        <f t="shared" si="234"/>
        <v>0.99999999999999756</v>
      </c>
      <c r="T917" s="15"/>
      <c r="U917" s="15"/>
      <c r="V917" s="40">
        <f t="shared" si="235"/>
        <v>1.08</v>
      </c>
      <c r="W917" s="41">
        <f t="shared" si="224"/>
        <v>21.08</v>
      </c>
      <c r="X917">
        <f t="shared" si="236"/>
        <v>1.9703042299332892E-2</v>
      </c>
      <c r="Y917">
        <f t="shared" si="237"/>
        <v>1.8246429186094997</v>
      </c>
      <c r="Z917" s="33">
        <f t="shared" si="225"/>
        <v>6.1510686857412199E-2</v>
      </c>
      <c r="AA917" s="33">
        <f t="shared" si="226"/>
        <v>0.5</v>
      </c>
      <c r="AB917">
        <f t="shared" si="227"/>
        <v>1.4341254284143345E-2</v>
      </c>
      <c r="AC917" s="1">
        <f t="shared" si="228"/>
        <v>-6.2979159144416208E-3</v>
      </c>
      <c r="AD917" s="35">
        <f>IF(W917&gt;=FinalAgeForPremium, AE917*Delta-Z917*(Y917-AE917),AE917*Delta+PremiumRevisedForLimitedTerm-Z917*(Y917-AE917))</f>
        <v>2.4826267826258547E-2</v>
      </c>
      <c r="AE917" s="35">
        <f>AE916-StepSize*AD916</f>
        <v>-1.158205093343093E-2</v>
      </c>
      <c r="AF917" s="1"/>
    </row>
    <row r="918" spans="11:32" x14ac:dyDescent="0.45">
      <c r="K918" s="40">
        <f t="shared" si="229"/>
        <v>8.93</v>
      </c>
      <c r="L918" s="41">
        <f t="shared" si="221"/>
        <v>28.93</v>
      </c>
      <c r="M918">
        <f t="shared" si="230"/>
        <v>0.82603969202686678</v>
      </c>
      <c r="N918">
        <f t="shared" si="231"/>
        <v>0.17396030797313081</v>
      </c>
      <c r="O918">
        <f t="shared" si="222"/>
        <v>0.12098975169178883</v>
      </c>
      <c r="P918">
        <f t="shared" si="223"/>
        <v>0.5</v>
      </c>
      <c r="Q918">
        <f t="shared" si="232"/>
        <v>-1.2962183239326922E-2</v>
      </c>
      <c r="R918" s="6">
        <f t="shared" si="233"/>
        <v>1.2962183239326922E-2</v>
      </c>
      <c r="S918" s="18">
        <f t="shared" si="234"/>
        <v>0.99999999999999756</v>
      </c>
      <c r="T918" s="15"/>
      <c r="U918" s="15"/>
      <c r="V918" s="40">
        <f t="shared" si="235"/>
        <v>1.07</v>
      </c>
      <c r="W918" s="41">
        <f t="shared" si="224"/>
        <v>21.07</v>
      </c>
      <c r="X918">
        <f t="shared" si="236"/>
        <v>1.9559629756491458E-2</v>
      </c>
      <c r="Y918">
        <f t="shared" si="237"/>
        <v>1.8247058977686441</v>
      </c>
      <c r="Z918" s="33">
        <f t="shared" si="225"/>
        <v>6.145770119872563E-2</v>
      </c>
      <c r="AA918" s="33">
        <f t="shared" si="226"/>
        <v>0.5</v>
      </c>
      <c r="AB918">
        <f t="shared" si="227"/>
        <v>1.4417035225686659E-2</v>
      </c>
      <c r="AC918" s="1">
        <f t="shared" si="228"/>
        <v>-6.1915711054915112E-3</v>
      </c>
      <c r="AD918" s="35">
        <f>IF(W918&gt;=FinalAgeForPremium, AE918*Delta-Z918*(Y918-AE918),AE918*Delta+PremiumRevisedForLimitedTerm-Z918*(Y918-AE918))</f>
        <v>2.4892020074009452E-2</v>
      </c>
      <c r="AE918" s="35">
        <f>AE917-StepSize*AD917</f>
        <v>-1.1830313611693516E-2</v>
      </c>
      <c r="AF918" s="1"/>
    </row>
    <row r="919" spans="11:32" x14ac:dyDescent="0.45">
      <c r="K919" s="40">
        <f t="shared" si="229"/>
        <v>8.94</v>
      </c>
      <c r="L919" s="41">
        <f t="shared" si="221"/>
        <v>28.939999999999998</v>
      </c>
      <c r="M919">
        <f t="shared" si="230"/>
        <v>0.82591007019447349</v>
      </c>
      <c r="N919">
        <f t="shared" si="231"/>
        <v>0.17408992980552407</v>
      </c>
      <c r="O919">
        <f t="shared" si="222"/>
        <v>0.1210940628124893</v>
      </c>
      <c r="P919">
        <f t="shared" si="223"/>
        <v>0.5</v>
      </c>
      <c r="Q919">
        <f t="shared" si="232"/>
        <v>-1.2967841014834988E-2</v>
      </c>
      <c r="R919" s="6">
        <f t="shared" si="233"/>
        <v>1.2967841014834988E-2</v>
      </c>
      <c r="S919" s="18">
        <f t="shared" si="234"/>
        <v>0.99999999999999756</v>
      </c>
      <c r="T919" s="15"/>
      <c r="U919" s="15"/>
      <c r="V919" s="40">
        <f t="shared" si="235"/>
        <v>1.06</v>
      </c>
      <c r="W919" s="41">
        <f t="shared" si="224"/>
        <v>21.06</v>
      </c>
      <c r="X919">
        <f t="shared" si="236"/>
        <v>1.9415459404234593E-2</v>
      </c>
      <c r="Y919">
        <f t="shared" si="237"/>
        <v>1.824767813479699</v>
      </c>
      <c r="Z919" s="33">
        <f t="shared" si="225"/>
        <v>6.1404761182189536E-2</v>
      </c>
      <c r="AA919" s="33">
        <f t="shared" si="226"/>
        <v>0.5</v>
      </c>
      <c r="AB919">
        <f t="shared" si="227"/>
        <v>1.4492736515851826E-2</v>
      </c>
      <c r="AC919" s="1">
        <f t="shared" si="228"/>
        <v>-6.0854322882828438E-3</v>
      </c>
      <c r="AD919" s="35">
        <f>IF(W919&gt;=FinalAgeForPremium, AE919*Delta-Z919*(Y919-AE919),AE919*Delta+PremiumRevisedForLimitedTerm-Z919*(Y919-AE919))</f>
        <v>2.4957713516441452E-2</v>
      </c>
      <c r="AE919" s="35">
        <f>AE918-StepSize*AD918</f>
        <v>-1.207923381243361E-2</v>
      </c>
      <c r="AF919" s="1"/>
    </row>
    <row r="920" spans="11:32" x14ac:dyDescent="0.45">
      <c r="K920" s="40">
        <f t="shared" si="229"/>
        <v>8.9499999999999993</v>
      </c>
      <c r="L920" s="41">
        <f t="shared" si="221"/>
        <v>28.95</v>
      </c>
      <c r="M920">
        <f t="shared" si="230"/>
        <v>0.82578039178432516</v>
      </c>
      <c r="N920">
        <f t="shared" si="231"/>
        <v>0.17421960821567242</v>
      </c>
      <c r="O920">
        <f t="shared" si="222"/>
        <v>0.12119846386485547</v>
      </c>
      <c r="P920">
        <f t="shared" si="223"/>
        <v>0.5</v>
      </c>
      <c r="Q920">
        <f t="shared" si="232"/>
        <v>-1.2973510866142512E-2</v>
      </c>
      <c r="R920" s="6">
        <f t="shared" si="233"/>
        <v>1.2973510866142512E-2</v>
      </c>
      <c r="S920" s="18">
        <f t="shared" si="234"/>
        <v>0.99999999999999756</v>
      </c>
      <c r="T920" s="15"/>
      <c r="U920" s="15"/>
      <c r="V920" s="40">
        <f t="shared" si="235"/>
        <v>1.05</v>
      </c>
      <c r="W920" s="41">
        <f t="shared" si="224"/>
        <v>21.05</v>
      </c>
      <c r="X920">
        <f t="shared" si="236"/>
        <v>1.9270532039076076E-2</v>
      </c>
      <c r="Y920">
        <f t="shared" si="237"/>
        <v>1.8248286678025818</v>
      </c>
      <c r="Z920" s="33">
        <f t="shared" si="225"/>
        <v>6.1351866768487542E-2</v>
      </c>
      <c r="AA920" s="33">
        <f t="shared" si="226"/>
        <v>0.5</v>
      </c>
      <c r="AB920">
        <f t="shared" si="227"/>
        <v>1.456835811118011E-2</v>
      </c>
      <c r="AC920" s="1">
        <f t="shared" si="228"/>
        <v>-5.9794987281179823E-3</v>
      </c>
      <c r="AD920" s="35">
        <f>IF(W920&gt;=FinalAgeForPremium, AE920*Delta-Z920*(Y920-AE920),AE920*Delta+PremiumRevisedForLimitedTerm-Z920*(Y920-AE920))</f>
        <v>2.502334805785511E-2</v>
      </c>
      <c r="AE920" s="35">
        <f>AE919-StepSize*AD919</f>
        <v>-1.2328810947598025E-2</v>
      </c>
      <c r="AF920" s="1"/>
    </row>
    <row r="921" spans="11:32" x14ac:dyDescent="0.45">
      <c r="K921" s="40">
        <f t="shared" si="229"/>
        <v>8.9600000000000009</v>
      </c>
      <c r="L921" s="41">
        <f t="shared" ref="L921:L984" si="238">$L$5+K921</f>
        <v>28.96</v>
      </c>
      <c r="M921">
        <f t="shared" si="230"/>
        <v>0.82565065667566373</v>
      </c>
      <c r="N921">
        <f t="shared" si="231"/>
        <v>0.17434934332433386</v>
      </c>
      <c r="O921">
        <f t="shared" ref="O921:O984" si="239">mu01Parameter_B*mu01Parameter_c^L921</f>
        <v>0.12130295492642183</v>
      </c>
      <c r="P921">
        <f t="shared" ref="P921:P984" si="240">mu10Constant</f>
        <v>0.5</v>
      </c>
      <c r="Q921">
        <f t="shared" si="232"/>
        <v>-1.2979192729531699E-2</v>
      </c>
      <c r="R921" s="6">
        <f t="shared" si="233"/>
        <v>1.2979192729531699E-2</v>
      </c>
      <c r="S921" s="18">
        <f t="shared" si="234"/>
        <v>0.99999999999999756</v>
      </c>
      <c r="T921" s="15"/>
      <c r="U921" s="15"/>
      <c r="V921" s="40">
        <f t="shared" si="235"/>
        <v>1.04</v>
      </c>
      <c r="W921" s="41">
        <f t="shared" ref="W921:W984" si="241">$L$5+V921</f>
        <v>21.04</v>
      </c>
      <c r="X921">
        <f t="shared" si="236"/>
        <v>1.9124848457964274E-2</v>
      </c>
      <c r="Y921">
        <f t="shared" si="237"/>
        <v>1.8248884627898629</v>
      </c>
      <c r="Z921" s="33">
        <f t="shared" ref="Z921:Z984" si="242">mu01Parameter_B*mu01Parameter_c^W921</f>
        <v>6.1299017918337077E-2</v>
      </c>
      <c r="AA921" s="33">
        <f t="shared" ref="AA921:AA984" si="243">mu10Constant</f>
        <v>0.5</v>
      </c>
      <c r="AB921">
        <f t="shared" ref="AB921:AB984" si="244">X921*Delta+Premium-Z921*(Y921-X921)</f>
        <v>1.4643899969033716E-2</v>
      </c>
      <c r="AC921" s="1">
        <f t="shared" ref="AC921:AC984" si="245">Y921*Delta-AnnuityWhileSIck-AA921*(X921-Y921)</f>
        <v>-5.8737696945575513E-3</v>
      </c>
      <c r="AD921" s="35">
        <f>IF(W921&gt;=FinalAgeForPremium, AE921*Delta-Z921*(Y921-AE921),AE921*Delta+PremiumRevisedForLimitedTerm-Z921*(Y921-AE921))</f>
        <v>2.5088923603516944E-2</v>
      </c>
      <c r="AE921" s="35">
        <f>AE920-StepSize*AD920</f>
        <v>-1.2579044428176577E-2</v>
      </c>
      <c r="AF921" s="1"/>
    </row>
    <row r="922" spans="11:32" x14ac:dyDescent="0.45">
      <c r="K922" s="40">
        <f t="shared" ref="K922:K985" si="246">ROUND(K921+StepSize,2)</f>
        <v>8.9700000000000006</v>
      </c>
      <c r="L922" s="41">
        <f t="shared" si="238"/>
        <v>28.97</v>
      </c>
      <c r="M922">
        <f t="shared" ref="M922:M985" si="247">M921+StepSize*Q921</f>
        <v>0.82552086474836839</v>
      </c>
      <c r="N922">
        <f t="shared" ref="N922:N985" si="248">N921+StepSize*R921</f>
        <v>0.17447913525162917</v>
      </c>
      <c r="O922">
        <f t="shared" si="239"/>
        <v>0.12140753607478956</v>
      </c>
      <c r="P922">
        <f t="shared" si="240"/>
        <v>0.5</v>
      </c>
      <c r="Q922">
        <f t="shared" ref="Q922:Q985" si="249">N922*P922-M922*O922</f>
        <v>-1.2984886541614421E-2</v>
      </c>
      <c r="R922" s="6">
        <f t="shared" ref="R922:R985" si="250">M922*O922-N922*P922</f>
        <v>1.2984886541614421E-2</v>
      </c>
      <c r="S922" s="18">
        <f t="shared" ref="S922:S985" si="251">M922+N922</f>
        <v>0.99999999999999756</v>
      </c>
      <c r="T922" s="15"/>
      <c r="U922" s="15"/>
      <c r="V922" s="40">
        <f t="shared" ref="V922:V985" si="252">ROUND(V921-StepSize,2)</f>
        <v>1.03</v>
      </c>
      <c r="W922" s="41">
        <f t="shared" si="241"/>
        <v>21.03</v>
      </c>
      <c r="X922">
        <f t="shared" ref="X922:X985" si="253">X921-StepSize*AB921</f>
        <v>1.8978409458273938E-2</v>
      </c>
      <c r="Y922">
        <f t="shared" ref="Y922:Y985" si="254">Y921-StepSize*AC921</f>
        <v>1.8249472004868086</v>
      </c>
      <c r="Z922" s="33">
        <f t="shared" si="242"/>
        <v>6.1246214592489454E-2</v>
      </c>
      <c r="AA922" s="33">
        <f t="shared" si="243"/>
        <v>0.5</v>
      </c>
      <c r="AB922">
        <f t="shared" si="244"/>
        <v>1.4719362047588974E-2</v>
      </c>
      <c r="AC922" s="1">
        <f t="shared" si="245"/>
        <v>-5.7682444613922357E-3</v>
      </c>
      <c r="AD922" s="35">
        <f>IF(W922&gt;=FinalAgeForPremium, AE922*Delta-Z922*(Y922-AE922),AE922*Delta+PremiumRevisedForLimitedTerm-Z922*(Y922-AE922))</f>
        <v>2.5154440059652283E-2</v>
      </c>
      <c r="AE922" s="35">
        <f>AE921-StepSize*AD921</f>
        <v>-1.2829933664211746E-2</v>
      </c>
      <c r="AF922" s="1"/>
    </row>
    <row r="923" spans="11:32" x14ac:dyDescent="0.45">
      <c r="K923" s="40">
        <f t="shared" si="246"/>
        <v>8.98</v>
      </c>
      <c r="L923" s="41">
        <f t="shared" si="238"/>
        <v>28.98</v>
      </c>
      <c r="M923">
        <f t="shared" si="247"/>
        <v>0.82539101588295227</v>
      </c>
      <c r="N923">
        <f t="shared" si="248"/>
        <v>0.17460898411704531</v>
      </c>
      <c r="O923">
        <f t="shared" si="239"/>
        <v>0.12151220738762691</v>
      </c>
      <c r="P923">
        <f t="shared" si="240"/>
        <v>0.5</v>
      </c>
      <c r="Q923">
        <f t="shared" si="249"/>
        <v>-1.2990592239330703E-2</v>
      </c>
      <c r="R923" s="6">
        <f t="shared" si="250"/>
        <v>1.2990592239330703E-2</v>
      </c>
      <c r="S923" s="18">
        <f t="shared" si="251"/>
        <v>0.99999999999999756</v>
      </c>
      <c r="T923" s="15"/>
      <c r="U923" s="15"/>
      <c r="V923" s="40">
        <f t="shared" si="252"/>
        <v>1.02</v>
      </c>
      <c r="W923" s="41">
        <f t="shared" si="241"/>
        <v>21.02</v>
      </c>
      <c r="X923">
        <f t="shared" si="253"/>
        <v>1.8831215837798048E-2</v>
      </c>
      <c r="Y923">
        <f t="shared" si="254"/>
        <v>1.8250048829314225</v>
      </c>
      <c r="Z923" s="33">
        <f t="shared" si="242"/>
        <v>6.1193456751729755E-2</v>
      </c>
      <c r="AA923" s="33">
        <f t="shared" si="243"/>
        <v>0.5</v>
      </c>
      <c r="AB923">
        <f t="shared" si="244"/>
        <v>1.4794744305830734E-2</v>
      </c>
      <c r="AC923" s="1">
        <f t="shared" si="245"/>
        <v>-5.6629223066166912E-3</v>
      </c>
      <c r="AD923" s="35">
        <f>IF(W923&gt;=FinalAgeForPremium, AE923*Delta-Z923*(Y923-AE923),AE923*Delta+PremiumRevisedForLimitedTerm-Z923*(Y923-AE923))</f>
        <v>2.5219897333438962E-2</v>
      </c>
      <c r="AE923" s="35">
        <f>AE922-StepSize*AD922</f>
        <v>-1.3081478064808269E-2</v>
      </c>
      <c r="AF923" s="1"/>
    </row>
    <row r="924" spans="11:32" x14ac:dyDescent="0.45">
      <c r="K924" s="40">
        <f t="shared" si="246"/>
        <v>8.99</v>
      </c>
      <c r="L924" s="41">
        <f t="shared" si="238"/>
        <v>28.990000000000002</v>
      </c>
      <c r="M924">
        <f t="shared" si="247"/>
        <v>0.82526110996055901</v>
      </c>
      <c r="N924">
        <f t="shared" si="248"/>
        <v>0.17473889003943863</v>
      </c>
      <c r="O924">
        <f t="shared" si="239"/>
        <v>0.12161696894266909</v>
      </c>
      <c r="P924">
        <f t="shared" si="240"/>
        <v>0.5</v>
      </c>
      <c r="Q924">
        <f t="shared" si="249"/>
        <v>-1.2996309759946617E-2</v>
      </c>
      <c r="R924" s="6">
        <f t="shared" si="250"/>
        <v>1.2996309759946617E-2</v>
      </c>
      <c r="S924" s="18">
        <f t="shared" si="251"/>
        <v>0.99999999999999767</v>
      </c>
      <c r="T924" s="15"/>
      <c r="U924" s="15"/>
      <c r="V924" s="40">
        <f t="shared" si="252"/>
        <v>1.01</v>
      </c>
      <c r="W924" s="41">
        <f t="shared" si="241"/>
        <v>21.01</v>
      </c>
      <c r="X924">
        <f t="shared" si="253"/>
        <v>1.868326839473974E-2</v>
      </c>
      <c r="Y924">
        <f t="shared" si="254"/>
        <v>1.8250615121544886</v>
      </c>
      <c r="Z924" s="33">
        <f t="shared" si="242"/>
        <v>6.11407443568769E-2</v>
      </c>
      <c r="AA924" s="33">
        <f t="shared" si="243"/>
        <v>0.5</v>
      </c>
      <c r="AB924">
        <f t="shared" si="244"/>
        <v>1.4870046703545595E-2</v>
      </c>
      <c r="AC924" s="1">
        <f t="shared" si="245"/>
        <v>-5.5578025124011221E-3</v>
      </c>
      <c r="AD924" s="35">
        <f>IF(W924&gt;=FinalAgeForPremium, AE924*Delta-Z924*(Y924-AE924),AE924*Delta+PremiumRevisedForLimitedTerm-Z924*(Y924-AE924))</f>
        <v>2.528529533300039E-2</v>
      </c>
      <c r="AE924" s="35">
        <f>AE923-StepSize*AD923</f>
        <v>-1.3333677038142658E-2</v>
      </c>
      <c r="AF924" s="1"/>
    </row>
    <row r="925" spans="11:32" x14ac:dyDescent="0.45">
      <c r="K925" s="40">
        <f t="shared" si="246"/>
        <v>9</v>
      </c>
      <c r="L925" s="41">
        <f t="shared" si="238"/>
        <v>29</v>
      </c>
      <c r="M925">
        <f t="shared" si="247"/>
        <v>0.82513114686295952</v>
      </c>
      <c r="N925">
        <f t="shared" si="248"/>
        <v>0.17486885313703809</v>
      </c>
      <c r="O925">
        <f t="shared" si="239"/>
        <v>0.12172182081771805</v>
      </c>
      <c r="P925">
        <f t="shared" si="240"/>
        <v>0.5</v>
      </c>
      <c r="Q925">
        <f t="shared" si="249"/>
        <v>-1.3002039041052307E-2</v>
      </c>
      <c r="R925" s="6">
        <f t="shared" si="250"/>
        <v>1.3002039041052307E-2</v>
      </c>
      <c r="S925" s="18">
        <f t="shared" si="251"/>
        <v>0.99999999999999756</v>
      </c>
      <c r="T925" s="15"/>
      <c r="U925" s="15"/>
      <c r="V925" s="40">
        <f t="shared" si="252"/>
        <v>1</v>
      </c>
      <c r="W925" s="41">
        <f t="shared" si="241"/>
        <v>21</v>
      </c>
      <c r="X925">
        <f t="shared" si="253"/>
        <v>1.8534567927704283E-2</v>
      </c>
      <c r="Y925">
        <f t="shared" si="254"/>
        <v>1.8251170901796125</v>
      </c>
      <c r="Z925" s="33">
        <f t="shared" si="242"/>
        <v>6.108807736878346E-2</v>
      </c>
      <c r="AA925" s="33">
        <f t="shared" si="243"/>
        <v>0.5</v>
      </c>
      <c r="AB925">
        <f t="shared" si="244"/>
        <v>1.4945269201316322E-2</v>
      </c>
      <c r="AC925" s="1">
        <f t="shared" si="245"/>
        <v>-5.4528843650651915E-3</v>
      </c>
      <c r="AD925" s="35">
        <f>IF(W925&gt;=FinalAgeForPremium, AE925*Delta-Z925*(Y925-AE925),AE925*Delta+PremiumRevisedForLimitedTerm-Z925*(Y925-AE925))</f>
        <v>2.5350633967399422E-2</v>
      </c>
      <c r="AE925" s="35">
        <f>AE924-StepSize*AD924</f>
        <v>-1.3586529991472661E-2</v>
      </c>
      <c r="AF925" s="1"/>
    </row>
    <row r="926" spans="11:32" x14ac:dyDescent="0.45">
      <c r="K926" s="40">
        <f t="shared" si="246"/>
        <v>9.01</v>
      </c>
      <c r="L926" s="41">
        <f t="shared" si="238"/>
        <v>29.009999999999998</v>
      </c>
      <c r="M926">
        <f t="shared" si="247"/>
        <v>0.82500112647254897</v>
      </c>
      <c r="N926">
        <f t="shared" si="248"/>
        <v>0.17499887352744861</v>
      </c>
      <c r="O926">
        <f t="shared" si="239"/>
        <v>0.1218267630906434</v>
      </c>
      <c r="P926">
        <f t="shared" si="240"/>
        <v>0.5</v>
      </c>
      <c r="Q926">
        <f t="shared" si="249"/>
        <v>-1.3007780020560855E-2</v>
      </c>
      <c r="R926" s="6">
        <f t="shared" si="250"/>
        <v>1.3007780020560855E-2</v>
      </c>
      <c r="S926" s="18">
        <f t="shared" si="251"/>
        <v>0.99999999999999756</v>
      </c>
      <c r="T926" s="15"/>
      <c r="U926" s="15"/>
      <c r="V926" s="40">
        <f t="shared" si="252"/>
        <v>0.99</v>
      </c>
      <c r="W926" s="41">
        <f t="shared" si="241"/>
        <v>20.99</v>
      </c>
      <c r="X926">
        <f t="shared" si="253"/>
        <v>1.838511523569112E-2</v>
      </c>
      <c r="Y926">
        <f t="shared" si="254"/>
        <v>1.8251716190232632</v>
      </c>
      <c r="Z926" s="33">
        <f t="shared" si="242"/>
        <v>6.1035455748335882E-2</v>
      </c>
      <c r="AA926" s="33">
        <f t="shared" si="243"/>
        <v>0.5</v>
      </c>
      <c r="AB926">
        <f t="shared" si="244"/>
        <v>1.5020411760515356E-2</v>
      </c>
      <c r="AC926" s="1">
        <f t="shared" si="245"/>
        <v>-5.3481671550508203E-3</v>
      </c>
      <c r="AD926" s="35">
        <f>IF(W926&gt;=FinalAgeForPremium, AE926*Delta-Z926*(Y926-AE926),AE926*Delta+PremiumRevisedForLimitedTerm-Z926*(Y926-AE926))</f>
        <v>2.5415913146631219E-2</v>
      </c>
      <c r="AE926" s="35">
        <f>AE925-StepSize*AD925</f>
        <v>-1.3840036331146655E-2</v>
      </c>
      <c r="AF926" s="1"/>
    </row>
    <row r="927" spans="11:32" x14ac:dyDescent="0.45">
      <c r="K927" s="40">
        <f t="shared" si="246"/>
        <v>9.02</v>
      </c>
      <c r="L927" s="41">
        <f t="shared" si="238"/>
        <v>29.02</v>
      </c>
      <c r="M927">
        <f t="shared" si="247"/>
        <v>0.8248710486723434</v>
      </c>
      <c r="N927">
        <f t="shared" si="248"/>
        <v>0.17512895132765421</v>
      </c>
      <c r="O927">
        <f t="shared" si="239"/>
        <v>0.12193179583938124</v>
      </c>
      <c r="P927">
        <f t="shared" si="240"/>
        <v>0.5</v>
      </c>
      <c r="Q927">
        <f t="shared" si="249"/>
        <v>-1.3013532636705377E-2</v>
      </c>
      <c r="R927" s="6">
        <f t="shared" si="250"/>
        <v>1.3013532636705377E-2</v>
      </c>
      <c r="S927" s="18">
        <f t="shared" si="251"/>
        <v>0.99999999999999756</v>
      </c>
      <c r="T927" s="15"/>
      <c r="U927" s="15"/>
      <c r="V927" s="40">
        <f t="shared" si="252"/>
        <v>0.98</v>
      </c>
      <c r="W927" s="41">
        <f t="shared" si="241"/>
        <v>20.98</v>
      </c>
      <c r="X927">
        <f t="shared" si="253"/>
        <v>1.8234911118085968E-2</v>
      </c>
      <c r="Y927">
        <f t="shared" si="254"/>
        <v>1.8252251006948137</v>
      </c>
      <c r="Z927" s="33">
        <f t="shared" si="242"/>
        <v>6.0982879456454163E-2</v>
      </c>
      <c r="AA927" s="33">
        <f t="shared" si="243"/>
        <v>0.5</v>
      </c>
      <c r="AB927">
        <f t="shared" si="244"/>
        <v>1.5095474343299123E-2</v>
      </c>
      <c r="AC927" s="1">
        <f t="shared" si="245"/>
        <v>-5.2436501768954313E-3</v>
      </c>
      <c r="AD927" s="35">
        <f>IF(W927&gt;=FinalAgeForPremium, AE927*Delta-Z927*(Y927-AE927),AE927*Delta+PremiumRevisedForLimitedTerm-Z927*(Y927-AE927))</f>
        <v>2.5481132781617427E-2</v>
      </c>
      <c r="AE927" s="35">
        <f>AE926-StepSize*AD926</f>
        <v>-1.4094195462612967E-2</v>
      </c>
      <c r="AF927" s="1"/>
    </row>
    <row r="928" spans="11:32" x14ac:dyDescent="0.45">
      <c r="K928" s="40">
        <f t="shared" si="246"/>
        <v>9.0299999999999994</v>
      </c>
      <c r="L928" s="41">
        <f t="shared" si="238"/>
        <v>29.03</v>
      </c>
      <c r="M928">
        <f t="shared" si="247"/>
        <v>0.82474091334597632</v>
      </c>
      <c r="N928">
        <f t="shared" si="248"/>
        <v>0.17525908665402126</v>
      </c>
      <c r="O928">
        <f t="shared" si="239"/>
        <v>0.12203691914193528</v>
      </c>
      <c r="P928">
        <f t="shared" si="240"/>
        <v>0.5</v>
      </c>
      <c r="Q928">
        <f t="shared" si="249"/>
        <v>-1.3019296828038124E-2</v>
      </c>
      <c r="R928" s="6">
        <f t="shared" si="250"/>
        <v>1.3019296828038124E-2</v>
      </c>
      <c r="S928" s="18">
        <f t="shared" si="251"/>
        <v>0.99999999999999756</v>
      </c>
      <c r="T928" s="15"/>
      <c r="U928" s="15"/>
      <c r="V928" s="40">
        <f t="shared" si="252"/>
        <v>0.97</v>
      </c>
      <c r="W928" s="41">
        <f t="shared" si="241"/>
        <v>20.97</v>
      </c>
      <c r="X928">
        <f t="shared" si="253"/>
        <v>1.8083956374652977E-2</v>
      </c>
      <c r="Y928">
        <f t="shared" si="254"/>
        <v>1.8252775371965826</v>
      </c>
      <c r="Z928" s="33">
        <f t="shared" si="242"/>
        <v>6.0930348454092002E-2</v>
      </c>
      <c r="AA928" s="33">
        <f t="shared" si="243"/>
        <v>0.5</v>
      </c>
      <c r="AB928">
        <f t="shared" si="244"/>
        <v>1.5170456912601854E-2</v>
      </c>
      <c r="AC928" s="1">
        <f t="shared" si="245"/>
        <v>-5.1393327292059698E-3</v>
      </c>
      <c r="AD928" s="35">
        <f>IF(W928&gt;=FinalAgeForPremium, AE928*Delta-Z928*(Y928-AE928),AE928*Delta+PremiumRevisedForLimitedTerm-Z928*(Y928-AE928))</f>
        <v>2.5546292784199467E-2</v>
      </c>
      <c r="AE928" s="35">
        <f>AE927-StepSize*AD927</f>
        <v>-1.4349006790429141E-2</v>
      </c>
      <c r="AF928" s="1"/>
    </row>
    <row r="929" spans="11:32" x14ac:dyDescent="0.45">
      <c r="K929" s="40">
        <f t="shared" si="246"/>
        <v>9.0399999999999991</v>
      </c>
      <c r="L929" s="41">
        <f t="shared" si="238"/>
        <v>29.04</v>
      </c>
      <c r="M929">
        <f t="shared" si="247"/>
        <v>0.82461072037769589</v>
      </c>
      <c r="N929">
        <f t="shared" si="248"/>
        <v>0.17538927962230164</v>
      </c>
      <c r="O929">
        <f t="shared" si="239"/>
        <v>0.12214213307637624</v>
      </c>
      <c r="P929">
        <f t="shared" si="240"/>
        <v>0.5</v>
      </c>
      <c r="Q929">
        <f t="shared" si="249"/>
        <v>-1.3025072533428189E-2</v>
      </c>
      <c r="R929" s="6">
        <f t="shared" si="250"/>
        <v>1.3025072533428189E-2</v>
      </c>
      <c r="S929" s="18">
        <f t="shared" si="251"/>
        <v>0.99999999999999756</v>
      </c>
      <c r="T929" s="15"/>
      <c r="U929" s="15"/>
      <c r="V929" s="40">
        <f t="shared" si="252"/>
        <v>0.96</v>
      </c>
      <c r="W929" s="41">
        <f t="shared" si="241"/>
        <v>20.96</v>
      </c>
      <c r="X929">
        <f t="shared" si="253"/>
        <v>1.7932251805526957E-2</v>
      </c>
      <c r="Y929">
        <f t="shared" si="254"/>
        <v>1.8253289305238747</v>
      </c>
      <c r="Z929" s="33">
        <f t="shared" si="242"/>
        <v>6.0877862702236787E-2</v>
      </c>
      <c r="AA929" s="33">
        <f t="shared" si="243"/>
        <v>0.5</v>
      </c>
      <c r="AB929">
        <f t="shared" si="244"/>
        <v>1.5245359432129679E-2</v>
      </c>
      <c r="AC929" s="1">
        <f t="shared" si="245"/>
        <v>-5.0352141146323692E-3</v>
      </c>
      <c r="AD929" s="35">
        <f>IF(W929&gt;=FinalAgeForPremium, AE929*Delta-Z929*(Y929-AE929),AE929*Delta+PremiumRevisedForLimitedTerm-Z929*(Y929-AE929))</f>
        <v>2.5611393067131935E-2</v>
      </c>
      <c r="AE929" s="35">
        <f>AE928-StepSize*AD928</f>
        <v>-1.4604469718271135E-2</v>
      </c>
      <c r="AF929" s="1"/>
    </row>
    <row r="930" spans="11:32" x14ac:dyDescent="0.45">
      <c r="K930" s="40">
        <f t="shared" si="246"/>
        <v>9.0500000000000007</v>
      </c>
      <c r="L930" s="41">
        <f t="shared" si="238"/>
        <v>29.05</v>
      </c>
      <c r="M930">
        <f t="shared" si="247"/>
        <v>0.82448046965236166</v>
      </c>
      <c r="N930">
        <f t="shared" si="248"/>
        <v>0.17551953034763593</v>
      </c>
      <c r="O930">
        <f t="shared" si="239"/>
        <v>0.12224743772084232</v>
      </c>
      <c r="P930">
        <f t="shared" si="240"/>
        <v>0.5</v>
      </c>
      <c r="Q930">
        <f t="shared" si="249"/>
        <v>-1.3030859692059943E-2</v>
      </c>
      <c r="R930" s="6">
        <f t="shared" si="250"/>
        <v>1.3030859692059943E-2</v>
      </c>
      <c r="S930" s="18">
        <f t="shared" si="251"/>
        <v>0.99999999999999756</v>
      </c>
      <c r="T930" s="15"/>
      <c r="U930" s="15"/>
      <c r="V930" s="40">
        <f t="shared" si="252"/>
        <v>0.95</v>
      </c>
      <c r="W930" s="41">
        <f t="shared" si="241"/>
        <v>20.95</v>
      </c>
      <c r="X930">
        <f t="shared" si="253"/>
        <v>1.777979821120566E-2</v>
      </c>
      <c r="Y930">
        <f t="shared" si="254"/>
        <v>1.825379282665021</v>
      </c>
      <c r="Z930" s="33">
        <f t="shared" si="242"/>
        <v>6.0825422161909427E-2</v>
      </c>
      <c r="AA930" s="33">
        <f t="shared" si="243"/>
        <v>0.5</v>
      </c>
      <c r="AB930">
        <f t="shared" si="244"/>
        <v>1.5320181866354796E-2</v>
      </c>
      <c r="AC930" s="1">
        <f t="shared" si="245"/>
        <v>-4.9312936398412388E-3</v>
      </c>
      <c r="AD930" s="35">
        <f>IF(W930&gt;=FinalAgeForPremium, AE930*Delta-Z930*(Y930-AE930),AE930*Delta+PremiumRevisedForLimitedTerm-Z930*(Y930-AE930))</f>
        <v>2.5676433544076824E-2</v>
      </c>
      <c r="AE930" s="35">
        <f>AE929-StepSize*AD929</f>
        <v>-1.4860583648942455E-2</v>
      </c>
      <c r="AF930" s="1"/>
    </row>
    <row r="931" spans="11:32" x14ac:dyDescent="0.45">
      <c r="K931" s="40">
        <f t="shared" si="246"/>
        <v>9.06</v>
      </c>
      <c r="L931" s="41">
        <f t="shared" si="238"/>
        <v>29.060000000000002</v>
      </c>
      <c r="M931">
        <f t="shared" si="247"/>
        <v>0.82435016105544101</v>
      </c>
      <c r="N931">
        <f t="shared" si="248"/>
        <v>0.17564983894455652</v>
      </c>
      <c r="O931">
        <f t="shared" si="239"/>
        <v>0.12235283315353908</v>
      </c>
      <c r="P931">
        <f t="shared" si="240"/>
        <v>0.5</v>
      </c>
      <c r="Q931">
        <f t="shared" si="249"/>
        <v>-1.3036658243431185E-2</v>
      </c>
      <c r="R931" s="6">
        <f t="shared" si="250"/>
        <v>1.3036658243431185E-2</v>
      </c>
      <c r="S931" s="18">
        <f t="shared" si="251"/>
        <v>0.99999999999999756</v>
      </c>
      <c r="T931" s="15"/>
      <c r="U931" s="15"/>
      <c r="V931" s="40">
        <f t="shared" si="252"/>
        <v>0.94</v>
      </c>
      <c r="W931" s="41">
        <f t="shared" si="241"/>
        <v>20.94</v>
      </c>
      <c r="X931">
        <f t="shared" si="253"/>
        <v>1.7626596392542111E-2</v>
      </c>
      <c r="Y931">
        <f t="shared" si="254"/>
        <v>1.8254285956014193</v>
      </c>
      <c r="Z931" s="33">
        <f t="shared" si="242"/>
        <v>6.0773026794164506E-2</v>
      </c>
      <c r="AA931" s="33">
        <f t="shared" si="243"/>
        <v>0.5</v>
      </c>
      <c r="AB931">
        <f t="shared" si="244"/>
        <v>1.5394924180509528E-2</v>
      </c>
      <c r="AC931" s="1">
        <f t="shared" si="245"/>
        <v>-4.8275706154904396E-3</v>
      </c>
      <c r="AD931" s="35">
        <f>IF(W931&gt;=FinalAgeForPremium, AE931*Delta-Z931*(Y931-AE931),AE931*Delta+PremiumRevisedForLimitedTerm-Z931*(Y931-AE931))</f>
        <v>2.5741414129596629E-2</v>
      </c>
      <c r="AE931" s="35">
        <f>AE930-StepSize*AD930</f>
        <v>-1.5117347984383224E-2</v>
      </c>
      <c r="AF931" s="1"/>
    </row>
    <row r="932" spans="11:32" x14ac:dyDescent="0.45">
      <c r="K932" s="40">
        <f t="shared" si="246"/>
        <v>9.07</v>
      </c>
      <c r="L932" s="41">
        <f t="shared" si="238"/>
        <v>29.07</v>
      </c>
      <c r="M932">
        <f t="shared" si="247"/>
        <v>0.82421979447300675</v>
      </c>
      <c r="N932">
        <f t="shared" si="248"/>
        <v>0.17578020552699083</v>
      </c>
      <c r="O932">
        <f t="shared" si="239"/>
        <v>0.12245831945273931</v>
      </c>
      <c r="P932">
        <f t="shared" si="240"/>
        <v>0.5</v>
      </c>
      <c r="Q932">
        <f t="shared" si="249"/>
        <v>-1.3042468127351187E-2</v>
      </c>
      <c r="R932" s="6">
        <f t="shared" si="250"/>
        <v>1.3042468127351187E-2</v>
      </c>
      <c r="S932" s="18">
        <f t="shared" si="251"/>
        <v>0.99999999999999756</v>
      </c>
      <c r="T932" s="15"/>
      <c r="U932" s="15"/>
      <c r="V932" s="40">
        <f t="shared" si="252"/>
        <v>0.93</v>
      </c>
      <c r="W932" s="41">
        <f t="shared" si="241"/>
        <v>20.93</v>
      </c>
      <c r="X932">
        <f t="shared" si="253"/>
        <v>1.7472647150737017E-2</v>
      </c>
      <c r="Y932">
        <f t="shared" si="254"/>
        <v>1.8254768713075742</v>
      </c>
      <c r="Z932" s="33">
        <f t="shared" si="242"/>
        <v>6.0720676560090045E-2</v>
      </c>
      <c r="AA932" s="33">
        <f t="shared" si="243"/>
        <v>0.5</v>
      </c>
      <c r="AB932">
        <f t="shared" si="244"/>
        <v>1.5469586340580668E-2</v>
      </c>
      <c r="AC932" s="1">
        <f t="shared" si="245"/>
        <v>-4.7240443562026613E-3</v>
      </c>
      <c r="AD932" s="35">
        <f>IF(W932&gt;=FinalAgeForPremium, AE932*Delta-Z932*(Y932-AE932),AE932*Delta+PremiumRevisedForLimitedTerm-Z932*(Y932-AE932))</f>
        <v>2.5806334739148548E-2</v>
      </c>
      <c r="AE932" s="35">
        <f>AE931-StepSize*AD931</f>
        <v>-1.5374762125679189E-2</v>
      </c>
      <c r="AF932" s="1"/>
    </row>
    <row r="933" spans="11:32" x14ac:dyDescent="0.45">
      <c r="K933" s="40">
        <f t="shared" si="246"/>
        <v>9.08</v>
      </c>
      <c r="L933" s="41">
        <f t="shared" si="238"/>
        <v>29.08</v>
      </c>
      <c r="M933">
        <f t="shared" si="247"/>
        <v>0.8240893697917332</v>
      </c>
      <c r="N933">
        <f t="shared" si="248"/>
        <v>0.17591063020826433</v>
      </c>
      <c r="O933">
        <f t="shared" si="239"/>
        <v>0.12256389669678353</v>
      </c>
      <c r="P933">
        <f t="shared" si="240"/>
        <v>0.5</v>
      </c>
      <c r="Q933">
        <f t="shared" si="249"/>
        <v>-1.3048289283939252E-2</v>
      </c>
      <c r="R933" s="6">
        <f t="shared" si="250"/>
        <v>1.3048289283939252E-2</v>
      </c>
      <c r="S933" s="18">
        <f t="shared" si="251"/>
        <v>0.99999999999999756</v>
      </c>
      <c r="T933" s="15"/>
      <c r="U933" s="15"/>
      <c r="V933" s="40">
        <f t="shared" si="252"/>
        <v>0.92</v>
      </c>
      <c r="W933" s="41">
        <f t="shared" si="241"/>
        <v>20.92</v>
      </c>
      <c r="X933">
        <f t="shared" si="253"/>
        <v>1.7317951287331212E-2</v>
      </c>
      <c r="Y933">
        <f t="shared" si="254"/>
        <v>1.8255241117511363</v>
      </c>
      <c r="Z933" s="33">
        <f t="shared" si="242"/>
        <v>6.0668371420807693E-2</v>
      </c>
      <c r="AA933" s="33">
        <f t="shared" si="243"/>
        <v>0.5</v>
      </c>
      <c r="AB933">
        <f t="shared" si="244"/>
        <v>1.5544168313303519E-2</v>
      </c>
      <c r="AC933" s="1">
        <f t="shared" si="245"/>
        <v>-4.6207141805406637E-3</v>
      </c>
      <c r="AD933" s="35">
        <f>IF(W933&gt;=FinalAgeForPremium, AE933*Delta-Z933*(Y933-AE933),AE933*Delta+PremiumRevisedForLimitedTerm-Z933*(Y933-AE933))</f>
        <v>2.5871195289078094E-2</v>
      </c>
      <c r="AE933" s="35">
        <f>AE932-StepSize*AD932</f>
        <v>-1.5632825473070676E-2</v>
      </c>
      <c r="AF933" s="1"/>
    </row>
    <row r="934" spans="11:32" x14ac:dyDescent="0.45">
      <c r="K934" s="40">
        <f t="shared" si="246"/>
        <v>9.09</v>
      </c>
      <c r="L934" s="41">
        <f t="shared" si="238"/>
        <v>29.09</v>
      </c>
      <c r="M934">
        <f t="shared" si="247"/>
        <v>0.82395888689889385</v>
      </c>
      <c r="N934">
        <f t="shared" si="248"/>
        <v>0.17604111310110374</v>
      </c>
      <c r="O934">
        <f t="shared" si="239"/>
        <v>0.12266956496407964</v>
      </c>
      <c r="P934">
        <f t="shared" si="240"/>
        <v>0.5</v>
      </c>
      <c r="Q934">
        <f t="shared" si="249"/>
        <v>-1.3054121653622741E-2</v>
      </c>
      <c r="R934" s="6">
        <f t="shared" si="250"/>
        <v>1.3054121653622741E-2</v>
      </c>
      <c r="S934" s="18">
        <f t="shared" si="251"/>
        <v>0.99999999999999756</v>
      </c>
      <c r="T934" s="15"/>
      <c r="U934" s="15"/>
      <c r="V934" s="40">
        <f t="shared" si="252"/>
        <v>0.91</v>
      </c>
      <c r="W934" s="41">
        <f t="shared" si="241"/>
        <v>20.91</v>
      </c>
      <c r="X934">
        <f t="shared" si="253"/>
        <v>1.7162509604198177E-2</v>
      </c>
      <c r="Y934">
        <f t="shared" si="254"/>
        <v>1.8255703188929417</v>
      </c>
      <c r="Z934" s="33">
        <f t="shared" si="242"/>
        <v>6.0616111337472488E-2</v>
      </c>
      <c r="AA934" s="33">
        <f t="shared" si="243"/>
        <v>0.5</v>
      </c>
      <c r="AB934">
        <f t="shared" si="244"/>
        <v>1.5618670066156359E-2</v>
      </c>
      <c r="AC934" s="1">
        <f t="shared" si="245"/>
        <v>-4.5175794109810763E-3</v>
      </c>
      <c r="AD934" s="35">
        <f>IF(W934&gt;=FinalAgeForPremium, AE934*Delta-Z934*(Y934-AE934),AE934*Delta+PremiumRevisedForLimitedTerm-Z934*(Y934-AE934))</f>
        <v>2.5935995696613062E-2</v>
      </c>
      <c r="AE934" s="35">
        <f>AE933-StepSize*AD933</f>
        <v>-1.5891537425961458E-2</v>
      </c>
      <c r="AF934" s="1"/>
    </row>
    <row r="935" spans="11:32" x14ac:dyDescent="0.45">
      <c r="K935" s="40">
        <f t="shared" si="246"/>
        <v>9.1</v>
      </c>
      <c r="L935" s="41">
        <f t="shared" si="238"/>
        <v>29.1</v>
      </c>
      <c r="M935">
        <f t="shared" si="247"/>
        <v>0.82382834568235763</v>
      </c>
      <c r="N935">
        <f t="shared" si="248"/>
        <v>0.17617165431763995</v>
      </c>
      <c r="O935">
        <f t="shared" si="239"/>
        <v>0.12277532433310327</v>
      </c>
      <c r="P935">
        <f t="shared" si="240"/>
        <v>0.5</v>
      </c>
      <c r="Q935">
        <f t="shared" si="249"/>
        <v>-1.3059965177135396E-2</v>
      </c>
      <c r="R935" s="6">
        <f t="shared" si="250"/>
        <v>1.3059965177135396E-2</v>
      </c>
      <c r="S935" s="18">
        <f t="shared" si="251"/>
        <v>0.99999999999999756</v>
      </c>
      <c r="T935" s="15"/>
      <c r="U935" s="15"/>
      <c r="V935" s="40">
        <f t="shared" si="252"/>
        <v>0.9</v>
      </c>
      <c r="W935" s="41">
        <f t="shared" si="241"/>
        <v>20.9</v>
      </c>
      <c r="X935">
        <f t="shared" si="253"/>
        <v>1.7006322903536614E-2</v>
      </c>
      <c r="Y935">
        <f t="shared" si="254"/>
        <v>1.8256154946870515</v>
      </c>
      <c r="Z935" s="33">
        <f t="shared" si="242"/>
        <v>6.0563896271272996E-2</v>
      </c>
      <c r="AA935" s="33">
        <f t="shared" si="243"/>
        <v>0.5</v>
      </c>
      <c r="AB935">
        <f t="shared" si="244"/>
        <v>1.5693091567354725E-2</v>
      </c>
      <c r="AC935" s="1">
        <f t="shared" si="245"/>
        <v>-4.4146393738899725E-3</v>
      </c>
      <c r="AD935" s="35">
        <f>IF(W935&gt;=FinalAgeForPremium, AE935*Delta-Z935*(Y935-AE935),AE935*Delta+PremiumRevisedForLimitedTerm-Z935*(Y935-AE935))</f>
        <v>2.6000735879857226E-2</v>
      </c>
      <c r="AE935" s="35">
        <f>AE934-StepSize*AD934</f>
        <v>-1.615089738292759E-2</v>
      </c>
      <c r="AF935" s="1"/>
    </row>
    <row r="936" spans="11:32" x14ac:dyDescent="0.45">
      <c r="K936" s="40">
        <f t="shared" si="246"/>
        <v>9.11</v>
      </c>
      <c r="L936" s="41">
        <f t="shared" si="238"/>
        <v>29.11</v>
      </c>
      <c r="M936">
        <f t="shared" si="247"/>
        <v>0.82369774603058632</v>
      </c>
      <c r="N936">
        <f t="shared" si="248"/>
        <v>0.17630225396941129</v>
      </c>
      <c r="O936">
        <f t="shared" si="239"/>
        <v>0.12288117488239751</v>
      </c>
      <c r="P936">
        <f t="shared" si="240"/>
        <v>0.5</v>
      </c>
      <c r="Q936">
        <f t="shared" si="249"/>
        <v>-1.3065819795515479E-2</v>
      </c>
      <c r="R936" s="6">
        <f t="shared" si="250"/>
        <v>1.3065819795515479E-2</v>
      </c>
      <c r="S936" s="18">
        <f t="shared" si="251"/>
        <v>0.99999999999999756</v>
      </c>
      <c r="T936" s="15"/>
      <c r="U936" s="15"/>
      <c r="V936" s="40">
        <f t="shared" si="252"/>
        <v>0.89</v>
      </c>
      <c r="W936" s="41">
        <f t="shared" si="241"/>
        <v>20.89</v>
      </c>
      <c r="X936">
        <f t="shared" si="253"/>
        <v>1.6849391987863067E-2</v>
      </c>
      <c r="Y936">
        <f t="shared" si="254"/>
        <v>1.8256596410807904</v>
      </c>
      <c r="Z936" s="33">
        <f t="shared" si="242"/>
        <v>6.0511726183431244E-2</v>
      </c>
      <c r="AA936" s="33">
        <f t="shared" si="243"/>
        <v>0.5</v>
      </c>
      <c r="AB936">
        <f t="shared" si="244"/>
        <v>1.5767432785845539E-2</v>
      </c>
      <c r="AC936" s="1">
        <f t="shared" si="245"/>
        <v>-4.3118933994968911E-3</v>
      </c>
      <c r="AD936" s="35">
        <f>IF(W936&gt;=FinalAgeForPremium, AE936*Delta-Z936*(Y936-AE936),AE936*Delta+PremiumRevisedForLimitedTerm-Z936*(Y936-AE936))</f>
        <v>2.6065415757784385E-2</v>
      </c>
      <c r="AE936" s="35">
        <f>AE935-StepSize*AD935</f>
        <v>-1.6410904741726164E-2</v>
      </c>
      <c r="AF936" s="1"/>
    </row>
    <row r="937" spans="11:32" x14ac:dyDescent="0.45">
      <c r="K937" s="40">
        <f t="shared" si="246"/>
        <v>9.1199999999999992</v>
      </c>
      <c r="L937" s="41">
        <f t="shared" si="238"/>
        <v>29.119999999999997</v>
      </c>
      <c r="M937">
        <f t="shared" si="247"/>
        <v>0.82356708783263122</v>
      </c>
      <c r="N937">
        <f t="shared" si="248"/>
        <v>0.17643291216736645</v>
      </c>
      <c r="O937">
        <f t="shared" si="239"/>
        <v>0.1229871166905733</v>
      </c>
      <c r="P937">
        <f t="shared" si="240"/>
        <v>0.5</v>
      </c>
      <c r="Q937">
        <f t="shared" si="249"/>
        <v>-1.3071685450104217E-2</v>
      </c>
      <c r="R937" s="6">
        <f t="shared" si="250"/>
        <v>1.3071685450104217E-2</v>
      </c>
      <c r="S937" s="18">
        <f t="shared" si="251"/>
        <v>0.99999999999999767</v>
      </c>
      <c r="T937" s="15"/>
      <c r="U937" s="15"/>
      <c r="V937" s="40">
        <f t="shared" si="252"/>
        <v>0.88</v>
      </c>
      <c r="W937" s="41">
        <f t="shared" si="241"/>
        <v>20.88</v>
      </c>
      <c r="X937">
        <f t="shared" si="253"/>
        <v>1.6691717660004612E-2</v>
      </c>
      <c r="Y937">
        <f t="shared" si="254"/>
        <v>1.8257027600147853</v>
      </c>
      <c r="Z937" s="33">
        <f t="shared" si="242"/>
        <v>6.0459601035202558E-2</v>
      </c>
      <c r="AA937" s="33">
        <f t="shared" si="243"/>
        <v>0.5</v>
      </c>
      <c r="AB937">
        <f t="shared" si="244"/>
        <v>1.584169369130195E-2</v>
      </c>
      <c r="AC937" s="1">
        <f t="shared" si="245"/>
        <v>-4.2093408218704109E-3</v>
      </c>
      <c r="AD937" s="35">
        <f>IF(W937&gt;=FinalAgeForPremium, AE937*Delta-Z937*(Y937-AE937),AE937*Delta+PremiumRevisedForLimitedTerm-Z937*(Y937-AE937))</f>
        <v>2.613003525023247E-2</v>
      </c>
      <c r="AE937" s="35">
        <f>AE936-StepSize*AD936</f>
        <v>-1.6671558899304006E-2</v>
      </c>
      <c r="AF937" s="1"/>
    </row>
    <row r="938" spans="11:32" x14ac:dyDescent="0.45">
      <c r="K938" s="40">
        <f t="shared" si="246"/>
        <v>9.1300000000000008</v>
      </c>
      <c r="L938" s="41">
        <f t="shared" si="238"/>
        <v>29.130000000000003</v>
      </c>
      <c r="M938">
        <f t="shared" si="247"/>
        <v>0.82343637097813016</v>
      </c>
      <c r="N938">
        <f t="shared" si="248"/>
        <v>0.17656362902186748</v>
      </c>
      <c r="O938">
        <f t="shared" si="239"/>
        <v>0.12309314983630953</v>
      </c>
      <c r="P938">
        <f t="shared" si="240"/>
        <v>0.5</v>
      </c>
      <c r="Q938">
        <f t="shared" si="249"/>
        <v>-1.3077562082544195E-2</v>
      </c>
      <c r="R938" s="6">
        <f t="shared" si="250"/>
        <v>1.3077562082544195E-2</v>
      </c>
      <c r="S938" s="18">
        <f t="shared" si="251"/>
        <v>0.99999999999999767</v>
      </c>
      <c r="T938" s="15"/>
      <c r="U938" s="15"/>
      <c r="V938" s="40">
        <f t="shared" si="252"/>
        <v>0.87</v>
      </c>
      <c r="W938" s="41">
        <f t="shared" si="241"/>
        <v>20.87</v>
      </c>
      <c r="X938">
        <f t="shared" si="253"/>
        <v>1.6533300723091591E-2</v>
      </c>
      <c r="Y938">
        <f t="shared" si="254"/>
        <v>1.8257448534230041</v>
      </c>
      <c r="Z938" s="33">
        <f t="shared" si="242"/>
        <v>6.0407520787875722E-2</v>
      </c>
      <c r="AA938" s="33">
        <f t="shared" si="243"/>
        <v>0.5</v>
      </c>
      <c r="AB938">
        <f t="shared" si="244"/>
        <v>1.5915874254117363E-2</v>
      </c>
      <c r="AC938" s="1">
        <f t="shared" si="245"/>
        <v>-4.1069809788936151E-3</v>
      </c>
      <c r="AD938" s="35">
        <f>IF(W938&gt;=FinalAgeForPremium, AE938*Delta-Z938*(Y938-AE938),AE938*Delta+PremiumRevisedForLimitedTerm-Z938*(Y938-AE938))</f>
        <v>2.6194594277897318E-2</v>
      </c>
      <c r="AE938" s="35">
        <f>AE937-StepSize*AD937</f>
        <v>-1.6932859251806331E-2</v>
      </c>
      <c r="AF938" s="1"/>
    </row>
    <row r="939" spans="11:32" x14ac:dyDescent="0.45">
      <c r="K939" s="40">
        <f t="shared" si="246"/>
        <v>9.14</v>
      </c>
      <c r="L939" s="41">
        <f t="shared" si="238"/>
        <v>29.14</v>
      </c>
      <c r="M939">
        <f t="shared" si="247"/>
        <v>0.82330559535730474</v>
      </c>
      <c r="N939">
        <f t="shared" si="248"/>
        <v>0.17669440464269293</v>
      </c>
      <c r="O939">
        <f t="shared" si="239"/>
        <v>0.12319927439835249</v>
      </c>
      <c r="P939">
        <f t="shared" si="240"/>
        <v>0.5</v>
      </c>
      <c r="Q939">
        <f t="shared" si="249"/>
        <v>-1.3083449634777089E-2</v>
      </c>
      <c r="R939" s="6">
        <f t="shared" si="250"/>
        <v>1.3083449634777089E-2</v>
      </c>
      <c r="S939" s="18">
        <f t="shared" si="251"/>
        <v>0.99999999999999767</v>
      </c>
      <c r="T939" s="15"/>
      <c r="U939" s="15"/>
      <c r="V939" s="40">
        <f t="shared" si="252"/>
        <v>0.86</v>
      </c>
      <c r="W939" s="41">
        <f t="shared" si="241"/>
        <v>20.86</v>
      </c>
      <c r="X939">
        <f t="shared" si="253"/>
        <v>1.6374141980550417E-2</v>
      </c>
      <c r="Y939">
        <f t="shared" si="254"/>
        <v>1.8257859232327931</v>
      </c>
      <c r="Z939" s="33">
        <f t="shared" si="242"/>
        <v>6.0355485402772829E-2</v>
      </c>
      <c r="AA939" s="33">
        <f t="shared" si="243"/>
        <v>0.5</v>
      </c>
      <c r="AB939">
        <f t="shared" si="244"/>
        <v>1.5989974445400262E-2</v>
      </c>
      <c r="AC939" s="1">
        <f t="shared" si="245"/>
        <v>-4.0048132122390001E-3</v>
      </c>
      <c r="AD939" s="35">
        <f>IF(W939&gt;=FinalAgeForPremium, AE939*Delta-Z939*(Y939-AE939),AE939*Delta+PremiumRevisedForLimitedTerm-Z939*(Y939-AE939))</f>
        <v>2.6259092762327005E-2</v>
      </c>
      <c r="AE939" s="35">
        <f>AE938-StepSize*AD938</f>
        <v>-1.7194805194585303E-2</v>
      </c>
      <c r="AF939" s="1"/>
    </row>
    <row r="940" spans="11:32" x14ac:dyDescent="0.45">
      <c r="K940" s="40">
        <f t="shared" si="246"/>
        <v>9.15</v>
      </c>
      <c r="L940" s="41">
        <f t="shared" si="238"/>
        <v>29.15</v>
      </c>
      <c r="M940">
        <f t="shared" si="247"/>
        <v>0.82317476086095698</v>
      </c>
      <c r="N940">
        <f t="shared" si="248"/>
        <v>0.17682523913904069</v>
      </c>
      <c r="O940">
        <f t="shared" si="239"/>
        <v>0.12330549045551664</v>
      </c>
      <c r="P940">
        <f t="shared" si="240"/>
        <v>0.5</v>
      </c>
      <c r="Q940">
        <f t="shared" si="249"/>
        <v>-1.3089348049042576E-2</v>
      </c>
      <c r="R940" s="6">
        <f t="shared" si="250"/>
        <v>1.3089348049042576E-2</v>
      </c>
      <c r="S940" s="18">
        <f t="shared" si="251"/>
        <v>0.99999999999999767</v>
      </c>
      <c r="T940" s="15"/>
      <c r="U940" s="15"/>
      <c r="V940" s="40">
        <f t="shared" si="252"/>
        <v>0.85</v>
      </c>
      <c r="W940" s="41">
        <f t="shared" si="241"/>
        <v>20.85</v>
      </c>
      <c r="X940">
        <f t="shared" si="253"/>
        <v>1.6214242236096413E-2</v>
      </c>
      <c r="Y940">
        <f t="shared" si="254"/>
        <v>1.8258259713649154</v>
      </c>
      <c r="Z940" s="33">
        <f t="shared" si="242"/>
        <v>6.0303494841249312E-2</v>
      </c>
      <c r="AA940" s="33">
        <f t="shared" si="243"/>
        <v>0.5</v>
      </c>
      <c r="AB940">
        <f t="shared" si="244"/>
        <v>1.6063994236968498E-2</v>
      </c>
      <c r="AC940" s="1">
        <f t="shared" si="245"/>
        <v>-3.9028368673447167E-3</v>
      </c>
      <c r="AD940" s="35">
        <f>IF(W940&gt;=FinalAgeForPremium, AE940*Delta-Z940*(Y940-AE940),AE940*Delta+PremiumRevisedForLimitedTerm-Z940*(Y940-AE940))</f>
        <v>2.6323530625915664E-2</v>
      </c>
      <c r="AE940" s="35">
        <f>AE939-StepSize*AD939</f>
        <v>-1.7457396122208573E-2</v>
      </c>
      <c r="AF940" s="1"/>
    </row>
    <row r="941" spans="11:32" x14ac:dyDescent="0.45">
      <c r="K941" s="40">
        <f t="shared" si="246"/>
        <v>9.16</v>
      </c>
      <c r="L941" s="41">
        <f t="shared" si="238"/>
        <v>29.16</v>
      </c>
      <c r="M941">
        <f t="shared" si="247"/>
        <v>0.82304386738046653</v>
      </c>
      <c r="N941">
        <f t="shared" si="248"/>
        <v>0.17695613261953111</v>
      </c>
      <c r="O941">
        <f t="shared" si="239"/>
        <v>0.1234117980866845</v>
      </c>
      <c r="P941">
        <f t="shared" si="240"/>
        <v>0.5</v>
      </c>
      <c r="Q941">
        <f t="shared" si="249"/>
        <v>-1.3095257267876512E-2</v>
      </c>
      <c r="R941" s="6">
        <f t="shared" si="250"/>
        <v>1.3095257267876512E-2</v>
      </c>
      <c r="S941" s="18">
        <f t="shared" si="251"/>
        <v>0.99999999999999767</v>
      </c>
      <c r="T941" s="15"/>
      <c r="U941" s="15"/>
      <c r="V941" s="40">
        <f t="shared" si="252"/>
        <v>0.84</v>
      </c>
      <c r="W941" s="41">
        <f t="shared" si="241"/>
        <v>20.84</v>
      </c>
      <c r="X941">
        <f t="shared" si="253"/>
        <v>1.6053602293726727E-2</v>
      </c>
      <c r="Y941">
        <f t="shared" si="254"/>
        <v>1.825864999733589</v>
      </c>
      <c r="Z941" s="33">
        <f t="shared" si="242"/>
        <v>6.0251549064693884E-2</v>
      </c>
      <c r="AA941" s="33">
        <f t="shared" si="243"/>
        <v>0.5</v>
      </c>
      <c r="AB941">
        <f t="shared" si="244"/>
        <v>1.613793360134394E-2</v>
      </c>
      <c r="AC941" s="1">
        <f t="shared" si="245"/>
        <v>-3.8010512933894791E-3</v>
      </c>
      <c r="AD941" s="35">
        <f>IF(W941&gt;=FinalAgeForPremium, AE941*Delta-Z941*(Y941-AE941),AE941*Delta+PremiumRevisedForLimitedTerm-Z941*(Y941-AE941))</f>
        <v>2.6387907791897855E-2</v>
      </c>
      <c r="AE941" s="35">
        <f>AE940-StepSize*AD940</f>
        <v>-1.7720631428467731E-2</v>
      </c>
      <c r="AF941" s="1"/>
    </row>
    <row r="942" spans="11:32" x14ac:dyDescent="0.45">
      <c r="K942" s="40">
        <f t="shared" si="246"/>
        <v>9.17</v>
      </c>
      <c r="L942" s="41">
        <f t="shared" si="238"/>
        <v>29.17</v>
      </c>
      <c r="M942">
        <f t="shared" si="247"/>
        <v>0.82291291480778772</v>
      </c>
      <c r="N942">
        <f t="shared" si="248"/>
        <v>0.17708708519220986</v>
      </c>
      <c r="O942">
        <f t="shared" si="239"/>
        <v>0.12351819737080638</v>
      </c>
      <c r="P942">
        <f t="shared" si="240"/>
        <v>0.5</v>
      </c>
      <c r="Q942">
        <f t="shared" si="249"/>
        <v>-1.3101177234108974E-2</v>
      </c>
      <c r="R942" s="6">
        <f t="shared" si="250"/>
        <v>1.3101177234108974E-2</v>
      </c>
      <c r="S942" s="18">
        <f t="shared" si="251"/>
        <v>0.99999999999999756</v>
      </c>
      <c r="T942" s="15"/>
      <c r="U942" s="15"/>
      <c r="V942" s="40">
        <f t="shared" si="252"/>
        <v>0.83</v>
      </c>
      <c r="W942" s="41">
        <f t="shared" si="241"/>
        <v>20.83</v>
      </c>
      <c r="X942">
        <f t="shared" si="253"/>
        <v>1.5892222957713288E-2</v>
      </c>
      <c r="Y942">
        <f t="shared" si="254"/>
        <v>1.8259030102465228</v>
      </c>
      <c r="Z942" s="33">
        <f t="shared" si="242"/>
        <v>6.01996480345285E-2</v>
      </c>
      <c r="AA942" s="33">
        <f t="shared" si="243"/>
        <v>0.5</v>
      </c>
      <c r="AB942">
        <f t="shared" si="244"/>
        <v>1.6211792511747161E-2</v>
      </c>
      <c r="AC942" s="1">
        <f t="shared" si="245"/>
        <v>-3.6994558432690283E-3</v>
      </c>
      <c r="AD942" s="35">
        <f>IF(W942&gt;=FinalAgeForPremium, AE942*Delta-Z942*(Y942-AE942),AE942*Delta+PremiumRevisedForLimitedTerm-Z942*(Y942-AE942))</f>
        <v>2.6452224184342676E-2</v>
      </c>
      <c r="AE942" s="35">
        <f>AE941-StepSize*AD941</f>
        <v>-1.7984510506386709E-2</v>
      </c>
      <c r="AF942" s="1"/>
    </row>
    <row r="943" spans="11:32" x14ac:dyDescent="0.45">
      <c r="K943" s="40">
        <f t="shared" si="246"/>
        <v>9.18</v>
      </c>
      <c r="L943" s="41">
        <f t="shared" si="238"/>
        <v>29.18</v>
      </c>
      <c r="M943">
        <f t="shared" si="247"/>
        <v>0.82278190303544663</v>
      </c>
      <c r="N943">
        <f t="shared" si="248"/>
        <v>0.17721809696455096</v>
      </c>
      <c r="O943">
        <f t="shared" si="239"/>
        <v>0.12362468838690058</v>
      </c>
      <c r="P943">
        <f t="shared" si="240"/>
        <v>0.5</v>
      </c>
      <c r="Q943">
        <f t="shared" si="249"/>
        <v>-1.3107107890862654E-2</v>
      </c>
      <c r="R943" s="6">
        <f t="shared" si="250"/>
        <v>1.3107107890862654E-2</v>
      </c>
      <c r="S943" s="18">
        <f t="shared" si="251"/>
        <v>0.99999999999999756</v>
      </c>
      <c r="T943" s="15"/>
      <c r="U943" s="15"/>
      <c r="V943" s="40">
        <f t="shared" si="252"/>
        <v>0.82</v>
      </c>
      <c r="W943" s="41">
        <f t="shared" si="241"/>
        <v>20.82</v>
      </c>
      <c r="X943">
        <f t="shared" si="253"/>
        <v>1.5730105032595816E-2</v>
      </c>
      <c r="Y943">
        <f t="shared" si="254"/>
        <v>1.8259400048049554</v>
      </c>
      <c r="Z943" s="33">
        <f t="shared" si="242"/>
        <v>6.0147791712208395E-2</v>
      </c>
      <c r="AA943" s="33">
        <f t="shared" si="243"/>
        <v>0.5</v>
      </c>
      <c r="AB943">
        <f t="shared" si="244"/>
        <v>1.6285570942091918E-2</v>
      </c>
      <c r="AC943" s="1">
        <f t="shared" si="245"/>
        <v>-3.5980498735723732E-3</v>
      </c>
      <c r="AD943" s="35">
        <f>IF(W943&gt;=FinalAgeForPremium, AE943*Delta-Z943*(Y943-AE943),AE943*Delta+PremiumRevisedForLimitedTerm-Z943*(Y943-AE943))</f>
        <v>2.6516479728147982E-2</v>
      </c>
      <c r="AE943" s="35">
        <f>AE942-StepSize*AD942</f>
        <v>-1.8249032748230136E-2</v>
      </c>
      <c r="AF943" s="1"/>
    </row>
    <row r="944" spans="11:32" x14ac:dyDescent="0.45">
      <c r="K944" s="40">
        <f t="shared" si="246"/>
        <v>9.19</v>
      </c>
      <c r="L944" s="41">
        <f t="shared" si="238"/>
        <v>29.189999999999998</v>
      </c>
      <c r="M944">
        <f t="shared" si="247"/>
        <v>0.82265083195653799</v>
      </c>
      <c r="N944">
        <f t="shared" si="248"/>
        <v>0.1773491680434596</v>
      </c>
      <c r="O944">
        <f t="shared" si="239"/>
        <v>0.12373127121405388</v>
      </c>
      <c r="P944">
        <f t="shared" si="240"/>
        <v>0.5</v>
      </c>
      <c r="Q944">
        <f t="shared" si="249"/>
        <v>-1.3113049181551664E-2</v>
      </c>
      <c r="R944" s="6">
        <f t="shared" si="250"/>
        <v>1.3113049181551664E-2</v>
      </c>
      <c r="S944" s="18">
        <f t="shared" si="251"/>
        <v>0.99999999999999756</v>
      </c>
      <c r="T944" s="15"/>
      <c r="U944" s="15"/>
      <c r="V944" s="40">
        <f t="shared" si="252"/>
        <v>0.81</v>
      </c>
      <c r="W944" s="41">
        <f t="shared" si="241"/>
        <v>20.81</v>
      </c>
      <c r="X944">
        <f t="shared" si="253"/>
        <v>1.5567249323174897E-2</v>
      </c>
      <c r="Y944">
        <f t="shared" si="254"/>
        <v>1.8259759853036912</v>
      </c>
      <c r="Z944" s="33">
        <f t="shared" si="242"/>
        <v>6.009598005922194E-2</v>
      </c>
      <c r="AA944" s="33">
        <f t="shared" si="243"/>
        <v>0.5</v>
      </c>
      <c r="AB944">
        <f t="shared" si="244"/>
        <v>1.6359268866980095E-2</v>
      </c>
      <c r="AC944" s="1">
        <f t="shared" si="245"/>
        <v>-3.4968327445572545E-3</v>
      </c>
      <c r="AD944" s="35">
        <f>IF(W944&gt;=FinalAgeForPremium, AE944*Delta-Z944*(Y944-AE944),AE944*Delta+PremiumRevisedForLimitedTerm-Z944*(Y944-AE944))</f>
        <v>2.6580674349034633E-2</v>
      </c>
      <c r="AE944" s="35">
        <f>AE943-StepSize*AD943</f>
        <v>-1.8514197545511615E-2</v>
      </c>
      <c r="AF944" s="1"/>
    </row>
    <row r="945" spans="11:32" x14ac:dyDescent="0.45">
      <c r="K945" s="40">
        <f t="shared" si="246"/>
        <v>9.1999999999999993</v>
      </c>
      <c r="L945" s="41">
        <f t="shared" si="238"/>
        <v>29.2</v>
      </c>
      <c r="M945">
        <f t="shared" si="247"/>
        <v>0.82251970146472242</v>
      </c>
      <c r="N945">
        <f t="shared" si="248"/>
        <v>0.17748029853527511</v>
      </c>
      <c r="O945">
        <f t="shared" si="239"/>
        <v>0.12383794593142097</v>
      </c>
      <c r="P945">
        <f t="shared" si="240"/>
        <v>0.5</v>
      </c>
      <c r="Q945">
        <f t="shared" si="249"/>
        <v>-1.3119001049879259E-2</v>
      </c>
      <c r="R945" s="6">
        <f t="shared" si="250"/>
        <v>1.3119001049879259E-2</v>
      </c>
      <c r="S945" s="18">
        <f t="shared" si="251"/>
        <v>0.99999999999999756</v>
      </c>
      <c r="T945" s="15"/>
      <c r="U945" s="15"/>
      <c r="V945" s="40">
        <f t="shared" si="252"/>
        <v>0.8</v>
      </c>
      <c r="W945" s="41">
        <f t="shared" si="241"/>
        <v>20.8</v>
      </c>
      <c r="X945">
        <f t="shared" si="253"/>
        <v>1.5403656634505096E-2</v>
      </c>
      <c r="Y945">
        <f t="shared" si="254"/>
        <v>1.8260109536311369</v>
      </c>
      <c r="Z945" s="33">
        <f t="shared" si="242"/>
        <v>6.0044213037090746E-2</v>
      </c>
      <c r="AA945" s="33">
        <f t="shared" si="243"/>
        <v>0.5</v>
      </c>
      <c r="AB945">
        <f t="shared" si="244"/>
        <v>1.6432886261696131E-2</v>
      </c>
      <c r="AC945" s="1">
        <f t="shared" si="245"/>
        <v>-3.3958038201272744E-3</v>
      </c>
      <c r="AD945" s="35">
        <f>IF(W945&gt;=FinalAgeForPremium, AE945*Delta-Z945*(Y945-AE945),AE945*Delta+PremiumRevisedForLimitedTerm-Z945*(Y945-AE945))</f>
        <v>2.6644807973540921E-2</v>
      </c>
      <c r="AE945" s="35">
        <f>AE944-StepSize*AD944</f>
        <v>-1.8780004289001961E-2</v>
      </c>
      <c r="AF945" s="1"/>
    </row>
    <row r="946" spans="11:32" x14ac:dyDescent="0.45">
      <c r="K946" s="40">
        <f t="shared" si="246"/>
        <v>9.2100000000000009</v>
      </c>
      <c r="L946" s="41">
        <f t="shared" si="238"/>
        <v>29.21</v>
      </c>
      <c r="M946">
        <f t="shared" si="247"/>
        <v>0.82238851145422365</v>
      </c>
      <c r="N946">
        <f t="shared" si="248"/>
        <v>0.17761148854577391</v>
      </c>
      <c r="O946">
        <f t="shared" si="239"/>
        <v>0.12394471261822482</v>
      </c>
      <c r="P946">
        <f t="shared" si="240"/>
        <v>0.5</v>
      </c>
      <c r="Q946">
        <f t="shared" si="249"/>
        <v>-1.312496343983649E-2</v>
      </c>
      <c r="R946" s="6">
        <f t="shared" si="250"/>
        <v>1.312496343983649E-2</v>
      </c>
      <c r="S946" s="18">
        <f t="shared" si="251"/>
        <v>0.99999999999999756</v>
      </c>
      <c r="T946" s="15"/>
      <c r="U946" s="15"/>
      <c r="V946" s="40">
        <f t="shared" si="252"/>
        <v>0.79</v>
      </c>
      <c r="W946" s="41">
        <f t="shared" si="241"/>
        <v>20.79</v>
      </c>
      <c r="X946">
        <f t="shared" si="253"/>
        <v>1.5239327771888135E-2</v>
      </c>
      <c r="Y946">
        <f t="shared" si="254"/>
        <v>1.826044911669338</v>
      </c>
      <c r="Z946" s="33">
        <f t="shared" si="242"/>
        <v>5.9992490607369504E-2</v>
      </c>
      <c r="AA946" s="33">
        <f t="shared" si="243"/>
        <v>0.5</v>
      </c>
      <c r="AB946">
        <f t="shared" si="244"/>
        <v>1.6506423102202045E-2</v>
      </c>
      <c r="AC946" s="1">
        <f t="shared" si="245"/>
        <v>-3.294962467808138E-3</v>
      </c>
      <c r="AD946" s="35">
        <f>IF(W946&gt;=FinalAgeForPremium, AE946*Delta-Z946*(Y946-AE946),AE946*Delta+PremiumRevisedForLimitedTerm-Z946*(Y946-AE946))</f>
        <v>2.6708880529016849E-2</v>
      </c>
      <c r="AE946" s="35">
        <f>AE945-StepSize*AD945</f>
        <v>-1.9046452368737369E-2</v>
      </c>
      <c r="AF946" s="1"/>
    </row>
    <row r="947" spans="11:32" x14ac:dyDescent="0.45">
      <c r="K947" s="40">
        <f t="shared" si="246"/>
        <v>9.2200000000000006</v>
      </c>
      <c r="L947" s="41">
        <f t="shared" si="238"/>
        <v>29.22</v>
      </c>
      <c r="M947">
        <f t="shared" si="247"/>
        <v>0.82225726181982528</v>
      </c>
      <c r="N947">
        <f t="shared" si="248"/>
        <v>0.17774273818017228</v>
      </c>
      <c r="O947">
        <f t="shared" si="239"/>
        <v>0.12405157135375673</v>
      </c>
      <c r="P947">
        <f t="shared" si="240"/>
        <v>0.5</v>
      </c>
      <c r="Q947">
        <f t="shared" si="249"/>
        <v>-1.3130936295700543E-2</v>
      </c>
      <c r="R947" s="6">
        <f t="shared" si="250"/>
        <v>1.3130936295700543E-2</v>
      </c>
      <c r="S947" s="18">
        <f t="shared" si="251"/>
        <v>0.99999999999999756</v>
      </c>
      <c r="T947" s="15"/>
      <c r="U947" s="15"/>
      <c r="V947" s="40">
        <f t="shared" si="252"/>
        <v>0.78</v>
      </c>
      <c r="W947" s="41">
        <f t="shared" si="241"/>
        <v>20.78</v>
      </c>
      <c r="X947">
        <f t="shared" si="253"/>
        <v>1.5074263540866115E-2</v>
      </c>
      <c r="Y947">
        <f t="shared" si="254"/>
        <v>1.8260778612940161</v>
      </c>
      <c r="Z947" s="33">
        <f t="shared" si="242"/>
        <v>5.9940812731646087E-2</v>
      </c>
      <c r="AA947" s="33">
        <f t="shared" si="243"/>
        <v>0.5</v>
      </c>
      <c r="AB947">
        <f t="shared" si="244"/>
        <v>1.6579879365132083E-2</v>
      </c>
      <c r="AC947" s="1">
        <f t="shared" si="245"/>
        <v>-3.1943080587242267E-3</v>
      </c>
      <c r="AD947" s="35">
        <f>IF(W947&gt;=FinalAgeForPremium, AE947*Delta-Z947*(Y947-AE947),AE947*Delta+PremiumRevisedForLimitedTerm-Z947*(Y947-AE947))</f>
        <v>2.6772891943618427E-2</v>
      </c>
      <c r="AE947" s="35">
        <f>AE946-StepSize*AD946</f>
        <v>-1.9313541174027539E-2</v>
      </c>
      <c r="AF947" s="1"/>
    </row>
    <row r="948" spans="11:32" x14ac:dyDescent="0.45">
      <c r="K948" s="40">
        <f t="shared" si="246"/>
        <v>9.23</v>
      </c>
      <c r="L948" s="41">
        <f t="shared" si="238"/>
        <v>29.23</v>
      </c>
      <c r="M948">
        <f t="shared" si="247"/>
        <v>0.82212595245686826</v>
      </c>
      <c r="N948">
        <f t="shared" si="248"/>
        <v>0.17787404754312927</v>
      </c>
      <c r="O948">
        <f t="shared" si="239"/>
        <v>0.12415852221737644</v>
      </c>
      <c r="P948">
        <f t="shared" si="240"/>
        <v>0.5</v>
      </c>
      <c r="Q948">
        <f t="shared" si="249"/>
        <v>-1.3136919562033209E-2</v>
      </c>
      <c r="R948" s="6">
        <f t="shared" si="250"/>
        <v>1.3136919562033209E-2</v>
      </c>
      <c r="S948" s="18">
        <f t="shared" si="251"/>
        <v>0.99999999999999756</v>
      </c>
      <c r="T948" s="15"/>
      <c r="U948" s="15"/>
      <c r="V948" s="40">
        <f t="shared" si="252"/>
        <v>0.77</v>
      </c>
      <c r="W948" s="41">
        <f t="shared" si="241"/>
        <v>20.77</v>
      </c>
      <c r="X948">
        <f t="shared" si="253"/>
        <v>1.4908464747214795E-2</v>
      </c>
      <c r="Y948">
        <f t="shared" si="254"/>
        <v>1.8261098043746034</v>
      </c>
      <c r="Z948" s="33">
        <f t="shared" si="242"/>
        <v>5.9889179371541403E-2</v>
      </c>
      <c r="AA948" s="33">
        <f t="shared" si="243"/>
        <v>0.5</v>
      </c>
      <c r="AB948">
        <f t="shared" si="244"/>
        <v>1.6653255027787667E-2</v>
      </c>
      <c r="AC948" s="1">
        <f t="shared" si="245"/>
        <v>-3.0938399675756179E-3</v>
      </c>
      <c r="AD948" s="35">
        <f>IF(W948&gt;=FinalAgeForPremium, AE948*Delta-Z948*(Y948-AE948),AE948*Delta+PremiumRevisedForLimitedTerm-Z948*(Y948-AE948))</f>
        <v>2.6836842146302303E-2</v>
      </c>
      <c r="AE948" s="35">
        <f>AE947-StepSize*AD947</f>
        <v>-1.9581270093463724E-2</v>
      </c>
      <c r="AF948" s="1"/>
    </row>
    <row r="949" spans="11:32" x14ac:dyDescent="0.45">
      <c r="K949" s="40">
        <f t="shared" si="246"/>
        <v>9.24</v>
      </c>
      <c r="L949" s="41">
        <f t="shared" si="238"/>
        <v>29.240000000000002</v>
      </c>
      <c r="M949">
        <f t="shared" si="247"/>
        <v>0.82199458326124797</v>
      </c>
      <c r="N949">
        <f t="shared" si="248"/>
        <v>0.17800541673874962</v>
      </c>
      <c r="O949">
        <f t="shared" si="239"/>
        <v>0.12426556528851194</v>
      </c>
      <c r="P949">
        <f t="shared" si="240"/>
        <v>0.5</v>
      </c>
      <c r="Q949">
        <f t="shared" si="249"/>
        <v>-1.3142913183678967E-2</v>
      </c>
      <c r="R949" s="6">
        <f t="shared" si="250"/>
        <v>1.3142913183678967E-2</v>
      </c>
      <c r="S949" s="18">
        <f t="shared" si="251"/>
        <v>0.99999999999999756</v>
      </c>
      <c r="T949" s="15"/>
      <c r="U949" s="15"/>
      <c r="V949" s="40">
        <f t="shared" si="252"/>
        <v>0.76</v>
      </c>
      <c r="W949" s="41">
        <f t="shared" si="241"/>
        <v>20.76</v>
      </c>
      <c r="X949">
        <f t="shared" si="253"/>
        <v>1.4741932196936919E-2</v>
      </c>
      <c r="Y949">
        <f t="shared" si="254"/>
        <v>1.8261407427742791</v>
      </c>
      <c r="Z949" s="33">
        <f t="shared" si="242"/>
        <v>5.9837590488709458E-2</v>
      </c>
      <c r="AA949" s="33">
        <f t="shared" si="243"/>
        <v>0.5</v>
      </c>
      <c r="AB949">
        <f t="shared" si="244"/>
        <v>1.6726550068132118E-2</v>
      </c>
      <c r="AC949" s="1">
        <f t="shared" si="245"/>
        <v>-2.993557572614991E-3</v>
      </c>
      <c r="AD949" s="35">
        <f>IF(W949&gt;=FinalAgeForPremium, AE949*Delta-Z949*(Y949-AE949),AE949*Delta+PremiumRevisedForLimitedTerm-Z949*(Y949-AE949))</f>
        <v>2.6900731066820088E-2</v>
      </c>
      <c r="AE949" s="35">
        <f>AE948-StepSize*AD948</f>
        <v>-1.9849638514926746E-2</v>
      </c>
      <c r="AF949" s="1"/>
    </row>
    <row r="950" spans="11:32" x14ac:dyDescent="0.45">
      <c r="K950" s="40">
        <f t="shared" si="246"/>
        <v>9.25</v>
      </c>
      <c r="L950" s="41">
        <f t="shared" si="238"/>
        <v>29.25</v>
      </c>
      <c r="M950">
        <f t="shared" si="247"/>
        <v>0.82186315412941113</v>
      </c>
      <c r="N950">
        <f t="shared" si="248"/>
        <v>0.1781368458705864</v>
      </c>
      <c r="O950">
        <f t="shared" si="239"/>
        <v>0.12437270064665981</v>
      </c>
      <c r="P950">
        <f t="shared" si="240"/>
        <v>0.5</v>
      </c>
      <c r="Q950">
        <f t="shared" si="249"/>
        <v>-1.3148917105763686E-2</v>
      </c>
      <c r="R950" s="6">
        <f t="shared" si="250"/>
        <v>1.3148917105763686E-2</v>
      </c>
      <c r="S950" s="18">
        <f t="shared" si="251"/>
        <v>0.99999999999999756</v>
      </c>
      <c r="T950" s="15"/>
      <c r="U950" s="15"/>
      <c r="V950" s="40">
        <f t="shared" si="252"/>
        <v>0.75</v>
      </c>
      <c r="W950" s="41">
        <f t="shared" si="241"/>
        <v>20.75</v>
      </c>
      <c r="X950">
        <f t="shared" si="253"/>
        <v>1.4574666696255598E-2</v>
      </c>
      <c r="Y950">
        <f t="shared" si="254"/>
        <v>1.8261706783500051</v>
      </c>
      <c r="Z950" s="33">
        <f t="shared" si="242"/>
        <v>5.9786046044837261E-2</v>
      </c>
      <c r="AA950" s="33">
        <f t="shared" si="243"/>
        <v>0.5</v>
      </c>
      <c r="AB950">
        <f t="shared" si="244"/>
        <v>1.6799764464785844E-2</v>
      </c>
      <c r="AC950" s="1">
        <f t="shared" si="245"/>
        <v>-2.89346025562498E-3</v>
      </c>
      <c r="AD950" s="35">
        <f>IF(W950&gt;=FinalAgeForPremium, AE950*Delta-Z950*(Y950-AE950),AE950*Delta+PremiumRevisedForLimitedTerm-Z950*(Y950-AE950))</f>
        <v>2.6964558635712912E-2</v>
      </c>
      <c r="AE950" s="35">
        <f>AE949-StepSize*AD949</f>
        <v>-2.0118645825594948E-2</v>
      </c>
      <c r="AF950" s="1"/>
    </row>
    <row r="951" spans="11:32" x14ac:dyDescent="0.45">
      <c r="K951" s="40">
        <f t="shared" si="246"/>
        <v>9.26</v>
      </c>
      <c r="L951" s="41">
        <f t="shared" si="238"/>
        <v>29.259999999999998</v>
      </c>
      <c r="M951">
        <f t="shared" si="247"/>
        <v>0.82173166495835348</v>
      </c>
      <c r="N951">
        <f t="shared" si="248"/>
        <v>0.17826833504164402</v>
      </c>
      <c r="O951">
        <f t="shared" si="239"/>
        <v>0.12447992837138518</v>
      </c>
      <c r="P951">
        <f t="shared" si="240"/>
        <v>0.5</v>
      </c>
      <c r="Q951">
        <f t="shared" si="249"/>
        <v>-1.315493127369291E-2</v>
      </c>
      <c r="R951" s="6">
        <f t="shared" si="250"/>
        <v>1.315493127369291E-2</v>
      </c>
      <c r="S951" s="18">
        <f t="shared" si="251"/>
        <v>0.99999999999999756</v>
      </c>
      <c r="T951" s="15"/>
      <c r="U951" s="15"/>
      <c r="V951" s="40">
        <f t="shared" si="252"/>
        <v>0.74</v>
      </c>
      <c r="W951" s="41">
        <f t="shared" si="241"/>
        <v>20.74</v>
      </c>
      <c r="X951">
        <f t="shared" si="253"/>
        <v>1.4406669051607739E-2</v>
      </c>
      <c r="Y951">
        <f t="shared" si="254"/>
        <v>1.8261996129525613</v>
      </c>
      <c r="Z951" s="33">
        <f t="shared" si="242"/>
        <v>5.9734546001644837E-2</v>
      </c>
      <c r="AA951" s="33">
        <f t="shared" si="243"/>
        <v>0.5</v>
      </c>
      <c r="AB951">
        <f t="shared" si="244"/>
        <v>1.6872898197021036E-2</v>
      </c>
      <c r="AC951" s="1">
        <f t="shared" si="245"/>
        <v>-2.7935474018951911E-3</v>
      </c>
      <c r="AD951" s="35">
        <f>IF(W951&gt;=FinalAgeForPremium, AE951*Delta-Z951*(Y951-AE951),AE951*Delta+PremiumRevisedForLimitedTerm-Z951*(Y951-AE951))</f>
        <v>2.7028324784306001E-2</v>
      </c>
      <c r="AE951" s="35">
        <f>AE950-StepSize*AD950</f>
        <v>-2.0388291411952076E-2</v>
      </c>
      <c r="AF951" s="1"/>
    </row>
    <row r="952" spans="11:32" x14ac:dyDescent="0.45">
      <c r="K952" s="40">
        <f t="shared" si="246"/>
        <v>9.27</v>
      </c>
      <c r="L952" s="41">
        <f t="shared" si="238"/>
        <v>29.27</v>
      </c>
      <c r="M952">
        <f t="shared" si="247"/>
        <v>0.82160011564561652</v>
      </c>
      <c r="N952">
        <f t="shared" si="248"/>
        <v>0.17839988435438095</v>
      </c>
      <c r="O952">
        <f t="shared" si="239"/>
        <v>0.12458724854232178</v>
      </c>
      <c r="P952">
        <f t="shared" si="240"/>
        <v>0.5</v>
      </c>
      <c r="Q952">
        <f t="shared" si="249"/>
        <v>-1.316095563315027E-2</v>
      </c>
      <c r="R952" s="6">
        <f t="shared" si="250"/>
        <v>1.316095563315027E-2</v>
      </c>
      <c r="S952" s="18">
        <f t="shared" si="251"/>
        <v>0.99999999999999745</v>
      </c>
      <c r="T952" s="15"/>
      <c r="U952" s="15"/>
      <c r="V952" s="40">
        <f t="shared" si="252"/>
        <v>0.73</v>
      </c>
      <c r="W952" s="41">
        <f t="shared" si="241"/>
        <v>20.73</v>
      </c>
      <c r="X952">
        <f t="shared" si="253"/>
        <v>1.4237940069637529E-2</v>
      </c>
      <c r="Y952">
        <f t="shared" si="254"/>
        <v>1.8262275484265802</v>
      </c>
      <c r="Z952" s="33">
        <f t="shared" si="242"/>
        <v>5.9683090320885215E-2</v>
      </c>
      <c r="AA952" s="33">
        <f t="shared" si="243"/>
        <v>0.5</v>
      </c>
      <c r="AB952">
        <f t="shared" si="244"/>
        <v>1.6945951244756716E-2</v>
      </c>
      <c r="AC952" s="1">
        <f t="shared" si="245"/>
        <v>-2.6938184001996657E-3</v>
      </c>
      <c r="AD952" s="35">
        <f>IF(W952&gt;=FinalAgeForPremium, AE952*Delta-Z952*(Y952-AE952),AE952*Delta+PremiumRevisedForLimitedTerm-Z952*(Y952-AE952))</f>
        <v>2.7092029444703097E-2</v>
      </c>
      <c r="AE952" s="35">
        <f>AE951-StepSize*AD951</f>
        <v>-2.0658574659795138E-2</v>
      </c>
      <c r="AF952" s="1"/>
    </row>
    <row r="953" spans="11:32" x14ac:dyDescent="0.45">
      <c r="K953" s="40">
        <f t="shared" si="246"/>
        <v>9.2799999999999994</v>
      </c>
      <c r="L953" s="41">
        <f t="shared" si="238"/>
        <v>29.28</v>
      </c>
      <c r="M953">
        <f t="shared" si="247"/>
        <v>0.82146850608928501</v>
      </c>
      <c r="N953">
        <f t="shared" si="248"/>
        <v>0.17853149391071246</v>
      </c>
      <c r="O953">
        <f t="shared" si="239"/>
        <v>0.12469466123917189</v>
      </c>
      <c r="P953">
        <f t="shared" si="240"/>
        <v>0.5</v>
      </c>
      <c r="Q953">
        <f t="shared" si="249"/>
        <v>-1.3166990130095771E-2</v>
      </c>
      <c r="R953" s="6">
        <f t="shared" si="250"/>
        <v>1.3166990130095771E-2</v>
      </c>
      <c r="S953" s="18">
        <f t="shared" si="251"/>
        <v>0.99999999999999745</v>
      </c>
      <c r="T953" s="15"/>
      <c r="U953" s="15"/>
      <c r="V953" s="40">
        <f t="shared" si="252"/>
        <v>0.72</v>
      </c>
      <c r="W953" s="41">
        <f t="shared" si="241"/>
        <v>20.72</v>
      </c>
      <c r="X953">
        <f t="shared" si="253"/>
        <v>1.4068480557189962E-2</v>
      </c>
      <c r="Y953">
        <f t="shared" si="254"/>
        <v>1.8262544866105821</v>
      </c>
      <c r="Z953" s="33">
        <f t="shared" si="242"/>
        <v>5.9631678964344299E-2</v>
      </c>
      <c r="AA953" s="33">
        <f t="shared" si="243"/>
        <v>0.5</v>
      </c>
      <c r="AB953">
        <f t="shared" si="244"/>
        <v>1.7018923588553975E-2</v>
      </c>
      <c r="AC953" s="1">
        <f t="shared" si="245"/>
        <v>-2.5942726427747864E-3</v>
      </c>
      <c r="AD953" s="35">
        <f>IF(W953&gt;=FinalAgeForPremium, AE953*Delta-Z953*(Y953-AE953),AE953*Delta+PremiumRevisedForLimitedTerm-Z953*(Y953-AE953))</f>
        <v>2.7155672549781545E-2</v>
      </c>
      <c r="AE953" s="35">
        <f>AE952-StepSize*AD952</f>
        <v>-2.0929494954242168E-2</v>
      </c>
      <c r="AF953" s="1"/>
    </row>
    <row r="954" spans="11:32" x14ac:dyDescent="0.45">
      <c r="K954" s="40">
        <f t="shared" si="246"/>
        <v>9.2899999999999991</v>
      </c>
      <c r="L954" s="41">
        <f t="shared" si="238"/>
        <v>29.29</v>
      </c>
      <c r="M954">
        <f t="shared" si="247"/>
        <v>0.82133683618798403</v>
      </c>
      <c r="N954">
        <f t="shared" si="248"/>
        <v>0.17866316381201341</v>
      </c>
      <c r="O954">
        <f t="shared" si="239"/>
        <v>0.12480216654170657</v>
      </c>
      <c r="P954">
        <f t="shared" si="240"/>
        <v>0.5</v>
      </c>
      <c r="Q954">
        <f t="shared" si="249"/>
        <v>-1.3173034710764447E-2</v>
      </c>
      <c r="R954" s="6">
        <f t="shared" si="250"/>
        <v>1.3173034710764447E-2</v>
      </c>
      <c r="S954" s="18">
        <f t="shared" si="251"/>
        <v>0.99999999999999745</v>
      </c>
      <c r="T954" s="15"/>
      <c r="U954" s="15"/>
      <c r="V954" s="40">
        <f t="shared" si="252"/>
        <v>0.71</v>
      </c>
      <c r="W954" s="41">
        <f t="shared" si="241"/>
        <v>20.71</v>
      </c>
      <c r="X954">
        <f t="shared" si="253"/>
        <v>1.3898291321304422E-2</v>
      </c>
      <c r="Y954">
        <f t="shared" si="254"/>
        <v>1.8262804293370098</v>
      </c>
      <c r="Z954" s="33">
        <f t="shared" si="242"/>
        <v>5.9580311893840998E-2</v>
      </c>
      <c r="AA954" s="33">
        <f t="shared" si="243"/>
        <v>0.5</v>
      </c>
      <c r="AB954">
        <f t="shared" si="244"/>
        <v>1.7091815209610783E-2</v>
      </c>
      <c r="AC954" s="1">
        <f t="shared" si="245"/>
        <v>-2.4949095252967401E-3</v>
      </c>
      <c r="AD954" s="35">
        <f>IF(W954&gt;=FinalAgeForPremium, AE954*Delta-Z954*(Y954-AE954),AE954*Delta+PremiumRevisedForLimitedTerm-Z954*(Y954-AE954))</f>
        <v>2.7219254033186285E-2</v>
      </c>
      <c r="AE954" s="35">
        <f>AE953-StepSize*AD953</f>
        <v>-2.1201051679739982E-2</v>
      </c>
      <c r="AF954" s="1"/>
    </row>
    <row r="955" spans="11:32" x14ac:dyDescent="0.45">
      <c r="K955" s="40">
        <f t="shared" si="246"/>
        <v>9.3000000000000007</v>
      </c>
      <c r="L955" s="41">
        <f t="shared" si="238"/>
        <v>29.3</v>
      </c>
      <c r="M955">
        <f t="shared" si="247"/>
        <v>0.82120510584087636</v>
      </c>
      <c r="N955">
        <f t="shared" si="248"/>
        <v>0.17879489415912106</v>
      </c>
      <c r="O955">
        <f t="shared" si="239"/>
        <v>0.12490976452976579</v>
      </c>
      <c r="P955">
        <f t="shared" si="240"/>
        <v>0.5</v>
      </c>
      <c r="Q955">
        <f t="shared" si="249"/>
        <v>-1.3179089321664728E-2</v>
      </c>
      <c r="R955" s="6">
        <f t="shared" si="250"/>
        <v>1.3179089321664728E-2</v>
      </c>
      <c r="S955" s="18">
        <f t="shared" si="251"/>
        <v>0.99999999999999745</v>
      </c>
      <c r="T955" s="15"/>
      <c r="U955" s="15"/>
      <c r="V955" s="40">
        <f t="shared" si="252"/>
        <v>0.7</v>
      </c>
      <c r="W955" s="41">
        <f t="shared" si="241"/>
        <v>20.7</v>
      </c>
      <c r="X955">
        <f t="shared" si="253"/>
        <v>1.3727373169208315E-2</v>
      </c>
      <c r="Y955">
        <f t="shared" si="254"/>
        <v>1.8263053784322627</v>
      </c>
      <c r="Z955" s="33">
        <f t="shared" si="242"/>
        <v>5.9528989071227008E-2</v>
      </c>
      <c r="AA955" s="33">
        <f t="shared" si="243"/>
        <v>0.5</v>
      </c>
      <c r="AB955">
        <f t="shared" si="244"/>
        <v>1.7164626089757246E-2</v>
      </c>
      <c r="AC955" s="1">
        <f t="shared" si="245"/>
        <v>-2.3957284468596463E-3</v>
      </c>
      <c r="AD955" s="35">
        <f>IF(W955&gt;=FinalAgeForPremium, AE955*Delta-Z955*(Y955-AE955),AE955*Delta+PremiumRevisedForLimitedTerm-Z955*(Y955-AE955))</f>
        <v>2.7282773829325244E-2</v>
      </c>
      <c r="AE955" s="35">
        <f>AE954-StepSize*AD954</f>
        <v>-2.1473244220071845E-2</v>
      </c>
      <c r="AF955" s="1"/>
    </row>
    <row r="956" spans="11:32" x14ac:dyDescent="0.45">
      <c r="K956" s="40">
        <f t="shared" si="246"/>
        <v>9.31</v>
      </c>
      <c r="L956" s="41">
        <f t="shared" si="238"/>
        <v>29.310000000000002</v>
      </c>
      <c r="M956">
        <f t="shared" si="247"/>
        <v>0.82107331494765967</v>
      </c>
      <c r="N956">
        <f t="shared" si="248"/>
        <v>0.17892668505233772</v>
      </c>
      <c r="O956">
        <f t="shared" si="239"/>
        <v>0.12501745528325806</v>
      </c>
      <c r="P956">
        <f t="shared" si="240"/>
        <v>0.5</v>
      </c>
      <c r="Q956">
        <f t="shared" si="249"/>
        <v>-1.3185153909576641E-2</v>
      </c>
      <c r="R956" s="6">
        <f t="shared" si="250"/>
        <v>1.3185153909576641E-2</v>
      </c>
      <c r="S956" s="18">
        <f t="shared" si="251"/>
        <v>0.99999999999999734</v>
      </c>
      <c r="T956" s="15"/>
      <c r="U956" s="15"/>
      <c r="V956" s="40">
        <f t="shared" si="252"/>
        <v>0.69</v>
      </c>
      <c r="W956" s="41">
        <f t="shared" si="241"/>
        <v>20.69</v>
      </c>
      <c r="X956">
        <f t="shared" si="253"/>
        <v>1.3555726908310743E-2</v>
      </c>
      <c r="Y956">
        <f t="shared" si="254"/>
        <v>1.8263293357167314</v>
      </c>
      <c r="Z956" s="33">
        <f t="shared" si="242"/>
        <v>5.9477710458387005E-2</v>
      </c>
      <c r="AA956" s="33">
        <f t="shared" si="243"/>
        <v>0.5</v>
      </c>
      <c r="AB956">
        <f t="shared" si="244"/>
        <v>1.723735621145063E-2</v>
      </c>
      <c r="AC956" s="1">
        <f t="shared" si="245"/>
        <v>-2.2967288099530192E-3</v>
      </c>
      <c r="AD956" s="35">
        <f>IF(W956&gt;=FinalAgeForPremium, AE956*Delta-Z956*(Y956-AE956),AE956*Delta+PremiumRevisedForLimitedTerm-Z956*(Y956-AE956))</f>
        <v>2.7346231873363366E-2</v>
      </c>
      <c r="AE956" s="35">
        <f>AE955-StepSize*AD955</f>
        <v>-2.1746071958365098E-2</v>
      </c>
      <c r="AF956" s="1"/>
    </row>
    <row r="957" spans="11:32" x14ac:dyDescent="0.45">
      <c r="K957" s="40">
        <f t="shared" si="246"/>
        <v>9.32</v>
      </c>
      <c r="L957" s="41">
        <f t="shared" si="238"/>
        <v>29.32</v>
      </c>
      <c r="M957">
        <f t="shared" si="247"/>
        <v>0.82094146340856389</v>
      </c>
      <c r="N957">
        <f t="shared" si="248"/>
        <v>0.17905853659143348</v>
      </c>
      <c r="O957">
        <f t="shared" si="239"/>
        <v>0.12512523888216104</v>
      </c>
      <c r="P957">
        <f t="shared" si="240"/>
        <v>0.5</v>
      </c>
      <c r="Q957">
        <f t="shared" si="249"/>
        <v>-1.3191228421550683E-2</v>
      </c>
      <c r="R957" s="6">
        <f t="shared" si="250"/>
        <v>1.3191228421550683E-2</v>
      </c>
      <c r="S957" s="18">
        <f t="shared" si="251"/>
        <v>0.99999999999999734</v>
      </c>
      <c r="T957" s="15"/>
      <c r="U957" s="15"/>
      <c r="V957" s="40">
        <f t="shared" si="252"/>
        <v>0.68</v>
      </c>
      <c r="W957" s="41">
        <f t="shared" si="241"/>
        <v>20.68</v>
      </c>
      <c r="X957">
        <f t="shared" si="253"/>
        <v>1.3383353346196237E-2</v>
      </c>
      <c r="Y957">
        <f t="shared" si="254"/>
        <v>1.826352303004831</v>
      </c>
      <c r="Z957" s="33">
        <f t="shared" si="242"/>
        <v>5.9426476017238383E-2</v>
      </c>
      <c r="AA957" s="33">
        <f t="shared" si="243"/>
        <v>0.5</v>
      </c>
      <c r="AB957">
        <f t="shared" si="244"/>
        <v>1.731000555777075E-2</v>
      </c>
      <c r="AC957" s="1">
        <f t="shared" si="245"/>
        <v>-2.1979100204411184E-3</v>
      </c>
      <c r="AD957" s="35">
        <f>IF(W957&gt;=FinalAgeForPremium, AE957*Delta-Z957*(Y957-AE957),AE957*Delta+PremiumRevisedForLimitedTerm-Z957*(Y957-AE957))</f>
        <v>2.7409628101218178E-2</v>
      </c>
      <c r="AE957" s="35">
        <f>AE956-StepSize*AD956</f>
        <v>-2.2019534277098733E-2</v>
      </c>
      <c r="AF957" s="1"/>
    </row>
    <row r="958" spans="11:32" x14ac:dyDescent="0.45">
      <c r="K958" s="40">
        <f t="shared" si="246"/>
        <v>9.33</v>
      </c>
      <c r="L958" s="41">
        <f t="shared" si="238"/>
        <v>29.33</v>
      </c>
      <c r="M958">
        <f t="shared" si="247"/>
        <v>0.82080955112434839</v>
      </c>
      <c r="N958">
        <f t="shared" si="248"/>
        <v>0.17919044887564897</v>
      </c>
      <c r="O958">
        <f t="shared" si="239"/>
        <v>0.12523311540652121</v>
      </c>
      <c r="P958">
        <f t="shared" si="240"/>
        <v>0.5</v>
      </c>
      <c r="Q958">
        <f t="shared" si="249"/>
        <v>-1.3197312804905909E-2</v>
      </c>
      <c r="R958" s="6">
        <f t="shared" si="250"/>
        <v>1.3197312804905909E-2</v>
      </c>
      <c r="S958" s="18">
        <f t="shared" si="251"/>
        <v>0.99999999999999734</v>
      </c>
      <c r="T958" s="15"/>
      <c r="U958" s="15"/>
      <c r="V958" s="40">
        <f t="shared" si="252"/>
        <v>0.67</v>
      </c>
      <c r="W958" s="41">
        <f t="shared" si="241"/>
        <v>20.67</v>
      </c>
      <c r="X958">
        <f t="shared" si="253"/>
        <v>1.3210253290618529E-2</v>
      </c>
      <c r="Y958">
        <f t="shared" si="254"/>
        <v>1.8263742821050355</v>
      </c>
      <c r="Z958" s="33">
        <f t="shared" si="242"/>
        <v>5.9375285709731419E-2</v>
      </c>
      <c r="AA958" s="33">
        <f t="shared" si="243"/>
        <v>0.5</v>
      </c>
      <c r="AB958">
        <f t="shared" si="244"/>
        <v>1.7382574112414881E-2</v>
      </c>
      <c r="AC958" s="1">
        <f t="shared" si="245"/>
        <v>-2.0992714875396334E-3</v>
      </c>
      <c r="AD958" s="35">
        <f>IF(W958&gt;=FinalAgeForPremium, AE958*Delta-Z958*(Y958-AE958),AE958*Delta+PremiumRevisedForLimitedTerm-Z958*(Y958-AE958))</f>
        <v>2.7472962449553856E-2</v>
      </c>
      <c r="AE958" s="35">
        <f>AE957-StepSize*AD957</f>
        <v>-2.2293630558110913E-2</v>
      </c>
      <c r="AF958" s="1"/>
    </row>
    <row r="959" spans="11:32" x14ac:dyDescent="0.45">
      <c r="K959" s="40">
        <f t="shared" si="246"/>
        <v>9.34</v>
      </c>
      <c r="L959" s="41">
        <f t="shared" si="238"/>
        <v>29.34</v>
      </c>
      <c r="M959">
        <f t="shared" si="247"/>
        <v>0.82067757799629937</v>
      </c>
      <c r="N959">
        <f t="shared" si="248"/>
        <v>0.17932242200369802</v>
      </c>
      <c r="O959">
        <f t="shared" si="239"/>
        <v>0.12534108493645424</v>
      </c>
      <c r="P959">
        <f t="shared" si="240"/>
        <v>0.5</v>
      </c>
      <c r="Q959">
        <f t="shared" si="249"/>
        <v>-1.320340700722869E-2</v>
      </c>
      <c r="R959" s="6">
        <f t="shared" si="250"/>
        <v>1.320340700722869E-2</v>
      </c>
      <c r="S959" s="18">
        <f t="shared" si="251"/>
        <v>0.99999999999999734</v>
      </c>
      <c r="T959" s="15"/>
      <c r="U959" s="15"/>
      <c r="V959" s="40">
        <f t="shared" si="252"/>
        <v>0.66</v>
      </c>
      <c r="W959" s="41">
        <f t="shared" si="241"/>
        <v>20.66</v>
      </c>
      <c r="X959">
        <f t="shared" si="253"/>
        <v>1.303642754949438E-2</v>
      </c>
      <c r="Y959">
        <f t="shared" si="254"/>
        <v>1.8263952748199108</v>
      </c>
      <c r="Z959" s="33">
        <f t="shared" si="242"/>
        <v>5.9324139497849135E-2</v>
      </c>
      <c r="AA959" s="33">
        <f t="shared" si="243"/>
        <v>0.5</v>
      </c>
      <c r="AB959">
        <f t="shared" si="244"/>
        <v>1.7455061859693297E-2</v>
      </c>
      <c r="AC959" s="1">
        <f t="shared" si="245"/>
        <v>-2.0008126237962554E-3</v>
      </c>
      <c r="AD959" s="35">
        <f>IF(W959&gt;=FinalAgeForPremium, AE959*Delta-Z959*(Y959-AE959),AE959*Delta+PremiumRevisedForLimitedTerm-Z959*(Y959-AE959))</f>
        <v>2.7536234855776665E-2</v>
      </c>
      <c r="AE959" s="35">
        <f>AE958-StepSize*AD958</f>
        <v>-2.2568360182606453E-2</v>
      </c>
      <c r="AF959" s="1"/>
    </row>
    <row r="960" spans="11:32" x14ac:dyDescent="0.45">
      <c r="K960" s="40">
        <f t="shared" si="246"/>
        <v>9.35</v>
      </c>
      <c r="L960" s="41">
        <f t="shared" si="238"/>
        <v>29.35</v>
      </c>
      <c r="M960">
        <f t="shared" si="247"/>
        <v>0.82054554392622703</v>
      </c>
      <c r="N960">
        <f t="shared" si="248"/>
        <v>0.17945445607377031</v>
      </c>
      <c r="O960">
        <f t="shared" si="239"/>
        <v>0.12544914755214454</v>
      </c>
      <c r="P960">
        <f t="shared" si="240"/>
        <v>0.5</v>
      </c>
      <c r="Q960">
        <f t="shared" si="249"/>
        <v>-1.3209510976370797E-2</v>
      </c>
      <c r="R960" s="6">
        <f t="shared" si="250"/>
        <v>1.3209510976370797E-2</v>
      </c>
      <c r="S960" s="18">
        <f t="shared" si="251"/>
        <v>0.99999999999999734</v>
      </c>
      <c r="T960" s="15"/>
      <c r="U960" s="15"/>
      <c r="V960" s="40">
        <f t="shared" si="252"/>
        <v>0.65</v>
      </c>
      <c r="W960" s="41">
        <f t="shared" si="241"/>
        <v>20.65</v>
      </c>
      <c r="X960">
        <f t="shared" si="253"/>
        <v>1.2861876930897447E-2</v>
      </c>
      <c r="Y960">
        <f t="shared" si="254"/>
        <v>1.8264152829461489</v>
      </c>
      <c r="Z960" s="33">
        <f t="shared" si="242"/>
        <v>5.927303734360731E-2</v>
      </c>
      <c r="AA960" s="33">
        <f t="shared" si="243"/>
        <v>0.5</v>
      </c>
      <c r="AB960">
        <f t="shared" si="244"/>
        <v>1.7527468784524297E-2</v>
      </c>
      <c r="AC960" s="1">
        <f t="shared" si="245"/>
        <v>-1.9025328450668066E-3</v>
      </c>
      <c r="AD960" s="35">
        <f>IF(W960&gt;=FinalAgeForPremium, AE960*Delta-Z960*(Y960-AE960),AE960*Delta+PremiumRevisedForLimitedTerm-Z960*(Y960-AE960))</f>
        <v>2.7599445258029459E-2</v>
      </c>
      <c r="AE960" s="35">
        <f>AE959-StepSize*AD959</f>
        <v>-2.2843722531164221E-2</v>
      </c>
      <c r="AF960" s="1"/>
    </row>
    <row r="961" spans="11:32" x14ac:dyDescent="0.45">
      <c r="K961" s="40">
        <f t="shared" si="246"/>
        <v>9.36</v>
      </c>
      <c r="L961" s="41">
        <f t="shared" si="238"/>
        <v>29.36</v>
      </c>
      <c r="M961">
        <f t="shared" si="247"/>
        <v>0.82041344881646328</v>
      </c>
      <c r="N961">
        <f t="shared" si="248"/>
        <v>0.179586551183534</v>
      </c>
      <c r="O961">
        <f t="shared" si="239"/>
        <v>0.1255573033338459</v>
      </c>
      <c r="P961">
        <f t="shared" si="240"/>
        <v>0.5</v>
      </c>
      <c r="Q961">
        <f t="shared" si="249"/>
        <v>-1.3215624660448344E-2</v>
      </c>
      <c r="R961" s="6">
        <f t="shared" si="250"/>
        <v>1.3215624660448344E-2</v>
      </c>
      <c r="S961" s="18">
        <f t="shared" si="251"/>
        <v>0.99999999999999734</v>
      </c>
      <c r="T961" s="15"/>
      <c r="U961" s="15"/>
      <c r="V961" s="40">
        <f t="shared" si="252"/>
        <v>0.64</v>
      </c>
      <c r="W961" s="41">
        <f t="shared" si="241"/>
        <v>20.64</v>
      </c>
      <c r="X961">
        <f t="shared" si="253"/>
        <v>1.2686602243052205E-2</v>
      </c>
      <c r="Y961">
        <f t="shared" si="254"/>
        <v>1.8264343082745995</v>
      </c>
      <c r="Z961" s="33">
        <f t="shared" si="242"/>
        <v>5.9221979209054448E-2</v>
      </c>
      <c r="AA961" s="33">
        <f t="shared" si="243"/>
        <v>0.5</v>
      </c>
      <c r="AB961">
        <f t="shared" si="244"/>
        <v>1.7599794872429797E-2</v>
      </c>
      <c r="AC961" s="1">
        <f t="shared" si="245"/>
        <v>-1.8044315704963676E-3</v>
      </c>
      <c r="AD961" s="35">
        <f>IF(W961&gt;=FinalAgeForPremium, AE961*Delta-Z961*(Y961-AE961),AE961*Delta+PremiumRevisedForLimitedTerm-Z961*(Y961-AE961))</f>
        <v>2.7662593595186705E-2</v>
      </c>
      <c r="AE961" s="35">
        <f>AE960-StepSize*AD960</f>
        <v>-2.3119716983744515E-2</v>
      </c>
      <c r="AF961" s="1"/>
    </row>
    <row r="962" spans="11:32" x14ac:dyDescent="0.45">
      <c r="K962" s="40">
        <f t="shared" si="246"/>
        <v>9.3699999999999992</v>
      </c>
      <c r="L962" s="41">
        <f t="shared" si="238"/>
        <v>29.369999999999997</v>
      </c>
      <c r="M962">
        <f t="shared" si="247"/>
        <v>0.82028129256985882</v>
      </c>
      <c r="N962">
        <f t="shared" si="248"/>
        <v>0.17971870743013849</v>
      </c>
      <c r="O962">
        <f t="shared" si="239"/>
        <v>0.12566555236188134</v>
      </c>
      <c r="P962">
        <f t="shared" si="240"/>
        <v>0.5</v>
      </c>
      <c r="Q962">
        <f t="shared" si="249"/>
        <v>-1.3221748007840067E-2</v>
      </c>
      <c r="R962" s="6">
        <f t="shared" si="250"/>
        <v>1.3221748007840067E-2</v>
      </c>
      <c r="S962" s="18">
        <f t="shared" si="251"/>
        <v>0.99999999999999734</v>
      </c>
      <c r="T962" s="15"/>
      <c r="U962" s="15"/>
      <c r="V962" s="40">
        <f t="shared" si="252"/>
        <v>0.63</v>
      </c>
      <c r="W962" s="41">
        <f t="shared" si="241"/>
        <v>20.63</v>
      </c>
      <c r="X962">
        <f t="shared" si="253"/>
        <v>1.2510604294327907E-2</v>
      </c>
      <c r="Y962">
        <f t="shared" si="254"/>
        <v>1.8264523525903045</v>
      </c>
      <c r="Z962" s="33">
        <f t="shared" si="242"/>
        <v>5.9170965056271715E-2</v>
      </c>
      <c r="AA962" s="33">
        <f t="shared" si="243"/>
        <v>0.5</v>
      </c>
      <c r="AB962">
        <f t="shared" si="244"/>
        <v>1.7672040109530399E-2</v>
      </c>
      <c r="AC962" s="1">
        <f t="shared" si="245"/>
        <v>-1.7065082224965167E-3</v>
      </c>
      <c r="AD962" s="35">
        <f>IF(W962&gt;=FinalAgeForPremium, AE962*Delta-Z962*(Y962-AE962),AE962*Delta+PremiumRevisedForLimitedTerm-Z962*(Y962-AE962))</f>
        <v>2.7725679806849646E-2</v>
      </c>
      <c r="AE962" s="35">
        <f>AE961-StepSize*AD961</f>
        <v>-2.3396342919696382E-2</v>
      </c>
      <c r="AF962" s="1"/>
    </row>
    <row r="963" spans="11:32" x14ac:dyDescent="0.45">
      <c r="K963" s="40">
        <f t="shared" si="246"/>
        <v>9.3800000000000008</v>
      </c>
      <c r="L963" s="41">
        <f t="shared" si="238"/>
        <v>29.380000000000003</v>
      </c>
      <c r="M963">
        <f t="shared" si="247"/>
        <v>0.82014907508978041</v>
      </c>
      <c r="N963">
        <f t="shared" si="248"/>
        <v>0.1798509249102169</v>
      </c>
      <c r="O963">
        <f t="shared" si="239"/>
        <v>0.12577389471664302</v>
      </c>
      <c r="P963">
        <f t="shared" si="240"/>
        <v>0.5</v>
      </c>
      <c r="Q963">
        <f t="shared" si="249"/>
        <v>-1.3227880967185746E-2</v>
      </c>
      <c r="R963" s="6">
        <f t="shared" si="250"/>
        <v>1.3227880967185746E-2</v>
      </c>
      <c r="S963" s="18">
        <f t="shared" si="251"/>
        <v>0.99999999999999734</v>
      </c>
      <c r="T963" s="15"/>
      <c r="U963" s="15"/>
      <c r="V963" s="40">
        <f t="shared" si="252"/>
        <v>0.62</v>
      </c>
      <c r="W963" s="41">
        <f t="shared" si="241"/>
        <v>20.62</v>
      </c>
      <c r="X963">
        <f t="shared" si="253"/>
        <v>1.2333883893232603E-2</v>
      </c>
      <c r="Y963">
        <f t="shared" si="254"/>
        <v>1.8264694176725293</v>
      </c>
      <c r="Z963" s="33">
        <f t="shared" si="242"/>
        <v>5.9119994847372993E-2</v>
      </c>
      <c r="AA963" s="33">
        <f t="shared" si="243"/>
        <v>0.5</v>
      </c>
      <c r="AB963">
        <f t="shared" si="244"/>
        <v>1.7744204482541021E-2</v>
      </c>
      <c r="AC963" s="1">
        <f t="shared" si="245"/>
        <v>-1.6087622267251245E-3</v>
      </c>
      <c r="AD963" s="35">
        <f>IF(W963&gt;=FinalAgeForPremium, AE963*Delta-Z963*(Y963-AE963),AE963*Delta+PremiumRevisedForLimitedTerm-Z963*(Y963-AE963))</f>
        <v>2.7788703833340977E-2</v>
      </c>
      <c r="AE963" s="35">
        <f>AE962-StepSize*AD962</f>
        <v>-2.3673599717764879E-2</v>
      </c>
      <c r="AF963" s="1"/>
    </row>
    <row r="964" spans="11:32" x14ac:dyDescent="0.45">
      <c r="K964" s="40">
        <f t="shared" si="246"/>
        <v>9.39</v>
      </c>
      <c r="L964" s="41">
        <f t="shared" si="238"/>
        <v>29.39</v>
      </c>
      <c r="M964">
        <f t="shared" si="247"/>
        <v>0.8200167962801086</v>
      </c>
      <c r="N964">
        <f t="shared" si="248"/>
        <v>0.17998320371988877</v>
      </c>
      <c r="O964">
        <f t="shared" si="239"/>
        <v>0.12588233047859232</v>
      </c>
      <c r="P964">
        <f t="shared" si="240"/>
        <v>0.5</v>
      </c>
      <c r="Q964">
        <f t="shared" si="249"/>
        <v>-1.3234023487384755E-2</v>
      </c>
      <c r="R964" s="6">
        <f t="shared" si="250"/>
        <v>1.3234023487384755E-2</v>
      </c>
      <c r="S964" s="18">
        <f t="shared" si="251"/>
        <v>0.99999999999999734</v>
      </c>
      <c r="T964" s="15"/>
      <c r="U964" s="15"/>
      <c r="V964" s="40">
        <f t="shared" si="252"/>
        <v>0.61</v>
      </c>
      <c r="W964" s="41">
        <f t="shared" si="241"/>
        <v>20.61</v>
      </c>
      <c r="X964">
        <f t="shared" si="253"/>
        <v>1.2156441848407192E-2</v>
      </c>
      <c r="Y964">
        <f t="shared" si="254"/>
        <v>1.8264855052947966</v>
      </c>
      <c r="Z964" s="33">
        <f t="shared" si="242"/>
        <v>5.9069068544504721E-2</v>
      </c>
      <c r="AA964" s="33">
        <f t="shared" si="243"/>
        <v>0.5</v>
      </c>
      <c r="AB964">
        <f t="shared" si="244"/>
        <v>1.7816287978766193E-2</v>
      </c>
      <c r="AC964" s="1">
        <f t="shared" si="245"/>
        <v>-1.5111930120654815E-3</v>
      </c>
      <c r="AD964" s="35">
        <f>IF(W964&gt;=FinalAgeForPremium, AE964*Delta-Z964*(Y964-AE964),AE964*Delta+PremiumRevisedForLimitedTerm-Z964*(Y964-AE964))</f>
        <v>2.7851665615700183E-2</v>
      </c>
      <c r="AE964" s="35">
        <f>AE963-StepSize*AD963</f>
        <v>-2.3951486756098289E-2</v>
      </c>
      <c r="AF964" s="1"/>
    </row>
    <row r="965" spans="11:32" x14ac:dyDescent="0.45">
      <c r="K965" s="40">
        <f t="shared" si="246"/>
        <v>9.4</v>
      </c>
      <c r="L965" s="41">
        <f t="shared" si="238"/>
        <v>29.4</v>
      </c>
      <c r="M965">
        <f t="shared" si="247"/>
        <v>0.81988445604523474</v>
      </c>
      <c r="N965">
        <f t="shared" si="248"/>
        <v>0.18011554395476262</v>
      </c>
      <c r="O965">
        <f t="shared" si="239"/>
        <v>0.12599085972826018</v>
      </c>
      <c r="P965">
        <f t="shared" si="240"/>
        <v>0.5</v>
      </c>
      <c r="Q965">
        <f t="shared" si="249"/>
        <v>-1.3240175517594766E-2</v>
      </c>
      <c r="R965" s="6">
        <f t="shared" si="250"/>
        <v>1.3240175517594766E-2</v>
      </c>
      <c r="S965" s="18">
        <f t="shared" si="251"/>
        <v>0.99999999999999734</v>
      </c>
      <c r="T965" s="15"/>
      <c r="U965" s="15"/>
      <c r="V965" s="40">
        <f t="shared" si="252"/>
        <v>0.6</v>
      </c>
      <c r="W965" s="41">
        <f t="shared" si="241"/>
        <v>20.6</v>
      </c>
      <c r="X965">
        <f t="shared" si="253"/>
        <v>1.197827896861953E-2</v>
      </c>
      <c r="Y965">
        <f t="shared" si="254"/>
        <v>1.8265006172249172</v>
      </c>
      <c r="Z965" s="33">
        <f t="shared" si="242"/>
        <v>5.9018186109846049E-2</v>
      </c>
      <c r="AA965" s="33">
        <f t="shared" si="243"/>
        <v>0.5</v>
      </c>
      <c r="AB965">
        <f t="shared" si="244"/>
        <v>1.7888290586095451E-2</v>
      </c>
      <c r="AC965" s="1">
        <f t="shared" si="245"/>
        <v>-1.413800010605315E-3</v>
      </c>
      <c r="AD965" s="35">
        <f>IF(W965&gt;=FinalAgeForPremium, AE965*Delta-Z965*(Y965-AE965),AE965*Delta+PremiumRevisedForLimitedTerm-Z965*(Y965-AE965))</f>
        <v>2.7914565095678232E-2</v>
      </c>
      <c r="AE965" s="35">
        <f>AE964-StepSize*AD964</f>
        <v>-2.4230003412255292E-2</v>
      </c>
      <c r="AF965" s="1"/>
    </row>
    <row r="966" spans="11:32" x14ac:dyDescent="0.45">
      <c r="K966" s="40">
        <f t="shared" si="246"/>
        <v>9.41</v>
      </c>
      <c r="L966" s="41">
        <f t="shared" si="238"/>
        <v>29.41</v>
      </c>
      <c r="M966">
        <f t="shared" si="247"/>
        <v>0.81975205429005882</v>
      </c>
      <c r="N966">
        <f t="shared" si="248"/>
        <v>0.18024794570993857</v>
      </c>
      <c r="O966">
        <f t="shared" si="239"/>
        <v>0.12609948254624687</v>
      </c>
      <c r="P966">
        <f t="shared" si="240"/>
        <v>0.5</v>
      </c>
      <c r="Q966">
        <f t="shared" si="249"/>
        <v>-1.3246337007230005E-2</v>
      </c>
      <c r="R966" s="6">
        <f t="shared" si="250"/>
        <v>1.3246337007230005E-2</v>
      </c>
      <c r="S966" s="18">
        <f t="shared" si="251"/>
        <v>0.99999999999999734</v>
      </c>
      <c r="T966" s="15"/>
      <c r="U966" s="15"/>
      <c r="V966" s="40">
        <f t="shared" si="252"/>
        <v>0.59</v>
      </c>
      <c r="W966" s="41">
        <f t="shared" si="241"/>
        <v>20.59</v>
      </c>
      <c r="X966">
        <f t="shared" si="253"/>
        <v>1.1799396062758576E-2</v>
      </c>
      <c r="Y966">
        <f t="shared" si="254"/>
        <v>1.8265147552250232</v>
      </c>
      <c r="Z966" s="33">
        <f t="shared" si="242"/>
        <v>5.89673475056086E-2</v>
      </c>
      <c r="AA966" s="33">
        <f t="shared" si="243"/>
        <v>0.5</v>
      </c>
      <c r="AB966">
        <f t="shared" si="244"/>
        <v>1.7960212292999003E-2</v>
      </c>
      <c r="AC966" s="1">
        <f t="shared" si="245"/>
        <v>-1.3165826576164719E-3</v>
      </c>
      <c r="AD966" s="35">
        <f>IF(W966&gt;=FinalAgeForPremium, AE966*Delta-Z966*(Y966-AE966),AE966*Delta+PremiumRevisedForLimitedTerm-Z966*(Y966-AE966))</f>
        <v>2.797740221573318E-2</v>
      </c>
      <c r="AE966" s="35">
        <f>AE965-StepSize*AD965</f>
        <v>-2.4509149063212075E-2</v>
      </c>
      <c r="AF966" s="1"/>
    </row>
    <row r="967" spans="11:32" x14ac:dyDescent="0.45">
      <c r="K967" s="40">
        <f t="shared" si="246"/>
        <v>9.42</v>
      </c>
      <c r="L967" s="41">
        <f t="shared" si="238"/>
        <v>29.42</v>
      </c>
      <c r="M967">
        <f t="shared" si="247"/>
        <v>0.81961959091998648</v>
      </c>
      <c r="N967">
        <f t="shared" si="248"/>
        <v>0.18038040908001088</v>
      </c>
      <c r="O967">
        <f t="shared" si="239"/>
        <v>0.12620819901322219</v>
      </c>
      <c r="P967">
        <f t="shared" si="240"/>
        <v>0.5</v>
      </c>
      <c r="Q967">
        <f t="shared" si="249"/>
        <v>-1.3252507905959984E-2</v>
      </c>
      <c r="R967" s="6">
        <f t="shared" si="250"/>
        <v>1.3252507905959984E-2</v>
      </c>
      <c r="S967" s="18">
        <f t="shared" si="251"/>
        <v>0.99999999999999734</v>
      </c>
      <c r="T967" s="15"/>
      <c r="U967" s="15"/>
      <c r="V967" s="40">
        <f t="shared" si="252"/>
        <v>0.57999999999999996</v>
      </c>
      <c r="W967" s="41">
        <f t="shared" si="241"/>
        <v>20.58</v>
      </c>
      <c r="X967">
        <f t="shared" si="253"/>
        <v>1.1619793939828586E-2</v>
      </c>
      <c r="Y967">
        <f t="shared" si="254"/>
        <v>1.8265279210515992</v>
      </c>
      <c r="Z967" s="33">
        <f t="shared" si="242"/>
        <v>5.8916552694036624E-2</v>
      </c>
      <c r="AA967" s="33">
        <f t="shared" si="243"/>
        <v>0.5</v>
      </c>
      <c r="AB967">
        <f t="shared" si="244"/>
        <v>1.8032053088523139E-2</v>
      </c>
      <c r="AC967" s="1">
        <f t="shared" si="245"/>
        <v>-1.2195403915347125E-3</v>
      </c>
      <c r="AD967" s="35">
        <f>IF(W967&gt;=FinalAgeForPremium, AE967*Delta-Z967*(Y967-AE967),AE967*Delta+PremiumRevisedForLimitedTerm-Z967*(Y967-AE967))</f>
        <v>2.8040176919024773E-2</v>
      </c>
      <c r="AE967" s="35">
        <f>AE966-StepSize*AD966</f>
        <v>-2.4788923085369407E-2</v>
      </c>
      <c r="AF967" s="1"/>
    </row>
    <row r="968" spans="11:32" x14ac:dyDescent="0.45">
      <c r="K968" s="40">
        <f t="shared" si="246"/>
        <v>9.43</v>
      </c>
      <c r="L968" s="41">
        <f t="shared" si="238"/>
        <v>29.43</v>
      </c>
      <c r="M968">
        <f t="shared" si="247"/>
        <v>0.8194870658409269</v>
      </c>
      <c r="N968">
        <f t="shared" si="248"/>
        <v>0.18051293415907047</v>
      </c>
      <c r="O968">
        <f t="shared" si="239"/>
        <v>0.12631700920992545</v>
      </c>
      <c r="P968">
        <f t="shared" si="240"/>
        <v>0.5</v>
      </c>
      <c r="Q968">
        <f t="shared" si="249"/>
        <v>-1.3258688163707913E-2</v>
      </c>
      <c r="R968" s="6">
        <f t="shared" si="250"/>
        <v>1.3258688163707913E-2</v>
      </c>
      <c r="S968" s="18">
        <f t="shared" si="251"/>
        <v>0.99999999999999734</v>
      </c>
      <c r="T968" s="15"/>
      <c r="U968" s="15"/>
      <c r="V968" s="40">
        <f t="shared" si="252"/>
        <v>0.56999999999999995</v>
      </c>
      <c r="W968" s="41">
        <f t="shared" si="241"/>
        <v>20.57</v>
      </c>
      <c r="X968">
        <f t="shared" si="253"/>
        <v>1.1439473408943355E-2</v>
      </c>
      <c r="Y968">
        <f t="shared" si="254"/>
        <v>1.8265401164555146</v>
      </c>
      <c r="Z968" s="33">
        <f t="shared" si="242"/>
        <v>5.8865801637406866E-2</v>
      </c>
      <c r="AA968" s="33">
        <f t="shared" si="243"/>
        <v>0.5</v>
      </c>
      <c r="AB968">
        <f t="shared" si="244"/>
        <v>1.8103812962285734E-2</v>
      </c>
      <c r="AC968" s="1">
        <f t="shared" si="245"/>
        <v>-1.1226726539386167E-3</v>
      </c>
      <c r="AD968" s="35">
        <f>IF(W968&gt;=FinalAgeForPremium, AE968*Delta-Z968*(Y968-AE968),AE968*Delta+PremiumRevisedForLimitedTerm-Z968*(Y968-AE968))</f>
        <v>2.8102889149409976E-2</v>
      </c>
      <c r="AE968" s="35">
        <f>AE967-StepSize*AD967</f>
        <v>-2.5069324854559656E-2</v>
      </c>
      <c r="AF968" s="1"/>
    </row>
    <row r="969" spans="11:32" x14ac:dyDescent="0.45">
      <c r="K969" s="40">
        <f t="shared" si="246"/>
        <v>9.44</v>
      </c>
      <c r="L969" s="41">
        <f t="shared" si="238"/>
        <v>29.439999999999998</v>
      </c>
      <c r="M969">
        <f t="shared" si="247"/>
        <v>0.81935447895928981</v>
      </c>
      <c r="N969">
        <f t="shared" si="248"/>
        <v>0.18064552104070755</v>
      </c>
      <c r="O969">
        <f t="shared" si="239"/>
        <v>0.12642591321716551</v>
      </c>
      <c r="P969">
        <f t="shared" si="240"/>
        <v>0.5</v>
      </c>
      <c r="Q969">
        <f t="shared" si="249"/>
        <v>-1.3264877730649258E-2</v>
      </c>
      <c r="R969" s="6">
        <f t="shared" si="250"/>
        <v>1.3264877730649258E-2</v>
      </c>
      <c r="S969" s="18">
        <f t="shared" si="251"/>
        <v>0.99999999999999734</v>
      </c>
      <c r="T969" s="15"/>
      <c r="U969" s="15"/>
      <c r="V969" s="40">
        <f t="shared" si="252"/>
        <v>0.56000000000000005</v>
      </c>
      <c r="W969" s="41">
        <f t="shared" si="241"/>
        <v>20.56</v>
      </c>
      <c r="X969">
        <f t="shared" si="253"/>
        <v>1.1258435279320498E-2</v>
      </c>
      <c r="Y969">
        <f t="shared" si="254"/>
        <v>1.8265513431820539</v>
      </c>
      <c r="Z969" s="33">
        <f t="shared" si="242"/>
        <v>5.8815094298028558E-2</v>
      </c>
      <c r="AA969" s="33">
        <f t="shared" si="243"/>
        <v>0.5</v>
      </c>
      <c r="AB969">
        <f t="shared" si="244"/>
        <v>1.8175491904471958E-2</v>
      </c>
      <c r="AC969" s="1">
        <f t="shared" si="245"/>
        <v>-1.0259788895305988E-3</v>
      </c>
      <c r="AD969" s="35">
        <f>IF(W969&gt;=FinalAgeForPremium, AE969*Delta-Z969*(Y969-AE969),AE969*Delta+PremiumRevisedForLimitedTerm-Z969*(Y969-AE969))</f>
        <v>2.8165538851438104E-2</v>
      </c>
      <c r="AE969" s="35">
        <f>AE968-StepSize*AD968</f>
        <v>-2.5350353746053756E-2</v>
      </c>
      <c r="AF969" s="1"/>
    </row>
    <row r="970" spans="11:32" x14ac:dyDescent="0.45">
      <c r="K970" s="40">
        <f t="shared" si="246"/>
        <v>9.4499999999999993</v>
      </c>
      <c r="L970" s="41">
        <f t="shared" si="238"/>
        <v>29.45</v>
      </c>
      <c r="M970">
        <f t="shared" si="247"/>
        <v>0.81922183018198336</v>
      </c>
      <c r="N970">
        <f t="shared" si="248"/>
        <v>0.18077816981801403</v>
      </c>
      <c r="O970">
        <f t="shared" si="239"/>
        <v>0.12653491111582107</v>
      </c>
      <c r="P970">
        <f t="shared" si="240"/>
        <v>0.5</v>
      </c>
      <c r="Q970">
        <f t="shared" si="249"/>
        <v>-1.327107655721052E-2</v>
      </c>
      <c r="R970" s="6">
        <f t="shared" si="250"/>
        <v>1.327107655721052E-2</v>
      </c>
      <c r="S970" s="18">
        <f t="shared" si="251"/>
        <v>0.99999999999999734</v>
      </c>
      <c r="T970" s="15"/>
      <c r="U970" s="15"/>
      <c r="V970" s="40">
        <f t="shared" si="252"/>
        <v>0.55000000000000004</v>
      </c>
      <c r="W970" s="41">
        <f t="shared" si="241"/>
        <v>20.55</v>
      </c>
      <c r="X970">
        <f t="shared" si="253"/>
        <v>1.1076680360275778E-2</v>
      </c>
      <c r="Y970">
        <f t="shared" si="254"/>
        <v>1.8265616029709493</v>
      </c>
      <c r="Z970" s="33">
        <f t="shared" si="242"/>
        <v>5.8764430638243423E-2</v>
      </c>
      <c r="AA970" s="33">
        <f t="shared" si="243"/>
        <v>0.5</v>
      </c>
      <c r="AB970">
        <f t="shared" si="244"/>
        <v>1.8247089905829794E-2</v>
      </c>
      <c r="AC970" s="1">
        <f t="shared" si="245"/>
        <v>-9.2945854611581336E-4</v>
      </c>
      <c r="AD970" s="35">
        <f>IF(W970&gt;=FinalAgeForPremium, AE970*Delta-Z970*(Y970-AE970),AE970*Delta+PremiumRevisedForLimitedTerm-Z970*(Y970-AE970))</f>
        <v>2.8228125970345921E-2</v>
      </c>
      <c r="AE970" s="35">
        <f>AE969-StepSize*AD969</f>
        <v>-2.5632009134568139E-2</v>
      </c>
      <c r="AF970" s="1"/>
    </row>
    <row r="971" spans="11:32" x14ac:dyDescent="0.45">
      <c r="K971" s="40">
        <f t="shared" si="246"/>
        <v>9.4600000000000009</v>
      </c>
      <c r="L971" s="41">
        <f t="shared" si="238"/>
        <v>29.46</v>
      </c>
      <c r="M971">
        <f t="shared" si="247"/>
        <v>0.81908911941641127</v>
      </c>
      <c r="N971">
        <f t="shared" si="248"/>
        <v>0.18091088058358615</v>
      </c>
      <c r="O971">
        <f t="shared" si="239"/>
        <v>0.1266440029868405</v>
      </c>
      <c r="P971">
        <f t="shared" si="240"/>
        <v>0.5</v>
      </c>
      <c r="Q971">
        <f t="shared" si="249"/>
        <v>-1.3277284594067476E-2</v>
      </c>
      <c r="R971" s="6">
        <f t="shared" si="250"/>
        <v>1.3277284594067476E-2</v>
      </c>
      <c r="S971" s="18">
        <f t="shared" si="251"/>
        <v>0.99999999999999745</v>
      </c>
      <c r="T971" s="15"/>
      <c r="U971" s="15"/>
      <c r="V971" s="40">
        <f t="shared" si="252"/>
        <v>0.54</v>
      </c>
      <c r="W971" s="41">
        <f t="shared" si="241"/>
        <v>20.54</v>
      </c>
      <c r="X971">
        <f t="shared" si="253"/>
        <v>1.0894209461217481E-2</v>
      </c>
      <c r="Y971">
        <f t="shared" si="254"/>
        <v>1.8265708975564103</v>
      </c>
      <c r="Z971" s="33">
        <f t="shared" si="242"/>
        <v>5.8713810620425591E-2</v>
      </c>
      <c r="AA971" s="33">
        <f t="shared" si="243"/>
        <v>0.5</v>
      </c>
      <c r="AB971">
        <f t="shared" si="244"/>
        <v>1.8318606957665837E-2</v>
      </c>
      <c r="AC971" s="1">
        <f t="shared" si="245"/>
        <v>-8.3311107458305944E-4</v>
      </c>
      <c r="AD971" s="35">
        <f>IF(W971&gt;=FinalAgeForPremium, AE971*Delta-Z971*(Y971-AE971),AE971*Delta+PremiumRevisedForLimitedTerm-Z971*(Y971-AE971))</f>
        <v>2.8290650452053118E-2</v>
      </c>
      <c r="AE971" s="35">
        <f>AE970-StepSize*AD970</f>
        <v>-2.5914290394271598E-2</v>
      </c>
      <c r="AF971" s="1"/>
    </row>
    <row r="972" spans="11:32" x14ac:dyDescent="0.45">
      <c r="K972" s="40">
        <f t="shared" si="246"/>
        <v>9.4700000000000006</v>
      </c>
      <c r="L972" s="41">
        <f t="shared" si="238"/>
        <v>29.47</v>
      </c>
      <c r="M972">
        <f t="shared" si="247"/>
        <v>0.81895634657047056</v>
      </c>
      <c r="N972">
        <f t="shared" si="248"/>
        <v>0.18104365342952683</v>
      </c>
      <c r="O972">
        <f t="shared" si="239"/>
        <v>0.12675318891124179</v>
      </c>
      <c r="P972">
        <f t="shared" si="240"/>
        <v>0.5</v>
      </c>
      <c r="Q972">
        <f t="shared" si="249"/>
        <v>-1.328350179214384E-2</v>
      </c>
      <c r="R972" s="6">
        <f t="shared" si="250"/>
        <v>1.328350179214384E-2</v>
      </c>
      <c r="S972" s="18">
        <f t="shared" si="251"/>
        <v>0.99999999999999734</v>
      </c>
      <c r="T972" s="15"/>
      <c r="U972" s="15"/>
      <c r="V972" s="40">
        <f t="shared" si="252"/>
        <v>0.53</v>
      </c>
      <c r="W972" s="41">
        <f t="shared" si="241"/>
        <v>20.53</v>
      </c>
      <c r="X972">
        <f t="shared" si="253"/>
        <v>1.0711023391640822E-2</v>
      </c>
      <c r="Y972">
        <f t="shared" si="254"/>
        <v>1.8265792286671563</v>
      </c>
      <c r="Z972" s="33">
        <f t="shared" si="242"/>
        <v>5.8663234206981642E-2</v>
      </c>
      <c r="AA972" s="33">
        <f t="shared" si="243"/>
        <v>0.5</v>
      </c>
      <c r="AB972">
        <f t="shared" si="244"/>
        <v>1.8390043051840721E-2</v>
      </c>
      <c r="AC972" s="1">
        <f t="shared" si="245"/>
        <v>-7.3693592888446346E-4</v>
      </c>
      <c r="AD972" s="35">
        <f>IF(W972&gt;=FinalAgeForPremium, AE972*Delta-Z972*(Y972-AE972),AE972*Delta+PremiumRevisedForLimitedTerm-Z972*(Y972-AE972))</f>
        <v>2.8353112243157397E-2</v>
      </c>
      <c r="AE972" s="35">
        <f>AE971-StepSize*AD971</f>
        <v>-2.619719689879213E-2</v>
      </c>
      <c r="AF972" s="1"/>
    </row>
    <row r="973" spans="11:32" x14ac:dyDescent="0.45">
      <c r="K973" s="40">
        <f t="shared" si="246"/>
        <v>9.48</v>
      </c>
      <c r="L973" s="41">
        <f t="shared" si="238"/>
        <v>29.48</v>
      </c>
      <c r="M973">
        <f t="shared" si="247"/>
        <v>0.81882351155254918</v>
      </c>
      <c r="N973">
        <f t="shared" si="248"/>
        <v>0.18117648844744827</v>
      </c>
      <c r="O973">
        <f t="shared" si="239"/>
        <v>0.126862468970113</v>
      </c>
      <c r="P973">
        <f t="shared" si="240"/>
        <v>0.5</v>
      </c>
      <c r="Q973">
        <f t="shared" si="249"/>
        <v>-1.3289728102610102E-2</v>
      </c>
      <c r="R973" s="6">
        <f t="shared" si="250"/>
        <v>1.3289728102610102E-2</v>
      </c>
      <c r="S973" s="18">
        <f t="shared" si="251"/>
        <v>0.99999999999999745</v>
      </c>
      <c r="T973" s="15"/>
      <c r="U973" s="15"/>
      <c r="V973" s="40">
        <f t="shared" si="252"/>
        <v>0.52</v>
      </c>
      <c r="W973" s="41">
        <f t="shared" si="241"/>
        <v>20.52</v>
      </c>
      <c r="X973">
        <f t="shared" si="253"/>
        <v>1.0527122961122416E-2</v>
      </c>
      <c r="Y973">
        <f t="shared" si="254"/>
        <v>1.8265865980264451</v>
      </c>
      <c r="Z973" s="33">
        <f t="shared" si="242"/>
        <v>5.8612701360350496E-2</v>
      </c>
      <c r="AA973" s="33">
        <f t="shared" si="243"/>
        <v>0.5</v>
      </c>
      <c r="AB973">
        <f t="shared" si="244"/>
        <v>1.8461398180765129E-2</v>
      </c>
      <c r="AC973" s="1">
        <f t="shared" si="245"/>
        <v>-6.4093256601638338E-4</v>
      </c>
      <c r="AD973" s="35">
        <f>IF(W973&gt;=FinalAgeForPremium, AE973*Delta-Z973*(Y973-AE973),AE973*Delta+PremiumRevisedForLimitedTerm-Z973*(Y973-AE973))</f>
        <v>2.8415511290930104E-2</v>
      </c>
      <c r="AE973" s="35">
        <f>AE972-StepSize*AD972</f>
        <v>-2.6480728021223705E-2</v>
      </c>
      <c r="AF973" s="1"/>
    </row>
    <row r="974" spans="11:32" x14ac:dyDescent="0.45">
      <c r="K974" s="40">
        <f t="shared" si="246"/>
        <v>9.49</v>
      </c>
      <c r="L974" s="41">
        <f t="shared" si="238"/>
        <v>29.490000000000002</v>
      </c>
      <c r="M974">
        <f t="shared" si="247"/>
        <v>0.81869061427152312</v>
      </c>
      <c r="N974">
        <f t="shared" si="248"/>
        <v>0.18130938572847438</v>
      </c>
      <c r="O974">
        <f t="shared" si="239"/>
        <v>0.12697184324461205</v>
      </c>
      <c r="P974">
        <f t="shared" si="240"/>
        <v>0.5</v>
      </c>
      <c r="Q974">
        <f t="shared" si="249"/>
        <v>-1.3295963476881792E-2</v>
      </c>
      <c r="R974" s="6">
        <f t="shared" si="250"/>
        <v>1.3295963476881792E-2</v>
      </c>
      <c r="S974" s="18">
        <f t="shared" si="251"/>
        <v>0.99999999999999756</v>
      </c>
      <c r="T974" s="15"/>
      <c r="U974" s="15"/>
      <c r="V974" s="40">
        <f t="shared" si="252"/>
        <v>0.51</v>
      </c>
      <c r="W974" s="41">
        <f t="shared" si="241"/>
        <v>20.51</v>
      </c>
      <c r="X974">
        <f t="shared" si="253"/>
        <v>1.0342508979314765E-2</v>
      </c>
      <c r="Y974">
        <f t="shared" si="254"/>
        <v>1.8265930073521053</v>
      </c>
      <c r="Z974" s="33">
        <f t="shared" si="242"/>
        <v>5.8562212043003478E-2</v>
      </c>
      <c r="AA974" s="33">
        <f t="shared" si="243"/>
        <v>0.5</v>
      </c>
      <c r="AB974">
        <f t="shared" si="244"/>
        <v>1.8532672337395292E-2</v>
      </c>
      <c r="AC974" s="1">
        <f t="shared" si="245"/>
        <v>-5.4510044599942464E-4</v>
      </c>
      <c r="AD974" s="35">
        <f>IF(W974&gt;=FinalAgeForPremium, AE974*Delta-Z974*(Y974-AE974),AE974*Delta+PremiumRevisedForLimitedTerm-Z974*(Y974-AE974))</f>
        <v>2.8477847543311174E-2</v>
      </c>
      <c r="AE974" s="35">
        <f>AE973-StepSize*AD973</f>
        <v>-2.6764883134133007E-2</v>
      </c>
      <c r="AF974" s="1"/>
    </row>
    <row r="975" spans="11:32" x14ac:dyDescent="0.45">
      <c r="K975" s="40">
        <f t="shared" si="246"/>
        <v>9.5</v>
      </c>
      <c r="L975" s="41">
        <f t="shared" si="238"/>
        <v>29.5</v>
      </c>
      <c r="M975">
        <f t="shared" si="247"/>
        <v>0.81855765463675434</v>
      </c>
      <c r="N975">
        <f t="shared" si="248"/>
        <v>0.18144234536324319</v>
      </c>
      <c r="O975">
        <f t="shared" si="239"/>
        <v>0.12708131181596666</v>
      </c>
      <c r="P975">
        <f t="shared" si="240"/>
        <v>0.5</v>
      </c>
      <c r="Q975">
        <f t="shared" si="249"/>
        <v>-1.3302207866618135E-2</v>
      </c>
      <c r="R975" s="6">
        <f t="shared" si="250"/>
        <v>1.3302207866618135E-2</v>
      </c>
      <c r="S975" s="18">
        <f t="shared" si="251"/>
        <v>0.99999999999999756</v>
      </c>
      <c r="T975" s="15"/>
      <c r="U975" s="15"/>
      <c r="V975" s="40">
        <f t="shared" si="252"/>
        <v>0.5</v>
      </c>
      <c r="W975" s="41">
        <f t="shared" si="241"/>
        <v>20.5</v>
      </c>
      <c r="X975">
        <f t="shared" si="253"/>
        <v>1.0157182255940813E-2</v>
      </c>
      <c r="Y975">
        <f t="shared" si="254"/>
        <v>1.8265984583565653</v>
      </c>
      <c r="Z975" s="33">
        <f t="shared" si="242"/>
        <v>5.8511766217444167E-2</v>
      </c>
      <c r="AA975" s="33">
        <f t="shared" si="243"/>
        <v>0.5</v>
      </c>
      <c r="AB975">
        <f t="shared" si="244"/>
        <v>1.8603865515229009E-2</v>
      </c>
      <c r="AC975" s="1">
        <f t="shared" si="245"/>
        <v>-4.4943903185945544E-4</v>
      </c>
      <c r="AD975" s="35">
        <f>IF(W975&gt;=FinalAgeForPremium, AE975*Delta-Z975*(Y975-AE975),AE975*Delta+PremiumRevisedForLimitedTerm-Z975*(Y975-AE975))</f>
        <v>2.8540120948905054E-2</v>
      </c>
      <c r="AE975" s="35">
        <f>AE974-StepSize*AD974</f>
        <v>-2.7049661609566119E-2</v>
      </c>
      <c r="AF975" s="1"/>
    </row>
    <row r="976" spans="11:32" x14ac:dyDescent="0.45">
      <c r="K976" s="40">
        <f t="shared" si="246"/>
        <v>9.51</v>
      </c>
      <c r="L976" s="41">
        <f t="shared" si="238"/>
        <v>29.509999999999998</v>
      </c>
      <c r="M976">
        <f t="shared" si="247"/>
        <v>0.81842463255808817</v>
      </c>
      <c r="N976">
        <f t="shared" si="248"/>
        <v>0.18157536744190939</v>
      </c>
      <c r="O976">
        <f t="shared" si="239"/>
        <v>0.1271908747654748</v>
      </c>
      <c r="P976">
        <f t="shared" si="240"/>
        <v>0.5</v>
      </c>
      <c r="Q976">
        <f t="shared" si="249"/>
        <v>-1.3308461223720827E-2</v>
      </c>
      <c r="R976" s="6">
        <f t="shared" si="250"/>
        <v>1.3308461223720827E-2</v>
      </c>
      <c r="S976" s="18">
        <f t="shared" si="251"/>
        <v>0.99999999999999756</v>
      </c>
      <c r="T976" s="15"/>
      <c r="U976" s="15"/>
      <c r="V976" s="40">
        <f t="shared" si="252"/>
        <v>0.49</v>
      </c>
      <c r="W976" s="41">
        <f t="shared" si="241"/>
        <v>20.49</v>
      </c>
      <c r="X976">
        <f t="shared" si="253"/>
        <v>9.9711436007885231E-3</v>
      </c>
      <c r="Y976">
        <f t="shared" si="254"/>
        <v>1.8266029527468839</v>
      </c>
      <c r="Z976" s="33">
        <f t="shared" si="242"/>
        <v>5.8461363846208522E-2</v>
      </c>
      <c r="AA976" s="33">
        <f t="shared" si="243"/>
        <v>0.5</v>
      </c>
      <c r="AB976">
        <f t="shared" si="244"/>
        <v>1.8674977708301177E-2</v>
      </c>
      <c r="AC976" s="1">
        <f t="shared" si="245"/>
        <v>-3.5394778960806672E-4</v>
      </c>
      <c r="AD976" s="35">
        <f>IF(W976&gt;=FinalAgeForPremium, AE976*Delta-Z976*(Y976-AE976),AE976*Delta+PremiumRevisedForLimitedTerm-Z976*(Y976-AE976))</f>
        <v>2.8602331456975633E-2</v>
      </c>
      <c r="AE976" s="35">
        <f>AE975-StepSize*AD975</f>
        <v>-2.7335062819055171E-2</v>
      </c>
      <c r="AF976" s="1"/>
    </row>
    <row r="977" spans="11:32" x14ac:dyDescent="0.45">
      <c r="K977" s="40">
        <f t="shared" si="246"/>
        <v>9.52</v>
      </c>
      <c r="L977" s="41">
        <f t="shared" si="238"/>
        <v>29.52</v>
      </c>
      <c r="M977">
        <f t="shared" si="247"/>
        <v>0.81829154794585102</v>
      </c>
      <c r="N977">
        <f t="shared" si="248"/>
        <v>0.1817084520541466</v>
      </c>
      <c r="O977">
        <f t="shared" si="239"/>
        <v>0.12730053217450443</v>
      </c>
      <c r="P977">
        <f t="shared" si="240"/>
        <v>0.5</v>
      </c>
      <c r="Q977">
        <f t="shared" si="249"/>
        <v>-1.331472350033254E-2</v>
      </c>
      <c r="R977" s="6">
        <f t="shared" si="250"/>
        <v>1.331472350033254E-2</v>
      </c>
      <c r="S977" s="18">
        <f t="shared" si="251"/>
        <v>0.99999999999999756</v>
      </c>
      <c r="T977" s="15"/>
      <c r="U977" s="15"/>
      <c r="V977" s="40">
        <f t="shared" si="252"/>
        <v>0.48</v>
      </c>
      <c r="W977" s="41">
        <f t="shared" si="241"/>
        <v>20.48</v>
      </c>
      <c r="X977">
        <f t="shared" si="253"/>
        <v>9.7843938237055107E-3</v>
      </c>
      <c r="Y977">
        <f t="shared" si="254"/>
        <v>1.82660649222478</v>
      </c>
      <c r="Z977" s="33">
        <f t="shared" si="242"/>
        <v>5.8411004891864765E-2</v>
      </c>
      <c r="AA977" s="33">
        <f t="shared" si="243"/>
        <v>0.5</v>
      </c>
      <c r="AB977">
        <f t="shared" si="244"/>
        <v>1.8746008911179765E-2</v>
      </c>
      <c r="AC977" s="1">
        <f t="shared" si="245"/>
        <v>-2.5862618822369843E-4</v>
      </c>
      <c r="AD977" s="35">
        <f>IF(W977&gt;=FinalAgeForPremium, AE977*Delta-Z977*(Y977-AE977),AE977*Delta+PremiumRevisedForLimitedTerm-Z977*(Y977-AE977))</f>
        <v>2.8664479017441929E-2</v>
      </c>
      <c r="AE977" s="35">
        <f>AE976-StepSize*AD976</f>
        <v>-2.7621086133624927E-2</v>
      </c>
      <c r="AF977" s="1"/>
    </row>
    <row r="978" spans="11:32" x14ac:dyDescent="0.45">
      <c r="K978" s="40">
        <f t="shared" si="246"/>
        <v>9.5299999999999994</v>
      </c>
      <c r="L978" s="41">
        <f t="shared" si="238"/>
        <v>29.53</v>
      </c>
      <c r="M978">
        <f t="shared" si="247"/>
        <v>0.81815840071084767</v>
      </c>
      <c r="N978">
        <f t="shared" si="248"/>
        <v>0.18184159928914992</v>
      </c>
      <c r="O978">
        <f t="shared" si="239"/>
        <v>0.12741028412449373</v>
      </c>
      <c r="P978">
        <f t="shared" si="240"/>
        <v>0.5</v>
      </c>
      <c r="Q978">
        <f t="shared" si="249"/>
        <v>-1.3320994648835544E-2</v>
      </c>
      <c r="R978" s="6">
        <f t="shared" si="250"/>
        <v>1.3320994648835544E-2</v>
      </c>
      <c r="S978" s="18">
        <f t="shared" si="251"/>
        <v>0.99999999999999756</v>
      </c>
      <c r="T978" s="15"/>
      <c r="U978" s="15"/>
      <c r="V978" s="40">
        <f t="shared" si="252"/>
        <v>0.47</v>
      </c>
      <c r="W978" s="41">
        <f t="shared" si="241"/>
        <v>20.47</v>
      </c>
      <c r="X978">
        <f t="shared" si="253"/>
        <v>9.5969337345937124E-3</v>
      </c>
      <c r="Y978">
        <f t="shared" si="254"/>
        <v>1.8266090784866622</v>
      </c>
      <c r="Z978" s="33">
        <f t="shared" si="242"/>
        <v>5.8360689317013263E-2</v>
      </c>
      <c r="AA978" s="33">
        <f t="shared" si="243"/>
        <v>0.5</v>
      </c>
      <c r="AB978">
        <f t="shared" si="244"/>
        <v>1.8816959118961946E-2</v>
      </c>
      <c r="AC978" s="1">
        <f t="shared" si="245"/>
        <v>-1.6347369963265468E-4</v>
      </c>
      <c r="AD978" s="35">
        <f>IF(W978&gt;=FinalAgeForPremium, AE978*Delta-Z978*(Y978-AE978),AE978*Delta+PremiumRevisedForLimitedTerm-Z978*(Y978-AE978))</f>
        <v>2.8726563580873915E-2</v>
      </c>
      <c r="AE978" s="35">
        <f>AE977-StepSize*AD977</f>
        <v>-2.7907730923799345E-2</v>
      </c>
      <c r="AF978" s="1"/>
    </row>
    <row r="979" spans="11:32" x14ac:dyDescent="0.45">
      <c r="K979" s="40">
        <f t="shared" si="246"/>
        <v>9.5399999999999991</v>
      </c>
      <c r="L979" s="41">
        <f t="shared" si="238"/>
        <v>29.54</v>
      </c>
      <c r="M979">
        <f t="shared" si="247"/>
        <v>0.81802519076435931</v>
      </c>
      <c r="N979">
        <f t="shared" si="248"/>
        <v>0.18197480923563827</v>
      </c>
      <c r="O979">
        <f t="shared" si="239"/>
        <v>0.12752013069695095</v>
      </c>
      <c r="P979">
        <f t="shared" si="240"/>
        <v>0.5</v>
      </c>
      <c r="Q979">
        <f t="shared" si="249"/>
        <v>-1.3327274621850196E-2</v>
      </c>
      <c r="R979" s="6">
        <f t="shared" si="250"/>
        <v>1.3327274621850196E-2</v>
      </c>
      <c r="S979" s="18">
        <f t="shared" si="251"/>
        <v>0.99999999999999756</v>
      </c>
      <c r="T979" s="15"/>
      <c r="U979" s="15"/>
      <c r="V979" s="40">
        <f t="shared" si="252"/>
        <v>0.46</v>
      </c>
      <c r="W979" s="41">
        <f t="shared" si="241"/>
        <v>20.46</v>
      </c>
      <c r="X979">
        <f t="shared" si="253"/>
        <v>9.4087641434040924E-3</v>
      </c>
      <c r="Y979">
        <f t="shared" si="254"/>
        <v>1.8266107132236586</v>
      </c>
      <c r="Z979" s="33">
        <f t="shared" si="242"/>
        <v>5.8310417084286748E-2</v>
      </c>
      <c r="AA979" s="33">
        <f t="shared" si="243"/>
        <v>0.5</v>
      </c>
      <c r="AB979">
        <f t="shared" si="244"/>
        <v>1.8887828327269415E-2</v>
      </c>
      <c r="AC979" s="1">
        <f t="shared" si="245"/>
        <v>-6.8489798689896908E-5</v>
      </c>
      <c r="AD979" s="35">
        <f>IF(W979&gt;=FinalAgeForPremium, AE979*Delta-Z979*(Y979-AE979),AE979*Delta+PremiumRevisedForLimitedTerm-Z979*(Y979-AE979))</f>
        <v>2.8788585098487349E-2</v>
      </c>
      <c r="AE979" s="35">
        <f>AE978-StepSize*AD978</f>
        <v>-2.8194996559608086E-2</v>
      </c>
      <c r="AF979" s="1"/>
    </row>
    <row r="980" spans="11:32" x14ac:dyDescent="0.45">
      <c r="K980" s="40">
        <f t="shared" si="246"/>
        <v>9.5500000000000007</v>
      </c>
      <c r="L980" s="41">
        <f t="shared" si="238"/>
        <v>29.55</v>
      </c>
      <c r="M980">
        <f t="shared" si="247"/>
        <v>0.81789191801814076</v>
      </c>
      <c r="N980">
        <f t="shared" si="248"/>
        <v>0.18210808198185677</v>
      </c>
      <c r="O980">
        <f t="shared" si="239"/>
        <v>0.12763007197345472</v>
      </c>
      <c r="P980">
        <f t="shared" si="240"/>
        <v>0.5</v>
      </c>
      <c r="Q980">
        <f t="shared" si="249"/>
        <v>-1.3333563372233848E-2</v>
      </c>
      <c r="R980" s="6">
        <f t="shared" si="250"/>
        <v>1.3333563372233848E-2</v>
      </c>
      <c r="S980" s="18">
        <f t="shared" si="251"/>
        <v>0.99999999999999756</v>
      </c>
      <c r="T980" s="15"/>
      <c r="U980" s="15"/>
      <c r="V980" s="40">
        <f t="shared" si="252"/>
        <v>0.45</v>
      </c>
      <c r="W980" s="41">
        <f t="shared" si="241"/>
        <v>20.45</v>
      </c>
      <c r="X980">
        <f t="shared" si="253"/>
        <v>9.219885860131399E-3</v>
      </c>
      <c r="Y980">
        <f t="shared" si="254"/>
        <v>1.8266113981216456</v>
      </c>
      <c r="Z980" s="33">
        <f t="shared" si="242"/>
        <v>5.8260188156350007E-2</v>
      </c>
      <c r="AA980" s="33">
        <f t="shared" si="243"/>
        <v>0.5</v>
      </c>
      <c r="AB980">
        <f t="shared" si="244"/>
        <v>1.8958616532244926E-2</v>
      </c>
      <c r="AC980" s="1">
        <f t="shared" si="245"/>
        <v>2.6326036839385836E-5</v>
      </c>
      <c r="AD980" s="35">
        <f>IF(W980&gt;=FinalAgeForPremium, AE980*Delta-Z980*(Y980-AE980),AE980*Delta+PremiumRevisedForLimitedTerm-Z980*(Y980-AE980))</f>
        <v>2.8850543522139921E-2</v>
      </c>
      <c r="AE980" s="35">
        <f>AE979-StepSize*AD979</f>
        <v>-2.848288241059296E-2</v>
      </c>
      <c r="AF980" s="1"/>
    </row>
    <row r="981" spans="11:32" x14ac:dyDescent="0.45">
      <c r="K981" s="40">
        <f t="shared" si="246"/>
        <v>9.56</v>
      </c>
      <c r="L981" s="41">
        <f t="shared" si="238"/>
        <v>29.560000000000002</v>
      </c>
      <c r="M981">
        <f t="shared" si="247"/>
        <v>0.81775858238441845</v>
      </c>
      <c r="N981">
        <f t="shared" si="248"/>
        <v>0.1822414176155791</v>
      </c>
      <c r="O981">
        <f t="shared" si="239"/>
        <v>0.12774010803565408</v>
      </c>
      <c r="P981">
        <f t="shared" si="240"/>
        <v>0.5</v>
      </c>
      <c r="Q981">
        <f t="shared" si="249"/>
        <v>-1.3339860853079394E-2</v>
      </c>
      <c r="R981" s="6">
        <f t="shared" si="250"/>
        <v>1.3339860853079394E-2</v>
      </c>
      <c r="S981" s="18">
        <f t="shared" si="251"/>
        <v>0.99999999999999756</v>
      </c>
      <c r="T981" s="15"/>
      <c r="U981" s="15"/>
      <c r="V981" s="40">
        <f t="shared" si="252"/>
        <v>0.44</v>
      </c>
      <c r="W981" s="41">
        <f t="shared" si="241"/>
        <v>20.440000000000001</v>
      </c>
      <c r="X981">
        <f t="shared" si="253"/>
        <v>9.0302996948089503E-3</v>
      </c>
      <c r="Y981">
        <f t="shared" si="254"/>
        <v>1.8266111348612772</v>
      </c>
      <c r="Z981" s="33">
        <f t="shared" si="242"/>
        <v>5.8210002495900089E-2</v>
      </c>
      <c r="AA981" s="33">
        <f t="shared" si="243"/>
        <v>0.5</v>
      </c>
      <c r="AB981">
        <f t="shared" si="244"/>
        <v>1.9029323730547817E-2</v>
      </c>
      <c r="AC981" s="1">
        <f t="shared" si="245"/>
        <v>1.2097432629809557E-4</v>
      </c>
      <c r="AD981" s="35">
        <f>IF(W981&gt;=FinalAgeForPremium, AE981*Delta-Z981*(Y981-AE981),AE981*Delta+PremiumRevisedForLimitedTerm-Z981*(Y981-AE981))</f>
        <v>2.8912438804326604E-2</v>
      </c>
      <c r="AE981" s="35">
        <f>AE980-StepSize*AD980</f>
        <v>-2.8771387845814358E-2</v>
      </c>
      <c r="AF981" s="1"/>
    </row>
    <row r="982" spans="11:32" x14ac:dyDescent="0.45">
      <c r="K982" s="40">
        <f t="shared" si="246"/>
        <v>9.57</v>
      </c>
      <c r="L982" s="41">
        <f t="shared" si="238"/>
        <v>29.57</v>
      </c>
      <c r="M982">
        <f t="shared" si="247"/>
        <v>0.81762518377588767</v>
      </c>
      <c r="N982">
        <f t="shared" si="248"/>
        <v>0.18237481622410989</v>
      </c>
      <c r="O982">
        <f t="shared" si="239"/>
        <v>0.12785023896526818</v>
      </c>
      <c r="P982">
        <f t="shared" si="240"/>
        <v>0.5</v>
      </c>
      <c r="Q982">
        <f t="shared" si="249"/>
        <v>-1.33461670177136E-2</v>
      </c>
      <c r="R982" s="6">
        <f t="shared" si="250"/>
        <v>1.33461670177136E-2</v>
      </c>
      <c r="S982" s="18">
        <f t="shared" si="251"/>
        <v>0.99999999999999756</v>
      </c>
      <c r="T982" s="15"/>
      <c r="U982" s="15"/>
      <c r="V982" s="40">
        <f t="shared" si="252"/>
        <v>0.43</v>
      </c>
      <c r="W982" s="41">
        <f t="shared" si="241"/>
        <v>20.43</v>
      </c>
      <c r="X982">
        <f t="shared" si="253"/>
        <v>8.8400064575034718E-3</v>
      </c>
      <c r="Y982">
        <f t="shared" si="254"/>
        <v>1.8266099251180143</v>
      </c>
      <c r="Z982" s="33">
        <f t="shared" si="242"/>
        <v>5.8159860065666091E-2</v>
      </c>
      <c r="AA982" s="33">
        <f t="shared" si="243"/>
        <v>0.5</v>
      </c>
      <c r="AB982">
        <f t="shared" si="244"/>
        <v>1.9099949919350281E-2</v>
      </c>
      <c r="AC982" s="1">
        <f t="shared" si="245"/>
        <v>2.1545558615621019E-4</v>
      </c>
      <c r="AD982" s="35">
        <f>IF(W982&gt;=FinalAgeForPremium, AE982*Delta-Z982*(Y982-AE982),AE982*Delta+PremiumRevisedForLimitedTerm-Z982*(Y982-AE982))</f>
        <v>2.8974270898175378E-2</v>
      </c>
      <c r="AE982" s="35">
        <f>AE981-StepSize*AD981</f>
        <v>-2.9060512233857624E-2</v>
      </c>
      <c r="AF982" s="1"/>
    </row>
    <row r="983" spans="11:32" x14ac:dyDescent="0.45">
      <c r="K983" s="40">
        <f t="shared" si="246"/>
        <v>9.58</v>
      </c>
      <c r="L983" s="41">
        <f t="shared" si="238"/>
        <v>29.58</v>
      </c>
      <c r="M983">
        <f t="shared" si="247"/>
        <v>0.81749172210571053</v>
      </c>
      <c r="N983">
        <f t="shared" si="248"/>
        <v>0.18250827789428703</v>
      </c>
      <c r="O983">
        <f t="shared" si="239"/>
        <v>0.12796046484408688</v>
      </c>
      <c r="P983">
        <f t="shared" si="240"/>
        <v>0.5</v>
      </c>
      <c r="Q983">
        <f t="shared" si="249"/>
        <v>-1.3352481819696296E-2</v>
      </c>
      <c r="R983" s="6">
        <f t="shared" si="250"/>
        <v>1.3352481819696296E-2</v>
      </c>
      <c r="S983" s="18">
        <f t="shared" si="251"/>
        <v>0.99999999999999756</v>
      </c>
      <c r="T983" s="15"/>
      <c r="U983" s="15"/>
      <c r="V983" s="40">
        <f t="shared" si="252"/>
        <v>0.42</v>
      </c>
      <c r="W983" s="41">
        <f t="shared" si="241"/>
        <v>20.420000000000002</v>
      </c>
      <c r="X983">
        <f t="shared" si="253"/>
        <v>8.6490069583099686E-3</v>
      </c>
      <c r="Y983">
        <f t="shared" si="254"/>
        <v>1.8266077705621528</v>
      </c>
      <c r="Z983" s="33">
        <f t="shared" si="242"/>
        <v>5.8109760828409289E-2</v>
      </c>
      <c r="AA983" s="33">
        <f t="shared" si="243"/>
        <v>0.5</v>
      </c>
      <c r="AB983">
        <f t="shared" si="244"/>
        <v>1.9170495096333201E-2</v>
      </c>
      <c r="AC983" s="1">
        <f t="shared" si="245"/>
        <v>3.0977033002899113E-4</v>
      </c>
      <c r="AD983" s="35">
        <f>IF(W983&gt;=FinalAgeForPremium, AE983*Delta-Z983*(Y983-AE983),AE983*Delta+PremiumRevisedForLimitedTerm-Z983*(Y983-AE983))</f>
        <v>2.9036039757442733E-2</v>
      </c>
      <c r="AE983" s="35">
        <f>AE982-StepSize*AD982</f>
        <v>-2.9350254942839379E-2</v>
      </c>
      <c r="AF983" s="1"/>
    </row>
    <row r="984" spans="11:32" x14ac:dyDescent="0.45">
      <c r="K984" s="40">
        <f t="shared" si="246"/>
        <v>9.59</v>
      </c>
      <c r="L984" s="41">
        <f t="shared" si="238"/>
        <v>29.59</v>
      </c>
      <c r="M984">
        <f t="shared" si="247"/>
        <v>0.81735819728751358</v>
      </c>
      <c r="N984">
        <f t="shared" si="248"/>
        <v>0.18264180271248398</v>
      </c>
      <c r="O984">
        <f t="shared" si="239"/>
        <v>0.12807078575397063</v>
      </c>
      <c r="P984">
        <f t="shared" si="240"/>
        <v>0.5</v>
      </c>
      <c r="Q984">
        <f t="shared" si="249"/>
        <v>-1.3358805212818819E-2</v>
      </c>
      <c r="R984" s="6">
        <f t="shared" si="250"/>
        <v>1.3358805212818819E-2</v>
      </c>
      <c r="S984" s="18">
        <f t="shared" si="251"/>
        <v>0.99999999999999756</v>
      </c>
      <c r="T984" s="15"/>
      <c r="U984" s="15"/>
      <c r="V984" s="40">
        <f t="shared" si="252"/>
        <v>0.41</v>
      </c>
      <c r="W984" s="41">
        <f t="shared" si="241"/>
        <v>20.41</v>
      </c>
      <c r="X984">
        <f t="shared" si="253"/>
        <v>8.4573020073466371E-3</v>
      </c>
      <c r="Y984">
        <f t="shared" si="254"/>
        <v>1.8266046728588525</v>
      </c>
      <c r="Z984" s="33">
        <f t="shared" si="242"/>
        <v>5.8059704746922992E-2</v>
      </c>
      <c r="AA984" s="33">
        <f t="shared" si="243"/>
        <v>0.5</v>
      </c>
      <c r="AB984">
        <f t="shared" si="244"/>
        <v>1.9240959259682264E-2</v>
      </c>
      <c r="AC984" s="1">
        <f t="shared" si="245"/>
        <v>4.039190686956351E-4</v>
      </c>
      <c r="AD984" s="35">
        <f>IF(W984&gt;=FinalAgeForPremium, AE984*Delta-Z984*(Y984-AE984),AE984*Delta+PremiumRevisedForLimitedTerm-Z984*(Y984-AE984))</f>
        <v>2.9097745336509467E-2</v>
      </c>
      <c r="AE984" s="35">
        <f>AE983-StepSize*AD983</f>
        <v>-2.9640615340413807E-2</v>
      </c>
      <c r="AF984" s="1"/>
    </row>
    <row r="985" spans="11:32" x14ac:dyDescent="0.45">
      <c r="K985" s="40">
        <f t="shared" si="246"/>
        <v>9.6</v>
      </c>
      <c r="L985" s="41">
        <f t="shared" ref="L985:L1025" si="255">$L$5+K985</f>
        <v>29.6</v>
      </c>
      <c r="M985">
        <f t="shared" si="247"/>
        <v>0.81722460923538542</v>
      </c>
      <c r="N985">
        <f t="shared" si="248"/>
        <v>0.18277539076461216</v>
      </c>
      <c r="O985">
        <f t="shared" ref="O985:O1025" si="256">mu01Parameter_B*mu01Parameter_c^L985</f>
        <v>0.12818120177685022</v>
      </c>
      <c r="P985">
        <f t="shared" ref="P985:P1025" si="257">mu10Constant</f>
        <v>0.5</v>
      </c>
      <c r="Q985">
        <f t="shared" si="249"/>
        <v>-1.3365137151102435E-2</v>
      </c>
      <c r="R985" s="6">
        <f t="shared" si="250"/>
        <v>1.3365137151102435E-2</v>
      </c>
      <c r="S985" s="18">
        <f t="shared" si="251"/>
        <v>0.99999999999999756</v>
      </c>
      <c r="T985" s="15"/>
      <c r="U985" s="15"/>
      <c r="V985" s="40">
        <f t="shared" si="252"/>
        <v>0.4</v>
      </c>
      <c r="W985" s="41">
        <f t="shared" ref="W985:W1025" si="258">$L$5+V985</f>
        <v>20.399999999999999</v>
      </c>
      <c r="X985">
        <f t="shared" si="253"/>
        <v>8.2648924147498137E-3</v>
      </c>
      <c r="Y985">
        <f t="shared" si="254"/>
        <v>1.8266006336681655</v>
      </c>
      <c r="Z985" s="33">
        <f t="shared" ref="Z985:Z1025" si="259">mu01Parameter_B*mu01Parameter_c^W985</f>
        <v>5.800969178403257E-2</v>
      </c>
      <c r="AA985" s="33">
        <f t="shared" ref="AA985:AA1025" si="260">mu10Constant</f>
        <v>0.5</v>
      </c>
      <c r="AB985">
        <f t="shared" ref="AB985:AB1025" si="261">X985*Delta+Premium-Z985*(Y985-X985)</f>
        <v>1.9311342408084117E-2</v>
      </c>
      <c r="AC985" s="1">
        <f t="shared" ref="AC985:AC1025" si="262">Y985*Delta-AnnuityWhileSIck-AA985*(X985-Y985)</f>
        <v>4.9790231011614949E-4</v>
      </c>
      <c r="AD985" s="35">
        <f>IF(W985&gt;=FinalAgeForPremium, AE985*Delta-Z985*(Y985-AE985),AE985*Delta+PremiumRevisedForLimitedTerm-Z985*(Y985-AE985))</f>
        <v>2.9159387590376451E-2</v>
      </c>
      <c r="AE985" s="35">
        <f>AE984-StepSize*AD984</f>
        <v>-2.99315927937789E-2</v>
      </c>
      <c r="AF985" s="1"/>
    </row>
    <row r="986" spans="11:32" x14ac:dyDescent="0.45">
      <c r="K986" s="40">
        <f t="shared" ref="K986:K1025" si="263">ROUND(K985+StepSize,2)</f>
        <v>9.61</v>
      </c>
      <c r="L986" s="41">
        <f t="shared" si="255"/>
        <v>29.61</v>
      </c>
      <c r="M986">
        <f t="shared" ref="M986:M1025" si="264">M985+StepSize*Q985</f>
        <v>0.81709095786387442</v>
      </c>
      <c r="N986">
        <f t="shared" ref="N986:N1025" si="265">N985+StepSize*R985</f>
        <v>0.18290904213612319</v>
      </c>
      <c r="O986">
        <f t="shared" si="256"/>
        <v>0.128291712994727</v>
      </c>
      <c r="P986">
        <f t="shared" si="257"/>
        <v>0.5</v>
      </c>
      <c r="Q986">
        <f t="shared" ref="Q986:Q1025" si="266">N986*P986-M986*O986</f>
        <v>-1.3371477588797157E-2</v>
      </c>
      <c r="R986" s="6">
        <f t="shared" ref="R986:R1025" si="267">M986*O986-N986*P986</f>
        <v>1.3371477588797157E-2</v>
      </c>
      <c r="S986" s="18">
        <f t="shared" ref="S986:S1025" si="268">M986+N986</f>
        <v>0.99999999999999756</v>
      </c>
      <c r="T986" s="15"/>
      <c r="U986" s="15"/>
      <c r="V986" s="40">
        <f t="shared" ref="V986:V1025" si="269">ROUND(V985-StepSize,2)</f>
        <v>0.39</v>
      </c>
      <c r="W986" s="41">
        <f t="shared" si="258"/>
        <v>20.39</v>
      </c>
      <c r="X986">
        <f t="shared" ref="X986:X1025" si="270">X985-StepSize*AB985</f>
        <v>8.0717789906689721E-3</v>
      </c>
      <c r="Y986">
        <f t="shared" ref="Y986:Y1025" si="271">Y985-StepSize*AC985</f>
        <v>1.8265956546450643</v>
      </c>
      <c r="Z986" s="33">
        <f t="shared" si="259"/>
        <v>5.7959721902595435E-2</v>
      </c>
      <c r="AA986" s="33">
        <f t="shared" si="260"/>
        <v>0.5</v>
      </c>
      <c r="AB986">
        <f t="shared" si="261"/>
        <v>1.9381644540722318E-2</v>
      </c>
      <c r="AC986" s="1">
        <f t="shared" si="262"/>
        <v>5.917205594508923E-4</v>
      </c>
      <c r="AD986" s="35">
        <f>IF(W986&gt;=FinalAgeForPremium, AE986*Delta-Z986*(Y986-AE986),AE986*Delta+PremiumRevisedForLimitedTerm-Z986*(Y986-AE986))</f>
        <v>2.9220966474660173E-2</v>
      </c>
      <c r="AE986" s="35">
        <f>AE985-StepSize*AD985</f>
        <v>-3.0223186669682666E-2</v>
      </c>
      <c r="AF986" s="1"/>
    </row>
    <row r="987" spans="11:32" x14ac:dyDescent="0.45">
      <c r="K987" s="40">
        <f t="shared" si="263"/>
        <v>9.6199999999999992</v>
      </c>
      <c r="L987" s="41">
        <f t="shared" si="255"/>
        <v>29.619999999999997</v>
      </c>
      <c r="M987">
        <f t="shared" si="264"/>
        <v>0.81695724308798645</v>
      </c>
      <c r="N987">
        <f t="shared" si="265"/>
        <v>0.18304275691201116</v>
      </c>
      <c r="O987">
        <f t="shared" si="256"/>
        <v>0.12840231948967337</v>
      </c>
      <c r="P987">
        <f t="shared" si="257"/>
        <v>0.5</v>
      </c>
      <c r="Q987">
        <f t="shared" si="266"/>
        <v>-1.3377826480380814E-2</v>
      </c>
      <c r="R987" s="6">
        <f t="shared" si="267"/>
        <v>1.3377826480380814E-2</v>
      </c>
      <c r="S987" s="18">
        <f t="shared" si="268"/>
        <v>0.99999999999999756</v>
      </c>
      <c r="T987" s="15"/>
      <c r="U987" s="15"/>
      <c r="V987" s="40">
        <f t="shared" si="269"/>
        <v>0.38</v>
      </c>
      <c r="W987" s="41">
        <f t="shared" si="258"/>
        <v>20.38</v>
      </c>
      <c r="X987">
        <f t="shared" si="270"/>
        <v>7.8779625452617495E-3</v>
      </c>
      <c r="Y987">
        <f t="shared" si="271"/>
        <v>1.8265897374394697</v>
      </c>
      <c r="Z987" s="33">
        <f t="shared" si="259"/>
        <v>5.7909795065500938E-2</v>
      </c>
      <c r="AA987" s="33">
        <f t="shared" si="260"/>
        <v>0.5</v>
      </c>
      <c r="AB987">
        <f t="shared" si="261"/>
        <v>1.9451865657273706E-2</v>
      </c>
      <c r="AC987" s="1">
        <f t="shared" si="262"/>
        <v>6.853743190774475E-4</v>
      </c>
      <c r="AD987" s="35">
        <f>IF(W987&gt;=FinalAgeForPremium, AE987*Delta-Z987*(Y987-AE987),AE987*Delta+PremiumRevisedForLimitedTerm-Z987*(Y987-AE987))</f>
        <v>2.9282481945588884E-2</v>
      </c>
      <c r="AE987" s="35">
        <f>AE986-StepSize*AD986</f>
        <v>-3.0515396334429269E-2</v>
      </c>
      <c r="AF987" s="1"/>
    </row>
    <row r="988" spans="11:32" x14ac:dyDescent="0.45">
      <c r="K988" s="40">
        <f t="shared" si="263"/>
        <v>9.6300000000000008</v>
      </c>
      <c r="L988" s="41">
        <f t="shared" si="255"/>
        <v>29.630000000000003</v>
      </c>
      <c r="M988">
        <f t="shared" si="264"/>
        <v>0.81682346482318269</v>
      </c>
      <c r="N988">
        <f t="shared" si="265"/>
        <v>0.18317653517681498</v>
      </c>
      <c r="O988">
        <f t="shared" si="256"/>
        <v>0.12851302134383241</v>
      </c>
      <c r="P988">
        <f t="shared" si="257"/>
        <v>0.5</v>
      </c>
      <c r="Q988">
        <f t="shared" si="266"/>
        <v>-1.3384183780557335E-2</v>
      </c>
      <c r="R988" s="6">
        <f t="shared" si="267"/>
        <v>1.3384183780557335E-2</v>
      </c>
      <c r="S988" s="18">
        <f t="shared" si="268"/>
        <v>0.99999999999999767</v>
      </c>
      <c r="T988" s="15"/>
      <c r="U988" s="15"/>
      <c r="V988" s="40">
        <f t="shared" si="269"/>
        <v>0.37</v>
      </c>
      <c r="W988" s="41">
        <f t="shared" si="258"/>
        <v>20.37</v>
      </c>
      <c r="X988">
        <f t="shared" si="270"/>
        <v>7.683443888689012E-3</v>
      </c>
      <c r="Y988">
        <f t="shared" si="271"/>
        <v>1.826582883696279</v>
      </c>
      <c r="Z988" s="33">
        <f t="shared" si="259"/>
        <v>5.7859911235670476E-2</v>
      </c>
      <c r="AA988" s="33">
        <f t="shared" si="260"/>
        <v>0.5</v>
      </c>
      <c r="AB988">
        <f t="shared" si="261"/>
        <v>1.9522005757904207E-2</v>
      </c>
      <c r="AC988" s="1">
        <f t="shared" si="262"/>
        <v>7.7886408860894374E-4</v>
      </c>
      <c r="AD988" s="35">
        <f>IF(W988&gt;=FinalAgeForPremium, AE988*Delta-Z988*(Y988-AE988),AE988*Delta+PremiumRevisedForLimitedTerm-Z988*(Y988-AE988))</f>
        <v>2.9343933959997875E-2</v>
      </c>
      <c r="AE988" s="35">
        <f>AE987-StepSize*AD987</f>
        <v>-3.0808221153885158E-2</v>
      </c>
      <c r="AF988" s="1"/>
    </row>
    <row r="989" spans="11:32" x14ac:dyDescent="0.45">
      <c r="K989" s="40">
        <f t="shared" si="263"/>
        <v>9.64</v>
      </c>
      <c r="L989" s="41">
        <f t="shared" si="255"/>
        <v>29.64</v>
      </c>
      <c r="M989">
        <f t="shared" si="264"/>
        <v>0.81668962298537706</v>
      </c>
      <c r="N989">
        <f t="shared" si="265"/>
        <v>0.18331037701462055</v>
      </c>
      <c r="O989">
        <f t="shared" si="256"/>
        <v>0.1286238186394176</v>
      </c>
      <c r="P989">
        <f t="shared" si="257"/>
        <v>0.5</v>
      </c>
      <c r="Q989">
        <f t="shared" si="266"/>
        <v>-1.3390549444255204E-2</v>
      </c>
      <c r="R989" s="6">
        <f t="shared" si="267"/>
        <v>1.3390549444255204E-2</v>
      </c>
      <c r="S989" s="18">
        <f t="shared" si="268"/>
        <v>0.99999999999999756</v>
      </c>
      <c r="T989" s="15"/>
      <c r="U989" s="15"/>
      <c r="V989" s="40">
        <f t="shared" si="269"/>
        <v>0.36</v>
      </c>
      <c r="W989" s="41">
        <f t="shared" si="258"/>
        <v>20.36</v>
      </c>
      <c r="X989">
        <f t="shared" si="270"/>
        <v>7.4882238311099695E-3</v>
      </c>
      <c r="Y989">
        <f t="shared" si="271"/>
        <v>1.8265750950553929</v>
      </c>
      <c r="Z989" s="33">
        <f t="shared" si="259"/>
        <v>5.7810070376057315E-2</v>
      </c>
      <c r="AA989" s="33">
        <f t="shared" si="260"/>
        <v>0.5</v>
      </c>
      <c r="AB989">
        <f t="shared" si="261"/>
        <v>1.9592064843265464E-2</v>
      </c>
      <c r="AC989" s="1">
        <f t="shared" si="262"/>
        <v>8.7219036491115176E-4</v>
      </c>
      <c r="AD989" s="35">
        <f>IF(W989&gt;=FinalAgeForPremium, AE989*Delta-Z989*(Y989-AE989),AE989*Delta+PremiumRevisedForLimitedTerm-Z989*(Y989-AE989))</f>
        <v>2.9405322475325832E-2</v>
      </c>
      <c r="AE989" s="35">
        <f>AE988-StepSize*AD988</f>
        <v>-3.1101660493485138E-2</v>
      </c>
      <c r="AF989" s="1"/>
    </row>
    <row r="990" spans="11:32" x14ac:dyDescent="0.45">
      <c r="K990" s="40">
        <f t="shared" si="263"/>
        <v>9.65</v>
      </c>
      <c r="L990" s="41">
        <f t="shared" si="255"/>
        <v>29.65</v>
      </c>
      <c r="M990">
        <f t="shared" si="264"/>
        <v>0.81655571749093447</v>
      </c>
      <c r="N990">
        <f t="shared" si="265"/>
        <v>0.18344428250906311</v>
      </c>
      <c r="O990">
        <f t="shared" si="256"/>
        <v>0.12873471145871382</v>
      </c>
      <c r="P990">
        <f t="shared" si="257"/>
        <v>0.5</v>
      </c>
      <c r="Q990">
        <f t="shared" si="266"/>
        <v>-1.3396923426626933E-2</v>
      </c>
      <c r="R990" s="6">
        <f t="shared" si="267"/>
        <v>1.3396923426626933E-2</v>
      </c>
      <c r="S990" s="18">
        <f t="shared" si="268"/>
        <v>0.99999999999999756</v>
      </c>
      <c r="T990" s="15"/>
      <c r="U990" s="15"/>
      <c r="V990" s="40">
        <f t="shared" si="269"/>
        <v>0.35</v>
      </c>
      <c r="W990" s="41">
        <f t="shared" si="258"/>
        <v>20.350000000000001</v>
      </c>
      <c r="X990">
        <f t="shared" si="270"/>
        <v>7.2923031826773151E-3</v>
      </c>
      <c r="Y990">
        <f t="shared" si="271"/>
        <v>1.8265663731517439</v>
      </c>
      <c r="Z990" s="33">
        <f t="shared" si="259"/>
        <v>5.7760272449646703E-2</v>
      </c>
      <c r="AA990" s="33">
        <f t="shared" si="260"/>
        <v>0.5</v>
      </c>
      <c r="AB990">
        <f t="shared" si="261"/>
        <v>1.9662042914490627E-2</v>
      </c>
      <c r="AC990" s="1">
        <f t="shared" si="262"/>
        <v>9.6535364212047003E-4</v>
      </c>
      <c r="AD990" s="35">
        <f>IF(W990&gt;=FinalAgeForPremium, AE990*Delta-Z990*(Y990-AE990),AE990*Delta+PremiumRevisedForLimitedTerm-Z990*(Y990-AE990))</f>
        <v>2.9466647449610278E-2</v>
      </c>
      <c r="AE990" s="35">
        <f>AE989-StepSize*AD989</f>
        <v>-3.1395713718238398E-2</v>
      </c>
      <c r="AF990" s="1"/>
    </row>
    <row r="991" spans="11:32" x14ac:dyDescent="0.45">
      <c r="K991" s="40">
        <f t="shared" si="263"/>
        <v>9.66</v>
      </c>
      <c r="L991" s="41">
        <f t="shared" si="255"/>
        <v>29.66</v>
      </c>
      <c r="M991">
        <f t="shared" si="264"/>
        <v>0.81642174825666824</v>
      </c>
      <c r="N991">
        <f t="shared" si="265"/>
        <v>0.18357825174332937</v>
      </c>
      <c r="O991">
        <f t="shared" si="256"/>
        <v>0.12884569988407671</v>
      </c>
      <c r="P991">
        <f t="shared" si="257"/>
        <v>0.5</v>
      </c>
      <c r="Q991">
        <f t="shared" si="266"/>
        <v>-1.340330568304722E-2</v>
      </c>
      <c r="R991" s="6">
        <f t="shared" si="267"/>
        <v>1.340330568304722E-2</v>
      </c>
      <c r="S991" s="18">
        <f t="shared" si="268"/>
        <v>0.99999999999999756</v>
      </c>
      <c r="T991" s="15"/>
      <c r="U991" s="15"/>
      <c r="V991" s="40">
        <f t="shared" si="269"/>
        <v>0.34</v>
      </c>
      <c r="W991" s="41">
        <f t="shared" si="258"/>
        <v>20.34</v>
      </c>
      <c r="X991">
        <f t="shared" si="270"/>
        <v>7.0956827535324091E-3</v>
      </c>
      <c r="Y991">
        <f t="shared" si="271"/>
        <v>1.8265567196153227</v>
      </c>
      <c r="Z991" s="33">
        <f t="shared" si="259"/>
        <v>5.7710517419455674E-2</v>
      </c>
      <c r="AA991" s="33">
        <f t="shared" si="260"/>
        <v>0.5</v>
      </c>
      <c r="AB991">
        <f t="shared" si="261"/>
        <v>1.9731939973191046E-2</v>
      </c>
      <c r="AC991" s="1">
        <f t="shared" si="262"/>
        <v>1.0583544116612442E-3</v>
      </c>
      <c r="AD991" s="35">
        <f>IF(W991&gt;=FinalAgeForPremium, AE991*Delta-Z991*(Y991-AE991),AE991*Delta+PremiumRevisedForLimitedTerm-Z991*(Y991-AE991))</f>
        <v>2.9527908841483957E-2</v>
      </c>
      <c r="AE991" s="35">
        <f>AE990-StepSize*AD990</f>
        <v>-3.1690380192734499E-2</v>
      </c>
      <c r="AF991" s="1"/>
    </row>
    <row r="992" spans="11:32" x14ac:dyDescent="0.45">
      <c r="K992" s="40">
        <f t="shared" si="263"/>
        <v>9.67</v>
      </c>
      <c r="L992" s="41">
        <f t="shared" si="255"/>
        <v>29.67</v>
      </c>
      <c r="M992">
        <f t="shared" si="264"/>
        <v>0.81628771519983778</v>
      </c>
      <c r="N992">
        <f t="shared" si="265"/>
        <v>0.18371228480015983</v>
      </c>
      <c r="O992">
        <f t="shared" si="256"/>
        <v>0.12895678399793276</v>
      </c>
      <c r="P992">
        <f t="shared" si="257"/>
        <v>0.5</v>
      </c>
      <c r="Q992">
        <f t="shared" si="266"/>
        <v>-1.3409696169111612E-2</v>
      </c>
      <c r="R992" s="6">
        <f t="shared" si="267"/>
        <v>1.3409696169111612E-2</v>
      </c>
      <c r="S992" s="18">
        <f t="shared" si="268"/>
        <v>0.99999999999999756</v>
      </c>
      <c r="T992" s="15"/>
      <c r="U992" s="15"/>
      <c r="V992" s="40">
        <f t="shared" si="269"/>
        <v>0.33</v>
      </c>
      <c r="W992" s="41">
        <f t="shared" si="258"/>
        <v>20.329999999999998</v>
      </c>
      <c r="X992">
        <f t="shared" si="270"/>
        <v>6.8983633538004987E-3</v>
      </c>
      <c r="Y992">
        <f t="shared" si="271"/>
        <v>1.8265461360712061</v>
      </c>
      <c r="Z992" s="33">
        <f t="shared" si="259"/>
        <v>5.7660805248533217E-2</v>
      </c>
      <c r="AA992" s="33">
        <f t="shared" si="260"/>
        <v>0.5</v>
      </c>
      <c r="AB992">
        <f t="shared" si="261"/>
        <v>1.9801756021452135E-2</v>
      </c>
      <c r="AC992" s="1">
        <f t="shared" si="262"/>
        <v>1.1511931622630867E-3</v>
      </c>
      <c r="AD992" s="35">
        <f>IF(W992&gt;=FinalAgeForPremium, AE992*Delta-Z992*(Y992-AE992),AE992*Delta+PremiumRevisedForLimitedTerm-Z992*(Y992-AE992))</f>
        <v>2.9589106610170099E-2</v>
      </c>
      <c r="AE992" s="35">
        <f>AE991-StepSize*AD991</f>
        <v>-3.198565928114934E-2</v>
      </c>
      <c r="AF992" s="1"/>
    </row>
    <row r="993" spans="11:32" x14ac:dyDescent="0.45">
      <c r="K993" s="40">
        <f t="shared" si="263"/>
        <v>9.68</v>
      </c>
      <c r="L993" s="41">
        <f t="shared" si="255"/>
        <v>29.68</v>
      </c>
      <c r="M993">
        <f t="shared" si="264"/>
        <v>0.81615361823814669</v>
      </c>
      <c r="N993">
        <f t="shared" si="265"/>
        <v>0.18384638176185095</v>
      </c>
      <c r="O993">
        <f t="shared" si="256"/>
        <v>0.12906796388277969</v>
      </c>
      <c r="P993">
        <f t="shared" si="257"/>
        <v>0.5</v>
      </c>
      <c r="Q993">
        <f t="shared" si="266"/>
        <v>-1.3416094840635606E-2</v>
      </c>
      <c r="R993" s="6">
        <f t="shared" si="267"/>
        <v>1.3416094840635606E-2</v>
      </c>
      <c r="S993" s="18">
        <f t="shared" si="268"/>
        <v>0.99999999999999767</v>
      </c>
      <c r="T993" s="15"/>
      <c r="U993" s="15"/>
      <c r="V993" s="40">
        <f t="shared" si="269"/>
        <v>0.32</v>
      </c>
      <c r="W993" s="41">
        <f t="shared" si="258"/>
        <v>20.32</v>
      </c>
      <c r="X993">
        <f t="shared" si="270"/>
        <v>6.7003457935859772E-3</v>
      </c>
      <c r="Y993">
        <f t="shared" si="271"/>
        <v>1.8265346241395835</v>
      </c>
      <c r="Z993" s="33">
        <f t="shared" si="259"/>
        <v>5.7611135899960121E-2</v>
      </c>
      <c r="AA993" s="33">
        <f t="shared" si="260"/>
        <v>0.5</v>
      </c>
      <c r="AB993">
        <f t="shared" si="261"/>
        <v>1.9871491061829852E-2</v>
      </c>
      <c r="AC993" s="1">
        <f t="shared" si="262"/>
        <v>1.2438703799779738E-3</v>
      </c>
      <c r="AD993" s="35">
        <f>IF(W993&gt;=FinalAgeForPremium, AE993*Delta-Z993*(Y993-AE993),AE993*Delta+PremiumRevisedForLimitedTerm-Z993*(Y993-AE993))</f>
        <v>2.9650240715478976E-2</v>
      </c>
      <c r="AE993" s="35">
        <f>AE992-StepSize*AD992</f>
        <v>-3.228155034725104E-2</v>
      </c>
      <c r="AF993" s="1"/>
    </row>
    <row r="994" spans="11:32" x14ac:dyDescent="0.45">
      <c r="K994" s="40">
        <f t="shared" si="263"/>
        <v>9.69</v>
      </c>
      <c r="L994" s="41">
        <f t="shared" si="255"/>
        <v>29.689999999999998</v>
      </c>
      <c r="M994">
        <f t="shared" si="264"/>
        <v>0.81601945728974035</v>
      </c>
      <c r="N994">
        <f t="shared" si="265"/>
        <v>0.18398054271025729</v>
      </c>
      <c r="O994">
        <f t="shared" si="256"/>
        <v>0.12917923962118633</v>
      </c>
      <c r="P994">
        <f t="shared" si="257"/>
        <v>0.5</v>
      </c>
      <c r="Q994">
        <f t="shared" si="266"/>
        <v>-1.3422501653653135E-2</v>
      </c>
      <c r="R994" s="6">
        <f t="shared" si="267"/>
        <v>1.3422501653653135E-2</v>
      </c>
      <c r="S994" s="18">
        <f t="shared" si="268"/>
        <v>0.99999999999999767</v>
      </c>
      <c r="T994" s="15"/>
      <c r="U994" s="15"/>
      <c r="V994" s="40">
        <f t="shared" si="269"/>
        <v>0.31</v>
      </c>
      <c r="W994" s="41">
        <f t="shared" si="258"/>
        <v>20.309999999999999</v>
      </c>
      <c r="X994">
        <f t="shared" si="270"/>
        <v>6.5016308829676786E-3</v>
      </c>
      <c r="Y994">
        <f t="shared" si="271"/>
        <v>1.8265221854357836</v>
      </c>
      <c r="Z994" s="33">
        <f t="shared" si="259"/>
        <v>5.7561509336848941E-2</v>
      </c>
      <c r="AA994" s="33">
        <f t="shared" si="260"/>
        <v>0.5</v>
      </c>
      <c r="AB994">
        <f t="shared" si="261"/>
        <v>1.9941145097347152E-2</v>
      </c>
      <c r="AC994" s="1">
        <f t="shared" si="262"/>
        <v>1.3363865481971215E-3</v>
      </c>
      <c r="AD994" s="35">
        <f>IF(W994&gt;=FinalAgeForPremium, AE994*Delta-Z994*(Y994-AE994),AE994*Delta+PremiumRevisedForLimitedTerm-Z994*(Y994-AE994))</f>
        <v>2.971131111780359E-2</v>
      </c>
      <c r="AE994" s="35">
        <f>AE993-StepSize*AD993</f>
        <v>-3.2578052754405833E-2</v>
      </c>
      <c r="AF994" s="1"/>
    </row>
    <row r="995" spans="11:32" x14ac:dyDescent="0.45">
      <c r="K995" s="40">
        <f t="shared" si="263"/>
        <v>9.6999999999999993</v>
      </c>
      <c r="L995" s="41">
        <f t="shared" si="255"/>
        <v>29.7</v>
      </c>
      <c r="M995">
        <f t="shared" si="264"/>
        <v>0.81588523227320386</v>
      </c>
      <c r="N995">
        <f t="shared" si="265"/>
        <v>0.18411476772679383</v>
      </c>
      <c r="O995">
        <f t="shared" si="256"/>
        <v>0.12929061129579275</v>
      </c>
      <c r="P995">
        <f t="shared" si="257"/>
        <v>0.5</v>
      </c>
      <c r="Q995">
        <f t="shared" si="266"/>
        <v>-1.3428916564415472E-2</v>
      </c>
      <c r="R995" s="6">
        <f t="shared" si="267"/>
        <v>1.3428916564415472E-2</v>
      </c>
      <c r="S995" s="18">
        <f t="shared" si="268"/>
        <v>0.99999999999999767</v>
      </c>
      <c r="T995" s="15"/>
      <c r="U995" s="15"/>
      <c r="V995" s="40">
        <f t="shared" si="269"/>
        <v>0.3</v>
      </c>
      <c r="W995" s="41">
        <f t="shared" si="258"/>
        <v>20.3</v>
      </c>
      <c r="X995">
        <f t="shared" si="270"/>
        <v>6.3022194319942073E-3</v>
      </c>
      <c r="Y995">
        <f t="shared" si="271"/>
        <v>1.8265088215703016</v>
      </c>
      <c r="Z995" s="33">
        <f t="shared" si="259"/>
        <v>5.7511925522344048E-2</v>
      </c>
      <c r="AA995" s="33">
        <f t="shared" si="260"/>
        <v>0.5</v>
      </c>
      <c r="AB995">
        <f t="shared" si="261"/>
        <v>2.0010718131490107E-2</v>
      </c>
      <c r="AC995" s="1">
        <f t="shared" si="262"/>
        <v>1.42874214766886E-3</v>
      </c>
      <c r="AD995" s="35">
        <f>IF(W995&gt;=FinalAgeForPremium, AE995*Delta-Z995*(Y995-AE995),AE995*Delta+PremiumRevisedForLimitedTerm-Z995*(Y995-AE995))</f>
        <v>2.9772317778115592E-2</v>
      </c>
      <c r="AE995" s="35">
        <f>AE994-StepSize*AD994</f>
        <v>-3.2875165865583866E-2</v>
      </c>
      <c r="AF995" s="1"/>
    </row>
    <row r="996" spans="11:32" x14ac:dyDescent="0.45">
      <c r="K996" s="40">
        <f t="shared" si="263"/>
        <v>9.7100000000000009</v>
      </c>
      <c r="L996" s="41">
        <f t="shared" si="255"/>
        <v>29.71</v>
      </c>
      <c r="M996">
        <f t="shared" si="264"/>
        <v>0.81575094310755969</v>
      </c>
      <c r="N996">
        <f t="shared" si="265"/>
        <v>0.18424905689243798</v>
      </c>
      <c r="O996">
        <f t="shared" si="256"/>
        <v>0.12940207898931003</v>
      </c>
      <c r="P996">
        <f t="shared" si="257"/>
        <v>0.5</v>
      </c>
      <c r="Q996">
        <f t="shared" si="266"/>
        <v>-1.3435339529389592E-2</v>
      </c>
      <c r="R996" s="6">
        <f t="shared" si="267"/>
        <v>1.3435339529389592E-2</v>
      </c>
      <c r="S996" s="18">
        <f t="shared" si="268"/>
        <v>0.99999999999999767</v>
      </c>
      <c r="T996" s="15"/>
      <c r="U996" s="15"/>
      <c r="V996" s="40">
        <f t="shared" si="269"/>
        <v>0.28999999999999998</v>
      </c>
      <c r="W996" s="41">
        <f t="shared" si="258"/>
        <v>20.29</v>
      </c>
      <c r="X996">
        <f t="shared" si="270"/>
        <v>6.1021122506793061E-3</v>
      </c>
      <c r="Y996">
        <f t="shared" si="271"/>
        <v>1.826494534148825</v>
      </c>
      <c r="Z996" s="33">
        <f t="shared" si="259"/>
        <v>5.7462384419621537E-2</v>
      </c>
      <c r="AA996" s="33">
        <f t="shared" si="260"/>
        <v>0.5</v>
      </c>
      <c r="AB996">
        <f t="shared" si="261"/>
        <v>2.0080210168204507E-2</v>
      </c>
      <c r="AC996" s="1">
        <f t="shared" si="262"/>
        <v>1.5209376565141763E-3</v>
      </c>
      <c r="AD996" s="35">
        <f>IF(W996&gt;=FinalAgeForPremium, AE996*Delta-Z996*(Y996-AE996),AE996*Delta+PremiumRevisedForLimitedTerm-Z996*(Y996-AE996))</f>
        <v>2.9833260657961644E-2</v>
      </c>
      <c r="AE996" s="35">
        <f>AE995-StepSize*AD995</f>
        <v>-3.3172889043365024E-2</v>
      </c>
      <c r="AF996" s="1"/>
    </row>
    <row r="997" spans="11:32" x14ac:dyDescent="0.45">
      <c r="K997" s="40">
        <f t="shared" si="263"/>
        <v>9.7200000000000006</v>
      </c>
      <c r="L997" s="41">
        <f t="shared" si="255"/>
        <v>29.72</v>
      </c>
      <c r="M997">
        <f t="shared" si="264"/>
        <v>0.8156165897122658</v>
      </c>
      <c r="N997">
        <f t="shared" si="265"/>
        <v>0.18438341028773186</v>
      </c>
      <c r="O997">
        <f t="shared" si="256"/>
        <v>0.12951364278452082</v>
      </c>
      <c r="P997">
        <f t="shared" si="257"/>
        <v>0.5</v>
      </c>
      <c r="Q997">
        <f t="shared" si="266"/>
        <v>-1.3441770505257536E-2</v>
      </c>
      <c r="R997" s="6">
        <f t="shared" si="267"/>
        <v>1.3441770505257536E-2</v>
      </c>
      <c r="S997" s="18">
        <f t="shared" si="268"/>
        <v>0.99999999999999767</v>
      </c>
      <c r="T997" s="15"/>
      <c r="U997" s="15"/>
      <c r="V997" s="40">
        <f t="shared" si="269"/>
        <v>0.28000000000000003</v>
      </c>
      <c r="W997" s="41">
        <f t="shared" si="258"/>
        <v>20.28</v>
      </c>
      <c r="X997">
        <f t="shared" si="270"/>
        <v>5.9013101489972606E-3</v>
      </c>
      <c r="Y997">
        <f t="shared" si="271"/>
        <v>1.8264793247722599</v>
      </c>
      <c r="Z997" s="33">
        <f t="shared" si="259"/>
        <v>5.7412885991889269E-2</v>
      </c>
      <c r="AA997" s="33">
        <f t="shared" si="260"/>
        <v>0.5</v>
      </c>
      <c r="AB997">
        <f t="shared" si="261"/>
        <v>2.0149621211892024E-2</v>
      </c>
      <c r="AC997" s="1">
        <f t="shared" si="262"/>
        <v>1.6129735502442566E-3</v>
      </c>
      <c r="AD997" s="35">
        <f>IF(W997&gt;=FinalAgeForPremium, AE997*Delta-Z997*(Y997-AE997),AE997*Delta+PremiumRevisedForLimitedTerm-Z997*(Y997-AE997))</f>
        <v>2.9894139719459145E-2</v>
      </c>
      <c r="AE997" s="35">
        <f>AE996-StepSize*AD996</f>
        <v>-3.3471221649944642E-2</v>
      </c>
      <c r="AF997" s="1"/>
    </row>
    <row r="998" spans="11:32" x14ac:dyDescent="0.45">
      <c r="K998" s="40">
        <f t="shared" si="263"/>
        <v>9.73</v>
      </c>
      <c r="L998" s="41">
        <f t="shared" si="255"/>
        <v>29.73</v>
      </c>
      <c r="M998">
        <f t="shared" si="264"/>
        <v>0.81548217200721318</v>
      </c>
      <c r="N998">
        <f t="shared" si="265"/>
        <v>0.18451782799278443</v>
      </c>
      <c r="O998">
        <f t="shared" si="256"/>
        <v>0.12962530276427905</v>
      </c>
      <c r="P998">
        <f t="shared" si="257"/>
        <v>0.5</v>
      </c>
      <c r="Q998">
        <f t="shared" si="266"/>
        <v>-1.3448209448914686E-2</v>
      </c>
      <c r="R998" s="6">
        <f t="shared" si="267"/>
        <v>1.3448209448914686E-2</v>
      </c>
      <c r="S998" s="18">
        <f t="shared" si="268"/>
        <v>0.99999999999999756</v>
      </c>
      <c r="T998" s="15"/>
      <c r="U998" s="15"/>
      <c r="V998" s="40">
        <f t="shared" si="269"/>
        <v>0.27</v>
      </c>
      <c r="W998" s="41">
        <f t="shared" si="258"/>
        <v>20.27</v>
      </c>
      <c r="X998">
        <f t="shared" si="270"/>
        <v>5.6998139368783403E-3</v>
      </c>
      <c r="Y998">
        <f t="shared" si="271"/>
        <v>1.8264631950367576</v>
      </c>
      <c r="Z998" s="33">
        <f t="shared" si="259"/>
        <v>5.7363430202386705E-2</v>
      </c>
      <c r="AA998" s="33">
        <f t="shared" si="260"/>
        <v>0.5</v>
      </c>
      <c r="AB998">
        <f t="shared" si="261"/>
        <v>2.0218951267407026E-2</v>
      </c>
      <c r="AC998" s="1">
        <f t="shared" si="262"/>
        <v>1.7048503017775829E-3</v>
      </c>
      <c r="AD998" s="35">
        <f>IF(W998&gt;=FinalAgeForPremium, AE998*Delta-Z998*(Y998-AE998),AE998*Delta+PremiumRevisedForLimitedTerm-Z998*(Y998-AE998))</f>
        <v>2.9954954925292529E-2</v>
      </c>
      <c r="AE998" s="35">
        <f>AE997-StepSize*AD997</f>
        <v>-3.3770163047139236E-2</v>
      </c>
      <c r="AF998" s="1"/>
    </row>
    <row r="999" spans="11:32" x14ac:dyDescent="0.45">
      <c r="K999" s="40">
        <f t="shared" si="263"/>
        <v>9.74</v>
      </c>
      <c r="L999" s="41">
        <f t="shared" si="255"/>
        <v>29.740000000000002</v>
      </c>
      <c r="M999">
        <f t="shared" si="264"/>
        <v>0.81534768991272399</v>
      </c>
      <c r="N999">
        <f t="shared" si="265"/>
        <v>0.18465231008727359</v>
      </c>
      <c r="O999">
        <f t="shared" si="256"/>
        <v>0.12973705901151003</v>
      </c>
      <c r="P999">
        <f t="shared" si="257"/>
        <v>0.5</v>
      </c>
      <c r="Q999">
        <f t="shared" si="266"/>
        <v>-1.3454656317468658E-2</v>
      </c>
      <c r="R999" s="6">
        <f t="shared" si="267"/>
        <v>1.3454656317468658E-2</v>
      </c>
      <c r="S999" s="18">
        <f t="shared" si="268"/>
        <v>0.99999999999999756</v>
      </c>
      <c r="T999" s="15"/>
      <c r="U999" s="15"/>
      <c r="V999" s="40">
        <f t="shared" si="269"/>
        <v>0.26</v>
      </c>
      <c r="W999" s="41">
        <f t="shared" si="258"/>
        <v>20.260000000000002</v>
      </c>
      <c r="X999">
        <f t="shared" si="270"/>
        <v>5.4976244242042702E-3</v>
      </c>
      <c r="Y999">
        <f t="shared" si="271"/>
        <v>1.8264461465337398</v>
      </c>
      <c r="Z999" s="33">
        <f t="shared" si="259"/>
        <v>5.7314017014385092E-2</v>
      </c>
      <c r="AA999" s="33">
        <f t="shared" si="260"/>
        <v>0.5</v>
      </c>
      <c r="AB999">
        <f t="shared" si="261"/>
        <v>2.0288200340052562E-2</v>
      </c>
      <c r="AC999" s="1">
        <f t="shared" si="262"/>
        <v>1.7965683814548106E-3</v>
      </c>
      <c r="AD999" s="35">
        <f>IF(W999&gt;=FinalAgeForPremium, AE999*Delta-Z999*(Y999-AE999),AE999*Delta+PremiumRevisedForLimitedTerm-Z999*(Y999-AE999))</f>
        <v>3.0015706238709236E-2</v>
      </c>
      <c r="AE999" s="35">
        <f>AE998-StepSize*AD998</f>
        <v>-3.406971259639216E-2</v>
      </c>
      <c r="AF999" s="1"/>
    </row>
    <row r="1000" spans="11:32" x14ac:dyDescent="0.45">
      <c r="K1000" s="40">
        <f t="shared" si="263"/>
        <v>9.75</v>
      </c>
      <c r="L1000" s="41">
        <f t="shared" si="255"/>
        <v>29.75</v>
      </c>
      <c r="M1000">
        <f t="shared" si="264"/>
        <v>0.81521314334954931</v>
      </c>
      <c r="N1000">
        <f t="shared" si="265"/>
        <v>0.18478685665044828</v>
      </c>
      <c r="O1000">
        <f t="shared" si="256"/>
        <v>0.12984891160921061</v>
      </c>
      <c r="P1000">
        <f t="shared" si="257"/>
        <v>0.5</v>
      </c>
      <c r="Q1000">
        <f t="shared" si="266"/>
        <v>-1.3461111068238232E-2</v>
      </c>
      <c r="R1000" s="6">
        <f t="shared" si="267"/>
        <v>1.3461111068238232E-2</v>
      </c>
      <c r="S1000" s="18">
        <f t="shared" si="268"/>
        <v>0.99999999999999756</v>
      </c>
      <c r="T1000" s="15"/>
      <c r="U1000" s="15"/>
      <c r="V1000" s="40">
        <f t="shared" si="269"/>
        <v>0.25</v>
      </c>
      <c r="W1000" s="41">
        <f t="shared" si="258"/>
        <v>20.25</v>
      </c>
      <c r="X1000">
        <f t="shared" si="270"/>
        <v>5.294742420803745E-3</v>
      </c>
      <c r="Y1000">
        <f t="shared" si="271"/>
        <v>1.8264281808499252</v>
      </c>
      <c r="Z1000" s="33">
        <f t="shared" si="259"/>
        <v>5.7264646391187189E-2</v>
      </c>
      <c r="AA1000" s="33">
        <f t="shared" si="260"/>
        <v>0.5</v>
      </c>
      <c r="AB1000">
        <f t="shared" si="261"/>
        <v>2.0357368435577353E-2</v>
      </c>
      <c r="AC1000" s="1">
        <f t="shared" si="262"/>
        <v>1.8881282570569757E-3</v>
      </c>
      <c r="AD1000" s="35">
        <f>IF(W1000&gt;=FinalAgeForPremium, AE1000*Delta-Z1000*(Y1000-AE1000),AE1000*Delta+PremiumRevisedForLimitedTerm-Z1000*(Y1000-AE1000))</f>
        <v>3.0076393623516148E-2</v>
      </c>
      <c r="AE1000" s="35">
        <f>AE999-StepSize*AD999</f>
        <v>-3.4369869658779251E-2</v>
      </c>
      <c r="AF1000" s="1"/>
    </row>
    <row r="1001" spans="11:32" x14ac:dyDescent="0.45">
      <c r="K1001" s="40">
        <f t="shared" si="263"/>
        <v>9.76</v>
      </c>
      <c r="L1001" s="41">
        <f t="shared" si="255"/>
        <v>29.759999999999998</v>
      </c>
      <c r="M1001">
        <f t="shared" si="264"/>
        <v>0.81507853223886695</v>
      </c>
      <c r="N1001">
        <f t="shared" si="265"/>
        <v>0.18492146776113066</v>
      </c>
      <c r="O1001">
        <f t="shared" si="256"/>
        <v>0.12996086064044918</v>
      </c>
      <c r="P1001">
        <f t="shared" si="257"/>
        <v>0.5</v>
      </c>
      <c r="Q1001">
        <f t="shared" si="266"/>
        <v>-1.3467573658751911E-2</v>
      </c>
      <c r="R1001" s="6">
        <f t="shared" si="267"/>
        <v>1.3467573658751911E-2</v>
      </c>
      <c r="S1001" s="18">
        <f t="shared" si="268"/>
        <v>0.99999999999999756</v>
      </c>
      <c r="T1001" s="15"/>
      <c r="U1001" s="15"/>
      <c r="V1001" s="40">
        <f t="shared" si="269"/>
        <v>0.24</v>
      </c>
      <c r="W1001" s="41">
        <f t="shared" si="258"/>
        <v>20.239999999999998</v>
      </c>
      <c r="X1001">
        <f t="shared" si="270"/>
        <v>5.0911687364479713E-3</v>
      </c>
      <c r="Y1001">
        <f t="shared" si="271"/>
        <v>1.8264092995673546</v>
      </c>
      <c r="Z1001" s="33">
        <f t="shared" si="259"/>
        <v>5.7215318296127457E-2</v>
      </c>
      <c r="AA1001" s="33">
        <f t="shared" si="260"/>
        <v>0.5</v>
      </c>
      <c r="AB1001">
        <f t="shared" si="261"/>
        <v>2.0426455560171822E-2</v>
      </c>
      <c r="AC1001" s="1">
        <f t="shared" si="262"/>
        <v>1.9795303938211495E-3</v>
      </c>
      <c r="AD1001" s="35">
        <f>IF(W1001&gt;=FinalAgeForPremium, AE1001*Delta-Z1001*(Y1001-AE1001),AE1001*Delta+PremiumRevisedForLimitedTerm-Z1001*(Y1001-AE1001))</f>
        <v>3.0137017044075273E-2</v>
      </c>
      <c r="AE1001" s="35">
        <f>AE1000-StepSize*AD1000</f>
        <v>-3.4670633595014412E-2</v>
      </c>
      <c r="AF1001" s="1"/>
    </row>
    <row r="1002" spans="11:32" x14ac:dyDescent="0.45">
      <c r="K1002" s="40">
        <f t="shared" si="263"/>
        <v>9.77</v>
      </c>
      <c r="L1002" s="41">
        <f t="shared" si="255"/>
        <v>29.77</v>
      </c>
      <c r="M1002">
        <f t="shared" si="264"/>
        <v>0.81494385650227941</v>
      </c>
      <c r="N1002">
        <f t="shared" si="265"/>
        <v>0.18505614349771818</v>
      </c>
      <c r="O1002">
        <f t="shared" si="256"/>
        <v>0.13007290618836589</v>
      </c>
      <c r="P1002">
        <f t="shared" si="257"/>
        <v>0.5</v>
      </c>
      <c r="Q1002">
        <f t="shared" si="266"/>
        <v>-1.3474044046747014E-2</v>
      </c>
      <c r="R1002" s="6">
        <f t="shared" si="267"/>
        <v>1.3474044046747014E-2</v>
      </c>
      <c r="S1002" s="18">
        <f t="shared" si="268"/>
        <v>0.99999999999999756</v>
      </c>
      <c r="T1002" s="15"/>
      <c r="U1002" s="15"/>
      <c r="V1002" s="40">
        <f t="shared" si="269"/>
        <v>0.23</v>
      </c>
      <c r="W1002" s="41">
        <f t="shared" si="258"/>
        <v>20.23</v>
      </c>
      <c r="X1002">
        <f t="shared" si="270"/>
        <v>4.886904180846253E-3</v>
      </c>
      <c r="Y1002">
        <f t="shared" si="271"/>
        <v>1.8263895042634164</v>
      </c>
      <c r="Z1002" s="33">
        <f t="shared" si="259"/>
        <v>5.7166032692571943E-2</v>
      </c>
      <c r="AA1002" s="33">
        <f t="shared" si="260"/>
        <v>0.5</v>
      </c>
      <c r="AB1002">
        <f t="shared" si="261"/>
        <v>2.0495461720464986E-2</v>
      </c>
      <c r="AC1002" s="1">
        <f t="shared" si="262"/>
        <v>2.07077525445587E-3</v>
      </c>
      <c r="AD1002" s="35">
        <f>IF(W1002&gt;=FinalAgeForPremium, AE1002*Delta-Z1002*(Y1002-AE1002),AE1002*Delta+PremiumRevisedForLimitedTerm-Z1002*(Y1002-AE1002))</f>
        <v>3.0197576465300316E-2</v>
      </c>
      <c r="AE1002" s="35">
        <f>AE1001-StepSize*AD1001</f>
        <v>-3.4972003765455166E-2</v>
      </c>
      <c r="AF1002" s="1"/>
    </row>
    <row r="1003" spans="11:32" x14ac:dyDescent="0.45">
      <c r="K1003" s="40">
        <f t="shared" si="263"/>
        <v>9.7799999999999994</v>
      </c>
      <c r="L1003" s="41">
        <f t="shared" si="255"/>
        <v>29.78</v>
      </c>
      <c r="M1003">
        <f t="shared" si="264"/>
        <v>0.81480911606181194</v>
      </c>
      <c r="N1003">
        <f t="shared" si="265"/>
        <v>0.18519088393818564</v>
      </c>
      <c r="O1003">
        <f t="shared" si="256"/>
        <v>0.13018504833617223</v>
      </c>
      <c r="P1003">
        <f t="shared" si="257"/>
        <v>0.5</v>
      </c>
      <c r="Q1003">
        <f t="shared" si="266"/>
        <v>-1.3480522190167932E-2</v>
      </c>
      <c r="R1003" s="6">
        <f t="shared" si="267"/>
        <v>1.3480522190167932E-2</v>
      </c>
      <c r="S1003" s="18">
        <f t="shared" si="268"/>
        <v>0.99999999999999756</v>
      </c>
      <c r="T1003" s="15"/>
      <c r="U1003" s="15"/>
      <c r="V1003" s="40">
        <f t="shared" si="269"/>
        <v>0.22</v>
      </c>
      <c r="W1003" s="41">
        <f t="shared" si="258"/>
        <v>20.22</v>
      </c>
      <c r="X1003">
        <f t="shared" si="270"/>
        <v>4.6819495636416034E-3</v>
      </c>
      <c r="Y1003">
        <f t="shared" si="271"/>
        <v>1.8263687965108719</v>
      </c>
      <c r="Z1003" s="33">
        <f t="shared" si="259"/>
        <v>5.7116789543918182E-2</v>
      </c>
      <c r="AA1003" s="33">
        <f t="shared" si="260"/>
        <v>0.5</v>
      </c>
      <c r="AB1003">
        <f t="shared" si="261"/>
        <v>2.0564386923520903E-2</v>
      </c>
      <c r="AC1003" s="1">
        <f t="shared" si="262"/>
        <v>2.1618632991586839E-3</v>
      </c>
      <c r="AD1003" s="35">
        <f>IF(W1003&gt;=FinalAgeForPremium, AE1003*Delta-Z1003*(Y1003-AE1003),AE1003*Delta+PremiumRevisedForLimitedTerm-Z1003*(Y1003-AE1003))</f>
        <v>3.0258071852652849E-2</v>
      </c>
      <c r="AE1003" s="35">
        <f>AE1002-StepSize*AD1002</f>
        <v>-3.527397953010817E-2</v>
      </c>
      <c r="AF1003" s="1"/>
    </row>
    <row r="1004" spans="11:32" x14ac:dyDescent="0.45">
      <c r="K1004" s="40">
        <f t="shared" si="263"/>
        <v>9.7899999999999991</v>
      </c>
      <c r="L1004" s="41">
        <f t="shared" si="255"/>
        <v>29.79</v>
      </c>
      <c r="M1004">
        <f t="shared" si="264"/>
        <v>0.81467431083991027</v>
      </c>
      <c r="N1004">
        <f t="shared" si="265"/>
        <v>0.18532568916008732</v>
      </c>
      <c r="O1004">
        <f t="shared" si="256"/>
        <v>0.13029728716715178</v>
      </c>
      <c r="P1004">
        <f t="shared" si="257"/>
        <v>0.5</v>
      </c>
      <c r="Q1004">
        <f t="shared" si="266"/>
        <v>-1.34870080471656E-2</v>
      </c>
      <c r="R1004" s="6">
        <f t="shared" si="267"/>
        <v>1.34870080471656E-2</v>
      </c>
      <c r="S1004" s="18">
        <f t="shared" si="268"/>
        <v>0.99999999999999756</v>
      </c>
      <c r="T1004" s="15"/>
      <c r="U1004" s="15"/>
      <c r="V1004" s="40">
        <f t="shared" si="269"/>
        <v>0.21</v>
      </c>
      <c r="W1004" s="41">
        <f t="shared" si="258"/>
        <v>20.21</v>
      </c>
      <c r="X1004">
        <f t="shared" si="270"/>
        <v>4.4763056944063942E-3</v>
      </c>
      <c r="Y1004">
        <f t="shared" si="271"/>
        <v>1.8263471778778804</v>
      </c>
      <c r="Z1004" s="33">
        <f t="shared" si="259"/>
        <v>5.7067588813595305E-2</v>
      </c>
      <c r="AA1004" s="33">
        <f t="shared" si="260"/>
        <v>0.5</v>
      </c>
      <c r="AB1004">
        <f t="shared" si="261"/>
        <v>2.0633231176835243E-2</v>
      </c>
      <c r="AC1004" s="1">
        <f t="shared" si="262"/>
        <v>2.2527949856310236E-3</v>
      </c>
      <c r="AD1004" s="35">
        <f>IF(W1004&gt;=FinalAgeForPremium, AE1004*Delta-Z1004*(Y1004-AE1004),AE1004*Delta+PremiumRevisedForLimitedTerm-Z1004*(Y1004-AE1004))</f>
        <v>3.031850317213855E-2</v>
      </c>
      <c r="AE1004" s="35">
        <f>AE1003-StepSize*AD1003</f>
        <v>-3.5576560248634696E-2</v>
      </c>
      <c r="AF1004" s="1"/>
    </row>
    <row r="1005" spans="11:32" x14ac:dyDescent="0.45">
      <c r="K1005" s="40">
        <f t="shared" si="263"/>
        <v>9.8000000000000007</v>
      </c>
      <c r="L1005" s="41">
        <f t="shared" si="255"/>
        <v>29.8</v>
      </c>
      <c r="M1005">
        <f t="shared" si="264"/>
        <v>0.81453944075943863</v>
      </c>
      <c r="N1005">
        <f t="shared" si="265"/>
        <v>0.18546055924055899</v>
      </c>
      <c r="O1005">
        <f t="shared" si="256"/>
        <v>0.13040962276465981</v>
      </c>
      <c r="P1005">
        <f t="shared" si="257"/>
        <v>0.5</v>
      </c>
      <c r="Q1005">
        <f t="shared" si="266"/>
        <v>-1.349350157609587E-2</v>
      </c>
      <c r="R1005" s="6">
        <f t="shared" si="267"/>
        <v>1.349350157609587E-2</v>
      </c>
      <c r="S1005" s="18">
        <f t="shared" si="268"/>
        <v>0.99999999999999756</v>
      </c>
      <c r="T1005" s="15"/>
      <c r="U1005" s="15"/>
      <c r="V1005" s="40">
        <f t="shared" si="269"/>
        <v>0.2</v>
      </c>
      <c r="W1005" s="41">
        <f t="shared" si="258"/>
        <v>20.2</v>
      </c>
      <c r="X1005">
        <f t="shared" si="270"/>
        <v>4.2699733826380417E-3</v>
      </c>
      <c r="Y1005">
        <f t="shared" si="271"/>
        <v>1.8263246499280241</v>
      </c>
      <c r="Z1005" s="33">
        <f t="shared" si="259"/>
        <v>5.7018430465063885E-2</v>
      </c>
      <c r="AA1005" s="33">
        <f t="shared" si="260"/>
        <v>0.5</v>
      </c>
      <c r="AB1005">
        <f t="shared" si="261"/>
        <v>2.0701994488332001E-2</v>
      </c>
      <c r="AC1005" s="1">
        <f t="shared" si="262"/>
        <v>2.3435707690941943E-3</v>
      </c>
      <c r="AD1005" s="35">
        <f>IF(W1005&gt;=FinalAgeForPremium, AE1005*Delta-Z1005*(Y1005-AE1005),AE1005*Delta+PremiumRevisedForLimitedTerm-Z1005*(Y1005-AE1005))</f>
        <v>3.0378870390303361E-2</v>
      </c>
      <c r="AE1005" s="35">
        <f>AE1004-StepSize*AD1004</f>
        <v>-3.5879745280356083E-2</v>
      </c>
      <c r="AF1005" s="1"/>
    </row>
    <row r="1006" spans="11:32" x14ac:dyDescent="0.45">
      <c r="K1006" s="40">
        <f t="shared" si="263"/>
        <v>9.81</v>
      </c>
      <c r="L1006" s="41">
        <f t="shared" si="255"/>
        <v>29.810000000000002</v>
      </c>
      <c r="M1006">
        <f t="shared" si="264"/>
        <v>0.81440450574367762</v>
      </c>
      <c r="N1006">
        <f t="shared" si="265"/>
        <v>0.18559549425631994</v>
      </c>
      <c r="O1006">
        <f t="shared" si="256"/>
        <v>0.13052205521212329</v>
      </c>
      <c r="P1006">
        <f t="shared" si="257"/>
        <v>0.5</v>
      </c>
      <c r="Q1006">
        <f t="shared" si="266"/>
        <v>-1.3500002735518296E-2</v>
      </c>
      <c r="R1006" s="6">
        <f t="shared" si="267"/>
        <v>1.3500002735518296E-2</v>
      </c>
      <c r="S1006" s="18">
        <f t="shared" si="268"/>
        <v>0.99999999999999756</v>
      </c>
      <c r="T1006" s="15"/>
      <c r="U1006" s="15"/>
      <c r="V1006" s="40">
        <f t="shared" si="269"/>
        <v>0.19</v>
      </c>
      <c r="W1006" s="41">
        <f t="shared" si="258"/>
        <v>20.190000000000001</v>
      </c>
      <c r="X1006">
        <f t="shared" si="270"/>
        <v>4.0629534377547216E-3</v>
      </c>
      <c r="Y1006">
        <f t="shared" si="271"/>
        <v>1.8263012142203332</v>
      </c>
      <c r="Z1006" s="33">
        <f t="shared" si="259"/>
        <v>5.6969314461816051E-2</v>
      </c>
      <c r="AA1006" s="33">
        <f t="shared" si="260"/>
        <v>0.5</v>
      </c>
      <c r="AB1006">
        <f t="shared" si="261"/>
        <v>2.077067686635993E-2</v>
      </c>
      <c r="AC1006" s="1">
        <f t="shared" si="262"/>
        <v>2.434191102305916E-3</v>
      </c>
      <c r="AD1006" s="35">
        <f>IF(W1006&gt;=FinalAgeForPremium, AE1006*Delta-Z1006*(Y1006-AE1006),AE1006*Delta+PremiumRevisedForLimitedTerm-Z1006*(Y1006-AE1006))</f>
        <v>3.0439173474229878E-2</v>
      </c>
      <c r="AE1006" s="35">
        <f>AE1005-StepSize*AD1005</f>
        <v>-3.6183533984259116E-2</v>
      </c>
      <c r="AF1006" s="1"/>
    </row>
    <row r="1007" spans="11:32" x14ac:dyDescent="0.45">
      <c r="K1007" s="40">
        <f t="shared" si="263"/>
        <v>9.82</v>
      </c>
      <c r="L1007" s="41">
        <f t="shared" si="255"/>
        <v>29.82</v>
      </c>
      <c r="M1007">
        <f t="shared" si="264"/>
        <v>0.81426950571632239</v>
      </c>
      <c r="N1007">
        <f t="shared" si="265"/>
        <v>0.18573049428367511</v>
      </c>
      <c r="O1007">
        <f t="shared" si="256"/>
        <v>0.13063458459304136</v>
      </c>
      <c r="P1007">
        <f t="shared" si="257"/>
        <v>0.5</v>
      </c>
      <c r="Q1007">
        <f t="shared" si="266"/>
        <v>-1.3506511484195349E-2</v>
      </c>
      <c r="R1007" s="6">
        <f t="shared" si="267"/>
        <v>1.3506511484195349E-2</v>
      </c>
      <c r="S1007" s="18">
        <f t="shared" si="268"/>
        <v>0.99999999999999756</v>
      </c>
      <c r="T1007" s="15"/>
      <c r="U1007" s="15"/>
      <c r="V1007" s="40">
        <f t="shared" si="269"/>
        <v>0.18</v>
      </c>
      <c r="W1007" s="41">
        <f t="shared" si="258"/>
        <v>20.18</v>
      </c>
      <c r="X1007">
        <f t="shared" si="270"/>
        <v>3.8552466690911225E-3</v>
      </c>
      <c r="Y1007">
        <f t="shared" si="271"/>
        <v>1.8262768723093101</v>
      </c>
      <c r="Z1007" s="33">
        <f t="shared" si="259"/>
        <v>5.6920240767375278E-2</v>
      </c>
      <c r="AA1007" s="33">
        <f t="shared" si="260"/>
        <v>0.5</v>
      </c>
      <c r="AB1007">
        <f t="shared" si="261"/>
        <v>2.08392783196895E-2</v>
      </c>
      <c r="AC1007" s="1">
        <f t="shared" si="262"/>
        <v>2.524656435574979E-3</v>
      </c>
      <c r="AD1007" s="35">
        <f>IF(W1007&gt;=FinalAgeForPremium, AE1007*Delta-Z1007*(Y1007-AE1007),AE1007*Delta+PremiumRevisedForLimitedTerm-Z1007*(Y1007-AE1007))</f>
        <v>3.0499412391533795E-2</v>
      </c>
      <c r="AE1007" s="35">
        <f>AE1006-StepSize*AD1006</f>
        <v>-3.6487925719001411E-2</v>
      </c>
      <c r="AF1007" s="1"/>
    </row>
    <row r="1008" spans="11:32" x14ac:dyDescent="0.45">
      <c r="K1008" s="40">
        <f t="shared" si="263"/>
        <v>9.83</v>
      </c>
      <c r="L1008" s="41">
        <f t="shared" si="255"/>
        <v>29.83</v>
      </c>
      <c r="M1008">
        <f t="shared" si="264"/>
        <v>0.81413444060148044</v>
      </c>
      <c r="N1008">
        <f t="shared" si="265"/>
        <v>0.18586555939851707</v>
      </c>
      <c r="O1008">
        <f t="shared" si="256"/>
        <v>0.13074721099098499</v>
      </c>
      <c r="P1008">
        <f t="shared" si="257"/>
        <v>0.5</v>
      </c>
      <c r="Q1008">
        <f t="shared" si="266"/>
        <v>-1.3513027781090772E-2</v>
      </c>
      <c r="R1008" s="6">
        <f t="shared" si="267"/>
        <v>1.3513027781090772E-2</v>
      </c>
      <c r="S1008" s="18">
        <f t="shared" si="268"/>
        <v>0.99999999999999756</v>
      </c>
      <c r="T1008" s="15"/>
      <c r="U1008" s="15"/>
      <c r="V1008" s="40">
        <f t="shared" si="269"/>
        <v>0.17</v>
      </c>
      <c r="W1008" s="41">
        <f t="shared" si="258"/>
        <v>20.170000000000002</v>
      </c>
      <c r="X1008">
        <f t="shared" si="270"/>
        <v>3.6468538858942276E-3</v>
      </c>
      <c r="Y1008">
        <f t="shared" si="271"/>
        <v>1.8262516257449544</v>
      </c>
      <c r="Z1008" s="33">
        <f t="shared" si="259"/>
        <v>5.6871209345296554E-2</v>
      </c>
      <c r="AA1008" s="33">
        <f t="shared" si="260"/>
        <v>0.5</v>
      </c>
      <c r="AB1008">
        <f t="shared" si="261"/>
        <v>2.0907798857509305E-2</v>
      </c>
      <c r="AC1008" s="1">
        <f t="shared" si="262"/>
        <v>2.614967216777786E-3</v>
      </c>
      <c r="AD1008" s="35">
        <f>IF(W1008&gt;=FinalAgeForPremium, AE1008*Delta-Z1008*(Y1008-AE1008),AE1008*Delta+PremiumRevisedForLimitedTerm-Z1008*(Y1008-AE1008))</f>
        <v>3.0559587110359998E-2</v>
      </c>
      <c r="AE1008" s="35">
        <f>AE1007-StepSize*AD1007</f>
        <v>-3.6792919842916751E-2</v>
      </c>
      <c r="AF1008" s="1"/>
    </row>
    <row r="1009" spans="11:32" x14ac:dyDescent="0.45">
      <c r="K1009" s="40">
        <f t="shared" si="263"/>
        <v>9.84</v>
      </c>
      <c r="L1009" s="41">
        <f t="shared" si="255"/>
        <v>29.84</v>
      </c>
      <c r="M1009">
        <f t="shared" si="264"/>
        <v>0.81399931032366957</v>
      </c>
      <c r="N1009">
        <f t="shared" si="265"/>
        <v>0.18600068967632796</v>
      </c>
      <c r="O1009">
        <f t="shared" si="256"/>
        <v>0.13085993448959726</v>
      </c>
      <c r="P1009">
        <f t="shared" si="257"/>
        <v>0.5</v>
      </c>
      <c r="Q1009">
        <f t="shared" si="266"/>
        <v>-1.3519551585368772E-2</v>
      </c>
      <c r="R1009" s="6">
        <f t="shared" si="267"/>
        <v>1.3519551585368772E-2</v>
      </c>
      <c r="S1009" s="18">
        <f t="shared" si="268"/>
        <v>0.99999999999999756</v>
      </c>
      <c r="T1009" s="15"/>
      <c r="U1009" s="15"/>
      <c r="V1009" s="40">
        <f t="shared" si="269"/>
        <v>0.16</v>
      </c>
      <c r="W1009" s="41">
        <f t="shared" si="258"/>
        <v>20.16</v>
      </c>
      <c r="X1009">
        <f t="shared" si="270"/>
        <v>3.4377758973191345E-3</v>
      </c>
      <c r="Y1009">
        <f t="shared" si="271"/>
        <v>1.8262254760727865</v>
      </c>
      <c r="Z1009" s="33">
        <f t="shared" si="259"/>
        <v>5.6822220159166215E-2</v>
      </c>
      <c r="AA1009" s="33">
        <f t="shared" si="260"/>
        <v>0.5</v>
      </c>
      <c r="AB1009">
        <f t="shared" si="261"/>
        <v>2.0976238489422969E-2</v>
      </c>
      <c r="AC1009" s="1">
        <f t="shared" si="262"/>
        <v>2.7051238913730069E-3</v>
      </c>
      <c r="AD1009" s="35">
        <f>IF(W1009&gt;=FinalAgeForPremium, AE1009*Delta-Z1009*(Y1009-AE1009),AE1009*Delta+PremiumRevisedForLimitedTerm-Z1009*(Y1009-AE1009))</f>
        <v>3.0619697599379159E-2</v>
      </c>
      <c r="AE1009" s="35">
        <f>AE1008-StepSize*AD1008</f>
        <v>-3.7098515714020348E-2</v>
      </c>
      <c r="AF1009" s="1"/>
    </row>
    <row r="1010" spans="11:32" x14ac:dyDescent="0.45">
      <c r="K1010" s="40">
        <f t="shared" si="263"/>
        <v>9.85</v>
      </c>
      <c r="L1010" s="41">
        <f t="shared" si="255"/>
        <v>29.85</v>
      </c>
      <c r="M1010">
        <f t="shared" si="264"/>
        <v>0.81386411480781584</v>
      </c>
      <c r="N1010">
        <f t="shared" si="265"/>
        <v>0.18613588519218166</v>
      </c>
      <c r="O1010">
        <f t="shared" si="256"/>
        <v>0.13097275517259346</v>
      </c>
      <c r="P1010">
        <f t="shared" si="257"/>
        <v>0.5</v>
      </c>
      <c r="Q1010">
        <f t="shared" si="266"/>
        <v>-1.3526082856392729E-2</v>
      </c>
      <c r="R1010" s="6">
        <f t="shared" si="267"/>
        <v>1.3526082856392729E-2</v>
      </c>
      <c r="S1010" s="18">
        <f t="shared" si="268"/>
        <v>0.99999999999999756</v>
      </c>
      <c r="T1010" s="15"/>
      <c r="U1010" s="15"/>
      <c r="V1010" s="40">
        <f t="shared" si="269"/>
        <v>0.15</v>
      </c>
      <c r="W1010" s="41">
        <f t="shared" si="258"/>
        <v>20.149999999999999</v>
      </c>
      <c r="X1010">
        <f t="shared" si="270"/>
        <v>3.2280135124249047E-3</v>
      </c>
      <c r="Y1010">
        <f t="shared" si="271"/>
        <v>1.8261984248338727</v>
      </c>
      <c r="Z1010" s="33">
        <f t="shared" si="259"/>
        <v>5.6773273172601967E-2</v>
      </c>
      <c r="AA1010" s="33">
        <f t="shared" si="260"/>
        <v>0.5</v>
      </c>
      <c r="AB1010">
        <f t="shared" si="261"/>
        <v>2.1044597225445785E-2</v>
      </c>
      <c r="AC1010" s="1">
        <f t="shared" si="262"/>
        <v>2.7951269024175662E-3</v>
      </c>
      <c r="AD1010" s="35">
        <f>IF(W1010&gt;=FinalAgeForPremium, AE1010*Delta-Z1010*(Y1010-AE1010),AE1010*Delta+PremiumRevisedForLimitedTerm-Z1010*(Y1010-AE1010))</f>
        <v>3.0679743827784101E-2</v>
      </c>
      <c r="AE1010" s="35">
        <f>AE1009-StepSize*AD1009</f>
        <v>-3.7404712690014143E-2</v>
      </c>
      <c r="AF1010" s="1"/>
    </row>
    <row r="1011" spans="11:32" x14ac:dyDescent="0.45">
      <c r="K1011" s="40">
        <f t="shared" si="263"/>
        <v>9.86</v>
      </c>
      <c r="L1011" s="41">
        <f t="shared" si="255"/>
        <v>29.86</v>
      </c>
      <c r="M1011">
        <f t="shared" si="264"/>
        <v>0.81372885397925188</v>
      </c>
      <c r="N1011">
        <f t="shared" si="265"/>
        <v>0.1862711460207456</v>
      </c>
      <c r="O1011">
        <f t="shared" si="256"/>
        <v>0.13108567312376082</v>
      </c>
      <c r="P1011">
        <f t="shared" si="257"/>
        <v>0.5</v>
      </c>
      <c r="Q1011">
        <f t="shared" si="266"/>
        <v>-1.3532621553723909E-2</v>
      </c>
      <c r="R1011" s="6">
        <f t="shared" si="267"/>
        <v>1.3532621553723909E-2</v>
      </c>
      <c r="S1011" s="18">
        <f t="shared" si="268"/>
        <v>0.99999999999999745</v>
      </c>
      <c r="T1011" s="15"/>
      <c r="U1011" s="15"/>
      <c r="V1011" s="40">
        <f t="shared" si="269"/>
        <v>0.14000000000000001</v>
      </c>
      <c r="W1011" s="41">
        <f t="shared" si="258"/>
        <v>20.14</v>
      </c>
      <c r="X1011">
        <f t="shared" si="270"/>
        <v>3.0175675401704466E-3</v>
      </c>
      <c r="Y1011">
        <f t="shared" si="271"/>
        <v>1.8261704735648485</v>
      </c>
      <c r="Z1011" s="33">
        <f t="shared" si="259"/>
        <v>5.6724368349252874E-2</v>
      </c>
      <c r="AA1011" s="33">
        <f t="shared" si="260"/>
        <v>0.5</v>
      </c>
      <c r="AB1011">
        <f t="shared" si="261"/>
        <v>2.1112875076001542E-2</v>
      </c>
      <c r="AC1011" s="1">
        <f t="shared" si="262"/>
        <v>2.88497669058152E-3</v>
      </c>
      <c r="AD1011" s="35">
        <f>IF(W1011&gt;=FinalAgeForPremium, AE1011*Delta-Z1011*(Y1011-AE1011),AE1011*Delta+PremiumRevisedForLimitedTerm-Z1011*(Y1011-AE1011))</f>
        <v>3.0739725765286108E-2</v>
      </c>
      <c r="AE1011" s="35">
        <f>AE1010-StepSize*AD1010</f>
        <v>-3.7711510128291985E-2</v>
      </c>
      <c r="AF1011" s="1"/>
    </row>
    <row r="1012" spans="11:32" x14ac:dyDescent="0.45">
      <c r="K1012" s="40">
        <f t="shared" si="263"/>
        <v>9.8699999999999992</v>
      </c>
      <c r="L1012" s="41">
        <f t="shared" si="255"/>
        <v>29.869999999999997</v>
      </c>
      <c r="M1012">
        <f t="shared" si="264"/>
        <v>0.81359352776371463</v>
      </c>
      <c r="N1012">
        <f t="shared" si="265"/>
        <v>0.18640647223628284</v>
      </c>
      <c r="O1012">
        <f t="shared" si="256"/>
        <v>0.13119868842695895</v>
      </c>
      <c r="P1012">
        <f t="shared" si="257"/>
        <v>0.5</v>
      </c>
      <c r="Q1012">
        <f t="shared" si="266"/>
        <v>-1.3539167637120542E-2</v>
      </c>
      <c r="R1012" s="6">
        <f t="shared" si="267"/>
        <v>1.3539167637120542E-2</v>
      </c>
      <c r="S1012" s="18">
        <f t="shared" si="268"/>
        <v>0.99999999999999745</v>
      </c>
      <c r="T1012" s="15"/>
      <c r="U1012" s="15"/>
      <c r="V1012" s="40">
        <f t="shared" si="269"/>
        <v>0.13</v>
      </c>
      <c r="W1012" s="41">
        <f t="shared" si="258"/>
        <v>20.13</v>
      </c>
      <c r="X1012">
        <f t="shared" si="270"/>
        <v>2.8064387894104312E-3</v>
      </c>
      <c r="Y1012">
        <f t="shared" si="271"/>
        <v>1.8261416237979426</v>
      </c>
      <c r="Z1012" s="33">
        <f t="shared" si="259"/>
        <v>5.6675505652799288E-2</v>
      </c>
      <c r="AA1012" s="33">
        <f t="shared" si="260"/>
        <v>0.5</v>
      </c>
      <c r="AB1012">
        <f t="shared" si="261"/>
        <v>2.1181072051919297E-2</v>
      </c>
      <c r="AC1012" s="1">
        <f t="shared" si="262"/>
        <v>2.9746736941632657E-3</v>
      </c>
      <c r="AD1012" s="35">
        <f>IF(W1012&gt;=FinalAgeForPremium, AE1012*Delta-Z1012*(Y1012-AE1012),AE1012*Delta+PremiumRevisedForLimitedTerm-Z1012*(Y1012-AE1012))</f>
        <v>3.0799643382111552E-2</v>
      </c>
      <c r="AE1012" s="35">
        <f>AE1011-StepSize*AD1011</f>
        <v>-3.8018907385944843E-2</v>
      </c>
      <c r="AF1012" s="1"/>
    </row>
    <row r="1013" spans="11:32" x14ac:dyDescent="0.45">
      <c r="K1013" s="40">
        <f t="shared" si="263"/>
        <v>9.8800000000000008</v>
      </c>
      <c r="L1013" s="41">
        <f t="shared" si="255"/>
        <v>29.880000000000003</v>
      </c>
      <c r="M1013">
        <f t="shared" si="264"/>
        <v>0.81345813608734341</v>
      </c>
      <c r="N1013">
        <f t="shared" si="265"/>
        <v>0.18654186391265404</v>
      </c>
      <c r="O1013">
        <f t="shared" si="256"/>
        <v>0.13131180116611985</v>
      </c>
      <c r="P1013">
        <f t="shared" si="257"/>
        <v>0.5</v>
      </c>
      <c r="Q1013">
        <f t="shared" si="266"/>
        <v>-1.3545721066536676E-2</v>
      </c>
      <c r="R1013" s="6">
        <f t="shared" si="267"/>
        <v>1.3545721066536676E-2</v>
      </c>
      <c r="S1013" s="18">
        <f t="shared" si="268"/>
        <v>0.99999999999999745</v>
      </c>
      <c r="T1013" s="15"/>
      <c r="U1013" s="15"/>
      <c r="V1013" s="40">
        <f t="shared" si="269"/>
        <v>0.12</v>
      </c>
      <c r="W1013" s="41">
        <f t="shared" si="258"/>
        <v>20.12</v>
      </c>
      <c r="X1013">
        <f t="shared" si="270"/>
        <v>2.5946280688912381E-3</v>
      </c>
      <c r="Y1013">
        <f t="shared" si="271"/>
        <v>1.826111877061001</v>
      </c>
      <c r="Z1013" s="33">
        <f t="shared" si="259"/>
        <v>5.6626685046952875E-2</v>
      </c>
      <c r="AA1013" s="33">
        <f t="shared" si="260"/>
        <v>0.5</v>
      </c>
      <c r="AB1013">
        <f t="shared" si="261"/>
        <v>2.1249188164430083E-2</v>
      </c>
      <c r="AC1013" s="1">
        <f t="shared" si="262"/>
        <v>3.0642183491048636E-3</v>
      </c>
      <c r="AD1013" s="35">
        <f>IF(W1013&gt;=FinalAgeForPremium, AE1013*Delta-Z1013*(Y1013-AE1013),AE1013*Delta+PremiumRevisedForLimitedTerm-Z1013*(Y1013-AE1013))</f>
        <v>3.0859496648998272E-2</v>
      </c>
      <c r="AE1013" s="35">
        <f>AE1012-StepSize*AD1012</f>
        <v>-3.8326903819765959E-2</v>
      </c>
      <c r="AF1013" s="1"/>
    </row>
    <row r="1014" spans="11:32" x14ac:dyDescent="0.45">
      <c r="K1014" s="40">
        <f t="shared" si="263"/>
        <v>9.89</v>
      </c>
      <c r="L1014" s="41">
        <f t="shared" si="255"/>
        <v>29.89</v>
      </c>
      <c r="M1014">
        <f t="shared" si="264"/>
        <v>0.81332267887667808</v>
      </c>
      <c r="N1014">
        <f t="shared" si="265"/>
        <v>0.18667732112331942</v>
      </c>
      <c r="O1014">
        <f t="shared" si="256"/>
        <v>0.13142501142524765</v>
      </c>
      <c r="P1014">
        <f t="shared" si="257"/>
        <v>0.5</v>
      </c>
      <c r="Q1014">
        <f t="shared" si="266"/>
        <v>-1.355228180212073E-2</v>
      </c>
      <c r="R1014" s="6">
        <f t="shared" si="267"/>
        <v>1.355228180212073E-2</v>
      </c>
      <c r="S1014" s="18">
        <f t="shared" si="268"/>
        <v>0.99999999999999756</v>
      </c>
      <c r="T1014" s="15"/>
      <c r="U1014" s="15"/>
      <c r="V1014" s="40">
        <f t="shared" si="269"/>
        <v>0.11</v>
      </c>
      <c r="W1014" s="41">
        <f t="shared" si="258"/>
        <v>20.11</v>
      </c>
      <c r="X1014">
        <f t="shared" si="270"/>
        <v>2.3821361872469371E-3</v>
      </c>
      <c r="Y1014">
        <f t="shared" si="271"/>
        <v>1.82608123487751</v>
      </c>
      <c r="Z1014" s="33">
        <f t="shared" si="259"/>
        <v>5.6577906495456513E-2</v>
      </c>
      <c r="AA1014" s="33">
        <f t="shared" si="260"/>
        <v>0.5</v>
      </c>
      <c r="AB1014">
        <f t="shared" si="261"/>
        <v>2.1317223425163997E-2</v>
      </c>
      <c r="AC1014" s="1">
        <f t="shared" si="262"/>
        <v>3.1536110890070246E-3</v>
      </c>
      <c r="AD1014" s="35">
        <f>IF(W1014&gt;=FinalAgeForPremium, AE1014*Delta-Z1014*(Y1014-AE1014),AE1014*Delta+PremiumRevisedForLimitedTerm-Z1014*(Y1014-AE1014))</f>
        <v>3.0919285537192129E-2</v>
      </c>
      <c r="AE1014" s="35">
        <f>AE1013-StepSize*AD1013</f>
        <v>-3.863549878625594E-2</v>
      </c>
      <c r="AF1014" s="1"/>
    </row>
    <row r="1015" spans="11:32" x14ac:dyDescent="0.45">
      <c r="K1015" s="40">
        <f t="shared" si="263"/>
        <v>9.9</v>
      </c>
      <c r="L1015" s="41">
        <f t="shared" si="255"/>
        <v>29.9</v>
      </c>
      <c r="M1015">
        <f t="shared" si="264"/>
        <v>0.81318715605865688</v>
      </c>
      <c r="N1015">
        <f t="shared" si="265"/>
        <v>0.18681284394134062</v>
      </c>
      <c r="O1015">
        <f t="shared" si="256"/>
        <v>0.13153831928841908</v>
      </c>
      <c r="P1015">
        <f t="shared" si="257"/>
        <v>0.5</v>
      </c>
      <c r="Q1015">
        <f t="shared" si="266"/>
        <v>-1.3558849804214776E-2</v>
      </c>
      <c r="R1015" s="6">
        <f t="shared" si="267"/>
        <v>1.3558849804214776E-2</v>
      </c>
      <c r="S1015" s="18">
        <f t="shared" si="268"/>
        <v>0.99999999999999756</v>
      </c>
      <c r="T1015" s="15"/>
      <c r="U1015" s="15"/>
      <c r="V1015" s="40">
        <f t="shared" si="269"/>
        <v>0.1</v>
      </c>
      <c r="W1015" s="41">
        <f t="shared" si="258"/>
        <v>20.100000000000001</v>
      </c>
      <c r="X1015">
        <f t="shared" si="270"/>
        <v>2.1689639529952971E-3</v>
      </c>
      <c r="Y1015">
        <f t="shared" si="271"/>
        <v>1.8260496987666199</v>
      </c>
      <c r="Z1015" s="33">
        <f t="shared" si="259"/>
        <v>5.6529169962084388E-2</v>
      </c>
      <c r="AA1015" s="33">
        <f t="shared" si="260"/>
        <v>0.5</v>
      </c>
      <c r="AB1015">
        <f t="shared" si="261"/>
        <v>2.1385177846146686E-2</v>
      </c>
      <c r="AC1015" s="1">
        <f t="shared" si="262"/>
        <v>3.2428523451433211E-3</v>
      </c>
      <c r="AD1015" s="35">
        <f>IF(W1015&gt;=FinalAgeForPremium, AE1015*Delta-Z1015*(Y1015-AE1015),AE1015*Delta+PremiumRevisedForLimitedTerm-Z1015*(Y1015-AE1015))</f>
        <v>3.0979010018443331E-2</v>
      </c>
      <c r="AE1015" s="35">
        <f>AE1014-StepSize*AD1014</f>
        <v>-3.8944691641627859E-2</v>
      </c>
      <c r="AF1015" s="1"/>
    </row>
    <row r="1016" spans="11:32" x14ac:dyDescent="0.45">
      <c r="K1016" s="40">
        <f t="shared" si="263"/>
        <v>9.91</v>
      </c>
      <c r="L1016" s="41">
        <f t="shared" si="255"/>
        <v>29.91</v>
      </c>
      <c r="M1016">
        <f t="shared" si="264"/>
        <v>0.8130515675606147</v>
      </c>
      <c r="N1016">
        <f t="shared" si="265"/>
        <v>0.18694843243938278</v>
      </c>
      <c r="O1016">
        <f t="shared" si="256"/>
        <v>0.13165172483978335</v>
      </c>
      <c r="P1016">
        <f t="shared" si="257"/>
        <v>0.5</v>
      </c>
      <c r="Q1016">
        <f t="shared" si="266"/>
        <v>-1.3565425033353187E-2</v>
      </c>
      <c r="R1016" s="6">
        <f t="shared" si="267"/>
        <v>1.3565425033353187E-2</v>
      </c>
      <c r="S1016" s="18">
        <f t="shared" si="268"/>
        <v>0.99999999999999745</v>
      </c>
      <c r="T1016" s="15"/>
      <c r="U1016" s="15"/>
      <c r="V1016" s="40">
        <f t="shared" si="269"/>
        <v>0.09</v>
      </c>
      <c r="W1016" s="41">
        <f t="shared" si="258"/>
        <v>20.09</v>
      </c>
      <c r="X1016">
        <f t="shared" si="270"/>
        <v>1.9551121745338303E-3</v>
      </c>
      <c r="Y1016">
        <f t="shared" si="271"/>
        <v>1.8260172702431685</v>
      </c>
      <c r="Z1016" s="33">
        <f t="shared" si="259"/>
        <v>5.6480475410641801E-2</v>
      </c>
      <c r="AA1016" s="33">
        <f t="shared" si="260"/>
        <v>0.5</v>
      </c>
      <c r="AB1016">
        <f t="shared" si="261"/>
        <v>2.1453051439796617E-2</v>
      </c>
      <c r="AC1016" s="1">
        <f t="shared" si="262"/>
        <v>3.3319425464757302E-3</v>
      </c>
      <c r="AD1016" s="35">
        <f>IF(W1016&gt;=FinalAgeForPremium, AE1016*Delta-Z1016*(Y1016-AE1016),AE1016*Delta+PremiumRevisedForLimitedTerm-Z1016*(Y1016-AE1016))</f>
        <v>3.1038670065003465E-2</v>
      </c>
      <c r="AE1016" s="35">
        <f>AE1015-StepSize*AD1015</f>
        <v>-3.9254481741812293E-2</v>
      </c>
      <c r="AF1016" s="1"/>
    </row>
    <row r="1017" spans="11:32" x14ac:dyDescent="0.45">
      <c r="K1017" s="40">
        <f t="shared" si="263"/>
        <v>9.92</v>
      </c>
      <c r="L1017" s="41">
        <f t="shared" si="255"/>
        <v>29.92</v>
      </c>
      <c r="M1017">
        <f t="shared" si="264"/>
        <v>0.81291591331028112</v>
      </c>
      <c r="N1017">
        <f t="shared" si="265"/>
        <v>0.18708408668971632</v>
      </c>
      <c r="O1017">
        <f t="shared" si="256"/>
        <v>0.1317652281635622</v>
      </c>
      <c r="P1017">
        <f t="shared" si="257"/>
        <v>0.5</v>
      </c>
      <c r="Q1017">
        <f t="shared" si="266"/>
        <v>-1.3572007450261589E-2</v>
      </c>
      <c r="R1017" s="6">
        <f t="shared" si="267"/>
        <v>1.3572007450261589E-2</v>
      </c>
      <c r="S1017" s="18">
        <f t="shared" si="268"/>
        <v>0.99999999999999745</v>
      </c>
      <c r="T1017" s="15"/>
      <c r="U1017" s="15"/>
      <c r="V1017" s="40">
        <f t="shared" si="269"/>
        <v>0.08</v>
      </c>
      <c r="W1017" s="41">
        <f t="shared" si="258"/>
        <v>20.079999999999998</v>
      </c>
      <c r="X1017">
        <f t="shared" si="270"/>
        <v>1.7405816601358641E-3</v>
      </c>
      <c r="Y1017">
        <f t="shared" si="271"/>
        <v>1.8259839508177038</v>
      </c>
      <c r="Z1017" s="33">
        <f t="shared" si="259"/>
        <v>5.6431822804965302E-2</v>
      </c>
      <c r="AA1017" s="33">
        <f t="shared" si="260"/>
        <v>0.5</v>
      </c>
      <c r="AB1017">
        <f t="shared" si="261"/>
        <v>2.1520844218921684E-2</v>
      </c>
      <c r="AC1017" s="1">
        <f t="shared" si="262"/>
        <v>3.4208821196691774E-3</v>
      </c>
      <c r="AD1017" s="35">
        <f>IF(W1017&gt;=FinalAgeForPremium, AE1017*Delta-Z1017*(Y1017-AE1017),AE1017*Delta+PremiumRevisedForLimitedTerm-Z1017*(Y1017-AE1017))</f>
        <v>3.1098265649621495E-2</v>
      </c>
      <c r="AE1017" s="35">
        <f>AE1016-StepSize*AD1016</f>
        <v>-3.9564868442462327E-2</v>
      </c>
      <c r="AF1017" s="1"/>
    </row>
    <row r="1018" spans="11:32" x14ac:dyDescent="0.45">
      <c r="K1018" s="40">
        <f t="shared" si="263"/>
        <v>9.93</v>
      </c>
      <c r="L1018" s="41">
        <f t="shared" si="255"/>
        <v>29.93</v>
      </c>
      <c r="M1018">
        <f t="shared" si="264"/>
        <v>0.81278019323577855</v>
      </c>
      <c r="N1018">
        <f t="shared" si="265"/>
        <v>0.18721980676421893</v>
      </c>
      <c r="O1018">
        <f t="shared" si="256"/>
        <v>0.13187882934404985</v>
      </c>
      <c r="P1018">
        <f t="shared" si="257"/>
        <v>0.5</v>
      </c>
      <c r="Q1018">
        <f t="shared" si="266"/>
        <v>-1.3578597015855634E-2</v>
      </c>
      <c r="R1018" s="6">
        <f t="shared" si="267"/>
        <v>1.3578597015855634E-2</v>
      </c>
      <c r="S1018" s="18">
        <f t="shared" si="268"/>
        <v>0.99999999999999745</v>
      </c>
      <c r="T1018" s="15"/>
      <c r="U1018" s="15"/>
      <c r="V1018" s="40">
        <f t="shared" si="269"/>
        <v>7.0000000000000007E-2</v>
      </c>
      <c r="W1018" s="41">
        <f t="shared" si="258"/>
        <v>20.07</v>
      </c>
      <c r="X1018">
        <f t="shared" si="270"/>
        <v>1.5253732179466473E-3</v>
      </c>
      <c r="Y1018">
        <f t="shared" si="271"/>
        <v>1.8259497419965072</v>
      </c>
      <c r="Z1018" s="33">
        <f t="shared" si="259"/>
        <v>5.6383212108922588E-2</v>
      </c>
      <c r="AA1018" s="33">
        <f t="shared" si="260"/>
        <v>0.5</v>
      </c>
      <c r="AB1018">
        <f t="shared" si="261"/>
        <v>2.1588556196716208E-2</v>
      </c>
      <c r="AC1018" s="1">
        <f t="shared" si="262"/>
        <v>3.5096714891056369E-3</v>
      </c>
      <c r="AD1018" s="35">
        <f>IF(W1018&gt;=FinalAgeForPremium, AE1018*Delta-Z1018*(Y1018-AE1018),AE1018*Delta+PremiumRevisedForLimitedTerm-Z1018*(Y1018-AE1018))</f>
        <v>3.11577967455407E-2</v>
      </c>
      <c r="AE1018" s="35">
        <f>AE1017-StepSize*AD1017</f>
        <v>-3.987585109895854E-2</v>
      </c>
      <c r="AF1018" s="1"/>
    </row>
    <row r="1019" spans="11:32" x14ac:dyDescent="0.45">
      <c r="K1019" s="40">
        <f t="shared" si="263"/>
        <v>9.94</v>
      </c>
      <c r="L1019" s="41">
        <f t="shared" si="255"/>
        <v>29.939999999999998</v>
      </c>
      <c r="M1019">
        <f t="shared" si="264"/>
        <v>0.81264440726562004</v>
      </c>
      <c r="N1019">
        <f t="shared" si="265"/>
        <v>0.18735559273437749</v>
      </c>
      <c r="O1019">
        <f t="shared" si="256"/>
        <v>0.13199252846561335</v>
      </c>
      <c r="P1019">
        <f t="shared" si="257"/>
        <v>0.5</v>
      </c>
      <c r="Q1019">
        <f t="shared" si="266"/>
        <v>-1.3585193691240102E-2</v>
      </c>
      <c r="R1019" s="6">
        <f t="shared" si="267"/>
        <v>1.3585193691240102E-2</v>
      </c>
      <c r="S1019" s="18">
        <f t="shared" si="268"/>
        <v>0.99999999999999756</v>
      </c>
      <c r="T1019" s="15"/>
      <c r="U1019" s="15"/>
      <c r="V1019" s="40">
        <f t="shared" si="269"/>
        <v>0.06</v>
      </c>
      <c r="W1019" s="41">
        <f t="shared" si="258"/>
        <v>20.059999999999999</v>
      </c>
      <c r="X1019">
        <f t="shared" si="270"/>
        <v>1.3094876559794852E-3</v>
      </c>
      <c r="Y1019">
        <f t="shared" si="271"/>
        <v>1.8259146452816162</v>
      </c>
      <c r="Z1019" s="33">
        <f t="shared" si="259"/>
        <v>5.6334643286412404E-2</v>
      </c>
      <c r="AA1019" s="33">
        <f t="shared" si="260"/>
        <v>0.5</v>
      </c>
      <c r="AB1019">
        <f t="shared" si="261"/>
        <v>2.1656187386758105E-2</v>
      </c>
      <c r="AC1019" s="1">
        <f t="shared" si="262"/>
        <v>3.5983110768992299E-3</v>
      </c>
      <c r="AD1019" s="35">
        <f>IF(W1019&gt;=FinalAgeForPremium, AE1019*Delta-Z1019*(Y1019-AE1019),AE1019*Delta+PremiumRevisedForLimitedTerm-Z1019*(Y1019-AE1019))</f>
        <v>3.1217263326495326E-2</v>
      </c>
      <c r="AE1019" s="35">
        <f>AE1018-StepSize*AD1018</f>
        <v>-4.0187429066413947E-2</v>
      </c>
      <c r="AF1019" s="1"/>
    </row>
    <row r="1020" spans="11:32" x14ac:dyDescent="0.45">
      <c r="K1020" s="40">
        <f t="shared" si="263"/>
        <v>9.9499999999999993</v>
      </c>
      <c r="L1020" s="41">
        <f t="shared" si="255"/>
        <v>29.95</v>
      </c>
      <c r="M1020">
        <f t="shared" si="264"/>
        <v>0.81250855532870769</v>
      </c>
      <c r="N1020">
        <f t="shared" si="265"/>
        <v>0.18749144467128989</v>
      </c>
      <c r="O1020">
        <f t="shared" si="256"/>
        <v>0.13210632561269248</v>
      </c>
      <c r="P1020">
        <f t="shared" si="257"/>
        <v>0.5</v>
      </c>
      <c r="Q1020">
        <f t="shared" si="266"/>
        <v>-1.3591797437707678E-2</v>
      </c>
      <c r="R1020" s="6">
        <f t="shared" si="267"/>
        <v>1.3591797437707678E-2</v>
      </c>
      <c r="S1020" s="18">
        <f t="shared" si="268"/>
        <v>0.99999999999999756</v>
      </c>
      <c r="T1020" s="15"/>
      <c r="U1020" s="15"/>
      <c r="V1020" s="40">
        <f t="shared" si="269"/>
        <v>0.05</v>
      </c>
      <c r="W1020" s="41">
        <f t="shared" si="258"/>
        <v>20.05</v>
      </c>
      <c r="X1020">
        <f t="shared" si="270"/>
        <v>1.0929257821119041E-3</v>
      </c>
      <c r="Y1020">
        <f t="shared" si="271"/>
        <v>1.8258786621708472</v>
      </c>
      <c r="Z1020" s="33">
        <f t="shared" si="259"/>
        <v>5.6286116301364722E-2</v>
      </c>
      <c r="AA1020" s="33">
        <f t="shared" si="260"/>
        <v>0.5</v>
      </c>
      <c r="AB1020">
        <f t="shared" si="261"/>
        <v>2.1723737803005447E-2</v>
      </c>
      <c r="AC1020" s="1">
        <f t="shared" si="262"/>
        <v>3.6868013029099922E-3</v>
      </c>
      <c r="AD1020" s="35">
        <f>IF(W1020&gt;=FinalAgeForPremium, AE1020*Delta-Z1020*(Y1020-AE1020),AE1020*Delta+PremiumRevisedForLimitedTerm-Z1020*(Y1020-AE1020))</f>
        <v>3.1276665366706993E-2</v>
      </c>
      <c r="AE1020" s="35">
        <f>AE1019-StepSize*AD1019</f>
        <v>-4.0499601699678901E-2</v>
      </c>
      <c r="AF1020" s="1"/>
    </row>
    <row r="1021" spans="11:32" x14ac:dyDescent="0.45">
      <c r="K1021" s="40">
        <f t="shared" si="263"/>
        <v>9.9600000000000009</v>
      </c>
      <c r="L1021" s="41">
        <f t="shared" si="255"/>
        <v>29.96</v>
      </c>
      <c r="M1021">
        <f t="shared" si="264"/>
        <v>0.81237263735433063</v>
      </c>
      <c r="N1021">
        <f t="shared" si="265"/>
        <v>0.18762736264566696</v>
      </c>
      <c r="O1021">
        <f t="shared" si="256"/>
        <v>0.13222022086979981</v>
      </c>
      <c r="P1021">
        <f t="shared" si="257"/>
        <v>0.5</v>
      </c>
      <c r="Q1021">
        <f t="shared" si="266"/>
        <v>-1.3598408216737912E-2</v>
      </c>
      <c r="R1021" s="6">
        <f t="shared" si="267"/>
        <v>1.3598408216737912E-2</v>
      </c>
      <c r="S1021" s="18">
        <f t="shared" si="268"/>
        <v>0.99999999999999756</v>
      </c>
      <c r="T1021" s="15"/>
      <c r="U1021" s="15"/>
      <c r="V1021" s="40">
        <f t="shared" si="269"/>
        <v>0.04</v>
      </c>
      <c r="W1021" s="41">
        <f t="shared" si="258"/>
        <v>20.04</v>
      </c>
      <c r="X1021">
        <f t="shared" si="270"/>
        <v>8.756884040818497E-4</v>
      </c>
      <c r="Y1021">
        <f t="shared" si="271"/>
        <v>1.825841794157818</v>
      </c>
      <c r="Z1021" s="33">
        <f t="shared" si="259"/>
        <v>5.6237631117740418E-2</v>
      </c>
      <c r="AA1021" s="33">
        <f t="shared" si="260"/>
        <v>0.5</v>
      </c>
      <c r="AB1021">
        <f t="shared" si="261"/>
        <v>2.1791207459793904E-2</v>
      </c>
      <c r="AC1021" s="1">
        <f t="shared" si="262"/>
        <v>3.7751425847589726E-3</v>
      </c>
      <c r="AD1021" s="35">
        <f>IF(W1021&gt;=FinalAgeForPremium, AE1021*Delta-Z1021*(Y1021-AE1021),AE1021*Delta+PremiumRevisedForLimitedTerm-Z1021*(Y1021-AE1021))</f>
        <v>3.1336002840881727E-2</v>
      </c>
      <c r="AE1021" s="35">
        <f>AE1020-StepSize*AD1020</f>
        <v>-4.0812368353345972E-2</v>
      </c>
    </row>
    <row r="1022" spans="11:32" x14ac:dyDescent="0.45">
      <c r="K1022" s="40">
        <f t="shared" si="263"/>
        <v>9.9700000000000006</v>
      </c>
      <c r="L1022" s="41">
        <f t="shared" si="255"/>
        <v>29.97</v>
      </c>
      <c r="M1022">
        <f t="shared" si="264"/>
        <v>0.81223665327216321</v>
      </c>
      <c r="N1022">
        <f t="shared" si="265"/>
        <v>0.18776334672783435</v>
      </c>
      <c r="O1022">
        <f t="shared" si="256"/>
        <v>0.13233421432152065</v>
      </c>
      <c r="P1022">
        <f t="shared" si="257"/>
        <v>0.5</v>
      </c>
      <c r="Q1022">
        <f t="shared" si="266"/>
        <v>-1.3605025989995925E-2</v>
      </c>
      <c r="R1022" s="6">
        <f t="shared" si="267"/>
        <v>1.3605025989995925E-2</v>
      </c>
      <c r="S1022" s="18">
        <f t="shared" si="268"/>
        <v>0.99999999999999756</v>
      </c>
      <c r="T1022" s="15"/>
      <c r="U1022" s="15"/>
      <c r="V1022" s="40">
        <f t="shared" si="269"/>
        <v>0.03</v>
      </c>
      <c r="W1022" s="41">
        <f t="shared" si="258"/>
        <v>20.03</v>
      </c>
      <c r="X1022">
        <f t="shared" si="270"/>
        <v>6.5777632948391064E-4</v>
      </c>
      <c r="Y1022">
        <f t="shared" si="271"/>
        <v>1.8258040427319704</v>
      </c>
      <c r="Z1022" s="33">
        <f t="shared" si="259"/>
        <v>5.6189187699531608E-2</v>
      </c>
      <c r="AA1022" s="33">
        <f t="shared" si="260"/>
        <v>0.5</v>
      </c>
      <c r="AB1022">
        <f t="shared" si="261"/>
        <v>2.1858596371833225E-2</v>
      </c>
      <c r="AC1022" s="1">
        <f t="shared" si="262"/>
        <v>3.8633353378417779E-3</v>
      </c>
      <c r="AD1022" s="35">
        <f>IF(W1022&gt;=FinalAgeForPremium, AE1022*Delta-Z1022*(Y1022-AE1022),AE1022*Delta+PremiumRevisedForLimitedTerm-Z1022*(Y1022-AE1022))</f>
        <v>3.1395275724206126E-2</v>
      </c>
      <c r="AE1022" s="35">
        <f>AE1021-StepSize*AD1021</f>
        <v>-4.1125728381754788E-2</v>
      </c>
    </row>
    <row r="1023" spans="11:32" x14ac:dyDescent="0.45">
      <c r="K1023" s="40">
        <f t="shared" si="263"/>
        <v>9.98</v>
      </c>
      <c r="L1023" s="41">
        <f t="shared" si="255"/>
        <v>29.98</v>
      </c>
      <c r="M1023">
        <f t="shared" si="264"/>
        <v>0.81210060301226328</v>
      </c>
      <c r="N1023">
        <f t="shared" si="265"/>
        <v>0.18789939698773431</v>
      </c>
      <c r="O1023">
        <f t="shared" si="256"/>
        <v>0.13244830605251337</v>
      </c>
      <c r="P1023">
        <f t="shared" si="257"/>
        <v>0.5</v>
      </c>
      <c r="Q1023">
        <f t="shared" si="266"/>
        <v>-1.361165071933175E-2</v>
      </c>
      <c r="R1023" s="6">
        <f t="shared" si="267"/>
        <v>1.361165071933175E-2</v>
      </c>
      <c r="S1023" s="18">
        <f t="shared" si="268"/>
        <v>0.99999999999999756</v>
      </c>
      <c r="T1023" s="15"/>
      <c r="U1023" s="15"/>
      <c r="V1023" s="40">
        <f t="shared" si="269"/>
        <v>0.02</v>
      </c>
      <c r="W1023" s="41">
        <f t="shared" si="258"/>
        <v>20.02</v>
      </c>
      <c r="X1023">
        <f t="shared" si="270"/>
        <v>4.3919036576557842E-4</v>
      </c>
      <c r="Y1023">
        <f t="shared" si="271"/>
        <v>1.825765409378592</v>
      </c>
      <c r="Z1023" s="33">
        <f t="shared" si="259"/>
        <v>5.6140786010761251E-2</v>
      </c>
      <c r="AA1023" s="33">
        <f t="shared" si="260"/>
        <v>0.5</v>
      </c>
      <c r="AB1023">
        <f t="shared" si="261"/>
        <v>2.1925904554204928E-2</v>
      </c>
      <c r="AC1023" s="1">
        <f t="shared" si="262"/>
        <v>3.9513799753427836E-3</v>
      </c>
      <c r="AD1023" s="35">
        <f>IF(W1023&gt;=FinalAgeForPremium, AE1023*Delta-Z1023*(Y1023-AE1023),AE1023*Delta+PremiumRevisedForLimitedTerm-Z1023*(Y1023-AE1023))</f>
        <v>3.145448399234467E-2</v>
      </c>
      <c r="AE1023" s="35">
        <f>AE1022-StepSize*AD1022</f>
        <v>-4.1439681138996848E-2</v>
      </c>
    </row>
    <row r="1024" spans="11:32" x14ac:dyDescent="0.45">
      <c r="K1024" s="40">
        <f t="shared" si="263"/>
        <v>9.99</v>
      </c>
      <c r="L1024" s="41">
        <f t="shared" si="255"/>
        <v>29.990000000000002</v>
      </c>
      <c r="M1024">
        <f t="shared" si="264"/>
        <v>0.81196448650506992</v>
      </c>
      <c r="N1024">
        <f t="shared" si="265"/>
        <v>0.18803551349492761</v>
      </c>
      <c r="O1024">
        <f t="shared" si="256"/>
        <v>0.13256249614750934</v>
      </c>
      <c r="P1024">
        <f t="shared" si="257"/>
        <v>0.5</v>
      </c>
      <c r="Q1024">
        <f t="shared" si="266"/>
        <v>-1.3618282366778922E-2</v>
      </c>
      <c r="R1024" s="6">
        <f t="shared" si="267"/>
        <v>1.3618282366778922E-2</v>
      </c>
      <c r="S1024" s="18">
        <f t="shared" si="268"/>
        <v>0.99999999999999756</v>
      </c>
      <c r="T1024" s="15"/>
      <c r="U1024" s="15"/>
      <c r="V1024" s="40">
        <f t="shared" si="269"/>
        <v>0.01</v>
      </c>
      <c r="W1024" s="41">
        <f t="shared" si="258"/>
        <v>20.010000000000002</v>
      </c>
      <c r="X1024">
        <f t="shared" si="270"/>
        <v>2.1993132022352912E-4</v>
      </c>
      <c r="Y1024">
        <f t="shared" si="271"/>
        <v>1.8257258955788385</v>
      </c>
      <c r="Z1024" s="33">
        <f t="shared" si="259"/>
        <v>5.6092426015483393E-2</v>
      </c>
      <c r="AA1024" s="33">
        <f t="shared" si="260"/>
        <v>0.5</v>
      </c>
      <c r="AB1024">
        <f t="shared" si="261"/>
        <v>2.1993132022358822E-2</v>
      </c>
      <c r="AC1024" s="1">
        <f t="shared" si="262"/>
        <v>4.0392769082493452E-3</v>
      </c>
      <c r="AD1024" s="35">
        <f>IF(W1024&gt;=FinalAgeForPremium, AE1024*Delta-Z1024*(Y1024-AE1024),AE1024*Delta+PremiumRevisedForLimitedTerm-Z1024*(Y1024-AE1024))</f>
        <v>3.1513627621436002E-2</v>
      </c>
      <c r="AE1024" s="35">
        <f>AE1023-StepSize*AD1023</f>
        <v>-4.1754225978920298E-2</v>
      </c>
    </row>
    <row r="1025" spans="11:31" ht="14.65" thickBot="1" x14ac:dyDescent="0.5">
      <c r="K1025" s="42">
        <f t="shared" si="263"/>
        <v>10</v>
      </c>
      <c r="L1025" s="43">
        <f t="shared" si="255"/>
        <v>30</v>
      </c>
      <c r="M1025">
        <f t="shared" si="264"/>
        <v>0.81182830368140213</v>
      </c>
      <c r="N1025">
        <f t="shared" si="265"/>
        <v>0.1881716963185954</v>
      </c>
      <c r="O1025">
        <f t="shared" si="256"/>
        <v>0.13267678469131269</v>
      </c>
      <c r="P1025">
        <f t="shared" si="257"/>
        <v>0.5</v>
      </c>
      <c r="Q1025">
        <f t="shared" si="266"/>
        <v>-1.3624920894553305E-2</v>
      </c>
      <c r="R1025" s="6">
        <f t="shared" si="267"/>
        <v>1.3624920894553305E-2</v>
      </c>
      <c r="S1025" s="18">
        <f t="shared" si="268"/>
        <v>0.99999999999999756</v>
      </c>
      <c r="T1025" s="15"/>
      <c r="U1025" s="15"/>
      <c r="V1025" s="42">
        <f t="shared" si="269"/>
        <v>0</v>
      </c>
      <c r="W1025" s="43">
        <f t="shared" si="258"/>
        <v>20</v>
      </c>
      <c r="X1025" s="8">
        <f t="shared" si="270"/>
        <v>-5.9089018400459992E-17</v>
      </c>
      <c r="Y1025" s="10">
        <f t="shared" si="271"/>
        <v>1.8256855028097561</v>
      </c>
      <c r="Z1025" s="45">
        <f t="shared" si="259"/>
        <v>5.6044107677782978E-2</v>
      </c>
      <c r="AA1025" s="45">
        <f t="shared" si="260"/>
        <v>0.5</v>
      </c>
      <c r="AB1025" s="10">
        <f t="shared" si="261"/>
        <v>2.2060278792110338E-2</v>
      </c>
      <c r="AC1025" s="46">
        <f t="shared" si="262"/>
        <v>4.1270265453658972E-3</v>
      </c>
      <c r="AD1025" s="35">
        <f>IF(W1025&gt;=FinalAgeForPremium, AE1025*Delta-Z1025*(Y1025-AE1025),AE1025*Delta+PremiumRevisedForLimitedTerm-Z1025*(Y1025-AE1025))</f>
        <v>3.1572706588090041E-2</v>
      </c>
      <c r="AE1025" s="36">
        <f>AE1024-StepSize*AD1024</f>
        <v>-4.2069362255134655E-2</v>
      </c>
    </row>
  </sheetData>
  <pageMargins left="0.7" right="0.7" top="0.75" bottom="0.75" header="0.3" footer="0.3"/>
  <pageSetup orientation="portrait" horizontalDpi="0" verticalDpi="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3bcb35-9aa9-4dbf-a1c9-a4059b9936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7327CF3CEC9145AC6F5B07EBB94F60" ma:contentTypeVersion="18" ma:contentTypeDescription="Create a new document." ma:contentTypeScope="" ma:versionID="a9dcb6b4534a9103a83e0bfde106f38f">
  <xsd:schema xmlns:xsd="http://www.w3.org/2001/XMLSchema" xmlns:xs="http://www.w3.org/2001/XMLSchema" xmlns:p="http://schemas.microsoft.com/office/2006/metadata/properties" xmlns:ns3="ac3bcb35-9aa9-4dbf-a1c9-a4059b99366b" xmlns:ns4="3c0e9b9a-dc5c-494c-bbac-09f077bb5a57" targetNamespace="http://schemas.microsoft.com/office/2006/metadata/properties" ma:root="true" ma:fieldsID="47a5799ec9c8dff36114ba72e22d6d9b" ns3:_="" ns4:_="">
    <xsd:import namespace="ac3bcb35-9aa9-4dbf-a1c9-a4059b99366b"/>
    <xsd:import namespace="3c0e9b9a-dc5c-494c-bbac-09f077bb5a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bcb35-9aa9-4dbf-a1c9-a4059b9936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e9b9a-dc5c-494c-bbac-09f077bb5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434B66-165F-4807-8B57-9065D4E11A9B}">
  <ds:schemaRefs>
    <ds:schemaRef ds:uri="http://schemas.microsoft.com/office/2006/documentManagement/types"/>
    <ds:schemaRef ds:uri="3c0e9b9a-dc5c-494c-bbac-09f077bb5a57"/>
    <ds:schemaRef ds:uri="http://schemas.microsoft.com/office/2006/metadata/properties"/>
    <ds:schemaRef ds:uri="ac3bcb35-9aa9-4dbf-a1c9-a4059b99366b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B4C3742-99DE-445C-802F-B2C6B23FFF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17096E-B0C2-4547-95BF-452DC9EE5C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3bcb35-9aa9-4dbf-a1c9-a4059b99366b"/>
    <ds:schemaRef ds:uri="3c0e9b9a-dc5c-494c-bbac-09f077bb5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t4q2</vt:lpstr>
      <vt:lpstr>AnnuityWhileSIck</vt:lpstr>
      <vt:lpstr>Delta</vt:lpstr>
      <vt:lpstr>Deltat</vt:lpstr>
      <vt:lpstr>FinalAgeForPremium</vt:lpstr>
      <vt:lpstr>mu01Parameter_B</vt:lpstr>
      <vt:lpstr>mu01Parameter_c</vt:lpstr>
      <vt:lpstr>mu10Constant</vt:lpstr>
      <vt:lpstr>Premium</vt:lpstr>
      <vt:lpstr>PremiumRevisedForLimitedTerm</vt:lpstr>
      <vt:lpstr>StepSize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sharpe</dc:creator>
  <cp:keywords/>
  <dc:description/>
  <cp:lastModifiedBy>Marcus Gwee Wen Hong</cp:lastModifiedBy>
  <cp:revision/>
  <dcterms:created xsi:type="dcterms:W3CDTF">2021-02-04T10:14:44Z</dcterms:created>
  <dcterms:modified xsi:type="dcterms:W3CDTF">2026-02-05T08:23:31Z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0x0101001D7327CF3CEC9145AC6F5B07EBB94F60</vt:lpwstr>
  </property>
</Properties>
</file>